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 C\Downloads\FM assign 3\"/>
    </mc:Choice>
  </mc:AlternateContent>
  <xr:revisionPtr revIDLastSave="0" documentId="13_ncr:1_{FCD3BFE9-FA10-4AE2-98EE-EE856062A6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3" sheetId="11" r:id="rId1"/>
    <sheet name="Bank Al-Habib " sheetId="1" r:id="rId2"/>
    <sheet name="Cnergyico" sheetId="8" r:id="rId3"/>
    <sheet name="Lucky Cement" sheetId="9" r:id="rId4"/>
    <sheet name="Fauji Fertillizers" sheetId="10" r:id="rId5"/>
    <sheet name="Portfolio" sheetId="12" r:id="rId6"/>
  </sheets>
  <externalReferences>
    <externalReference r:id="rId7"/>
    <externalReference r:id="rId8"/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12" l="1"/>
  <c r="L4" i="9"/>
  <c r="B19" i="12"/>
  <c r="P4" i="9"/>
  <c r="L5" i="12"/>
  <c r="L4" i="1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J2" i="8"/>
  <c r="I7" i="8"/>
  <c r="H3" i="12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G1242" i="8"/>
  <c r="G1243" i="8"/>
  <c r="G1244" i="8"/>
  <c r="G1245" i="8"/>
  <c r="G1246" i="8"/>
  <c r="G1247" i="8"/>
  <c r="G1248" i="8"/>
  <c r="G1249" i="8"/>
  <c r="G1250" i="8"/>
  <c r="G1251" i="8"/>
  <c r="G1252" i="8"/>
  <c r="G1253" i="8"/>
  <c r="G1254" i="8"/>
  <c r="G1255" i="8"/>
  <c r="G1256" i="8"/>
  <c r="G1257" i="8"/>
  <c r="G1258" i="8"/>
  <c r="G1259" i="8"/>
  <c r="G1260" i="8"/>
  <c r="G1261" i="8"/>
  <c r="G1262" i="8"/>
  <c r="G1263" i="8"/>
  <c r="G1264" i="8"/>
  <c r="G1265" i="8"/>
  <c r="G1266" i="8"/>
  <c r="G1267" i="8"/>
  <c r="G1268" i="8"/>
  <c r="G1269" i="8"/>
  <c r="G1270" i="8"/>
  <c r="G1271" i="8"/>
  <c r="G1272" i="8"/>
  <c r="G1273" i="8"/>
  <c r="G1274" i="8"/>
  <c r="G1275" i="8"/>
  <c r="G1276" i="8"/>
  <c r="G1277" i="8"/>
  <c r="G1278" i="8"/>
  <c r="G1279" i="8"/>
  <c r="G1280" i="8"/>
  <c r="G1281" i="8"/>
  <c r="G1282" i="8"/>
  <c r="G1283" i="8"/>
  <c r="G1284" i="8"/>
  <c r="G1285" i="8"/>
  <c r="G1286" i="8"/>
  <c r="G1287" i="8"/>
  <c r="G1288" i="8"/>
  <c r="G1289" i="8"/>
  <c r="G1290" i="8"/>
  <c r="G1291" i="8"/>
  <c r="G1292" i="8"/>
  <c r="G1293" i="8"/>
  <c r="G1294" i="8"/>
  <c r="G1295" i="8"/>
  <c r="G1296" i="8"/>
  <c r="G1297" i="8"/>
  <c r="G1298" i="8"/>
  <c r="G1299" i="8"/>
  <c r="G1300" i="8"/>
  <c r="G1301" i="8"/>
  <c r="G1302" i="8"/>
  <c r="G1303" i="8"/>
  <c r="G1304" i="8"/>
  <c r="G1305" i="8"/>
  <c r="G1306" i="8"/>
  <c r="G1307" i="8"/>
  <c r="G1308" i="8"/>
  <c r="G1309" i="8"/>
  <c r="G1310" i="8"/>
  <c r="G1311" i="8"/>
  <c r="G1312" i="8"/>
  <c r="G1313" i="8"/>
  <c r="G1314" i="8"/>
  <c r="G1315" i="8"/>
  <c r="G1316" i="8"/>
  <c r="G1317" i="8"/>
  <c r="G1318" i="8"/>
  <c r="G1319" i="8"/>
  <c r="G1320" i="8"/>
  <c r="G1321" i="8"/>
  <c r="G1322" i="8"/>
  <c r="G1323" i="8"/>
  <c r="G1324" i="8"/>
  <c r="G1325" i="8"/>
  <c r="G1326" i="8"/>
  <c r="G1327" i="8"/>
  <c r="G1328" i="8"/>
  <c r="G1329" i="8"/>
  <c r="G1330" i="8"/>
  <c r="G1331" i="8"/>
  <c r="G1332" i="8"/>
  <c r="G1333" i="8"/>
  <c r="G1334" i="8"/>
  <c r="G1335" i="8"/>
  <c r="G1336" i="8"/>
  <c r="G1337" i="8"/>
  <c r="G1338" i="8"/>
  <c r="G1339" i="8"/>
  <c r="G1340" i="8"/>
  <c r="G1341" i="8"/>
  <c r="G1342" i="8"/>
  <c r="G1343" i="8"/>
  <c r="G1344" i="8"/>
  <c r="G1345" i="8"/>
  <c r="G1346" i="8"/>
  <c r="G1347" i="8"/>
  <c r="G1348" i="8"/>
  <c r="G1349" i="8"/>
  <c r="G1350" i="8"/>
  <c r="G1351" i="8"/>
  <c r="G1352" i="8"/>
  <c r="G1353" i="8"/>
  <c r="G1354" i="8"/>
  <c r="G1355" i="8"/>
  <c r="G1356" i="8"/>
  <c r="G1357" i="8"/>
  <c r="G1358" i="8"/>
  <c r="G1359" i="8"/>
  <c r="G1360" i="8"/>
  <c r="G1361" i="8"/>
  <c r="G1362" i="8"/>
  <c r="G1363" i="8"/>
  <c r="G1364" i="8"/>
  <c r="G1365" i="8"/>
  <c r="G1366" i="8"/>
  <c r="G1367" i="8"/>
  <c r="G1368" i="8"/>
  <c r="G1369" i="8"/>
  <c r="G1370" i="8"/>
  <c r="G1371" i="8"/>
  <c r="G1372" i="8"/>
  <c r="G1373" i="8"/>
  <c r="G1374" i="8"/>
  <c r="G1375" i="8"/>
  <c r="G1376" i="8"/>
  <c r="G1377" i="8"/>
  <c r="G1378" i="8"/>
  <c r="G1379" i="8"/>
  <c r="G1380" i="8"/>
  <c r="G1381" i="8"/>
  <c r="G1382" i="8"/>
  <c r="G1383" i="8"/>
  <c r="G1384" i="8"/>
  <c r="G1385" i="8"/>
  <c r="G1386" i="8"/>
  <c r="G1387" i="8"/>
  <c r="G1388" i="8"/>
  <c r="G1389" i="8"/>
  <c r="G1390" i="8"/>
  <c r="G1391" i="8"/>
  <c r="G1392" i="8"/>
  <c r="G1393" i="8"/>
  <c r="G1394" i="8"/>
  <c r="G1395" i="8"/>
  <c r="G1396" i="8"/>
  <c r="G1397" i="8"/>
  <c r="G1398" i="8"/>
  <c r="G1399" i="8"/>
  <c r="G1400" i="8"/>
  <c r="G1401" i="8"/>
  <c r="G1402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7" i="8"/>
  <c r="G1418" i="8"/>
  <c r="G1419" i="8"/>
  <c r="G1420" i="8"/>
  <c r="G1421" i="8"/>
  <c r="G1422" i="8"/>
  <c r="G1423" i="8"/>
  <c r="G1424" i="8"/>
  <c r="G1425" i="8"/>
  <c r="G1426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3" i="8"/>
  <c r="G1444" i="8"/>
  <c r="G1445" i="8"/>
  <c r="G1446" i="8"/>
  <c r="G1447" i="8"/>
  <c r="G1448" i="8"/>
  <c r="G1449" i="8"/>
  <c r="G1450" i="8"/>
  <c r="G1451" i="8"/>
  <c r="G1452" i="8"/>
  <c r="G1453" i="8"/>
  <c r="G1454" i="8"/>
  <c r="G1455" i="8"/>
  <c r="G1456" i="8"/>
  <c r="G1457" i="8"/>
  <c r="G1458" i="8"/>
  <c r="G1459" i="8"/>
  <c r="G1460" i="8"/>
  <c r="G1461" i="8"/>
  <c r="G1462" i="8"/>
  <c r="G1463" i="8"/>
  <c r="G1464" i="8"/>
  <c r="G1465" i="8"/>
  <c r="G1466" i="8"/>
  <c r="G1467" i="8"/>
  <c r="G1468" i="8"/>
  <c r="G1469" i="8"/>
  <c r="G1470" i="8"/>
  <c r="G1471" i="8"/>
  <c r="G1472" i="8"/>
  <c r="G1473" i="8"/>
  <c r="G1474" i="8"/>
  <c r="G1475" i="8"/>
  <c r="G1476" i="8"/>
  <c r="G1477" i="8"/>
  <c r="G1478" i="8"/>
  <c r="G1479" i="8"/>
  <c r="G1480" i="8"/>
  <c r="G1481" i="8"/>
  <c r="G1482" i="8"/>
  <c r="G1483" i="8"/>
  <c r="G1484" i="8"/>
  <c r="G1485" i="8"/>
  <c r="G1486" i="8"/>
  <c r="G1487" i="8"/>
  <c r="G1488" i="8"/>
  <c r="G1489" i="8"/>
  <c r="G1490" i="8"/>
  <c r="G1491" i="8"/>
  <c r="G1492" i="8"/>
  <c r="G1493" i="8"/>
  <c r="G1494" i="8"/>
  <c r="G1495" i="8"/>
  <c r="G1496" i="8"/>
  <c r="G1497" i="8"/>
  <c r="G1498" i="8"/>
  <c r="G1499" i="8"/>
  <c r="G1500" i="8"/>
  <c r="G1501" i="8"/>
  <c r="G1502" i="8"/>
  <c r="G1503" i="8"/>
  <c r="G1504" i="8"/>
  <c r="G1505" i="8"/>
  <c r="G1506" i="8"/>
  <c r="G1507" i="8"/>
  <c r="G1508" i="8"/>
  <c r="G1509" i="8"/>
  <c r="G1510" i="8"/>
  <c r="G1511" i="8"/>
  <c r="G1512" i="8"/>
  <c r="G1513" i="8"/>
  <c r="G1514" i="8"/>
  <c r="G1515" i="8"/>
  <c r="G1516" i="8"/>
  <c r="G1517" i="8"/>
  <c r="G1518" i="8"/>
  <c r="G1519" i="8"/>
  <c r="G1520" i="8"/>
  <c r="G1521" i="8"/>
  <c r="G1522" i="8"/>
  <c r="G1523" i="8"/>
  <c r="G1524" i="8"/>
  <c r="G1525" i="8"/>
  <c r="G1526" i="8"/>
  <c r="G1527" i="8"/>
  <c r="G1528" i="8"/>
  <c r="G1529" i="8"/>
  <c r="G1530" i="8"/>
  <c r="G1531" i="8"/>
  <c r="G1532" i="8"/>
  <c r="G1533" i="8"/>
  <c r="G1534" i="8"/>
  <c r="G1535" i="8"/>
  <c r="G1536" i="8"/>
  <c r="G1537" i="8"/>
  <c r="G1538" i="8"/>
  <c r="G1539" i="8"/>
  <c r="G1540" i="8"/>
  <c r="G1541" i="8"/>
  <c r="G1542" i="8"/>
  <c r="G1543" i="8"/>
  <c r="G1544" i="8"/>
  <c r="G1545" i="8"/>
  <c r="G1546" i="8"/>
  <c r="G1547" i="8"/>
  <c r="G1548" i="8"/>
  <c r="G1549" i="8"/>
  <c r="G1550" i="8"/>
  <c r="G1551" i="8"/>
  <c r="G1552" i="8"/>
  <c r="G1553" i="8"/>
  <c r="G1554" i="8"/>
  <c r="G1555" i="8"/>
  <c r="G1556" i="8"/>
  <c r="G1557" i="8"/>
  <c r="G1558" i="8"/>
  <c r="G1559" i="8"/>
  <c r="G1560" i="8"/>
  <c r="G1561" i="8"/>
  <c r="G1562" i="8"/>
  <c r="G1563" i="8"/>
  <c r="G1564" i="8"/>
  <c r="G1565" i="8"/>
  <c r="G1566" i="8"/>
  <c r="G1567" i="8"/>
  <c r="G1568" i="8"/>
  <c r="G1569" i="8"/>
  <c r="G1570" i="8"/>
  <c r="G1571" i="8"/>
  <c r="G1572" i="8"/>
  <c r="G1573" i="8"/>
  <c r="G1574" i="8"/>
  <c r="G1575" i="8"/>
  <c r="G1576" i="8"/>
  <c r="G1577" i="8"/>
  <c r="G1578" i="8"/>
  <c r="G1579" i="8"/>
  <c r="G1580" i="8"/>
  <c r="G1581" i="8"/>
  <c r="G1582" i="8"/>
  <c r="G1583" i="8"/>
  <c r="G1584" i="8"/>
  <c r="G1585" i="8"/>
  <c r="G1586" i="8"/>
  <c r="G1587" i="8"/>
  <c r="G1588" i="8"/>
  <c r="G1589" i="8"/>
  <c r="G1590" i="8"/>
  <c r="G1591" i="8"/>
  <c r="G1592" i="8"/>
  <c r="G1593" i="8"/>
  <c r="G1594" i="8"/>
  <c r="G1595" i="8"/>
  <c r="G1596" i="8"/>
  <c r="G1597" i="8"/>
  <c r="G1598" i="8"/>
  <c r="G1599" i="8"/>
  <c r="G1600" i="8"/>
  <c r="G1601" i="8"/>
  <c r="G1602" i="8"/>
  <c r="G1603" i="8"/>
  <c r="G1604" i="8"/>
  <c r="G1605" i="8"/>
  <c r="G1606" i="8"/>
  <c r="G1607" i="8"/>
  <c r="G1608" i="8"/>
  <c r="G1609" i="8"/>
  <c r="G1610" i="8"/>
  <c r="G1611" i="8"/>
  <c r="G1612" i="8"/>
  <c r="G1613" i="8"/>
  <c r="G1614" i="8"/>
  <c r="G1615" i="8"/>
  <c r="G1616" i="8"/>
  <c r="G1617" i="8"/>
  <c r="G1618" i="8"/>
  <c r="G1619" i="8"/>
  <c r="G1620" i="8"/>
  <c r="G1621" i="8"/>
  <c r="G1622" i="8"/>
  <c r="G1623" i="8"/>
  <c r="G1624" i="8"/>
  <c r="G1625" i="8"/>
  <c r="G1626" i="8"/>
  <c r="G1627" i="8"/>
  <c r="G1628" i="8"/>
  <c r="G1629" i="8"/>
  <c r="G1630" i="8"/>
  <c r="G1631" i="8"/>
  <c r="G1632" i="8"/>
  <c r="G1633" i="8"/>
  <c r="G1634" i="8"/>
  <c r="G1635" i="8"/>
  <c r="G1636" i="8"/>
  <c r="G1637" i="8"/>
  <c r="G1638" i="8"/>
  <c r="G1639" i="8"/>
  <c r="G1640" i="8"/>
  <c r="G1641" i="8"/>
  <c r="G1642" i="8"/>
  <c r="G1643" i="8"/>
  <c r="G1644" i="8"/>
  <c r="G1645" i="8"/>
  <c r="G1646" i="8"/>
  <c r="G1647" i="8"/>
  <c r="G1648" i="8"/>
  <c r="G1649" i="8"/>
  <c r="G1650" i="8"/>
  <c r="G1651" i="8"/>
  <c r="G1652" i="8"/>
  <c r="G1653" i="8"/>
  <c r="G1654" i="8"/>
  <c r="G1655" i="8"/>
  <c r="G1656" i="8"/>
  <c r="G1657" i="8"/>
  <c r="G1658" i="8"/>
  <c r="G1659" i="8"/>
  <c r="G1660" i="8"/>
  <c r="G1661" i="8"/>
  <c r="G1662" i="8"/>
  <c r="G1663" i="8"/>
  <c r="G1664" i="8"/>
  <c r="G1665" i="8"/>
  <c r="G1666" i="8"/>
  <c r="G1667" i="8"/>
  <c r="G1668" i="8"/>
  <c r="G1669" i="8"/>
  <c r="G1670" i="8"/>
  <c r="G1671" i="8"/>
  <c r="G1672" i="8"/>
  <c r="G1673" i="8"/>
  <c r="G1674" i="8"/>
  <c r="G1675" i="8"/>
  <c r="G1676" i="8"/>
  <c r="G1677" i="8"/>
  <c r="G1678" i="8"/>
  <c r="G1679" i="8"/>
  <c r="G1680" i="8"/>
  <c r="G1681" i="8"/>
  <c r="G1682" i="8"/>
  <c r="G1683" i="8"/>
  <c r="G1684" i="8"/>
  <c r="G1685" i="8"/>
  <c r="G1686" i="8"/>
  <c r="G1687" i="8"/>
  <c r="G1688" i="8"/>
  <c r="G1689" i="8"/>
  <c r="G1690" i="8"/>
  <c r="G1691" i="8"/>
  <c r="G1692" i="8"/>
  <c r="G1693" i="8"/>
  <c r="G1694" i="8"/>
  <c r="G1695" i="8"/>
  <c r="G1696" i="8"/>
  <c r="G1697" i="8"/>
  <c r="G1698" i="8"/>
  <c r="G1699" i="8"/>
  <c r="G1700" i="8"/>
  <c r="G1701" i="8"/>
  <c r="G1702" i="8"/>
  <c r="G1703" i="8"/>
  <c r="G1704" i="8"/>
  <c r="G1705" i="8"/>
  <c r="G1706" i="8"/>
  <c r="G1707" i="8"/>
  <c r="G1708" i="8"/>
  <c r="G1709" i="8"/>
  <c r="G1710" i="8"/>
  <c r="G1711" i="8"/>
  <c r="G1712" i="8"/>
  <c r="G1713" i="8"/>
  <c r="G1714" i="8"/>
  <c r="G1715" i="8"/>
  <c r="G1716" i="8"/>
  <c r="G1717" i="8"/>
  <c r="G1718" i="8"/>
  <c r="G1719" i="8"/>
  <c r="G1720" i="8"/>
  <c r="G1721" i="8"/>
  <c r="G1722" i="8"/>
  <c r="G1723" i="8"/>
  <c r="G1724" i="8"/>
  <c r="G1725" i="8"/>
  <c r="G1726" i="8"/>
  <c r="G1727" i="8"/>
  <c r="G1728" i="8"/>
  <c r="G1729" i="8"/>
  <c r="G1730" i="8"/>
  <c r="G1731" i="8"/>
  <c r="G1732" i="8"/>
  <c r="G1733" i="8"/>
  <c r="H4" i="12"/>
  <c r="H5" i="12"/>
  <c r="H6" i="12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D12" i="12"/>
  <c r="D13" i="12"/>
  <c r="D14" i="12"/>
  <c r="D11" i="12"/>
  <c r="D4" i="12"/>
  <c r="D5" i="12"/>
  <c r="D6" i="12"/>
  <c r="D3" i="12"/>
  <c r="C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J1737" i="10"/>
  <c r="C1737" i="10"/>
  <c r="J1736" i="10"/>
  <c r="C1736" i="10"/>
  <c r="J1735" i="10"/>
  <c r="C1735" i="10"/>
  <c r="J1734" i="10"/>
  <c r="C1734" i="10"/>
  <c r="J1733" i="10"/>
  <c r="C1733" i="10"/>
  <c r="J1732" i="10"/>
  <c r="C1732" i="10"/>
  <c r="J1731" i="10"/>
  <c r="C1731" i="10"/>
  <c r="J1730" i="10"/>
  <c r="C1730" i="10"/>
  <c r="J1729" i="10"/>
  <c r="C1729" i="10"/>
  <c r="J1728" i="10"/>
  <c r="C1728" i="10"/>
  <c r="J1727" i="10"/>
  <c r="C1727" i="10"/>
  <c r="J1726" i="10"/>
  <c r="C1726" i="10"/>
  <c r="J1725" i="10"/>
  <c r="C1725" i="10"/>
  <c r="J1724" i="10"/>
  <c r="C1724" i="10"/>
  <c r="J1723" i="10"/>
  <c r="C1723" i="10"/>
  <c r="J1722" i="10"/>
  <c r="C1722" i="10"/>
  <c r="J1721" i="10"/>
  <c r="C1721" i="10"/>
  <c r="J1720" i="10"/>
  <c r="C1720" i="10"/>
  <c r="J1719" i="10"/>
  <c r="C1719" i="10"/>
  <c r="J1718" i="10"/>
  <c r="C1718" i="10"/>
  <c r="J1717" i="10"/>
  <c r="C1717" i="10"/>
  <c r="J1716" i="10"/>
  <c r="C1716" i="10"/>
  <c r="J1715" i="10"/>
  <c r="C1715" i="10"/>
  <c r="J1714" i="10"/>
  <c r="C1714" i="10"/>
  <c r="J1713" i="10"/>
  <c r="C1713" i="10"/>
  <c r="J1712" i="10"/>
  <c r="C1712" i="10"/>
  <c r="J1711" i="10"/>
  <c r="C1711" i="10"/>
  <c r="J1710" i="10"/>
  <c r="C1710" i="10"/>
  <c r="J1709" i="10"/>
  <c r="C1709" i="10"/>
  <c r="J1708" i="10"/>
  <c r="C1708" i="10"/>
  <c r="J1707" i="10"/>
  <c r="C1707" i="10"/>
  <c r="J1706" i="10"/>
  <c r="C1706" i="10"/>
  <c r="J1705" i="10"/>
  <c r="C1705" i="10"/>
  <c r="J1704" i="10"/>
  <c r="C1704" i="10"/>
  <c r="J1703" i="10"/>
  <c r="C1703" i="10"/>
  <c r="J1702" i="10"/>
  <c r="C1702" i="10"/>
  <c r="J1701" i="10"/>
  <c r="C1701" i="10"/>
  <c r="J1700" i="10"/>
  <c r="C1700" i="10"/>
  <c r="J1699" i="10"/>
  <c r="C1699" i="10"/>
  <c r="J1698" i="10"/>
  <c r="C1698" i="10"/>
  <c r="J1697" i="10"/>
  <c r="C1697" i="10"/>
  <c r="J1696" i="10"/>
  <c r="C1696" i="10"/>
  <c r="J1695" i="10"/>
  <c r="C1695" i="10"/>
  <c r="J1694" i="10"/>
  <c r="C1694" i="10"/>
  <c r="J1693" i="10"/>
  <c r="C1693" i="10"/>
  <c r="J1692" i="10"/>
  <c r="C1692" i="10"/>
  <c r="J1691" i="10"/>
  <c r="C1691" i="10"/>
  <c r="J1690" i="10"/>
  <c r="C1690" i="10"/>
  <c r="J1689" i="10"/>
  <c r="C1689" i="10"/>
  <c r="J1688" i="10"/>
  <c r="C1688" i="10"/>
  <c r="J1687" i="10"/>
  <c r="C1687" i="10"/>
  <c r="J1686" i="10"/>
  <c r="C1686" i="10"/>
  <c r="J1685" i="10"/>
  <c r="C1685" i="10"/>
  <c r="J1684" i="10"/>
  <c r="C1684" i="10"/>
  <c r="J1683" i="10"/>
  <c r="C1683" i="10"/>
  <c r="J1682" i="10"/>
  <c r="C1682" i="10"/>
  <c r="J1681" i="10"/>
  <c r="C1681" i="10"/>
  <c r="J1680" i="10"/>
  <c r="C1680" i="10"/>
  <c r="J1679" i="10"/>
  <c r="C1679" i="10"/>
  <c r="J1678" i="10"/>
  <c r="C1678" i="10"/>
  <c r="J1677" i="10"/>
  <c r="C1677" i="10"/>
  <c r="J1676" i="10"/>
  <c r="C1676" i="10"/>
  <c r="J1675" i="10"/>
  <c r="C1675" i="10"/>
  <c r="J1674" i="10"/>
  <c r="C1674" i="10"/>
  <c r="J1673" i="10"/>
  <c r="C1673" i="10"/>
  <c r="J1672" i="10"/>
  <c r="C1672" i="10"/>
  <c r="J1671" i="10"/>
  <c r="C1671" i="10"/>
  <c r="J1670" i="10"/>
  <c r="C1670" i="10"/>
  <c r="J1669" i="10"/>
  <c r="C1669" i="10"/>
  <c r="J1668" i="10"/>
  <c r="C1668" i="10"/>
  <c r="J1667" i="10"/>
  <c r="C1667" i="10"/>
  <c r="J1666" i="10"/>
  <c r="C1666" i="10"/>
  <c r="J1665" i="10"/>
  <c r="C1665" i="10"/>
  <c r="J1664" i="10"/>
  <c r="C1664" i="10"/>
  <c r="J1663" i="10"/>
  <c r="C1663" i="10"/>
  <c r="J1662" i="10"/>
  <c r="C1662" i="10"/>
  <c r="J1661" i="10"/>
  <c r="C1661" i="10"/>
  <c r="J1660" i="10"/>
  <c r="C1660" i="10"/>
  <c r="J1659" i="10"/>
  <c r="C1659" i="10"/>
  <c r="J1658" i="10"/>
  <c r="C1658" i="10"/>
  <c r="J1657" i="10"/>
  <c r="C1657" i="10"/>
  <c r="J1656" i="10"/>
  <c r="C1656" i="10"/>
  <c r="J1655" i="10"/>
  <c r="C1655" i="10"/>
  <c r="J1654" i="10"/>
  <c r="C1654" i="10"/>
  <c r="J1653" i="10"/>
  <c r="C1653" i="10"/>
  <c r="J1652" i="10"/>
  <c r="C1652" i="10"/>
  <c r="J1651" i="10"/>
  <c r="C1651" i="10"/>
  <c r="J1650" i="10"/>
  <c r="C1650" i="10"/>
  <c r="J1649" i="10"/>
  <c r="C1649" i="10"/>
  <c r="J1648" i="10"/>
  <c r="C1648" i="10"/>
  <c r="J1647" i="10"/>
  <c r="C1647" i="10"/>
  <c r="J1646" i="10"/>
  <c r="C1646" i="10"/>
  <c r="J1645" i="10"/>
  <c r="C1645" i="10"/>
  <c r="J1644" i="10"/>
  <c r="C1644" i="10"/>
  <c r="J1643" i="10"/>
  <c r="C1643" i="10"/>
  <c r="J1642" i="10"/>
  <c r="C1642" i="10"/>
  <c r="J1641" i="10"/>
  <c r="C1641" i="10"/>
  <c r="J1640" i="10"/>
  <c r="C1640" i="10"/>
  <c r="J1639" i="10"/>
  <c r="C1639" i="10"/>
  <c r="J1638" i="10"/>
  <c r="C1638" i="10"/>
  <c r="J1637" i="10"/>
  <c r="C1637" i="10"/>
  <c r="J1636" i="10"/>
  <c r="C1636" i="10"/>
  <c r="J1635" i="10"/>
  <c r="C1635" i="10"/>
  <c r="J1634" i="10"/>
  <c r="C1634" i="10"/>
  <c r="J1633" i="10"/>
  <c r="C1633" i="10"/>
  <c r="J1632" i="10"/>
  <c r="C1632" i="10"/>
  <c r="J1631" i="10"/>
  <c r="C1631" i="10"/>
  <c r="J1630" i="10"/>
  <c r="C1630" i="10"/>
  <c r="J1629" i="10"/>
  <c r="C1629" i="10"/>
  <c r="J1628" i="10"/>
  <c r="C1628" i="10"/>
  <c r="J1627" i="10"/>
  <c r="C1627" i="10"/>
  <c r="J1626" i="10"/>
  <c r="C1626" i="10"/>
  <c r="J1625" i="10"/>
  <c r="C1625" i="10"/>
  <c r="J1624" i="10"/>
  <c r="C1624" i="10"/>
  <c r="J1623" i="10"/>
  <c r="C1623" i="10"/>
  <c r="J1622" i="10"/>
  <c r="C1622" i="10"/>
  <c r="J1621" i="10"/>
  <c r="C1621" i="10"/>
  <c r="J1620" i="10"/>
  <c r="C1620" i="10"/>
  <c r="J1619" i="10"/>
  <c r="C1619" i="10"/>
  <c r="J1618" i="10"/>
  <c r="C1618" i="10"/>
  <c r="J1617" i="10"/>
  <c r="C1617" i="10"/>
  <c r="J1616" i="10"/>
  <c r="C1616" i="10"/>
  <c r="J1615" i="10"/>
  <c r="C1615" i="10"/>
  <c r="J1614" i="10"/>
  <c r="C1614" i="10"/>
  <c r="J1613" i="10"/>
  <c r="C1613" i="10"/>
  <c r="J1612" i="10"/>
  <c r="C1612" i="10"/>
  <c r="J1611" i="10"/>
  <c r="C1611" i="10"/>
  <c r="J1610" i="10"/>
  <c r="C1610" i="10"/>
  <c r="J1609" i="10"/>
  <c r="C1609" i="10"/>
  <c r="J1608" i="10"/>
  <c r="C1608" i="10"/>
  <c r="J1607" i="10"/>
  <c r="C1607" i="10"/>
  <c r="J1606" i="10"/>
  <c r="C1606" i="10"/>
  <c r="J1605" i="10"/>
  <c r="C1605" i="10"/>
  <c r="J1604" i="10"/>
  <c r="C1604" i="10"/>
  <c r="J1603" i="10"/>
  <c r="C1603" i="10"/>
  <c r="J1602" i="10"/>
  <c r="C1602" i="10"/>
  <c r="J1601" i="10"/>
  <c r="C1601" i="10"/>
  <c r="J1600" i="10"/>
  <c r="C1600" i="10"/>
  <c r="J1599" i="10"/>
  <c r="C1599" i="10"/>
  <c r="J1598" i="10"/>
  <c r="C1598" i="10"/>
  <c r="J1597" i="10"/>
  <c r="C1597" i="10"/>
  <c r="J1596" i="10"/>
  <c r="C1596" i="10"/>
  <c r="J1595" i="10"/>
  <c r="C1595" i="10"/>
  <c r="J1594" i="10"/>
  <c r="C1594" i="10"/>
  <c r="J1593" i="10"/>
  <c r="C1593" i="10"/>
  <c r="J1592" i="10"/>
  <c r="C1592" i="10"/>
  <c r="J1591" i="10"/>
  <c r="C1591" i="10"/>
  <c r="J1590" i="10"/>
  <c r="C1590" i="10"/>
  <c r="J1589" i="10"/>
  <c r="C1589" i="10"/>
  <c r="J1588" i="10"/>
  <c r="C1588" i="10"/>
  <c r="J1587" i="10"/>
  <c r="C1587" i="10"/>
  <c r="J1586" i="10"/>
  <c r="C1586" i="10"/>
  <c r="J1585" i="10"/>
  <c r="C1585" i="10"/>
  <c r="J1584" i="10"/>
  <c r="C1584" i="10"/>
  <c r="J1583" i="10"/>
  <c r="C1583" i="10"/>
  <c r="J1582" i="10"/>
  <c r="C1582" i="10"/>
  <c r="J1581" i="10"/>
  <c r="C1581" i="10"/>
  <c r="J1580" i="10"/>
  <c r="C1580" i="10"/>
  <c r="J1579" i="10"/>
  <c r="C1579" i="10"/>
  <c r="J1578" i="10"/>
  <c r="C1578" i="10"/>
  <c r="J1577" i="10"/>
  <c r="C1577" i="10"/>
  <c r="J1576" i="10"/>
  <c r="C1576" i="10"/>
  <c r="J1575" i="10"/>
  <c r="C1575" i="10"/>
  <c r="J1574" i="10"/>
  <c r="C1574" i="10"/>
  <c r="J1573" i="10"/>
  <c r="C1573" i="10"/>
  <c r="J1572" i="10"/>
  <c r="C1572" i="10"/>
  <c r="J1571" i="10"/>
  <c r="C1571" i="10"/>
  <c r="J1570" i="10"/>
  <c r="C1570" i="10"/>
  <c r="J1569" i="10"/>
  <c r="C1569" i="10"/>
  <c r="J1568" i="10"/>
  <c r="C1568" i="10"/>
  <c r="J1567" i="10"/>
  <c r="C1567" i="10"/>
  <c r="J1566" i="10"/>
  <c r="C1566" i="10"/>
  <c r="J1565" i="10"/>
  <c r="C1565" i="10"/>
  <c r="J1564" i="10"/>
  <c r="C1564" i="10"/>
  <c r="J1563" i="10"/>
  <c r="C1563" i="10"/>
  <c r="J1562" i="10"/>
  <c r="C1562" i="10"/>
  <c r="J1561" i="10"/>
  <c r="C1561" i="10"/>
  <c r="J1560" i="10"/>
  <c r="C1560" i="10"/>
  <c r="J1559" i="10"/>
  <c r="C1559" i="10"/>
  <c r="J1558" i="10"/>
  <c r="C1558" i="10"/>
  <c r="J1557" i="10"/>
  <c r="C1557" i="10"/>
  <c r="J1556" i="10"/>
  <c r="C1556" i="10"/>
  <c r="J1555" i="10"/>
  <c r="C1555" i="10"/>
  <c r="J1554" i="10"/>
  <c r="C1554" i="10"/>
  <c r="J1553" i="10"/>
  <c r="C1553" i="10"/>
  <c r="J1552" i="10"/>
  <c r="C1552" i="10"/>
  <c r="J1551" i="10"/>
  <c r="C1551" i="10"/>
  <c r="J1550" i="10"/>
  <c r="C1550" i="10"/>
  <c r="J1549" i="10"/>
  <c r="C1549" i="10"/>
  <c r="J1548" i="10"/>
  <c r="C1548" i="10"/>
  <c r="J1547" i="10"/>
  <c r="C1547" i="10"/>
  <c r="J1546" i="10"/>
  <c r="C1546" i="10"/>
  <c r="J1545" i="10"/>
  <c r="C1545" i="10"/>
  <c r="J1544" i="10"/>
  <c r="C1544" i="10"/>
  <c r="J1543" i="10"/>
  <c r="C1543" i="10"/>
  <c r="J1542" i="10"/>
  <c r="C1542" i="10"/>
  <c r="J1541" i="10"/>
  <c r="C1541" i="10"/>
  <c r="J1540" i="10"/>
  <c r="C1540" i="10"/>
  <c r="J1539" i="10"/>
  <c r="C1539" i="10"/>
  <c r="J1538" i="10"/>
  <c r="C1538" i="10"/>
  <c r="J1537" i="10"/>
  <c r="C1537" i="10"/>
  <c r="J1536" i="10"/>
  <c r="C1536" i="10"/>
  <c r="J1535" i="10"/>
  <c r="C1535" i="10"/>
  <c r="J1534" i="10"/>
  <c r="C1534" i="10"/>
  <c r="J1533" i="10"/>
  <c r="C1533" i="10"/>
  <c r="J1532" i="10"/>
  <c r="C1532" i="10"/>
  <c r="J1531" i="10"/>
  <c r="C1531" i="10"/>
  <c r="J1530" i="10"/>
  <c r="C1530" i="10"/>
  <c r="J1529" i="10"/>
  <c r="C1529" i="10"/>
  <c r="J1528" i="10"/>
  <c r="C1528" i="10"/>
  <c r="J1527" i="10"/>
  <c r="C1527" i="10"/>
  <c r="J1526" i="10"/>
  <c r="C1526" i="10"/>
  <c r="J1525" i="10"/>
  <c r="C1525" i="10"/>
  <c r="J1524" i="10"/>
  <c r="C1524" i="10"/>
  <c r="J1523" i="10"/>
  <c r="C1523" i="10"/>
  <c r="J1522" i="10"/>
  <c r="C1522" i="10"/>
  <c r="J1521" i="10"/>
  <c r="C1521" i="10"/>
  <c r="J1520" i="10"/>
  <c r="C1520" i="10"/>
  <c r="J1519" i="10"/>
  <c r="C1519" i="10"/>
  <c r="J1518" i="10"/>
  <c r="C1518" i="10"/>
  <c r="J1517" i="10"/>
  <c r="C1517" i="10"/>
  <c r="J1516" i="10"/>
  <c r="C1516" i="10"/>
  <c r="J1515" i="10"/>
  <c r="C1515" i="10"/>
  <c r="J1514" i="10"/>
  <c r="C1514" i="10"/>
  <c r="J1513" i="10"/>
  <c r="C1513" i="10"/>
  <c r="J1512" i="10"/>
  <c r="C1512" i="10"/>
  <c r="J1511" i="10"/>
  <c r="C1511" i="10"/>
  <c r="J1510" i="10"/>
  <c r="C1510" i="10"/>
  <c r="J1509" i="10"/>
  <c r="C1509" i="10"/>
  <c r="J1508" i="10"/>
  <c r="C1508" i="10"/>
  <c r="J1507" i="10"/>
  <c r="C1507" i="10"/>
  <c r="J1506" i="10"/>
  <c r="C1506" i="10"/>
  <c r="J1505" i="10"/>
  <c r="C1505" i="10"/>
  <c r="J1504" i="10"/>
  <c r="C1504" i="10"/>
  <c r="J1503" i="10"/>
  <c r="C1503" i="10"/>
  <c r="J1502" i="10"/>
  <c r="C1502" i="10"/>
  <c r="J1501" i="10"/>
  <c r="C1501" i="10"/>
  <c r="J1500" i="10"/>
  <c r="C1500" i="10"/>
  <c r="J1499" i="10"/>
  <c r="C1499" i="10"/>
  <c r="J1498" i="10"/>
  <c r="C1498" i="10"/>
  <c r="J1497" i="10"/>
  <c r="C1497" i="10"/>
  <c r="J1496" i="10"/>
  <c r="C1496" i="10"/>
  <c r="J1495" i="10"/>
  <c r="C1495" i="10"/>
  <c r="J1494" i="10"/>
  <c r="C1494" i="10"/>
  <c r="J1493" i="10"/>
  <c r="C1493" i="10"/>
  <c r="J1492" i="10"/>
  <c r="C1492" i="10"/>
  <c r="J1491" i="10"/>
  <c r="C1491" i="10"/>
  <c r="J1490" i="10"/>
  <c r="C1490" i="10"/>
  <c r="J1489" i="10"/>
  <c r="C1489" i="10"/>
  <c r="J1488" i="10"/>
  <c r="C1488" i="10"/>
  <c r="J1487" i="10"/>
  <c r="C1487" i="10"/>
  <c r="J1486" i="10"/>
  <c r="C1486" i="10"/>
  <c r="J1485" i="10"/>
  <c r="C1485" i="10"/>
  <c r="J1484" i="10"/>
  <c r="C1484" i="10"/>
  <c r="J1483" i="10"/>
  <c r="C1483" i="10"/>
  <c r="J1482" i="10"/>
  <c r="C1482" i="10"/>
  <c r="J1481" i="10"/>
  <c r="C1481" i="10"/>
  <c r="J1480" i="10"/>
  <c r="C1480" i="10"/>
  <c r="J1479" i="10"/>
  <c r="C1479" i="10"/>
  <c r="J1478" i="10"/>
  <c r="C1478" i="10"/>
  <c r="J1477" i="10"/>
  <c r="C1477" i="10"/>
  <c r="J1476" i="10"/>
  <c r="C1476" i="10"/>
  <c r="J1475" i="10"/>
  <c r="C1475" i="10"/>
  <c r="J1474" i="10"/>
  <c r="C1474" i="10"/>
  <c r="J1473" i="10"/>
  <c r="C1473" i="10"/>
  <c r="J1472" i="10"/>
  <c r="C1472" i="10"/>
  <c r="J1471" i="10"/>
  <c r="C1471" i="10"/>
  <c r="J1470" i="10"/>
  <c r="C1470" i="10"/>
  <c r="J1469" i="10"/>
  <c r="C1469" i="10"/>
  <c r="J1468" i="10"/>
  <c r="C1468" i="10"/>
  <c r="J1467" i="10"/>
  <c r="C1467" i="10"/>
  <c r="J1466" i="10"/>
  <c r="C1466" i="10"/>
  <c r="J1465" i="10"/>
  <c r="C1465" i="10"/>
  <c r="J1464" i="10"/>
  <c r="C1464" i="10"/>
  <c r="J1463" i="10"/>
  <c r="C1463" i="10"/>
  <c r="J1462" i="10"/>
  <c r="C1462" i="10"/>
  <c r="J1461" i="10"/>
  <c r="C1461" i="10"/>
  <c r="J1460" i="10"/>
  <c r="C1460" i="10"/>
  <c r="J1459" i="10"/>
  <c r="C1459" i="10"/>
  <c r="J1458" i="10"/>
  <c r="C1458" i="10"/>
  <c r="J1457" i="10"/>
  <c r="C1457" i="10"/>
  <c r="J1456" i="10"/>
  <c r="C1456" i="10"/>
  <c r="J1455" i="10"/>
  <c r="C1455" i="10"/>
  <c r="J1454" i="10"/>
  <c r="C1454" i="10"/>
  <c r="J1453" i="10"/>
  <c r="C1453" i="10"/>
  <c r="J1452" i="10"/>
  <c r="C1452" i="10"/>
  <c r="J1451" i="10"/>
  <c r="C1451" i="10"/>
  <c r="J1450" i="10"/>
  <c r="C1450" i="10"/>
  <c r="J1449" i="10"/>
  <c r="C1449" i="10"/>
  <c r="J1448" i="10"/>
  <c r="C1448" i="10"/>
  <c r="J1447" i="10"/>
  <c r="C1447" i="10"/>
  <c r="J1446" i="10"/>
  <c r="C1446" i="10"/>
  <c r="J1445" i="10"/>
  <c r="C1445" i="10"/>
  <c r="J1444" i="10"/>
  <c r="C1444" i="10"/>
  <c r="J1443" i="10"/>
  <c r="C1443" i="10"/>
  <c r="J1442" i="10"/>
  <c r="C1442" i="10"/>
  <c r="J1441" i="10"/>
  <c r="C1441" i="10"/>
  <c r="J1440" i="10"/>
  <c r="C1440" i="10"/>
  <c r="J1439" i="10"/>
  <c r="C1439" i="10"/>
  <c r="J1438" i="10"/>
  <c r="C1438" i="10"/>
  <c r="J1437" i="10"/>
  <c r="C1437" i="10"/>
  <c r="J1436" i="10"/>
  <c r="C1436" i="10"/>
  <c r="J1435" i="10"/>
  <c r="C1435" i="10"/>
  <c r="J1434" i="10"/>
  <c r="C1434" i="10"/>
  <c r="J1433" i="10"/>
  <c r="C1433" i="10"/>
  <c r="J1432" i="10"/>
  <c r="C1432" i="10"/>
  <c r="J1431" i="10"/>
  <c r="C1431" i="10"/>
  <c r="J1430" i="10"/>
  <c r="C1430" i="10"/>
  <c r="J1429" i="10"/>
  <c r="C1429" i="10"/>
  <c r="J1428" i="10"/>
  <c r="C1428" i="10"/>
  <c r="J1427" i="10"/>
  <c r="C1427" i="10"/>
  <c r="J1426" i="10"/>
  <c r="C1426" i="10"/>
  <c r="J1425" i="10"/>
  <c r="C1425" i="10"/>
  <c r="J1424" i="10"/>
  <c r="C1424" i="10"/>
  <c r="J1423" i="10"/>
  <c r="C1423" i="10"/>
  <c r="J1422" i="10"/>
  <c r="C1422" i="10"/>
  <c r="J1421" i="10"/>
  <c r="C1421" i="10"/>
  <c r="J1420" i="10"/>
  <c r="C1420" i="10"/>
  <c r="J1419" i="10"/>
  <c r="C1419" i="10"/>
  <c r="J1418" i="10"/>
  <c r="C1418" i="10"/>
  <c r="J1417" i="10"/>
  <c r="C1417" i="10"/>
  <c r="J1416" i="10"/>
  <c r="C1416" i="10"/>
  <c r="J1415" i="10"/>
  <c r="C1415" i="10"/>
  <c r="J1414" i="10"/>
  <c r="C1414" i="10"/>
  <c r="J1413" i="10"/>
  <c r="C1413" i="10"/>
  <c r="J1412" i="10"/>
  <c r="C1412" i="10"/>
  <c r="J1411" i="10"/>
  <c r="C1411" i="10"/>
  <c r="J1410" i="10"/>
  <c r="C1410" i="10"/>
  <c r="J1409" i="10"/>
  <c r="C1409" i="10"/>
  <c r="J1408" i="10"/>
  <c r="C1408" i="10"/>
  <c r="J1407" i="10"/>
  <c r="C1407" i="10"/>
  <c r="J1406" i="10"/>
  <c r="C1406" i="10"/>
  <c r="J1405" i="10"/>
  <c r="C1405" i="10"/>
  <c r="J1404" i="10"/>
  <c r="C1404" i="10"/>
  <c r="J1403" i="10"/>
  <c r="C1403" i="10"/>
  <c r="J1402" i="10"/>
  <c r="C1402" i="10"/>
  <c r="J1401" i="10"/>
  <c r="C1401" i="10"/>
  <c r="J1400" i="10"/>
  <c r="C1400" i="10"/>
  <c r="J1399" i="10"/>
  <c r="C1399" i="10"/>
  <c r="J1398" i="10"/>
  <c r="C1398" i="10"/>
  <c r="J1397" i="10"/>
  <c r="C1397" i="10"/>
  <c r="J1396" i="10"/>
  <c r="C1396" i="10"/>
  <c r="J1395" i="10"/>
  <c r="C1395" i="10"/>
  <c r="J1394" i="10"/>
  <c r="C1394" i="10"/>
  <c r="J1393" i="10"/>
  <c r="C1393" i="10"/>
  <c r="J1392" i="10"/>
  <c r="C1392" i="10"/>
  <c r="J1391" i="10"/>
  <c r="C1391" i="10"/>
  <c r="J1390" i="10"/>
  <c r="C1390" i="10"/>
  <c r="J1389" i="10"/>
  <c r="C1389" i="10"/>
  <c r="J1388" i="10"/>
  <c r="C1388" i="10"/>
  <c r="J1387" i="10"/>
  <c r="C1387" i="10"/>
  <c r="J1386" i="10"/>
  <c r="C1386" i="10"/>
  <c r="J1385" i="10"/>
  <c r="C1385" i="10"/>
  <c r="J1384" i="10"/>
  <c r="C1384" i="10"/>
  <c r="J1383" i="10"/>
  <c r="C1383" i="10"/>
  <c r="J1382" i="10"/>
  <c r="C1382" i="10"/>
  <c r="J1381" i="10"/>
  <c r="C1381" i="10"/>
  <c r="J1380" i="10"/>
  <c r="C1380" i="10"/>
  <c r="J1379" i="10"/>
  <c r="C1379" i="10"/>
  <c r="J1378" i="10"/>
  <c r="C1378" i="10"/>
  <c r="J1377" i="10"/>
  <c r="C1377" i="10"/>
  <c r="J1376" i="10"/>
  <c r="C1376" i="10"/>
  <c r="J1375" i="10"/>
  <c r="C1375" i="10"/>
  <c r="J1374" i="10"/>
  <c r="C1374" i="10"/>
  <c r="J1373" i="10"/>
  <c r="C1373" i="10"/>
  <c r="J1372" i="10"/>
  <c r="C1372" i="10"/>
  <c r="J1371" i="10"/>
  <c r="C1371" i="10"/>
  <c r="J1370" i="10"/>
  <c r="C1370" i="10"/>
  <c r="J1369" i="10"/>
  <c r="C1369" i="10"/>
  <c r="J1368" i="10"/>
  <c r="C1368" i="10"/>
  <c r="J1367" i="10"/>
  <c r="C1367" i="10"/>
  <c r="J1366" i="10"/>
  <c r="C1366" i="10"/>
  <c r="J1365" i="10"/>
  <c r="C1365" i="10"/>
  <c r="J1364" i="10"/>
  <c r="C1364" i="10"/>
  <c r="J1363" i="10"/>
  <c r="C1363" i="10"/>
  <c r="J1362" i="10"/>
  <c r="C1362" i="10"/>
  <c r="J1361" i="10"/>
  <c r="C1361" i="10"/>
  <c r="J1360" i="10"/>
  <c r="C1360" i="10"/>
  <c r="J1359" i="10"/>
  <c r="C1359" i="10"/>
  <c r="J1358" i="10"/>
  <c r="C1358" i="10"/>
  <c r="J1357" i="10"/>
  <c r="C1357" i="10"/>
  <c r="J1356" i="10"/>
  <c r="C1356" i="10"/>
  <c r="J1355" i="10"/>
  <c r="C1355" i="10"/>
  <c r="J1354" i="10"/>
  <c r="C1354" i="10"/>
  <c r="J1353" i="10"/>
  <c r="C1353" i="10"/>
  <c r="J1352" i="10"/>
  <c r="C1352" i="10"/>
  <c r="J1351" i="10"/>
  <c r="C1351" i="10"/>
  <c r="J1350" i="10"/>
  <c r="C1350" i="10"/>
  <c r="J1349" i="10"/>
  <c r="C1349" i="10"/>
  <c r="J1348" i="10"/>
  <c r="C1348" i="10"/>
  <c r="J1347" i="10"/>
  <c r="C1347" i="10"/>
  <c r="J1346" i="10"/>
  <c r="C1346" i="10"/>
  <c r="J1345" i="10"/>
  <c r="C1345" i="10"/>
  <c r="J1344" i="10"/>
  <c r="C1344" i="10"/>
  <c r="J1343" i="10"/>
  <c r="C1343" i="10"/>
  <c r="J1342" i="10"/>
  <c r="C1342" i="10"/>
  <c r="J1341" i="10"/>
  <c r="C1341" i="10"/>
  <c r="J1340" i="10"/>
  <c r="C1340" i="10"/>
  <c r="J1339" i="10"/>
  <c r="C1339" i="10"/>
  <c r="J1338" i="10"/>
  <c r="C1338" i="10"/>
  <c r="J1337" i="10"/>
  <c r="C1337" i="10"/>
  <c r="J1336" i="10"/>
  <c r="C1336" i="10"/>
  <c r="J1335" i="10"/>
  <c r="C1335" i="10"/>
  <c r="J1334" i="10"/>
  <c r="C1334" i="10"/>
  <c r="J1333" i="10"/>
  <c r="C1333" i="10"/>
  <c r="J1332" i="10"/>
  <c r="C1332" i="10"/>
  <c r="J1331" i="10"/>
  <c r="C1331" i="10"/>
  <c r="J1330" i="10"/>
  <c r="C1330" i="10"/>
  <c r="J1329" i="10"/>
  <c r="C1329" i="10"/>
  <c r="J1328" i="10"/>
  <c r="C1328" i="10"/>
  <c r="J1327" i="10"/>
  <c r="C1327" i="10"/>
  <c r="J1326" i="10"/>
  <c r="C1326" i="10"/>
  <c r="J1325" i="10"/>
  <c r="C1325" i="10"/>
  <c r="J1324" i="10"/>
  <c r="C1324" i="10"/>
  <c r="J1323" i="10"/>
  <c r="C1323" i="10"/>
  <c r="J1322" i="10"/>
  <c r="C1322" i="10"/>
  <c r="J1321" i="10"/>
  <c r="C1321" i="10"/>
  <c r="J1320" i="10"/>
  <c r="C1320" i="10"/>
  <c r="J1319" i="10"/>
  <c r="C1319" i="10"/>
  <c r="J1318" i="10"/>
  <c r="C1318" i="10"/>
  <c r="J1317" i="10"/>
  <c r="C1317" i="10"/>
  <c r="J1316" i="10"/>
  <c r="C1316" i="10"/>
  <c r="J1315" i="10"/>
  <c r="C1315" i="10"/>
  <c r="J1314" i="10"/>
  <c r="C1314" i="10"/>
  <c r="J1313" i="10"/>
  <c r="C1313" i="10"/>
  <c r="J1312" i="10"/>
  <c r="C1312" i="10"/>
  <c r="J1311" i="10"/>
  <c r="C1311" i="10"/>
  <c r="J1310" i="10"/>
  <c r="C1310" i="10"/>
  <c r="J1309" i="10"/>
  <c r="C1309" i="10"/>
  <c r="J1308" i="10"/>
  <c r="C1308" i="10"/>
  <c r="J1307" i="10"/>
  <c r="C1307" i="10"/>
  <c r="J1306" i="10"/>
  <c r="C1306" i="10"/>
  <c r="J1305" i="10"/>
  <c r="C1305" i="10"/>
  <c r="J1304" i="10"/>
  <c r="C1304" i="10"/>
  <c r="J1303" i="10"/>
  <c r="C1303" i="10"/>
  <c r="J1302" i="10"/>
  <c r="C1302" i="10"/>
  <c r="J1301" i="10"/>
  <c r="C1301" i="10"/>
  <c r="J1300" i="10"/>
  <c r="C1300" i="10"/>
  <c r="J1299" i="10"/>
  <c r="C1299" i="10"/>
  <c r="J1298" i="10"/>
  <c r="C1298" i="10"/>
  <c r="J1297" i="10"/>
  <c r="C1297" i="10"/>
  <c r="J1296" i="10"/>
  <c r="C1296" i="10"/>
  <c r="J1295" i="10"/>
  <c r="C1295" i="10"/>
  <c r="J1294" i="10"/>
  <c r="C1294" i="10"/>
  <c r="J1293" i="10"/>
  <c r="C1293" i="10"/>
  <c r="J1292" i="10"/>
  <c r="C1292" i="10"/>
  <c r="J1291" i="10"/>
  <c r="C1291" i="10"/>
  <c r="J1290" i="10"/>
  <c r="C1290" i="10"/>
  <c r="J1289" i="10"/>
  <c r="C1289" i="10"/>
  <c r="J1288" i="10"/>
  <c r="C1288" i="10"/>
  <c r="J1287" i="10"/>
  <c r="C1287" i="10"/>
  <c r="J1286" i="10"/>
  <c r="C1286" i="10"/>
  <c r="J1285" i="10"/>
  <c r="C1285" i="10"/>
  <c r="J1284" i="10"/>
  <c r="C1284" i="10"/>
  <c r="J1283" i="10"/>
  <c r="C1283" i="10"/>
  <c r="J1282" i="10"/>
  <c r="C1282" i="10"/>
  <c r="J1281" i="10"/>
  <c r="C1281" i="10"/>
  <c r="J1280" i="10"/>
  <c r="C1280" i="10"/>
  <c r="J1279" i="10"/>
  <c r="C1279" i="10"/>
  <c r="J1278" i="10"/>
  <c r="C1278" i="10"/>
  <c r="J1277" i="10"/>
  <c r="C1277" i="10"/>
  <c r="J1276" i="10"/>
  <c r="C1276" i="10"/>
  <c r="J1275" i="10"/>
  <c r="C1275" i="10"/>
  <c r="J1274" i="10"/>
  <c r="C1274" i="10"/>
  <c r="J1273" i="10"/>
  <c r="C1273" i="10"/>
  <c r="J1272" i="10"/>
  <c r="C1272" i="10"/>
  <c r="J1271" i="10"/>
  <c r="C1271" i="10"/>
  <c r="J1270" i="10"/>
  <c r="C1270" i="10"/>
  <c r="J1269" i="10"/>
  <c r="C1269" i="10"/>
  <c r="J1268" i="10"/>
  <c r="C1268" i="10"/>
  <c r="J1267" i="10"/>
  <c r="C1267" i="10"/>
  <c r="J1266" i="10"/>
  <c r="C1266" i="10"/>
  <c r="J1265" i="10"/>
  <c r="C1265" i="10"/>
  <c r="J1264" i="10"/>
  <c r="C1264" i="10"/>
  <c r="J1263" i="10"/>
  <c r="C1263" i="10"/>
  <c r="J1262" i="10"/>
  <c r="C1262" i="10"/>
  <c r="J1261" i="10"/>
  <c r="C1261" i="10"/>
  <c r="J1260" i="10"/>
  <c r="C1260" i="10"/>
  <c r="J1259" i="10"/>
  <c r="C1259" i="10"/>
  <c r="J1258" i="10"/>
  <c r="C1258" i="10"/>
  <c r="J1257" i="10"/>
  <c r="C1257" i="10"/>
  <c r="J1256" i="10"/>
  <c r="C1256" i="10"/>
  <c r="J1255" i="10"/>
  <c r="C1255" i="10"/>
  <c r="J1254" i="10"/>
  <c r="C1254" i="10"/>
  <c r="J1253" i="10"/>
  <c r="C1253" i="10"/>
  <c r="J1252" i="10"/>
  <c r="C1252" i="10"/>
  <c r="J1251" i="10"/>
  <c r="C1251" i="10"/>
  <c r="J1250" i="10"/>
  <c r="C1250" i="10"/>
  <c r="J1249" i="10"/>
  <c r="C1249" i="10"/>
  <c r="J1248" i="10"/>
  <c r="C1248" i="10"/>
  <c r="J1247" i="10"/>
  <c r="C1247" i="10"/>
  <c r="J1246" i="10"/>
  <c r="C1246" i="10"/>
  <c r="J1245" i="10"/>
  <c r="C1245" i="10"/>
  <c r="J1244" i="10"/>
  <c r="C1244" i="10"/>
  <c r="J1243" i="10"/>
  <c r="C1243" i="10"/>
  <c r="J1242" i="10"/>
  <c r="C1242" i="10"/>
  <c r="J1241" i="10"/>
  <c r="C1241" i="10"/>
  <c r="J1240" i="10"/>
  <c r="C1240" i="10"/>
  <c r="J1239" i="10"/>
  <c r="C1239" i="10"/>
  <c r="J1238" i="10"/>
  <c r="C1238" i="10"/>
  <c r="J1237" i="10"/>
  <c r="C1237" i="10"/>
  <c r="J1236" i="10"/>
  <c r="C1236" i="10"/>
  <c r="J1235" i="10"/>
  <c r="C1235" i="10"/>
  <c r="J1234" i="10"/>
  <c r="C1234" i="10"/>
  <c r="J1233" i="10"/>
  <c r="C1233" i="10"/>
  <c r="J1232" i="10"/>
  <c r="C1232" i="10"/>
  <c r="J1231" i="10"/>
  <c r="C1231" i="10"/>
  <c r="J1230" i="10"/>
  <c r="C1230" i="10"/>
  <c r="J1229" i="10"/>
  <c r="C1229" i="10"/>
  <c r="J1228" i="10"/>
  <c r="C1228" i="10"/>
  <c r="J1227" i="10"/>
  <c r="C1227" i="10"/>
  <c r="J1226" i="10"/>
  <c r="C1226" i="10"/>
  <c r="J1225" i="10"/>
  <c r="C1225" i="10"/>
  <c r="J1224" i="10"/>
  <c r="C1224" i="10"/>
  <c r="J1223" i="10"/>
  <c r="C1223" i="10"/>
  <c r="J1222" i="10"/>
  <c r="C1222" i="10"/>
  <c r="J1221" i="10"/>
  <c r="C1221" i="10"/>
  <c r="J1220" i="10"/>
  <c r="C1220" i="10"/>
  <c r="J1219" i="10"/>
  <c r="C1219" i="10"/>
  <c r="J1218" i="10"/>
  <c r="C1218" i="10"/>
  <c r="J1217" i="10"/>
  <c r="C1217" i="10"/>
  <c r="J1216" i="10"/>
  <c r="C1216" i="10"/>
  <c r="J1215" i="10"/>
  <c r="C1215" i="10"/>
  <c r="J1214" i="10"/>
  <c r="C1214" i="10"/>
  <c r="J1213" i="10"/>
  <c r="C1213" i="10"/>
  <c r="J1212" i="10"/>
  <c r="C1212" i="10"/>
  <c r="J1211" i="10"/>
  <c r="C1211" i="10"/>
  <c r="J1210" i="10"/>
  <c r="C1210" i="10"/>
  <c r="J1209" i="10"/>
  <c r="C1209" i="10"/>
  <c r="J1208" i="10"/>
  <c r="C1208" i="10"/>
  <c r="J1207" i="10"/>
  <c r="C1207" i="10"/>
  <c r="J1206" i="10"/>
  <c r="C1206" i="10"/>
  <c r="J1205" i="10"/>
  <c r="C1205" i="10"/>
  <c r="J1204" i="10"/>
  <c r="C1204" i="10"/>
  <c r="J1203" i="10"/>
  <c r="C1203" i="10"/>
  <c r="J1202" i="10"/>
  <c r="C1202" i="10"/>
  <c r="J1201" i="10"/>
  <c r="C1201" i="10"/>
  <c r="J1200" i="10"/>
  <c r="C1200" i="10"/>
  <c r="J1199" i="10"/>
  <c r="C1199" i="10"/>
  <c r="J1198" i="10"/>
  <c r="C1198" i="10"/>
  <c r="J1197" i="10"/>
  <c r="C1197" i="10"/>
  <c r="J1196" i="10"/>
  <c r="C1196" i="10"/>
  <c r="J1195" i="10"/>
  <c r="C1195" i="10"/>
  <c r="J1194" i="10"/>
  <c r="C1194" i="10"/>
  <c r="J1193" i="10"/>
  <c r="C1193" i="10"/>
  <c r="J1192" i="10"/>
  <c r="C1192" i="10"/>
  <c r="J1191" i="10"/>
  <c r="C1191" i="10"/>
  <c r="J1190" i="10"/>
  <c r="C1190" i="10"/>
  <c r="J1189" i="10"/>
  <c r="C1189" i="10"/>
  <c r="J1188" i="10"/>
  <c r="C1188" i="10"/>
  <c r="J1187" i="10"/>
  <c r="C1187" i="10"/>
  <c r="J1186" i="10"/>
  <c r="C1186" i="10"/>
  <c r="J1185" i="10"/>
  <c r="C1185" i="10"/>
  <c r="J1184" i="10"/>
  <c r="C1184" i="10"/>
  <c r="J1183" i="10"/>
  <c r="C1183" i="10"/>
  <c r="J1182" i="10"/>
  <c r="C1182" i="10"/>
  <c r="J1181" i="10"/>
  <c r="C1181" i="10"/>
  <c r="J1180" i="10"/>
  <c r="C1180" i="10"/>
  <c r="J1179" i="10"/>
  <c r="C1179" i="10"/>
  <c r="J1178" i="10"/>
  <c r="C1178" i="10"/>
  <c r="J1177" i="10"/>
  <c r="C1177" i="10"/>
  <c r="J1176" i="10"/>
  <c r="C1176" i="10"/>
  <c r="J1175" i="10"/>
  <c r="C1175" i="10"/>
  <c r="J1174" i="10"/>
  <c r="C1174" i="10"/>
  <c r="J1173" i="10"/>
  <c r="C1173" i="10"/>
  <c r="J1172" i="10"/>
  <c r="C1172" i="10"/>
  <c r="J1171" i="10"/>
  <c r="C1171" i="10"/>
  <c r="J1170" i="10"/>
  <c r="C1170" i="10"/>
  <c r="J1169" i="10"/>
  <c r="C1169" i="10"/>
  <c r="J1168" i="10"/>
  <c r="C1168" i="10"/>
  <c r="J1167" i="10"/>
  <c r="C1167" i="10"/>
  <c r="J1166" i="10"/>
  <c r="C1166" i="10"/>
  <c r="J1165" i="10"/>
  <c r="C1165" i="10"/>
  <c r="J1164" i="10"/>
  <c r="C1164" i="10"/>
  <c r="J1163" i="10"/>
  <c r="C1163" i="10"/>
  <c r="J1162" i="10"/>
  <c r="C1162" i="10"/>
  <c r="J1161" i="10"/>
  <c r="C1161" i="10"/>
  <c r="J1160" i="10"/>
  <c r="C1160" i="10"/>
  <c r="J1159" i="10"/>
  <c r="C1159" i="10"/>
  <c r="J1158" i="10"/>
  <c r="C1158" i="10"/>
  <c r="J1157" i="10"/>
  <c r="C1157" i="10"/>
  <c r="J1156" i="10"/>
  <c r="C1156" i="10"/>
  <c r="J1155" i="10"/>
  <c r="C1155" i="10"/>
  <c r="J1154" i="10"/>
  <c r="C1154" i="10"/>
  <c r="J1153" i="10"/>
  <c r="C1153" i="10"/>
  <c r="J1152" i="10"/>
  <c r="C1152" i="10"/>
  <c r="J1151" i="10"/>
  <c r="C1151" i="10"/>
  <c r="J1150" i="10"/>
  <c r="C1150" i="10"/>
  <c r="J1149" i="10"/>
  <c r="C1149" i="10"/>
  <c r="J1148" i="10"/>
  <c r="C1148" i="10"/>
  <c r="J1147" i="10"/>
  <c r="C1147" i="10"/>
  <c r="J1146" i="10"/>
  <c r="C1146" i="10"/>
  <c r="J1145" i="10"/>
  <c r="C1145" i="10"/>
  <c r="J1144" i="10"/>
  <c r="C1144" i="10"/>
  <c r="J1143" i="10"/>
  <c r="C1143" i="10"/>
  <c r="J1142" i="10"/>
  <c r="C1142" i="10"/>
  <c r="J1141" i="10"/>
  <c r="C1141" i="10"/>
  <c r="J1140" i="10"/>
  <c r="C1140" i="10"/>
  <c r="J1139" i="10"/>
  <c r="C1139" i="10"/>
  <c r="J1138" i="10"/>
  <c r="C1138" i="10"/>
  <c r="J1137" i="10"/>
  <c r="C1137" i="10"/>
  <c r="J1136" i="10"/>
  <c r="C1136" i="10"/>
  <c r="J1135" i="10"/>
  <c r="C1135" i="10"/>
  <c r="J1134" i="10"/>
  <c r="C1134" i="10"/>
  <c r="J1133" i="10"/>
  <c r="C1133" i="10"/>
  <c r="J1132" i="10"/>
  <c r="C1132" i="10"/>
  <c r="J1131" i="10"/>
  <c r="C1131" i="10"/>
  <c r="J1130" i="10"/>
  <c r="C1130" i="10"/>
  <c r="J1129" i="10"/>
  <c r="C1129" i="10"/>
  <c r="J1128" i="10"/>
  <c r="C1128" i="10"/>
  <c r="J1127" i="10"/>
  <c r="C1127" i="10"/>
  <c r="J1126" i="10"/>
  <c r="C1126" i="10"/>
  <c r="J1125" i="10"/>
  <c r="C1125" i="10"/>
  <c r="J1124" i="10"/>
  <c r="C1124" i="10"/>
  <c r="J1123" i="10"/>
  <c r="C1123" i="10"/>
  <c r="J1122" i="10"/>
  <c r="C1122" i="10"/>
  <c r="J1121" i="10"/>
  <c r="C1121" i="10"/>
  <c r="J1120" i="10"/>
  <c r="C1120" i="10"/>
  <c r="J1119" i="10"/>
  <c r="C1119" i="10"/>
  <c r="J1118" i="10"/>
  <c r="C1118" i="10"/>
  <c r="J1117" i="10"/>
  <c r="C1117" i="10"/>
  <c r="J1116" i="10"/>
  <c r="C1116" i="10"/>
  <c r="J1115" i="10"/>
  <c r="C1115" i="10"/>
  <c r="J1114" i="10"/>
  <c r="C1114" i="10"/>
  <c r="J1113" i="10"/>
  <c r="C1113" i="10"/>
  <c r="J1112" i="10"/>
  <c r="C1112" i="10"/>
  <c r="J1111" i="10"/>
  <c r="C1111" i="10"/>
  <c r="J1110" i="10"/>
  <c r="C1110" i="10"/>
  <c r="J1109" i="10"/>
  <c r="C1109" i="10"/>
  <c r="J1108" i="10"/>
  <c r="C1108" i="10"/>
  <c r="J1107" i="10"/>
  <c r="C1107" i="10"/>
  <c r="J1106" i="10"/>
  <c r="C1106" i="10"/>
  <c r="J1105" i="10"/>
  <c r="C1105" i="10"/>
  <c r="J1104" i="10"/>
  <c r="C1104" i="10"/>
  <c r="J1103" i="10"/>
  <c r="C1103" i="10"/>
  <c r="J1102" i="10"/>
  <c r="C1102" i="10"/>
  <c r="J1101" i="10"/>
  <c r="C1101" i="10"/>
  <c r="J1100" i="10"/>
  <c r="C1100" i="10"/>
  <c r="J1099" i="10"/>
  <c r="C1099" i="10"/>
  <c r="J1098" i="10"/>
  <c r="C1098" i="10"/>
  <c r="J1097" i="10"/>
  <c r="C1097" i="10"/>
  <c r="J1096" i="10"/>
  <c r="C1096" i="10"/>
  <c r="J1095" i="10"/>
  <c r="C1095" i="10"/>
  <c r="J1094" i="10"/>
  <c r="C1094" i="10"/>
  <c r="J1093" i="10"/>
  <c r="C1093" i="10"/>
  <c r="J1092" i="10"/>
  <c r="C1092" i="10"/>
  <c r="J1091" i="10"/>
  <c r="C1091" i="10"/>
  <c r="J1090" i="10"/>
  <c r="C1090" i="10"/>
  <c r="J1089" i="10"/>
  <c r="C1089" i="10"/>
  <c r="J1088" i="10"/>
  <c r="C1088" i="10"/>
  <c r="J1087" i="10"/>
  <c r="C1087" i="10"/>
  <c r="J1086" i="10"/>
  <c r="C1086" i="10"/>
  <c r="J1085" i="10"/>
  <c r="C1085" i="10"/>
  <c r="J1084" i="10"/>
  <c r="C1084" i="10"/>
  <c r="J1083" i="10"/>
  <c r="C1083" i="10"/>
  <c r="J1082" i="10"/>
  <c r="C1082" i="10"/>
  <c r="J1081" i="10"/>
  <c r="C1081" i="10"/>
  <c r="J1080" i="10"/>
  <c r="C1080" i="10"/>
  <c r="J1079" i="10"/>
  <c r="C1079" i="10"/>
  <c r="J1078" i="10"/>
  <c r="C1078" i="10"/>
  <c r="J1077" i="10"/>
  <c r="C1077" i="10"/>
  <c r="J1076" i="10"/>
  <c r="C1076" i="10"/>
  <c r="J1075" i="10"/>
  <c r="C1075" i="10"/>
  <c r="J1074" i="10"/>
  <c r="C1074" i="10"/>
  <c r="J1073" i="10"/>
  <c r="C1073" i="10"/>
  <c r="J1072" i="10"/>
  <c r="C1072" i="10"/>
  <c r="J1071" i="10"/>
  <c r="C1071" i="10"/>
  <c r="J1070" i="10"/>
  <c r="C1070" i="10"/>
  <c r="J1069" i="10"/>
  <c r="C1069" i="10"/>
  <c r="J1068" i="10"/>
  <c r="C1068" i="10"/>
  <c r="J1067" i="10"/>
  <c r="C1067" i="10"/>
  <c r="J1066" i="10"/>
  <c r="C1066" i="10"/>
  <c r="J1065" i="10"/>
  <c r="C1065" i="10"/>
  <c r="J1064" i="10"/>
  <c r="C1064" i="10"/>
  <c r="J1063" i="10"/>
  <c r="C1063" i="10"/>
  <c r="J1062" i="10"/>
  <c r="C1062" i="10"/>
  <c r="J1061" i="10"/>
  <c r="C1061" i="10"/>
  <c r="J1060" i="10"/>
  <c r="C1060" i="10"/>
  <c r="J1059" i="10"/>
  <c r="C1059" i="10"/>
  <c r="J1058" i="10"/>
  <c r="C1058" i="10"/>
  <c r="J1057" i="10"/>
  <c r="C1057" i="10"/>
  <c r="J1056" i="10"/>
  <c r="C1056" i="10"/>
  <c r="J1055" i="10"/>
  <c r="C1055" i="10"/>
  <c r="J1054" i="10"/>
  <c r="C1054" i="10"/>
  <c r="J1053" i="10"/>
  <c r="C1053" i="10"/>
  <c r="J1052" i="10"/>
  <c r="C1052" i="10"/>
  <c r="J1051" i="10"/>
  <c r="C1051" i="10"/>
  <c r="J1050" i="10"/>
  <c r="C1050" i="10"/>
  <c r="J1049" i="10"/>
  <c r="C1049" i="10"/>
  <c r="J1048" i="10"/>
  <c r="C1048" i="10"/>
  <c r="J1047" i="10"/>
  <c r="C1047" i="10"/>
  <c r="J1046" i="10"/>
  <c r="C1046" i="10"/>
  <c r="J1045" i="10"/>
  <c r="C1045" i="10"/>
  <c r="J1044" i="10"/>
  <c r="C1044" i="10"/>
  <c r="J1043" i="10"/>
  <c r="C1043" i="10"/>
  <c r="J1042" i="10"/>
  <c r="C1042" i="10"/>
  <c r="J1041" i="10"/>
  <c r="C1041" i="10"/>
  <c r="J1040" i="10"/>
  <c r="C1040" i="10"/>
  <c r="J1039" i="10"/>
  <c r="C1039" i="10"/>
  <c r="J1038" i="10"/>
  <c r="C1038" i="10"/>
  <c r="J1037" i="10"/>
  <c r="C1037" i="10"/>
  <c r="J1036" i="10"/>
  <c r="C1036" i="10"/>
  <c r="J1035" i="10"/>
  <c r="C1035" i="10"/>
  <c r="J1034" i="10"/>
  <c r="C1034" i="10"/>
  <c r="J1033" i="10"/>
  <c r="C1033" i="10"/>
  <c r="J1032" i="10"/>
  <c r="C1032" i="10"/>
  <c r="J1031" i="10"/>
  <c r="C1031" i="10"/>
  <c r="J1030" i="10"/>
  <c r="C1030" i="10"/>
  <c r="J1029" i="10"/>
  <c r="C1029" i="10"/>
  <c r="J1028" i="10"/>
  <c r="C1028" i="10"/>
  <c r="J1027" i="10"/>
  <c r="C1027" i="10"/>
  <c r="J1026" i="10"/>
  <c r="C1026" i="10"/>
  <c r="J1025" i="10"/>
  <c r="C1025" i="10"/>
  <c r="J1024" i="10"/>
  <c r="C1024" i="10"/>
  <c r="J1023" i="10"/>
  <c r="C1023" i="10"/>
  <c r="J1022" i="10"/>
  <c r="C1022" i="10"/>
  <c r="J1021" i="10"/>
  <c r="C1021" i="10"/>
  <c r="J1020" i="10"/>
  <c r="C1020" i="10"/>
  <c r="J1019" i="10"/>
  <c r="C1019" i="10"/>
  <c r="J1018" i="10"/>
  <c r="C1018" i="10"/>
  <c r="J1017" i="10"/>
  <c r="C1017" i="10"/>
  <c r="J1016" i="10"/>
  <c r="C1016" i="10"/>
  <c r="J1015" i="10"/>
  <c r="C1015" i="10"/>
  <c r="J1014" i="10"/>
  <c r="C1014" i="10"/>
  <c r="J1013" i="10"/>
  <c r="C1013" i="10"/>
  <c r="J1012" i="10"/>
  <c r="C1012" i="10"/>
  <c r="J1011" i="10"/>
  <c r="C1011" i="10"/>
  <c r="J1010" i="10"/>
  <c r="C1010" i="10"/>
  <c r="J1009" i="10"/>
  <c r="C1009" i="10"/>
  <c r="J1008" i="10"/>
  <c r="C1008" i="10"/>
  <c r="J1007" i="10"/>
  <c r="C1007" i="10"/>
  <c r="J1006" i="10"/>
  <c r="C1006" i="10"/>
  <c r="J1005" i="10"/>
  <c r="C1005" i="10"/>
  <c r="J1004" i="10"/>
  <c r="C1004" i="10"/>
  <c r="J1003" i="10"/>
  <c r="C1003" i="10"/>
  <c r="J1002" i="10"/>
  <c r="C1002" i="10"/>
  <c r="J1001" i="10"/>
  <c r="C1001" i="10"/>
  <c r="J1000" i="10"/>
  <c r="C1000" i="10"/>
  <c r="J999" i="10"/>
  <c r="C999" i="10"/>
  <c r="J998" i="10"/>
  <c r="C998" i="10"/>
  <c r="J997" i="10"/>
  <c r="C997" i="10"/>
  <c r="J996" i="10"/>
  <c r="C996" i="10"/>
  <c r="J995" i="10"/>
  <c r="C995" i="10"/>
  <c r="J994" i="10"/>
  <c r="C994" i="10"/>
  <c r="J993" i="10"/>
  <c r="C993" i="10"/>
  <c r="J992" i="10"/>
  <c r="C992" i="10"/>
  <c r="J991" i="10"/>
  <c r="C991" i="10"/>
  <c r="J990" i="10"/>
  <c r="C990" i="10"/>
  <c r="J989" i="10"/>
  <c r="C989" i="10"/>
  <c r="J988" i="10"/>
  <c r="C988" i="10"/>
  <c r="J987" i="10"/>
  <c r="C987" i="10"/>
  <c r="J986" i="10"/>
  <c r="C986" i="10"/>
  <c r="J985" i="10"/>
  <c r="C985" i="10"/>
  <c r="J984" i="10"/>
  <c r="C984" i="10"/>
  <c r="J983" i="10"/>
  <c r="C983" i="10"/>
  <c r="J982" i="10"/>
  <c r="C982" i="10"/>
  <c r="J981" i="10"/>
  <c r="C981" i="10"/>
  <c r="J980" i="10"/>
  <c r="C980" i="10"/>
  <c r="J979" i="10"/>
  <c r="C979" i="10"/>
  <c r="J978" i="10"/>
  <c r="C978" i="10"/>
  <c r="J977" i="10"/>
  <c r="C977" i="10"/>
  <c r="J976" i="10"/>
  <c r="C976" i="10"/>
  <c r="J975" i="10"/>
  <c r="C975" i="10"/>
  <c r="J974" i="10"/>
  <c r="C974" i="10"/>
  <c r="J973" i="10"/>
  <c r="C973" i="10"/>
  <c r="J972" i="10"/>
  <c r="C972" i="10"/>
  <c r="J971" i="10"/>
  <c r="C971" i="10"/>
  <c r="J970" i="10"/>
  <c r="C970" i="10"/>
  <c r="J969" i="10"/>
  <c r="C969" i="10"/>
  <c r="J968" i="10"/>
  <c r="C968" i="10"/>
  <c r="J967" i="10"/>
  <c r="C967" i="10"/>
  <c r="J966" i="10"/>
  <c r="C966" i="10"/>
  <c r="J965" i="10"/>
  <c r="C965" i="10"/>
  <c r="J964" i="10"/>
  <c r="C964" i="10"/>
  <c r="J963" i="10"/>
  <c r="C963" i="10"/>
  <c r="J962" i="10"/>
  <c r="C962" i="10"/>
  <c r="J961" i="10"/>
  <c r="C961" i="10"/>
  <c r="J960" i="10"/>
  <c r="C960" i="10"/>
  <c r="J959" i="10"/>
  <c r="C959" i="10"/>
  <c r="J958" i="10"/>
  <c r="C958" i="10"/>
  <c r="J957" i="10"/>
  <c r="C957" i="10"/>
  <c r="J956" i="10"/>
  <c r="C956" i="10"/>
  <c r="J955" i="10"/>
  <c r="C955" i="10"/>
  <c r="J954" i="10"/>
  <c r="C954" i="10"/>
  <c r="J953" i="10"/>
  <c r="C953" i="10"/>
  <c r="J952" i="10"/>
  <c r="C952" i="10"/>
  <c r="J951" i="10"/>
  <c r="C951" i="10"/>
  <c r="J950" i="10"/>
  <c r="C950" i="10"/>
  <c r="J949" i="10"/>
  <c r="C949" i="10"/>
  <c r="J948" i="10"/>
  <c r="C948" i="10"/>
  <c r="J947" i="10"/>
  <c r="C947" i="10"/>
  <c r="J946" i="10"/>
  <c r="C946" i="10"/>
  <c r="J945" i="10"/>
  <c r="C945" i="10"/>
  <c r="J944" i="10"/>
  <c r="C944" i="10"/>
  <c r="J943" i="10"/>
  <c r="C943" i="10"/>
  <c r="J942" i="10"/>
  <c r="C942" i="10"/>
  <c r="J941" i="10"/>
  <c r="C941" i="10"/>
  <c r="J940" i="10"/>
  <c r="C940" i="10"/>
  <c r="J939" i="10"/>
  <c r="C939" i="10"/>
  <c r="J938" i="10"/>
  <c r="C938" i="10"/>
  <c r="J937" i="10"/>
  <c r="C937" i="10"/>
  <c r="J936" i="10"/>
  <c r="C936" i="10"/>
  <c r="J935" i="10"/>
  <c r="C935" i="10"/>
  <c r="J934" i="10"/>
  <c r="C934" i="10"/>
  <c r="J933" i="10"/>
  <c r="C933" i="10"/>
  <c r="J932" i="10"/>
  <c r="C932" i="10"/>
  <c r="J931" i="10"/>
  <c r="C931" i="10"/>
  <c r="J930" i="10"/>
  <c r="C930" i="10"/>
  <c r="J929" i="10"/>
  <c r="C929" i="10"/>
  <c r="J928" i="10"/>
  <c r="C928" i="10"/>
  <c r="J927" i="10"/>
  <c r="C927" i="10"/>
  <c r="J926" i="10"/>
  <c r="C926" i="10"/>
  <c r="J925" i="10"/>
  <c r="C925" i="10"/>
  <c r="J924" i="10"/>
  <c r="C924" i="10"/>
  <c r="J923" i="10"/>
  <c r="C923" i="10"/>
  <c r="J922" i="10"/>
  <c r="C922" i="10"/>
  <c r="J921" i="10"/>
  <c r="C921" i="10"/>
  <c r="J920" i="10"/>
  <c r="C920" i="10"/>
  <c r="J919" i="10"/>
  <c r="C919" i="10"/>
  <c r="J918" i="10"/>
  <c r="C918" i="10"/>
  <c r="J917" i="10"/>
  <c r="C917" i="10"/>
  <c r="J916" i="10"/>
  <c r="C916" i="10"/>
  <c r="J915" i="10"/>
  <c r="C915" i="10"/>
  <c r="J914" i="10"/>
  <c r="C914" i="10"/>
  <c r="J913" i="10"/>
  <c r="C913" i="10"/>
  <c r="J912" i="10"/>
  <c r="C912" i="10"/>
  <c r="J911" i="10"/>
  <c r="C911" i="10"/>
  <c r="J910" i="10"/>
  <c r="C910" i="10"/>
  <c r="J909" i="10"/>
  <c r="C909" i="10"/>
  <c r="J908" i="10"/>
  <c r="C908" i="10"/>
  <c r="J907" i="10"/>
  <c r="C907" i="10"/>
  <c r="J906" i="10"/>
  <c r="C906" i="10"/>
  <c r="J905" i="10"/>
  <c r="C905" i="10"/>
  <c r="J904" i="10"/>
  <c r="C904" i="10"/>
  <c r="J903" i="10"/>
  <c r="C903" i="10"/>
  <c r="J902" i="10"/>
  <c r="C902" i="10"/>
  <c r="J901" i="10"/>
  <c r="C901" i="10"/>
  <c r="J900" i="10"/>
  <c r="C900" i="10"/>
  <c r="J899" i="10"/>
  <c r="C899" i="10"/>
  <c r="J898" i="10"/>
  <c r="C898" i="10"/>
  <c r="J897" i="10"/>
  <c r="C897" i="10"/>
  <c r="J896" i="10"/>
  <c r="C896" i="10"/>
  <c r="J895" i="10"/>
  <c r="C895" i="10"/>
  <c r="J894" i="10"/>
  <c r="C894" i="10"/>
  <c r="J893" i="10"/>
  <c r="C893" i="10"/>
  <c r="J892" i="10"/>
  <c r="C892" i="10"/>
  <c r="J891" i="10"/>
  <c r="C891" i="10"/>
  <c r="J890" i="10"/>
  <c r="C890" i="10"/>
  <c r="J889" i="10"/>
  <c r="C889" i="10"/>
  <c r="J888" i="10"/>
  <c r="C888" i="10"/>
  <c r="J887" i="10"/>
  <c r="C887" i="10"/>
  <c r="J886" i="10"/>
  <c r="C886" i="10"/>
  <c r="J885" i="10"/>
  <c r="C885" i="10"/>
  <c r="J884" i="10"/>
  <c r="C884" i="10"/>
  <c r="J883" i="10"/>
  <c r="C883" i="10"/>
  <c r="J882" i="10"/>
  <c r="C882" i="10"/>
  <c r="J881" i="10"/>
  <c r="C881" i="10"/>
  <c r="J880" i="10"/>
  <c r="C880" i="10"/>
  <c r="J879" i="10"/>
  <c r="C879" i="10"/>
  <c r="J878" i="10"/>
  <c r="C878" i="10"/>
  <c r="J877" i="10"/>
  <c r="C877" i="10"/>
  <c r="J876" i="10"/>
  <c r="C876" i="10"/>
  <c r="J875" i="10"/>
  <c r="C875" i="10"/>
  <c r="J874" i="10"/>
  <c r="C874" i="10"/>
  <c r="J873" i="10"/>
  <c r="C873" i="10"/>
  <c r="J872" i="10"/>
  <c r="C872" i="10"/>
  <c r="J871" i="10"/>
  <c r="C871" i="10"/>
  <c r="J870" i="10"/>
  <c r="C870" i="10"/>
  <c r="J869" i="10"/>
  <c r="C869" i="10"/>
  <c r="J868" i="10"/>
  <c r="C868" i="10"/>
  <c r="J867" i="10"/>
  <c r="C867" i="10"/>
  <c r="J866" i="10"/>
  <c r="C866" i="10"/>
  <c r="J865" i="10"/>
  <c r="C865" i="10"/>
  <c r="J864" i="10"/>
  <c r="C864" i="10"/>
  <c r="J863" i="10"/>
  <c r="C863" i="10"/>
  <c r="J862" i="10"/>
  <c r="C862" i="10"/>
  <c r="J861" i="10"/>
  <c r="C861" i="10"/>
  <c r="J860" i="10"/>
  <c r="C860" i="10"/>
  <c r="J859" i="10"/>
  <c r="C859" i="10"/>
  <c r="J858" i="10"/>
  <c r="C858" i="10"/>
  <c r="J857" i="10"/>
  <c r="C857" i="10"/>
  <c r="J856" i="10"/>
  <c r="C856" i="10"/>
  <c r="J855" i="10"/>
  <c r="C855" i="10"/>
  <c r="J854" i="10"/>
  <c r="C854" i="10"/>
  <c r="J853" i="10"/>
  <c r="C853" i="10"/>
  <c r="J852" i="10"/>
  <c r="C852" i="10"/>
  <c r="J851" i="10"/>
  <c r="C851" i="10"/>
  <c r="J850" i="10"/>
  <c r="C850" i="10"/>
  <c r="J849" i="10"/>
  <c r="C849" i="10"/>
  <c r="J848" i="10"/>
  <c r="C848" i="10"/>
  <c r="J847" i="10"/>
  <c r="C847" i="10"/>
  <c r="J846" i="10"/>
  <c r="C846" i="10"/>
  <c r="J845" i="10"/>
  <c r="C845" i="10"/>
  <c r="J844" i="10"/>
  <c r="C844" i="10"/>
  <c r="J843" i="10"/>
  <c r="C843" i="10"/>
  <c r="J842" i="10"/>
  <c r="C842" i="10"/>
  <c r="J841" i="10"/>
  <c r="C841" i="10"/>
  <c r="J840" i="10"/>
  <c r="C840" i="10"/>
  <c r="J839" i="10"/>
  <c r="C839" i="10"/>
  <c r="J838" i="10"/>
  <c r="C838" i="10"/>
  <c r="J837" i="10"/>
  <c r="C837" i="10"/>
  <c r="J836" i="10"/>
  <c r="C836" i="10"/>
  <c r="J835" i="10"/>
  <c r="C835" i="10"/>
  <c r="J834" i="10"/>
  <c r="C834" i="10"/>
  <c r="J833" i="10"/>
  <c r="C833" i="10"/>
  <c r="J832" i="10"/>
  <c r="C832" i="10"/>
  <c r="J831" i="10"/>
  <c r="C831" i="10"/>
  <c r="J830" i="10"/>
  <c r="C830" i="10"/>
  <c r="J829" i="10"/>
  <c r="C829" i="10"/>
  <c r="J828" i="10"/>
  <c r="C828" i="10"/>
  <c r="J827" i="10"/>
  <c r="C827" i="10"/>
  <c r="J826" i="10"/>
  <c r="C826" i="10"/>
  <c r="J825" i="10"/>
  <c r="C825" i="10"/>
  <c r="J824" i="10"/>
  <c r="C824" i="10"/>
  <c r="J823" i="10"/>
  <c r="C823" i="10"/>
  <c r="J822" i="10"/>
  <c r="C822" i="10"/>
  <c r="J821" i="10"/>
  <c r="C821" i="10"/>
  <c r="J820" i="10"/>
  <c r="C820" i="10"/>
  <c r="J819" i="10"/>
  <c r="C819" i="10"/>
  <c r="J818" i="10"/>
  <c r="C818" i="10"/>
  <c r="J817" i="10"/>
  <c r="C817" i="10"/>
  <c r="J816" i="10"/>
  <c r="C816" i="10"/>
  <c r="J815" i="10"/>
  <c r="C815" i="10"/>
  <c r="J814" i="10"/>
  <c r="C814" i="10"/>
  <c r="J813" i="10"/>
  <c r="C813" i="10"/>
  <c r="J812" i="10"/>
  <c r="C812" i="10"/>
  <c r="J811" i="10"/>
  <c r="C811" i="10"/>
  <c r="J810" i="10"/>
  <c r="C810" i="10"/>
  <c r="J809" i="10"/>
  <c r="C809" i="10"/>
  <c r="J808" i="10"/>
  <c r="C808" i="10"/>
  <c r="J807" i="10"/>
  <c r="C807" i="10"/>
  <c r="J806" i="10"/>
  <c r="C806" i="10"/>
  <c r="J805" i="10"/>
  <c r="C805" i="10"/>
  <c r="J804" i="10"/>
  <c r="C804" i="10"/>
  <c r="J803" i="10"/>
  <c r="C803" i="10"/>
  <c r="J802" i="10"/>
  <c r="C802" i="10"/>
  <c r="J801" i="10"/>
  <c r="C801" i="10"/>
  <c r="J800" i="10"/>
  <c r="C800" i="10"/>
  <c r="J799" i="10"/>
  <c r="C799" i="10"/>
  <c r="J798" i="10"/>
  <c r="C798" i="10"/>
  <c r="J797" i="10"/>
  <c r="C797" i="10"/>
  <c r="J796" i="10"/>
  <c r="C796" i="10"/>
  <c r="J795" i="10"/>
  <c r="C795" i="10"/>
  <c r="J794" i="10"/>
  <c r="C794" i="10"/>
  <c r="J793" i="10"/>
  <c r="C793" i="10"/>
  <c r="J792" i="10"/>
  <c r="C792" i="10"/>
  <c r="J791" i="10"/>
  <c r="C791" i="10"/>
  <c r="J790" i="10"/>
  <c r="C790" i="10"/>
  <c r="J789" i="10"/>
  <c r="C789" i="10"/>
  <c r="J788" i="10"/>
  <c r="C788" i="10"/>
  <c r="J787" i="10"/>
  <c r="C787" i="10"/>
  <c r="J786" i="10"/>
  <c r="C786" i="10"/>
  <c r="J785" i="10"/>
  <c r="C785" i="10"/>
  <c r="J784" i="10"/>
  <c r="C784" i="10"/>
  <c r="J783" i="10"/>
  <c r="C783" i="10"/>
  <c r="J782" i="10"/>
  <c r="C782" i="10"/>
  <c r="J781" i="10"/>
  <c r="C781" i="10"/>
  <c r="J780" i="10"/>
  <c r="C780" i="10"/>
  <c r="J779" i="10"/>
  <c r="C779" i="10"/>
  <c r="J778" i="10"/>
  <c r="C778" i="10"/>
  <c r="J777" i="10"/>
  <c r="C777" i="10"/>
  <c r="J776" i="10"/>
  <c r="C776" i="10"/>
  <c r="J775" i="10"/>
  <c r="C775" i="10"/>
  <c r="J774" i="10"/>
  <c r="C774" i="10"/>
  <c r="J773" i="10"/>
  <c r="C773" i="10"/>
  <c r="J772" i="10"/>
  <c r="C772" i="10"/>
  <c r="J771" i="10"/>
  <c r="C771" i="10"/>
  <c r="J770" i="10"/>
  <c r="C770" i="10"/>
  <c r="J769" i="10"/>
  <c r="C769" i="10"/>
  <c r="J768" i="10"/>
  <c r="C768" i="10"/>
  <c r="J767" i="10"/>
  <c r="C767" i="10"/>
  <c r="J766" i="10"/>
  <c r="C766" i="10"/>
  <c r="J765" i="10"/>
  <c r="C765" i="10"/>
  <c r="J764" i="10"/>
  <c r="C764" i="10"/>
  <c r="J763" i="10"/>
  <c r="C763" i="10"/>
  <c r="J762" i="10"/>
  <c r="C762" i="10"/>
  <c r="J761" i="10"/>
  <c r="C761" i="10"/>
  <c r="J760" i="10"/>
  <c r="C760" i="10"/>
  <c r="J759" i="10"/>
  <c r="C759" i="10"/>
  <c r="J758" i="10"/>
  <c r="C758" i="10"/>
  <c r="J757" i="10"/>
  <c r="C757" i="10"/>
  <c r="J756" i="10"/>
  <c r="C756" i="10"/>
  <c r="J755" i="10"/>
  <c r="C755" i="10"/>
  <c r="J754" i="10"/>
  <c r="C754" i="10"/>
  <c r="J753" i="10"/>
  <c r="C753" i="10"/>
  <c r="J752" i="10"/>
  <c r="C752" i="10"/>
  <c r="J751" i="10"/>
  <c r="C751" i="10"/>
  <c r="J750" i="10"/>
  <c r="C750" i="10"/>
  <c r="J749" i="10"/>
  <c r="C749" i="10"/>
  <c r="J748" i="10"/>
  <c r="C748" i="10"/>
  <c r="J747" i="10"/>
  <c r="C747" i="10"/>
  <c r="J746" i="10"/>
  <c r="C746" i="10"/>
  <c r="J745" i="10"/>
  <c r="C745" i="10"/>
  <c r="J744" i="10"/>
  <c r="C744" i="10"/>
  <c r="J743" i="10"/>
  <c r="C743" i="10"/>
  <c r="J742" i="10"/>
  <c r="C742" i="10"/>
  <c r="J741" i="10"/>
  <c r="C741" i="10"/>
  <c r="J740" i="10"/>
  <c r="C740" i="10"/>
  <c r="J739" i="10"/>
  <c r="C739" i="10"/>
  <c r="J738" i="10"/>
  <c r="C738" i="10"/>
  <c r="J737" i="10"/>
  <c r="C737" i="10"/>
  <c r="J736" i="10"/>
  <c r="C736" i="10"/>
  <c r="J735" i="10"/>
  <c r="C735" i="10"/>
  <c r="J734" i="10"/>
  <c r="C734" i="10"/>
  <c r="J733" i="10"/>
  <c r="C733" i="10"/>
  <c r="J732" i="10"/>
  <c r="C732" i="10"/>
  <c r="J731" i="10"/>
  <c r="C731" i="10"/>
  <c r="J730" i="10"/>
  <c r="C730" i="10"/>
  <c r="J729" i="10"/>
  <c r="C729" i="10"/>
  <c r="J728" i="10"/>
  <c r="C728" i="10"/>
  <c r="J727" i="10"/>
  <c r="C727" i="10"/>
  <c r="J726" i="10"/>
  <c r="C726" i="10"/>
  <c r="J725" i="10"/>
  <c r="C725" i="10"/>
  <c r="J724" i="10"/>
  <c r="C724" i="10"/>
  <c r="J723" i="10"/>
  <c r="C723" i="10"/>
  <c r="J722" i="10"/>
  <c r="C722" i="10"/>
  <c r="J721" i="10"/>
  <c r="C721" i="10"/>
  <c r="J720" i="10"/>
  <c r="C720" i="10"/>
  <c r="J719" i="10"/>
  <c r="C719" i="10"/>
  <c r="J718" i="10"/>
  <c r="C718" i="10"/>
  <c r="J717" i="10"/>
  <c r="C717" i="10"/>
  <c r="J716" i="10"/>
  <c r="C716" i="10"/>
  <c r="J715" i="10"/>
  <c r="C715" i="10"/>
  <c r="J714" i="10"/>
  <c r="C714" i="10"/>
  <c r="J713" i="10"/>
  <c r="C713" i="10"/>
  <c r="J712" i="10"/>
  <c r="C712" i="10"/>
  <c r="J711" i="10"/>
  <c r="C711" i="10"/>
  <c r="J710" i="10"/>
  <c r="C710" i="10"/>
  <c r="J709" i="10"/>
  <c r="C709" i="10"/>
  <c r="J708" i="10"/>
  <c r="C708" i="10"/>
  <c r="J707" i="10"/>
  <c r="C707" i="10"/>
  <c r="J706" i="10"/>
  <c r="C706" i="10"/>
  <c r="J705" i="10"/>
  <c r="C705" i="10"/>
  <c r="J704" i="10"/>
  <c r="C704" i="10"/>
  <c r="J703" i="10"/>
  <c r="C703" i="10"/>
  <c r="J702" i="10"/>
  <c r="C702" i="10"/>
  <c r="J701" i="10"/>
  <c r="C701" i="10"/>
  <c r="J700" i="10"/>
  <c r="C700" i="10"/>
  <c r="J699" i="10"/>
  <c r="C699" i="10"/>
  <c r="J698" i="10"/>
  <c r="C698" i="10"/>
  <c r="J697" i="10"/>
  <c r="C697" i="10"/>
  <c r="J696" i="10"/>
  <c r="C696" i="10"/>
  <c r="J695" i="10"/>
  <c r="C695" i="10"/>
  <c r="J694" i="10"/>
  <c r="C694" i="10"/>
  <c r="J693" i="10"/>
  <c r="C693" i="10"/>
  <c r="J692" i="10"/>
  <c r="C692" i="10"/>
  <c r="J691" i="10"/>
  <c r="C691" i="10"/>
  <c r="J690" i="10"/>
  <c r="C690" i="10"/>
  <c r="J689" i="10"/>
  <c r="C689" i="10"/>
  <c r="J688" i="10"/>
  <c r="C688" i="10"/>
  <c r="J687" i="10"/>
  <c r="C687" i="10"/>
  <c r="J686" i="10"/>
  <c r="C686" i="10"/>
  <c r="J685" i="10"/>
  <c r="C685" i="10"/>
  <c r="J684" i="10"/>
  <c r="C684" i="10"/>
  <c r="J683" i="10"/>
  <c r="C683" i="10"/>
  <c r="J682" i="10"/>
  <c r="C682" i="10"/>
  <c r="J681" i="10"/>
  <c r="C681" i="10"/>
  <c r="J680" i="10"/>
  <c r="C680" i="10"/>
  <c r="J679" i="10"/>
  <c r="C679" i="10"/>
  <c r="J678" i="10"/>
  <c r="C678" i="10"/>
  <c r="J677" i="10"/>
  <c r="C677" i="10"/>
  <c r="J676" i="10"/>
  <c r="C676" i="10"/>
  <c r="J675" i="10"/>
  <c r="C675" i="10"/>
  <c r="J674" i="10"/>
  <c r="C674" i="10"/>
  <c r="J673" i="10"/>
  <c r="C673" i="10"/>
  <c r="J672" i="10"/>
  <c r="C672" i="10"/>
  <c r="J671" i="10"/>
  <c r="C671" i="10"/>
  <c r="J670" i="10"/>
  <c r="C670" i="10"/>
  <c r="J669" i="10"/>
  <c r="C669" i="10"/>
  <c r="J668" i="10"/>
  <c r="C668" i="10"/>
  <c r="J667" i="10"/>
  <c r="C667" i="10"/>
  <c r="J666" i="10"/>
  <c r="C666" i="10"/>
  <c r="J665" i="10"/>
  <c r="C665" i="10"/>
  <c r="J664" i="10"/>
  <c r="C664" i="10"/>
  <c r="J663" i="10"/>
  <c r="C663" i="10"/>
  <c r="J662" i="10"/>
  <c r="C662" i="10"/>
  <c r="J661" i="10"/>
  <c r="C661" i="10"/>
  <c r="J660" i="10"/>
  <c r="C660" i="10"/>
  <c r="J659" i="10"/>
  <c r="C659" i="10"/>
  <c r="J658" i="10"/>
  <c r="C658" i="10"/>
  <c r="J657" i="10"/>
  <c r="C657" i="10"/>
  <c r="J656" i="10"/>
  <c r="C656" i="10"/>
  <c r="J655" i="10"/>
  <c r="C655" i="10"/>
  <c r="J654" i="10"/>
  <c r="C654" i="10"/>
  <c r="J653" i="10"/>
  <c r="C653" i="10"/>
  <c r="J652" i="10"/>
  <c r="C652" i="10"/>
  <c r="J651" i="10"/>
  <c r="C651" i="10"/>
  <c r="J650" i="10"/>
  <c r="C650" i="10"/>
  <c r="J649" i="10"/>
  <c r="C649" i="10"/>
  <c r="J648" i="10"/>
  <c r="C648" i="10"/>
  <c r="J647" i="10"/>
  <c r="C647" i="10"/>
  <c r="J646" i="10"/>
  <c r="C646" i="10"/>
  <c r="J645" i="10"/>
  <c r="C645" i="10"/>
  <c r="J644" i="10"/>
  <c r="C644" i="10"/>
  <c r="J643" i="10"/>
  <c r="C643" i="10"/>
  <c r="J642" i="10"/>
  <c r="C642" i="10"/>
  <c r="J641" i="10"/>
  <c r="C641" i="10"/>
  <c r="J640" i="10"/>
  <c r="C640" i="10"/>
  <c r="J639" i="10"/>
  <c r="C639" i="10"/>
  <c r="J638" i="10"/>
  <c r="C638" i="10"/>
  <c r="J637" i="10"/>
  <c r="C637" i="10"/>
  <c r="J636" i="10"/>
  <c r="C636" i="10"/>
  <c r="J635" i="10"/>
  <c r="C635" i="10"/>
  <c r="J634" i="10"/>
  <c r="C634" i="10"/>
  <c r="J633" i="10"/>
  <c r="C633" i="10"/>
  <c r="J632" i="10"/>
  <c r="C632" i="10"/>
  <c r="J631" i="10"/>
  <c r="C631" i="10"/>
  <c r="J630" i="10"/>
  <c r="C630" i="10"/>
  <c r="J629" i="10"/>
  <c r="C629" i="10"/>
  <c r="J628" i="10"/>
  <c r="C628" i="10"/>
  <c r="J627" i="10"/>
  <c r="C627" i="10"/>
  <c r="J626" i="10"/>
  <c r="C626" i="10"/>
  <c r="J625" i="10"/>
  <c r="C625" i="10"/>
  <c r="J624" i="10"/>
  <c r="C624" i="10"/>
  <c r="J623" i="10"/>
  <c r="C623" i="10"/>
  <c r="J622" i="10"/>
  <c r="C622" i="10"/>
  <c r="J621" i="10"/>
  <c r="C621" i="10"/>
  <c r="J620" i="10"/>
  <c r="C620" i="10"/>
  <c r="J619" i="10"/>
  <c r="C619" i="10"/>
  <c r="J618" i="10"/>
  <c r="C618" i="10"/>
  <c r="J617" i="10"/>
  <c r="C617" i="10"/>
  <c r="J616" i="10"/>
  <c r="C616" i="10"/>
  <c r="J615" i="10"/>
  <c r="C615" i="10"/>
  <c r="J614" i="10"/>
  <c r="C614" i="10"/>
  <c r="J613" i="10"/>
  <c r="C613" i="10"/>
  <c r="J612" i="10"/>
  <c r="C612" i="10"/>
  <c r="J611" i="10"/>
  <c r="C611" i="10"/>
  <c r="J610" i="10"/>
  <c r="C610" i="10"/>
  <c r="J609" i="10"/>
  <c r="C609" i="10"/>
  <c r="J608" i="10"/>
  <c r="C608" i="10"/>
  <c r="J607" i="10"/>
  <c r="C607" i="10"/>
  <c r="J606" i="10"/>
  <c r="C606" i="10"/>
  <c r="J605" i="10"/>
  <c r="C605" i="10"/>
  <c r="J604" i="10"/>
  <c r="C604" i="10"/>
  <c r="J603" i="10"/>
  <c r="C603" i="10"/>
  <c r="J602" i="10"/>
  <c r="C602" i="10"/>
  <c r="J601" i="10"/>
  <c r="C601" i="10"/>
  <c r="J600" i="10"/>
  <c r="C600" i="10"/>
  <c r="J599" i="10"/>
  <c r="C599" i="10"/>
  <c r="J598" i="10"/>
  <c r="C598" i="10"/>
  <c r="J597" i="10"/>
  <c r="C597" i="10"/>
  <c r="J596" i="10"/>
  <c r="C596" i="10"/>
  <c r="J595" i="10"/>
  <c r="C595" i="10"/>
  <c r="J594" i="10"/>
  <c r="C594" i="10"/>
  <c r="J593" i="10"/>
  <c r="C593" i="10"/>
  <c r="J592" i="10"/>
  <c r="C592" i="10"/>
  <c r="J591" i="10"/>
  <c r="C591" i="10"/>
  <c r="J590" i="10"/>
  <c r="C590" i="10"/>
  <c r="J589" i="10"/>
  <c r="C589" i="10"/>
  <c r="J588" i="10"/>
  <c r="C588" i="10"/>
  <c r="J587" i="10"/>
  <c r="C587" i="10"/>
  <c r="J586" i="10"/>
  <c r="C586" i="10"/>
  <c r="J585" i="10"/>
  <c r="C585" i="10"/>
  <c r="J584" i="10"/>
  <c r="C584" i="10"/>
  <c r="J583" i="10"/>
  <c r="C583" i="10"/>
  <c r="J582" i="10"/>
  <c r="C582" i="10"/>
  <c r="J581" i="10"/>
  <c r="C581" i="10"/>
  <c r="J580" i="10"/>
  <c r="C580" i="10"/>
  <c r="J579" i="10"/>
  <c r="C579" i="10"/>
  <c r="J578" i="10"/>
  <c r="C578" i="10"/>
  <c r="J577" i="10"/>
  <c r="C577" i="10"/>
  <c r="J576" i="10"/>
  <c r="C576" i="10"/>
  <c r="J575" i="10"/>
  <c r="C575" i="10"/>
  <c r="J574" i="10"/>
  <c r="C574" i="10"/>
  <c r="J573" i="10"/>
  <c r="C573" i="10"/>
  <c r="J572" i="10"/>
  <c r="C572" i="10"/>
  <c r="J571" i="10"/>
  <c r="C571" i="10"/>
  <c r="J570" i="10"/>
  <c r="C570" i="10"/>
  <c r="J569" i="10"/>
  <c r="C569" i="10"/>
  <c r="J568" i="10"/>
  <c r="C568" i="10"/>
  <c r="J567" i="10"/>
  <c r="C567" i="10"/>
  <c r="J566" i="10"/>
  <c r="C566" i="10"/>
  <c r="J565" i="10"/>
  <c r="C565" i="10"/>
  <c r="J564" i="10"/>
  <c r="C564" i="10"/>
  <c r="J563" i="10"/>
  <c r="C563" i="10"/>
  <c r="J562" i="10"/>
  <c r="C562" i="10"/>
  <c r="J561" i="10"/>
  <c r="C561" i="10"/>
  <c r="J560" i="10"/>
  <c r="C560" i="10"/>
  <c r="J559" i="10"/>
  <c r="C559" i="10"/>
  <c r="J558" i="10"/>
  <c r="C558" i="10"/>
  <c r="J557" i="10"/>
  <c r="C557" i="10"/>
  <c r="J556" i="10"/>
  <c r="C556" i="10"/>
  <c r="J555" i="10"/>
  <c r="C555" i="10"/>
  <c r="J554" i="10"/>
  <c r="C554" i="10"/>
  <c r="J553" i="10"/>
  <c r="C553" i="10"/>
  <c r="J552" i="10"/>
  <c r="C552" i="10"/>
  <c r="J551" i="10"/>
  <c r="C551" i="10"/>
  <c r="J550" i="10"/>
  <c r="C550" i="10"/>
  <c r="J549" i="10"/>
  <c r="C549" i="10"/>
  <c r="J548" i="10"/>
  <c r="C548" i="10"/>
  <c r="J547" i="10"/>
  <c r="C547" i="10"/>
  <c r="J546" i="10"/>
  <c r="C546" i="10"/>
  <c r="J545" i="10"/>
  <c r="C545" i="10"/>
  <c r="J544" i="10"/>
  <c r="C544" i="10"/>
  <c r="J543" i="10"/>
  <c r="C543" i="10"/>
  <c r="J542" i="10"/>
  <c r="C542" i="10"/>
  <c r="J541" i="10"/>
  <c r="C541" i="10"/>
  <c r="J540" i="10"/>
  <c r="C540" i="10"/>
  <c r="J539" i="10"/>
  <c r="C539" i="10"/>
  <c r="J538" i="10"/>
  <c r="C538" i="10"/>
  <c r="J537" i="10"/>
  <c r="C537" i="10"/>
  <c r="J536" i="10"/>
  <c r="C536" i="10"/>
  <c r="J535" i="10"/>
  <c r="C535" i="10"/>
  <c r="J534" i="10"/>
  <c r="C534" i="10"/>
  <c r="J533" i="10"/>
  <c r="C533" i="10"/>
  <c r="J532" i="10"/>
  <c r="C532" i="10"/>
  <c r="J531" i="10"/>
  <c r="C531" i="10"/>
  <c r="J530" i="10"/>
  <c r="C530" i="10"/>
  <c r="J529" i="10"/>
  <c r="C529" i="10"/>
  <c r="J528" i="10"/>
  <c r="C528" i="10"/>
  <c r="J527" i="10"/>
  <c r="C527" i="10"/>
  <c r="J526" i="10"/>
  <c r="C526" i="10"/>
  <c r="J525" i="10"/>
  <c r="C525" i="10"/>
  <c r="J524" i="10"/>
  <c r="C524" i="10"/>
  <c r="J523" i="10"/>
  <c r="C523" i="10"/>
  <c r="J522" i="10"/>
  <c r="C522" i="10"/>
  <c r="J521" i="10"/>
  <c r="C521" i="10"/>
  <c r="J520" i="10"/>
  <c r="C520" i="10"/>
  <c r="J519" i="10"/>
  <c r="C519" i="10"/>
  <c r="J518" i="10"/>
  <c r="C518" i="10"/>
  <c r="J517" i="10"/>
  <c r="C517" i="10"/>
  <c r="J516" i="10"/>
  <c r="C516" i="10"/>
  <c r="J515" i="10"/>
  <c r="C515" i="10"/>
  <c r="J514" i="10"/>
  <c r="C514" i="10"/>
  <c r="J513" i="10"/>
  <c r="C513" i="10"/>
  <c r="J512" i="10"/>
  <c r="C512" i="10"/>
  <c r="J511" i="10"/>
  <c r="C511" i="10"/>
  <c r="J510" i="10"/>
  <c r="C510" i="10"/>
  <c r="J509" i="10"/>
  <c r="C509" i="10"/>
  <c r="J508" i="10"/>
  <c r="C508" i="10"/>
  <c r="J507" i="10"/>
  <c r="C507" i="10"/>
  <c r="J506" i="10"/>
  <c r="C506" i="10"/>
  <c r="J505" i="10"/>
  <c r="C505" i="10"/>
  <c r="J504" i="10"/>
  <c r="C504" i="10"/>
  <c r="J503" i="10"/>
  <c r="C503" i="10"/>
  <c r="J502" i="10"/>
  <c r="C502" i="10"/>
  <c r="J501" i="10"/>
  <c r="C501" i="10"/>
  <c r="J500" i="10"/>
  <c r="C500" i="10"/>
  <c r="J499" i="10"/>
  <c r="C499" i="10"/>
  <c r="J498" i="10"/>
  <c r="C498" i="10"/>
  <c r="J497" i="10"/>
  <c r="C497" i="10"/>
  <c r="J496" i="10"/>
  <c r="C496" i="10"/>
  <c r="J495" i="10"/>
  <c r="C495" i="10"/>
  <c r="J494" i="10"/>
  <c r="C494" i="10"/>
  <c r="J493" i="10"/>
  <c r="C493" i="10"/>
  <c r="J492" i="10"/>
  <c r="C492" i="10"/>
  <c r="J491" i="10"/>
  <c r="C491" i="10"/>
  <c r="J490" i="10"/>
  <c r="C490" i="10"/>
  <c r="J489" i="10"/>
  <c r="C489" i="10"/>
  <c r="J488" i="10"/>
  <c r="C488" i="10"/>
  <c r="J487" i="10"/>
  <c r="C487" i="10"/>
  <c r="J486" i="10"/>
  <c r="C486" i="10"/>
  <c r="J485" i="10"/>
  <c r="C485" i="10"/>
  <c r="J484" i="10"/>
  <c r="C484" i="10"/>
  <c r="J483" i="10"/>
  <c r="C483" i="10"/>
  <c r="J482" i="10"/>
  <c r="C482" i="10"/>
  <c r="J481" i="10"/>
  <c r="C481" i="10"/>
  <c r="J480" i="10"/>
  <c r="C480" i="10"/>
  <c r="J479" i="10"/>
  <c r="C479" i="10"/>
  <c r="J478" i="10"/>
  <c r="C478" i="10"/>
  <c r="J477" i="10"/>
  <c r="C477" i="10"/>
  <c r="J476" i="10"/>
  <c r="C476" i="10"/>
  <c r="J475" i="10"/>
  <c r="C475" i="10"/>
  <c r="J474" i="10"/>
  <c r="C474" i="10"/>
  <c r="J473" i="10"/>
  <c r="C473" i="10"/>
  <c r="J472" i="10"/>
  <c r="C472" i="10"/>
  <c r="J471" i="10"/>
  <c r="C471" i="10"/>
  <c r="J470" i="10"/>
  <c r="C470" i="10"/>
  <c r="J469" i="10"/>
  <c r="C469" i="10"/>
  <c r="J468" i="10"/>
  <c r="C468" i="10"/>
  <c r="J467" i="10"/>
  <c r="C467" i="10"/>
  <c r="J466" i="10"/>
  <c r="C466" i="10"/>
  <c r="J465" i="10"/>
  <c r="C465" i="10"/>
  <c r="J464" i="10"/>
  <c r="C464" i="10"/>
  <c r="J463" i="10"/>
  <c r="C463" i="10"/>
  <c r="J462" i="10"/>
  <c r="C462" i="10"/>
  <c r="J461" i="10"/>
  <c r="C461" i="10"/>
  <c r="J460" i="10"/>
  <c r="C460" i="10"/>
  <c r="J459" i="10"/>
  <c r="C459" i="10"/>
  <c r="J458" i="10"/>
  <c r="C458" i="10"/>
  <c r="J457" i="10"/>
  <c r="C457" i="10"/>
  <c r="J456" i="10"/>
  <c r="C456" i="10"/>
  <c r="J455" i="10"/>
  <c r="C455" i="10"/>
  <c r="J454" i="10"/>
  <c r="C454" i="10"/>
  <c r="J453" i="10"/>
  <c r="C453" i="10"/>
  <c r="J452" i="10"/>
  <c r="C452" i="10"/>
  <c r="J451" i="10"/>
  <c r="C451" i="10"/>
  <c r="J450" i="10"/>
  <c r="C450" i="10"/>
  <c r="J449" i="10"/>
  <c r="C449" i="10"/>
  <c r="J448" i="10"/>
  <c r="C448" i="10"/>
  <c r="J447" i="10"/>
  <c r="C447" i="10"/>
  <c r="J446" i="10"/>
  <c r="C446" i="10"/>
  <c r="J445" i="10"/>
  <c r="C445" i="10"/>
  <c r="J444" i="10"/>
  <c r="C444" i="10"/>
  <c r="J443" i="10"/>
  <c r="C443" i="10"/>
  <c r="J442" i="10"/>
  <c r="C442" i="10"/>
  <c r="J441" i="10"/>
  <c r="C441" i="10"/>
  <c r="J440" i="10"/>
  <c r="C440" i="10"/>
  <c r="J439" i="10"/>
  <c r="C439" i="10"/>
  <c r="J438" i="10"/>
  <c r="C438" i="10"/>
  <c r="J437" i="10"/>
  <c r="C437" i="10"/>
  <c r="J436" i="10"/>
  <c r="C436" i="10"/>
  <c r="J435" i="10"/>
  <c r="C435" i="10"/>
  <c r="J434" i="10"/>
  <c r="C434" i="10"/>
  <c r="J433" i="10"/>
  <c r="C433" i="10"/>
  <c r="J432" i="10"/>
  <c r="C432" i="10"/>
  <c r="J431" i="10"/>
  <c r="C431" i="10"/>
  <c r="J430" i="10"/>
  <c r="C430" i="10"/>
  <c r="J429" i="10"/>
  <c r="C429" i="10"/>
  <c r="J428" i="10"/>
  <c r="C428" i="10"/>
  <c r="J427" i="10"/>
  <c r="C427" i="10"/>
  <c r="J426" i="10"/>
  <c r="C426" i="10"/>
  <c r="J425" i="10"/>
  <c r="C425" i="10"/>
  <c r="J424" i="10"/>
  <c r="C424" i="10"/>
  <c r="J423" i="10"/>
  <c r="C423" i="10"/>
  <c r="J422" i="10"/>
  <c r="C422" i="10"/>
  <c r="J421" i="10"/>
  <c r="C421" i="10"/>
  <c r="J420" i="10"/>
  <c r="C420" i="10"/>
  <c r="J419" i="10"/>
  <c r="C419" i="10"/>
  <c r="J418" i="10"/>
  <c r="C418" i="10"/>
  <c r="J417" i="10"/>
  <c r="C417" i="10"/>
  <c r="J416" i="10"/>
  <c r="C416" i="10"/>
  <c r="J415" i="10"/>
  <c r="C415" i="10"/>
  <c r="J414" i="10"/>
  <c r="C414" i="10"/>
  <c r="J413" i="10"/>
  <c r="C413" i="10"/>
  <c r="J412" i="10"/>
  <c r="C412" i="10"/>
  <c r="J411" i="10"/>
  <c r="C411" i="10"/>
  <c r="J410" i="10"/>
  <c r="C410" i="10"/>
  <c r="J409" i="10"/>
  <c r="C409" i="10"/>
  <c r="J408" i="10"/>
  <c r="C408" i="10"/>
  <c r="J407" i="10"/>
  <c r="C407" i="10"/>
  <c r="J406" i="10"/>
  <c r="C406" i="10"/>
  <c r="J405" i="10"/>
  <c r="C405" i="10"/>
  <c r="J404" i="10"/>
  <c r="C404" i="10"/>
  <c r="J403" i="10"/>
  <c r="C403" i="10"/>
  <c r="J402" i="10"/>
  <c r="C402" i="10"/>
  <c r="J401" i="10"/>
  <c r="C401" i="10"/>
  <c r="J400" i="10"/>
  <c r="C400" i="10"/>
  <c r="J399" i="10"/>
  <c r="C399" i="10"/>
  <c r="J398" i="10"/>
  <c r="C398" i="10"/>
  <c r="J397" i="10"/>
  <c r="C397" i="10"/>
  <c r="J396" i="10"/>
  <c r="C396" i="10"/>
  <c r="J395" i="10"/>
  <c r="C395" i="10"/>
  <c r="J394" i="10"/>
  <c r="C394" i="10"/>
  <c r="J393" i="10"/>
  <c r="C393" i="10"/>
  <c r="J392" i="10"/>
  <c r="C392" i="10"/>
  <c r="J391" i="10"/>
  <c r="C391" i="10"/>
  <c r="J390" i="10"/>
  <c r="C390" i="10"/>
  <c r="J389" i="10"/>
  <c r="C389" i="10"/>
  <c r="J388" i="10"/>
  <c r="C388" i="10"/>
  <c r="J387" i="10"/>
  <c r="C387" i="10"/>
  <c r="J386" i="10"/>
  <c r="C386" i="10"/>
  <c r="J385" i="10"/>
  <c r="C385" i="10"/>
  <c r="J384" i="10"/>
  <c r="C384" i="10"/>
  <c r="J383" i="10"/>
  <c r="C383" i="10"/>
  <c r="J382" i="10"/>
  <c r="C382" i="10"/>
  <c r="J381" i="10"/>
  <c r="C381" i="10"/>
  <c r="J380" i="10"/>
  <c r="C380" i="10"/>
  <c r="J379" i="10"/>
  <c r="C379" i="10"/>
  <c r="J378" i="10"/>
  <c r="C378" i="10"/>
  <c r="J377" i="10"/>
  <c r="C377" i="10"/>
  <c r="J376" i="10"/>
  <c r="C376" i="10"/>
  <c r="J375" i="10"/>
  <c r="C375" i="10"/>
  <c r="J374" i="10"/>
  <c r="C374" i="10"/>
  <c r="J373" i="10"/>
  <c r="C373" i="10"/>
  <c r="J372" i="10"/>
  <c r="C372" i="10"/>
  <c r="J371" i="10"/>
  <c r="C371" i="10"/>
  <c r="J370" i="10"/>
  <c r="C370" i="10"/>
  <c r="J369" i="10"/>
  <c r="C369" i="10"/>
  <c r="J368" i="10"/>
  <c r="C368" i="10"/>
  <c r="J367" i="10"/>
  <c r="C367" i="10"/>
  <c r="J366" i="10"/>
  <c r="C366" i="10"/>
  <c r="J365" i="10"/>
  <c r="C365" i="10"/>
  <c r="J364" i="10"/>
  <c r="C364" i="10"/>
  <c r="J363" i="10"/>
  <c r="C363" i="10"/>
  <c r="J362" i="10"/>
  <c r="C362" i="10"/>
  <c r="J361" i="10"/>
  <c r="C361" i="10"/>
  <c r="J360" i="10"/>
  <c r="C360" i="10"/>
  <c r="J359" i="10"/>
  <c r="C359" i="10"/>
  <c r="J358" i="10"/>
  <c r="C358" i="10"/>
  <c r="J357" i="10"/>
  <c r="C357" i="10"/>
  <c r="J356" i="10"/>
  <c r="C356" i="10"/>
  <c r="J355" i="10"/>
  <c r="C355" i="10"/>
  <c r="J354" i="10"/>
  <c r="C354" i="10"/>
  <c r="J353" i="10"/>
  <c r="C353" i="10"/>
  <c r="J352" i="10"/>
  <c r="C352" i="10"/>
  <c r="J351" i="10"/>
  <c r="C351" i="10"/>
  <c r="J350" i="10"/>
  <c r="C350" i="10"/>
  <c r="J349" i="10"/>
  <c r="C349" i="10"/>
  <c r="J348" i="10"/>
  <c r="C348" i="10"/>
  <c r="J347" i="10"/>
  <c r="C347" i="10"/>
  <c r="J346" i="10"/>
  <c r="C346" i="10"/>
  <c r="J345" i="10"/>
  <c r="C345" i="10"/>
  <c r="J344" i="10"/>
  <c r="C344" i="10"/>
  <c r="J343" i="10"/>
  <c r="C343" i="10"/>
  <c r="J342" i="10"/>
  <c r="C342" i="10"/>
  <c r="J341" i="10"/>
  <c r="C341" i="10"/>
  <c r="J340" i="10"/>
  <c r="C340" i="10"/>
  <c r="J339" i="10"/>
  <c r="C339" i="10"/>
  <c r="J338" i="10"/>
  <c r="C338" i="10"/>
  <c r="J337" i="10"/>
  <c r="C337" i="10"/>
  <c r="J336" i="10"/>
  <c r="C336" i="10"/>
  <c r="J335" i="10"/>
  <c r="C335" i="10"/>
  <c r="J334" i="10"/>
  <c r="C334" i="10"/>
  <c r="J333" i="10"/>
  <c r="C333" i="10"/>
  <c r="J332" i="10"/>
  <c r="C332" i="10"/>
  <c r="J331" i="10"/>
  <c r="C331" i="10"/>
  <c r="J330" i="10"/>
  <c r="C330" i="10"/>
  <c r="J329" i="10"/>
  <c r="C329" i="10"/>
  <c r="J328" i="10"/>
  <c r="C328" i="10"/>
  <c r="J327" i="10"/>
  <c r="C327" i="10"/>
  <c r="J326" i="10"/>
  <c r="C326" i="10"/>
  <c r="J325" i="10"/>
  <c r="C325" i="10"/>
  <c r="J324" i="10"/>
  <c r="C324" i="10"/>
  <c r="J323" i="10"/>
  <c r="C323" i="10"/>
  <c r="J322" i="10"/>
  <c r="C322" i="10"/>
  <c r="J321" i="10"/>
  <c r="C321" i="10"/>
  <c r="J320" i="10"/>
  <c r="C320" i="10"/>
  <c r="J319" i="10"/>
  <c r="C319" i="10"/>
  <c r="J318" i="10"/>
  <c r="C318" i="10"/>
  <c r="J317" i="10"/>
  <c r="C317" i="10"/>
  <c r="J316" i="10"/>
  <c r="C316" i="10"/>
  <c r="J315" i="10"/>
  <c r="C315" i="10"/>
  <c r="J314" i="10"/>
  <c r="C314" i="10"/>
  <c r="J313" i="10"/>
  <c r="C313" i="10"/>
  <c r="J312" i="10"/>
  <c r="C312" i="10"/>
  <c r="J311" i="10"/>
  <c r="C311" i="10"/>
  <c r="J310" i="10"/>
  <c r="C310" i="10"/>
  <c r="J309" i="10"/>
  <c r="C309" i="10"/>
  <c r="J308" i="10"/>
  <c r="C308" i="10"/>
  <c r="J307" i="10"/>
  <c r="C307" i="10"/>
  <c r="J306" i="10"/>
  <c r="C306" i="10"/>
  <c r="J305" i="10"/>
  <c r="C305" i="10"/>
  <c r="J304" i="10"/>
  <c r="C304" i="10"/>
  <c r="J303" i="10"/>
  <c r="C303" i="10"/>
  <c r="J302" i="10"/>
  <c r="C302" i="10"/>
  <c r="J301" i="10"/>
  <c r="C301" i="10"/>
  <c r="J300" i="10"/>
  <c r="C300" i="10"/>
  <c r="J299" i="10"/>
  <c r="C299" i="10"/>
  <c r="J298" i="10"/>
  <c r="C298" i="10"/>
  <c r="J297" i="10"/>
  <c r="C297" i="10"/>
  <c r="J296" i="10"/>
  <c r="C296" i="10"/>
  <c r="J295" i="10"/>
  <c r="C295" i="10"/>
  <c r="J294" i="10"/>
  <c r="C294" i="10"/>
  <c r="J293" i="10"/>
  <c r="C293" i="10"/>
  <c r="J292" i="10"/>
  <c r="C292" i="10"/>
  <c r="J291" i="10"/>
  <c r="C291" i="10"/>
  <c r="J290" i="10"/>
  <c r="C290" i="10"/>
  <c r="J289" i="10"/>
  <c r="C289" i="10"/>
  <c r="J288" i="10"/>
  <c r="C288" i="10"/>
  <c r="J287" i="10"/>
  <c r="C287" i="10"/>
  <c r="J286" i="10"/>
  <c r="C286" i="10"/>
  <c r="J285" i="10"/>
  <c r="C285" i="10"/>
  <c r="J284" i="10"/>
  <c r="C284" i="10"/>
  <c r="J283" i="10"/>
  <c r="C283" i="10"/>
  <c r="J282" i="10"/>
  <c r="C282" i="10"/>
  <c r="J281" i="10"/>
  <c r="C281" i="10"/>
  <c r="J280" i="10"/>
  <c r="C280" i="10"/>
  <c r="J279" i="10"/>
  <c r="C279" i="10"/>
  <c r="J278" i="10"/>
  <c r="C278" i="10"/>
  <c r="J277" i="10"/>
  <c r="C277" i="10"/>
  <c r="J276" i="10"/>
  <c r="C276" i="10"/>
  <c r="J275" i="10"/>
  <c r="C275" i="10"/>
  <c r="J274" i="10"/>
  <c r="C274" i="10"/>
  <c r="J273" i="10"/>
  <c r="C273" i="10"/>
  <c r="J272" i="10"/>
  <c r="C272" i="10"/>
  <c r="J271" i="10"/>
  <c r="C271" i="10"/>
  <c r="J270" i="10"/>
  <c r="C270" i="10"/>
  <c r="J269" i="10"/>
  <c r="C269" i="10"/>
  <c r="J268" i="10"/>
  <c r="C268" i="10"/>
  <c r="J267" i="10"/>
  <c r="C267" i="10"/>
  <c r="J266" i="10"/>
  <c r="C266" i="10"/>
  <c r="J265" i="10"/>
  <c r="C265" i="10"/>
  <c r="J264" i="10"/>
  <c r="C264" i="10"/>
  <c r="J263" i="10"/>
  <c r="C263" i="10"/>
  <c r="J262" i="10"/>
  <c r="C262" i="10"/>
  <c r="J261" i="10"/>
  <c r="C261" i="10"/>
  <c r="J260" i="10"/>
  <c r="C260" i="10"/>
  <c r="J259" i="10"/>
  <c r="C259" i="10"/>
  <c r="J258" i="10"/>
  <c r="C258" i="10"/>
  <c r="J257" i="10"/>
  <c r="C257" i="10"/>
  <c r="J256" i="10"/>
  <c r="C256" i="10"/>
  <c r="J255" i="10"/>
  <c r="C255" i="10"/>
  <c r="J254" i="10"/>
  <c r="C254" i="10"/>
  <c r="J253" i="10"/>
  <c r="C253" i="10"/>
  <c r="J252" i="10"/>
  <c r="C252" i="10"/>
  <c r="J251" i="10"/>
  <c r="C251" i="10"/>
  <c r="J250" i="10"/>
  <c r="C250" i="10"/>
  <c r="J249" i="10"/>
  <c r="C249" i="10"/>
  <c r="J248" i="10"/>
  <c r="C248" i="10"/>
  <c r="J247" i="10"/>
  <c r="C247" i="10"/>
  <c r="J246" i="10"/>
  <c r="C246" i="10"/>
  <c r="J245" i="10"/>
  <c r="C245" i="10"/>
  <c r="J244" i="10"/>
  <c r="C244" i="10"/>
  <c r="J243" i="10"/>
  <c r="C243" i="10"/>
  <c r="J242" i="10"/>
  <c r="C242" i="10"/>
  <c r="J241" i="10"/>
  <c r="C241" i="10"/>
  <c r="J240" i="10"/>
  <c r="C240" i="10"/>
  <c r="J239" i="10"/>
  <c r="C239" i="10"/>
  <c r="J238" i="10"/>
  <c r="C238" i="10"/>
  <c r="J237" i="10"/>
  <c r="C237" i="10"/>
  <c r="J236" i="10"/>
  <c r="C236" i="10"/>
  <c r="J235" i="10"/>
  <c r="C235" i="10"/>
  <c r="J234" i="10"/>
  <c r="C234" i="10"/>
  <c r="J233" i="10"/>
  <c r="C233" i="10"/>
  <c r="J232" i="10"/>
  <c r="C232" i="10"/>
  <c r="J231" i="10"/>
  <c r="C231" i="10"/>
  <c r="J230" i="10"/>
  <c r="C230" i="10"/>
  <c r="J229" i="10"/>
  <c r="C229" i="10"/>
  <c r="J228" i="10"/>
  <c r="C228" i="10"/>
  <c r="J227" i="10"/>
  <c r="C227" i="10"/>
  <c r="J226" i="10"/>
  <c r="C226" i="10"/>
  <c r="J225" i="10"/>
  <c r="C225" i="10"/>
  <c r="J224" i="10"/>
  <c r="C224" i="10"/>
  <c r="J223" i="10"/>
  <c r="C223" i="10"/>
  <c r="J222" i="10"/>
  <c r="C222" i="10"/>
  <c r="J221" i="10"/>
  <c r="C221" i="10"/>
  <c r="J220" i="10"/>
  <c r="C220" i="10"/>
  <c r="J219" i="10"/>
  <c r="C219" i="10"/>
  <c r="J218" i="10"/>
  <c r="L3" i="10" s="1"/>
  <c r="C218" i="10"/>
  <c r="J217" i="10"/>
  <c r="C217" i="10"/>
  <c r="J216" i="10"/>
  <c r="C216" i="10"/>
  <c r="J215" i="10"/>
  <c r="C215" i="10"/>
  <c r="J214" i="10"/>
  <c r="C214" i="10"/>
  <c r="J213" i="10"/>
  <c r="C213" i="10"/>
  <c r="J212" i="10"/>
  <c r="C212" i="10"/>
  <c r="J211" i="10"/>
  <c r="C211" i="10"/>
  <c r="J210" i="10"/>
  <c r="C210" i="10"/>
  <c r="J209" i="10"/>
  <c r="C209" i="10"/>
  <c r="J208" i="10"/>
  <c r="C208" i="10"/>
  <c r="J207" i="10"/>
  <c r="C207" i="10"/>
  <c r="J206" i="10"/>
  <c r="C206" i="10"/>
  <c r="J205" i="10"/>
  <c r="C205" i="10"/>
  <c r="J204" i="10"/>
  <c r="C204" i="10"/>
  <c r="J203" i="10"/>
  <c r="C203" i="10"/>
  <c r="J202" i="10"/>
  <c r="C202" i="10"/>
  <c r="J201" i="10"/>
  <c r="C201" i="10"/>
  <c r="J200" i="10"/>
  <c r="C200" i="10"/>
  <c r="J199" i="10"/>
  <c r="C199" i="10"/>
  <c r="J198" i="10"/>
  <c r="C198" i="10"/>
  <c r="J197" i="10"/>
  <c r="C197" i="10"/>
  <c r="J196" i="10"/>
  <c r="C196" i="10"/>
  <c r="J195" i="10"/>
  <c r="C195" i="10"/>
  <c r="J194" i="10"/>
  <c r="C194" i="10"/>
  <c r="J193" i="10"/>
  <c r="C193" i="10"/>
  <c r="J192" i="10"/>
  <c r="C192" i="10"/>
  <c r="J191" i="10"/>
  <c r="C191" i="10"/>
  <c r="J190" i="10"/>
  <c r="C190" i="10"/>
  <c r="J189" i="10"/>
  <c r="C189" i="10"/>
  <c r="J188" i="10"/>
  <c r="C188" i="10"/>
  <c r="J187" i="10"/>
  <c r="C187" i="10"/>
  <c r="J186" i="10"/>
  <c r="C186" i="10"/>
  <c r="J185" i="10"/>
  <c r="C185" i="10"/>
  <c r="J184" i="10"/>
  <c r="C184" i="10"/>
  <c r="J183" i="10"/>
  <c r="C183" i="10"/>
  <c r="J182" i="10"/>
  <c r="C182" i="10"/>
  <c r="J181" i="10"/>
  <c r="C181" i="10"/>
  <c r="J180" i="10"/>
  <c r="C180" i="10"/>
  <c r="J179" i="10"/>
  <c r="C179" i="10"/>
  <c r="J178" i="10"/>
  <c r="C178" i="10"/>
  <c r="J177" i="10"/>
  <c r="C177" i="10"/>
  <c r="J176" i="10"/>
  <c r="C176" i="10"/>
  <c r="J175" i="10"/>
  <c r="C175" i="10"/>
  <c r="J174" i="10"/>
  <c r="C174" i="10"/>
  <c r="J173" i="10"/>
  <c r="C173" i="10"/>
  <c r="J172" i="10"/>
  <c r="C172" i="10"/>
  <c r="J171" i="10"/>
  <c r="C171" i="10"/>
  <c r="J170" i="10"/>
  <c r="C170" i="10"/>
  <c r="J169" i="10"/>
  <c r="C169" i="10"/>
  <c r="J168" i="10"/>
  <c r="C168" i="10"/>
  <c r="J167" i="10"/>
  <c r="C167" i="10"/>
  <c r="J166" i="10"/>
  <c r="C166" i="10"/>
  <c r="J165" i="10"/>
  <c r="C165" i="10"/>
  <c r="J164" i="10"/>
  <c r="C164" i="10"/>
  <c r="J163" i="10"/>
  <c r="C163" i="10"/>
  <c r="J162" i="10"/>
  <c r="C162" i="10"/>
  <c r="J161" i="10"/>
  <c r="C161" i="10"/>
  <c r="J160" i="10"/>
  <c r="C160" i="10"/>
  <c r="J159" i="10"/>
  <c r="C159" i="10"/>
  <c r="J158" i="10"/>
  <c r="C158" i="10"/>
  <c r="J157" i="10"/>
  <c r="C157" i="10"/>
  <c r="J156" i="10"/>
  <c r="C156" i="10"/>
  <c r="J155" i="10"/>
  <c r="C155" i="10"/>
  <c r="J154" i="10"/>
  <c r="C154" i="10"/>
  <c r="J153" i="10"/>
  <c r="C153" i="10"/>
  <c r="J152" i="10"/>
  <c r="C152" i="10"/>
  <c r="J151" i="10"/>
  <c r="C151" i="10"/>
  <c r="J150" i="10"/>
  <c r="C150" i="10"/>
  <c r="J149" i="10"/>
  <c r="C149" i="10"/>
  <c r="J148" i="10"/>
  <c r="C148" i="10"/>
  <c r="J147" i="10"/>
  <c r="C147" i="10"/>
  <c r="J146" i="10"/>
  <c r="C146" i="10"/>
  <c r="J145" i="10"/>
  <c r="C145" i="10"/>
  <c r="J144" i="10"/>
  <c r="C144" i="10"/>
  <c r="J143" i="10"/>
  <c r="C143" i="10"/>
  <c r="J142" i="10"/>
  <c r="C142" i="10"/>
  <c r="J141" i="10"/>
  <c r="C141" i="10"/>
  <c r="J140" i="10"/>
  <c r="C140" i="10"/>
  <c r="J139" i="10"/>
  <c r="C139" i="10"/>
  <c r="J138" i="10"/>
  <c r="C138" i="10"/>
  <c r="J137" i="10"/>
  <c r="C137" i="10"/>
  <c r="J136" i="10"/>
  <c r="C136" i="10"/>
  <c r="J135" i="10"/>
  <c r="C135" i="10"/>
  <c r="J134" i="10"/>
  <c r="C134" i="10"/>
  <c r="J133" i="10"/>
  <c r="C133" i="10"/>
  <c r="J132" i="10"/>
  <c r="C132" i="10"/>
  <c r="J131" i="10"/>
  <c r="C131" i="10"/>
  <c r="J130" i="10"/>
  <c r="C130" i="10"/>
  <c r="J129" i="10"/>
  <c r="C129" i="10"/>
  <c r="J128" i="10"/>
  <c r="C128" i="10"/>
  <c r="J127" i="10"/>
  <c r="C127" i="10"/>
  <c r="J126" i="10"/>
  <c r="C126" i="10"/>
  <c r="J125" i="10"/>
  <c r="C125" i="10"/>
  <c r="J124" i="10"/>
  <c r="C124" i="10"/>
  <c r="J123" i="10"/>
  <c r="C123" i="10"/>
  <c r="J122" i="10"/>
  <c r="C122" i="10"/>
  <c r="J121" i="10"/>
  <c r="C121" i="10"/>
  <c r="J120" i="10"/>
  <c r="C120" i="10"/>
  <c r="J119" i="10"/>
  <c r="C119" i="10"/>
  <c r="J118" i="10"/>
  <c r="C118" i="10"/>
  <c r="J117" i="10"/>
  <c r="C117" i="10"/>
  <c r="J116" i="10"/>
  <c r="C116" i="10"/>
  <c r="J115" i="10"/>
  <c r="C115" i="10"/>
  <c r="J114" i="10"/>
  <c r="C114" i="10"/>
  <c r="J113" i="10"/>
  <c r="C113" i="10"/>
  <c r="J112" i="10"/>
  <c r="C112" i="10"/>
  <c r="J111" i="10"/>
  <c r="C111" i="10"/>
  <c r="J110" i="10"/>
  <c r="C110" i="10"/>
  <c r="J109" i="10"/>
  <c r="C109" i="10"/>
  <c r="J108" i="10"/>
  <c r="C108" i="10"/>
  <c r="J107" i="10"/>
  <c r="C107" i="10"/>
  <c r="J106" i="10"/>
  <c r="C106" i="10"/>
  <c r="J105" i="10"/>
  <c r="C105" i="10"/>
  <c r="J104" i="10"/>
  <c r="C104" i="10"/>
  <c r="J103" i="10"/>
  <c r="C103" i="10"/>
  <c r="J102" i="10"/>
  <c r="C102" i="10"/>
  <c r="J101" i="10"/>
  <c r="C101" i="10"/>
  <c r="J100" i="10"/>
  <c r="C100" i="10"/>
  <c r="J99" i="10"/>
  <c r="C99" i="10"/>
  <c r="J98" i="10"/>
  <c r="C98" i="10"/>
  <c r="J97" i="10"/>
  <c r="C97" i="10"/>
  <c r="J96" i="10"/>
  <c r="C96" i="10"/>
  <c r="J95" i="10"/>
  <c r="C95" i="10"/>
  <c r="J94" i="10"/>
  <c r="C94" i="10"/>
  <c r="J93" i="10"/>
  <c r="C93" i="10"/>
  <c r="J92" i="10"/>
  <c r="C92" i="10"/>
  <c r="J91" i="10"/>
  <c r="C91" i="10"/>
  <c r="J90" i="10"/>
  <c r="C90" i="10"/>
  <c r="J89" i="10"/>
  <c r="C89" i="10"/>
  <c r="J88" i="10"/>
  <c r="C88" i="10"/>
  <c r="J87" i="10"/>
  <c r="C87" i="10"/>
  <c r="J86" i="10"/>
  <c r="C86" i="10"/>
  <c r="J85" i="10"/>
  <c r="C85" i="10"/>
  <c r="J84" i="10"/>
  <c r="C84" i="10"/>
  <c r="J83" i="10"/>
  <c r="C83" i="10"/>
  <c r="J82" i="10"/>
  <c r="C82" i="10"/>
  <c r="J81" i="10"/>
  <c r="C81" i="10"/>
  <c r="J80" i="10"/>
  <c r="C80" i="10"/>
  <c r="J79" i="10"/>
  <c r="C79" i="10"/>
  <c r="J78" i="10"/>
  <c r="C78" i="10"/>
  <c r="J77" i="10"/>
  <c r="C77" i="10"/>
  <c r="J76" i="10"/>
  <c r="C76" i="10"/>
  <c r="J75" i="10"/>
  <c r="C75" i="10"/>
  <c r="J74" i="10"/>
  <c r="C74" i="10"/>
  <c r="J73" i="10"/>
  <c r="C73" i="10"/>
  <c r="J72" i="10"/>
  <c r="C72" i="10"/>
  <c r="J71" i="10"/>
  <c r="C71" i="10"/>
  <c r="J70" i="10"/>
  <c r="C70" i="10"/>
  <c r="J69" i="10"/>
  <c r="C69" i="10"/>
  <c r="J68" i="10"/>
  <c r="C68" i="10"/>
  <c r="J67" i="10"/>
  <c r="C67" i="10"/>
  <c r="J66" i="10"/>
  <c r="C66" i="10"/>
  <c r="J65" i="10"/>
  <c r="C65" i="10"/>
  <c r="J64" i="10"/>
  <c r="C64" i="10"/>
  <c r="J63" i="10"/>
  <c r="C63" i="10"/>
  <c r="J62" i="10"/>
  <c r="C62" i="10"/>
  <c r="J61" i="10"/>
  <c r="C61" i="10"/>
  <c r="J60" i="10"/>
  <c r="C60" i="10"/>
  <c r="J59" i="10"/>
  <c r="C59" i="10"/>
  <c r="J58" i="10"/>
  <c r="C58" i="10"/>
  <c r="J57" i="10"/>
  <c r="C57" i="10"/>
  <c r="J56" i="10"/>
  <c r="C56" i="10"/>
  <c r="J55" i="10"/>
  <c r="C55" i="10"/>
  <c r="J54" i="10"/>
  <c r="C54" i="10"/>
  <c r="J53" i="10"/>
  <c r="C53" i="10"/>
  <c r="J52" i="10"/>
  <c r="C52" i="10"/>
  <c r="J51" i="10"/>
  <c r="C51" i="10"/>
  <c r="J50" i="10"/>
  <c r="C50" i="10"/>
  <c r="J49" i="10"/>
  <c r="C49" i="10"/>
  <c r="J48" i="10"/>
  <c r="C48" i="10"/>
  <c r="J47" i="10"/>
  <c r="C47" i="10"/>
  <c r="J46" i="10"/>
  <c r="C46" i="10"/>
  <c r="J45" i="10"/>
  <c r="C45" i="10"/>
  <c r="J44" i="10"/>
  <c r="C44" i="10"/>
  <c r="J43" i="10"/>
  <c r="C43" i="10"/>
  <c r="J42" i="10"/>
  <c r="C42" i="10"/>
  <c r="J41" i="10"/>
  <c r="C41" i="10"/>
  <c r="J40" i="10"/>
  <c r="C40" i="10"/>
  <c r="J39" i="10"/>
  <c r="C39" i="10"/>
  <c r="J38" i="10"/>
  <c r="C38" i="10"/>
  <c r="J37" i="10"/>
  <c r="C37" i="10"/>
  <c r="J36" i="10"/>
  <c r="C36" i="10"/>
  <c r="J35" i="10"/>
  <c r="C35" i="10"/>
  <c r="J34" i="10"/>
  <c r="C34" i="10"/>
  <c r="J33" i="10"/>
  <c r="C33" i="10"/>
  <c r="J32" i="10"/>
  <c r="C32" i="10"/>
  <c r="J31" i="10"/>
  <c r="C31" i="10"/>
  <c r="J30" i="10"/>
  <c r="C30" i="10"/>
  <c r="J29" i="10"/>
  <c r="C29" i="10"/>
  <c r="J28" i="10"/>
  <c r="C28" i="10"/>
  <c r="J27" i="10"/>
  <c r="C27" i="10"/>
  <c r="J26" i="10"/>
  <c r="C26" i="10"/>
  <c r="J25" i="10"/>
  <c r="C25" i="10"/>
  <c r="J24" i="10"/>
  <c r="C24" i="10"/>
  <c r="J23" i="10"/>
  <c r="C23" i="10"/>
  <c r="J22" i="10"/>
  <c r="C22" i="10"/>
  <c r="J21" i="10"/>
  <c r="C21" i="10"/>
  <c r="J20" i="10"/>
  <c r="C20" i="10"/>
  <c r="J19" i="10"/>
  <c r="C19" i="10"/>
  <c r="J18" i="10"/>
  <c r="C18" i="10"/>
  <c r="J17" i="10"/>
  <c r="C17" i="10"/>
  <c r="J16" i="10"/>
  <c r="C16" i="10"/>
  <c r="J15" i="10"/>
  <c r="C15" i="10"/>
  <c r="J14" i="10"/>
  <c r="C14" i="10"/>
  <c r="J13" i="10"/>
  <c r="C13" i="10"/>
  <c r="J12" i="10"/>
  <c r="C12" i="10"/>
  <c r="J11" i="10"/>
  <c r="C11" i="10"/>
  <c r="J10" i="10"/>
  <c r="M3" i="10" s="1"/>
  <c r="C10" i="10"/>
  <c r="O3" i="10" s="1"/>
  <c r="J9" i="10"/>
  <c r="C9" i="10"/>
  <c r="J8" i="10"/>
  <c r="C8" i="10"/>
  <c r="J7" i="10"/>
  <c r="C7" i="10"/>
  <c r="J6" i="10"/>
  <c r="C6" i="10"/>
  <c r="J5" i="10"/>
  <c r="C5" i="10"/>
  <c r="J4" i="10"/>
  <c r="C4" i="10"/>
  <c r="F3" i="10" s="1"/>
  <c r="K3" i="10"/>
  <c r="C1733" i="9"/>
  <c r="C1732" i="9"/>
  <c r="C1731" i="9"/>
  <c r="C1730" i="9"/>
  <c r="C1729" i="9"/>
  <c r="C1728" i="9"/>
  <c r="C1727" i="9"/>
  <c r="C1726" i="9"/>
  <c r="C1725" i="9"/>
  <c r="C1724" i="9"/>
  <c r="C1723" i="9"/>
  <c r="C1722" i="9"/>
  <c r="C1721" i="9"/>
  <c r="C1720" i="9"/>
  <c r="C1719" i="9"/>
  <c r="C1718" i="9"/>
  <c r="C1717" i="9"/>
  <c r="C1716" i="9"/>
  <c r="C1715" i="9"/>
  <c r="C1714" i="9"/>
  <c r="C1713" i="9"/>
  <c r="C1712" i="9"/>
  <c r="C1711" i="9"/>
  <c r="C1710" i="9"/>
  <c r="C1709" i="9"/>
  <c r="C1708" i="9"/>
  <c r="C1707" i="9"/>
  <c r="C1706" i="9"/>
  <c r="C1705" i="9"/>
  <c r="C1704" i="9"/>
  <c r="C1703" i="9"/>
  <c r="C1702" i="9"/>
  <c r="C1701" i="9"/>
  <c r="C1700" i="9"/>
  <c r="C1699" i="9"/>
  <c r="C1698" i="9"/>
  <c r="C1697" i="9"/>
  <c r="C1696" i="9"/>
  <c r="C1695" i="9"/>
  <c r="C1694" i="9"/>
  <c r="C1693" i="9"/>
  <c r="C1692" i="9"/>
  <c r="C1691" i="9"/>
  <c r="C1690" i="9"/>
  <c r="C1689" i="9"/>
  <c r="C1688" i="9"/>
  <c r="C1687" i="9"/>
  <c r="C1686" i="9"/>
  <c r="C1685" i="9"/>
  <c r="C1684" i="9"/>
  <c r="C1683" i="9"/>
  <c r="C1682" i="9"/>
  <c r="C1681" i="9"/>
  <c r="C1680" i="9"/>
  <c r="C1679" i="9"/>
  <c r="C1678" i="9"/>
  <c r="C1677" i="9"/>
  <c r="C1676" i="9"/>
  <c r="C1675" i="9"/>
  <c r="C1674" i="9"/>
  <c r="C1673" i="9"/>
  <c r="C1672" i="9"/>
  <c r="C1671" i="9"/>
  <c r="C1670" i="9"/>
  <c r="C1669" i="9"/>
  <c r="C1668" i="9"/>
  <c r="C1667" i="9"/>
  <c r="C1666" i="9"/>
  <c r="C1665" i="9"/>
  <c r="C1664" i="9"/>
  <c r="C1663" i="9"/>
  <c r="C1662" i="9"/>
  <c r="C1661" i="9"/>
  <c r="C1660" i="9"/>
  <c r="C1659" i="9"/>
  <c r="C1658" i="9"/>
  <c r="C1657" i="9"/>
  <c r="C1656" i="9"/>
  <c r="C1655" i="9"/>
  <c r="C1654" i="9"/>
  <c r="C1653" i="9"/>
  <c r="C1652" i="9"/>
  <c r="C1651" i="9"/>
  <c r="C1650" i="9"/>
  <c r="C1649" i="9"/>
  <c r="C1648" i="9"/>
  <c r="C1647" i="9"/>
  <c r="C1646" i="9"/>
  <c r="C1645" i="9"/>
  <c r="C1644" i="9"/>
  <c r="C1643" i="9"/>
  <c r="C1642" i="9"/>
  <c r="C1641" i="9"/>
  <c r="C1640" i="9"/>
  <c r="C1639" i="9"/>
  <c r="C1638" i="9"/>
  <c r="C1637" i="9"/>
  <c r="C1636" i="9"/>
  <c r="C1635" i="9"/>
  <c r="C1634" i="9"/>
  <c r="C1633" i="9"/>
  <c r="C1632" i="9"/>
  <c r="C1631" i="9"/>
  <c r="C1630" i="9"/>
  <c r="C1629" i="9"/>
  <c r="C1628" i="9"/>
  <c r="C1627" i="9"/>
  <c r="C1626" i="9"/>
  <c r="C1625" i="9"/>
  <c r="C1624" i="9"/>
  <c r="C1623" i="9"/>
  <c r="C1622" i="9"/>
  <c r="C1621" i="9"/>
  <c r="C1620" i="9"/>
  <c r="C1619" i="9"/>
  <c r="C1618" i="9"/>
  <c r="C1617" i="9"/>
  <c r="C1616" i="9"/>
  <c r="C1615" i="9"/>
  <c r="C1614" i="9"/>
  <c r="C1613" i="9"/>
  <c r="C1612" i="9"/>
  <c r="C1611" i="9"/>
  <c r="C1610" i="9"/>
  <c r="C1609" i="9"/>
  <c r="C1608" i="9"/>
  <c r="C1607" i="9"/>
  <c r="C1606" i="9"/>
  <c r="C1605" i="9"/>
  <c r="C1604" i="9"/>
  <c r="C1603" i="9"/>
  <c r="C1602" i="9"/>
  <c r="C1601" i="9"/>
  <c r="C1600" i="9"/>
  <c r="C1599" i="9"/>
  <c r="C1598" i="9"/>
  <c r="C1597" i="9"/>
  <c r="C1596" i="9"/>
  <c r="C1595" i="9"/>
  <c r="C1594" i="9"/>
  <c r="C1593" i="9"/>
  <c r="C1592" i="9"/>
  <c r="C1591" i="9"/>
  <c r="C1590" i="9"/>
  <c r="C1589" i="9"/>
  <c r="C1588" i="9"/>
  <c r="C1587" i="9"/>
  <c r="C1586" i="9"/>
  <c r="C1585" i="9"/>
  <c r="C1584" i="9"/>
  <c r="C1583" i="9"/>
  <c r="C1582" i="9"/>
  <c r="C1581" i="9"/>
  <c r="C1580" i="9"/>
  <c r="C1579" i="9"/>
  <c r="C1578" i="9"/>
  <c r="C1577" i="9"/>
  <c r="C1576" i="9"/>
  <c r="C1575" i="9"/>
  <c r="C1574" i="9"/>
  <c r="C1573" i="9"/>
  <c r="C1572" i="9"/>
  <c r="C1571" i="9"/>
  <c r="C1570" i="9"/>
  <c r="C1569" i="9"/>
  <c r="C1568" i="9"/>
  <c r="C1567" i="9"/>
  <c r="C1566" i="9"/>
  <c r="C1565" i="9"/>
  <c r="C1564" i="9"/>
  <c r="C1563" i="9"/>
  <c r="C1562" i="9"/>
  <c r="C1561" i="9"/>
  <c r="C1560" i="9"/>
  <c r="C1559" i="9"/>
  <c r="C1558" i="9"/>
  <c r="C1557" i="9"/>
  <c r="C1556" i="9"/>
  <c r="C1555" i="9"/>
  <c r="C1554" i="9"/>
  <c r="C1553" i="9"/>
  <c r="C1552" i="9"/>
  <c r="C1551" i="9"/>
  <c r="C1550" i="9"/>
  <c r="C1549" i="9"/>
  <c r="C1548" i="9"/>
  <c r="C1547" i="9"/>
  <c r="C1546" i="9"/>
  <c r="C1545" i="9"/>
  <c r="C1544" i="9"/>
  <c r="C1543" i="9"/>
  <c r="C1542" i="9"/>
  <c r="C1541" i="9"/>
  <c r="C1540" i="9"/>
  <c r="C1539" i="9"/>
  <c r="C1538" i="9"/>
  <c r="C1537" i="9"/>
  <c r="C1536" i="9"/>
  <c r="C1535" i="9"/>
  <c r="C1534" i="9"/>
  <c r="C1533" i="9"/>
  <c r="C1532" i="9"/>
  <c r="C1531" i="9"/>
  <c r="C1530" i="9"/>
  <c r="C1529" i="9"/>
  <c r="C1528" i="9"/>
  <c r="C1527" i="9"/>
  <c r="C1526" i="9"/>
  <c r="C1525" i="9"/>
  <c r="C1524" i="9"/>
  <c r="C1523" i="9"/>
  <c r="C1522" i="9"/>
  <c r="C1521" i="9"/>
  <c r="C1520" i="9"/>
  <c r="C1519" i="9"/>
  <c r="C1518" i="9"/>
  <c r="C1517" i="9"/>
  <c r="C1516" i="9"/>
  <c r="C1515" i="9"/>
  <c r="C1514" i="9"/>
  <c r="C1513" i="9"/>
  <c r="C1512" i="9"/>
  <c r="C1511" i="9"/>
  <c r="C1510" i="9"/>
  <c r="C1509" i="9"/>
  <c r="C1508" i="9"/>
  <c r="C1507" i="9"/>
  <c r="C1506" i="9"/>
  <c r="C1505" i="9"/>
  <c r="C1504" i="9"/>
  <c r="C1503" i="9"/>
  <c r="C1502" i="9"/>
  <c r="C1501" i="9"/>
  <c r="C1500" i="9"/>
  <c r="C1499" i="9"/>
  <c r="C1498" i="9"/>
  <c r="C1497" i="9"/>
  <c r="C1496" i="9"/>
  <c r="C1495" i="9"/>
  <c r="C1494" i="9"/>
  <c r="C1493" i="9"/>
  <c r="C1492" i="9"/>
  <c r="C1491" i="9"/>
  <c r="C1490" i="9"/>
  <c r="C1489" i="9"/>
  <c r="C1488" i="9"/>
  <c r="C1487" i="9"/>
  <c r="C1486" i="9"/>
  <c r="C1485" i="9"/>
  <c r="C1484" i="9"/>
  <c r="C1483" i="9"/>
  <c r="C1482" i="9"/>
  <c r="C1481" i="9"/>
  <c r="C1480" i="9"/>
  <c r="C1479" i="9"/>
  <c r="C1478" i="9"/>
  <c r="C1477" i="9"/>
  <c r="C1476" i="9"/>
  <c r="C1475" i="9"/>
  <c r="C1474" i="9"/>
  <c r="C1473" i="9"/>
  <c r="C1472" i="9"/>
  <c r="C1471" i="9"/>
  <c r="C1470" i="9"/>
  <c r="C1469" i="9"/>
  <c r="C1468" i="9"/>
  <c r="C1467" i="9"/>
  <c r="C1466" i="9"/>
  <c r="C1465" i="9"/>
  <c r="C1464" i="9"/>
  <c r="C1463" i="9"/>
  <c r="C1462" i="9"/>
  <c r="C1461" i="9"/>
  <c r="C1460" i="9"/>
  <c r="C1459" i="9"/>
  <c r="C1458" i="9"/>
  <c r="C1457" i="9"/>
  <c r="C1456" i="9"/>
  <c r="C1455" i="9"/>
  <c r="C1454" i="9"/>
  <c r="C1453" i="9"/>
  <c r="C1452" i="9"/>
  <c r="C1451" i="9"/>
  <c r="C1450" i="9"/>
  <c r="C1449" i="9"/>
  <c r="C1448" i="9"/>
  <c r="C1447" i="9"/>
  <c r="C1446" i="9"/>
  <c r="C1445" i="9"/>
  <c r="C1444" i="9"/>
  <c r="C1443" i="9"/>
  <c r="C1442" i="9"/>
  <c r="C1441" i="9"/>
  <c r="C1440" i="9"/>
  <c r="C1439" i="9"/>
  <c r="C1438" i="9"/>
  <c r="C1437" i="9"/>
  <c r="C1436" i="9"/>
  <c r="C1435" i="9"/>
  <c r="C1434" i="9"/>
  <c r="C1433" i="9"/>
  <c r="C1432" i="9"/>
  <c r="C1431" i="9"/>
  <c r="C1430" i="9"/>
  <c r="C1429" i="9"/>
  <c r="C1428" i="9"/>
  <c r="C1427" i="9"/>
  <c r="C1426" i="9"/>
  <c r="C1425" i="9"/>
  <c r="C1424" i="9"/>
  <c r="C1423" i="9"/>
  <c r="C1422" i="9"/>
  <c r="C1421" i="9"/>
  <c r="C1420" i="9"/>
  <c r="C1419" i="9"/>
  <c r="C1418" i="9"/>
  <c r="C1417" i="9"/>
  <c r="C1416" i="9"/>
  <c r="C1415" i="9"/>
  <c r="C1414" i="9"/>
  <c r="C1413" i="9"/>
  <c r="C1412" i="9"/>
  <c r="C1411" i="9"/>
  <c r="C1410" i="9"/>
  <c r="C1409" i="9"/>
  <c r="C1408" i="9"/>
  <c r="C1407" i="9"/>
  <c r="C1406" i="9"/>
  <c r="C1405" i="9"/>
  <c r="C1404" i="9"/>
  <c r="C1403" i="9"/>
  <c r="C1402" i="9"/>
  <c r="C1401" i="9"/>
  <c r="C1400" i="9"/>
  <c r="C1399" i="9"/>
  <c r="C1398" i="9"/>
  <c r="C1397" i="9"/>
  <c r="C1396" i="9"/>
  <c r="C1395" i="9"/>
  <c r="C1394" i="9"/>
  <c r="C1393" i="9"/>
  <c r="C1392" i="9"/>
  <c r="C1391" i="9"/>
  <c r="C1390" i="9"/>
  <c r="C1389" i="9"/>
  <c r="C1388" i="9"/>
  <c r="C1387" i="9"/>
  <c r="C1386" i="9"/>
  <c r="C1385" i="9"/>
  <c r="C1384" i="9"/>
  <c r="C1383" i="9"/>
  <c r="C1382" i="9"/>
  <c r="C1381" i="9"/>
  <c r="C1380" i="9"/>
  <c r="C1379" i="9"/>
  <c r="C1378" i="9"/>
  <c r="C1377" i="9"/>
  <c r="C1376" i="9"/>
  <c r="C1375" i="9"/>
  <c r="C1374" i="9"/>
  <c r="C1373" i="9"/>
  <c r="C1372" i="9"/>
  <c r="C1371" i="9"/>
  <c r="C1370" i="9"/>
  <c r="C1369" i="9"/>
  <c r="C1368" i="9"/>
  <c r="C1367" i="9"/>
  <c r="C1366" i="9"/>
  <c r="C1365" i="9"/>
  <c r="C1364" i="9"/>
  <c r="C1363" i="9"/>
  <c r="C1362" i="9"/>
  <c r="C1361" i="9"/>
  <c r="C1360" i="9"/>
  <c r="C1359" i="9"/>
  <c r="C1358" i="9"/>
  <c r="C1357" i="9"/>
  <c r="C1356" i="9"/>
  <c r="C1355" i="9"/>
  <c r="C1354" i="9"/>
  <c r="C1353" i="9"/>
  <c r="C1352" i="9"/>
  <c r="C1351" i="9"/>
  <c r="C1350" i="9"/>
  <c r="C1349" i="9"/>
  <c r="C1348" i="9"/>
  <c r="C1347" i="9"/>
  <c r="C1346" i="9"/>
  <c r="C1345" i="9"/>
  <c r="C1344" i="9"/>
  <c r="C1343" i="9"/>
  <c r="C1342" i="9"/>
  <c r="C1341" i="9"/>
  <c r="C1340" i="9"/>
  <c r="C1339" i="9"/>
  <c r="C1338" i="9"/>
  <c r="C1337" i="9"/>
  <c r="C1336" i="9"/>
  <c r="C1335" i="9"/>
  <c r="C1334" i="9"/>
  <c r="C1333" i="9"/>
  <c r="C1332" i="9"/>
  <c r="C1331" i="9"/>
  <c r="C1330" i="9"/>
  <c r="C1329" i="9"/>
  <c r="C1328" i="9"/>
  <c r="C1327" i="9"/>
  <c r="C1326" i="9"/>
  <c r="C1325" i="9"/>
  <c r="C1324" i="9"/>
  <c r="C1323" i="9"/>
  <c r="C1322" i="9"/>
  <c r="C1321" i="9"/>
  <c r="C1320" i="9"/>
  <c r="C1319" i="9"/>
  <c r="C1318" i="9"/>
  <c r="C1317" i="9"/>
  <c r="C1316" i="9"/>
  <c r="C1315" i="9"/>
  <c r="C1314" i="9"/>
  <c r="C1313" i="9"/>
  <c r="C1312" i="9"/>
  <c r="C1311" i="9"/>
  <c r="C1310" i="9"/>
  <c r="C1309" i="9"/>
  <c r="C1308" i="9"/>
  <c r="C1307" i="9"/>
  <c r="C1306" i="9"/>
  <c r="C1305" i="9"/>
  <c r="C1304" i="9"/>
  <c r="C1303" i="9"/>
  <c r="C1302" i="9"/>
  <c r="C1301" i="9"/>
  <c r="C1300" i="9"/>
  <c r="C1299" i="9"/>
  <c r="C1298" i="9"/>
  <c r="C1297" i="9"/>
  <c r="C1296" i="9"/>
  <c r="C1295" i="9"/>
  <c r="C1294" i="9"/>
  <c r="C1293" i="9"/>
  <c r="C1292" i="9"/>
  <c r="C1291" i="9"/>
  <c r="C1290" i="9"/>
  <c r="C1289" i="9"/>
  <c r="C1288" i="9"/>
  <c r="C1287" i="9"/>
  <c r="C1286" i="9"/>
  <c r="C1285" i="9"/>
  <c r="C1284" i="9"/>
  <c r="C1283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K5" i="9"/>
  <c r="C5" i="9"/>
  <c r="C1733" i="8"/>
  <c r="C1732" i="8"/>
  <c r="C1731" i="8"/>
  <c r="C1730" i="8"/>
  <c r="C1729" i="8"/>
  <c r="C1728" i="8"/>
  <c r="C1727" i="8"/>
  <c r="C1726" i="8"/>
  <c r="C1725" i="8"/>
  <c r="C1724" i="8"/>
  <c r="C1723" i="8"/>
  <c r="C1722" i="8"/>
  <c r="C1721" i="8"/>
  <c r="C1720" i="8"/>
  <c r="C1719" i="8"/>
  <c r="C1718" i="8"/>
  <c r="C1717" i="8"/>
  <c r="C1716" i="8"/>
  <c r="C1715" i="8"/>
  <c r="C1714" i="8"/>
  <c r="C1713" i="8"/>
  <c r="C1712" i="8"/>
  <c r="C1711" i="8"/>
  <c r="C1710" i="8"/>
  <c r="C1709" i="8"/>
  <c r="C1708" i="8"/>
  <c r="C1707" i="8"/>
  <c r="C1706" i="8"/>
  <c r="C1705" i="8"/>
  <c r="C1704" i="8"/>
  <c r="C1703" i="8"/>
  <c r="C1702" i="8"/>
  <c r="C1701" i="8"/>
  <c r="C1700" i="8"/>
  <c r="C1699" i="8"/>
  <c r="C1698" i="8"/>
  <c r="C1697" i="8"/>
  <c r="C1696" i="8"/>
  <c r="C1695" i="8"/>
  <c r="C1694" i="8"/>
  <c r="C1693" i="8"/>
  <c r="C1692" i="8"/>
  <c r="C1691" i="8"/>
  <c r="C1690" i="8"/>
  <c r="C1689" i="8"/>
  <c r="C1688" i="8"/>
  <c r="C1687" i="8"/>
  <c r="C1686" i="8"/>
  <c r="C1685" i="8"/>
  <c r="C1684" i="8"/>
  <c r="C1683" i="8"/>
  <c r="C1682" i="8"/>
  <c r="C1681" i="8"/>
  <c r="C1680" i="8"/>
  <c r="C1679" i="8"/>
  <c r="C1678" i="8"/>
  <c r="C1677" i="8"/>
  <c r="C1676" i="8"/>
  <c r="C1675" i="8"/>
  <c r="C1674" i="8"/>
  <c r="C1673" i="8"/>
  <c r="C1672" i="8"/>
  <c r="C1671" i="8"/>
  <c r="C1670" i="8"/>
  <c r="C1669" i="8"/>
  <c r="C1668" i="8"/>
  <c r="C1667" i="8"/>
  <c r="C1666" i="8"/>
  <c r="C1665" i="8"/>
  <c r="C1664" i="8"/>
  <c r="C1663" i="8"/>
  <c r="C1662" i="8"/>
  <c r="C1661" i="8"/>
  <c r="C1660" i="8"/>
  <c r="C1659" i="8"/>
  <c r="C1658" i="8"/>
  <c r="C1657" i="8"/>
  <c r="C1656" i="8"/>
  <c r="C1655" i="8"/>
  <c r="C1654" i="8"/>
  <c r="C1653" i="8"/>
  <c r="C1652" i="8"/>
  <c r="C1651" i="8"/>
  <c r="C1650" i="8"/>
  <c r="C1649" i="8"/>
  <c r="C1648" i="8"/>
  <c r="C1647" i="8"/>
  <c r="C1646" i="8"/>
  <c r="C1645" i="8"/>
  <c r="C1644" i="8"/>
  <c r="C1643" i="8"/>
  <c r="C1642" i="8"/>
  <c r="C1641" i="8"/>
  <c r="C1640" i="8"/>
  <c r="C1639" i="8"/>
  <c r="C1638" i="8"/>
  <c r="C1637" i="8"/>
  <c r="C1636" i="8"/>
  <c r="C1635" i="8"/>
  <c r="C1634" i="8"/>
  <c r="C1633" i="8"/>
  <c r="C1632" i="8"/>
  <c r="C1631" i="8"/>
  <c r="C1630" i="8"/>
  <c r="C1629" i="8"/>
  <c r="C1628" i="8"/>
  <c r="C1627" i="8"/>
  <c r="C1626" i="8"/>
  <c r="C1625" i="8"/>
  <c r="C1624" i="8"/>
  <c r="C1623" i="8"/>
  <c r="C1622" i="8"/>
  <c r="C1621" i="8"/>
  <c r="C1620" i="8"/>
  <c r="C1619" i="8"/>
  <c r="C1618" i="8"/>
  <c r="C1617" i="8"/>
  <c r="C1616" i="8"/>
  <c r="C1615" i="8"/>
  <c r="C1614" i="8"/>
  <c r="C1613" i="8"/>
  <c r="C1612" i="8"/>
  <c r="C1611" i="8"/>
  <c r="C1610" i="8"/>
  <c r="C1609" i="8"/>
  <c r="C1608" i="8"/>
  <c r="C1607" i="8"/>
  <c r="C1606" i="8"/>
  <c r="C1605" i="8"/>
  <c r="C1604" i="8"/>
  <c r="C1603" i="8"/>
  <c r="C1602" i="8"/>
  <c r="C1601" i="8"/>
  <c r="C1600" i="8"/>
  <c r="C1599" i="8"/>
  <c r="C1598" i="8"/>
  <c r="C1597" i="8"/>
  <c r="C1596" i="8"/>
  <c r="C1595" i="8"/>
  <c r="C1594" i="8"/>
  <c r="C1593" i="8"/>
  <c r="C1592" i="8"/>
  <c r="C1591" i="8"/>
  <c r="C1590" i="8"/>
  <c r="C1589" i="8"/>
  <c r="C1588" i="8"/>
  <c r="C1587" i="8"/>
  <c r="C1586" i="8"/>
  <c r="C1585" i="8"/>
  <c r="C1584" i="8"/>
  <c r="C1583" i="8"/>
  <c r="C1582" i="8"/>
  <c r="C1581" i="8"/>
  <c r="C1580" i="8"/>
  <c r="C1579" i="8"/>
  <c r="C1578" i="8"/>
  <c r="C1577" i="8"/>
  <c r="C1576" i="8"/>
  <c r="C1575" i="8"/>
  <c r="C1574" i="8"/>
  <c r="C1573" i="8"/>
  <c r="C1572" i="8"/>
  <c r="C1571" i="8"/>
  <c r="C1570" i="8"/>
  <c r="C1569" i="8"/>
  <c r="C1568" i="8"/>
  <c r="C1567" i="8"/>
  <c r="C1566" i="8"/>
  <c r="C1565" i="8"/>
  <c r="C1564" i="8"/>
  <c r="C1563" i="8"/>
  <c r="C1562" i="8"/>
  <c r="C1561" i="8"/>
  <c r="C1560" i="8"/>
  <c r="C1559" i="8"/>
  <c r="C1558" i="8"/>
  <c r="C1557" i="8"/>
  <c r="C1556" i="8"/>
  <c r="C1555" i="8"/>
  <c r="C1554" i="8"/>
  <c r="C1553" i="8"/>
  <c r="C1552" i="8"/>
  <c r="C1551" i="8"/>
  <c r="C1550" i="8"/>
  <c r="C1549" i="8"/>
  <c r="C1548" i="8"/>
  <c r="C1547" i="8"/>
  <c r="C1546" i="8"/>
  <c r="C1545" i="8"/>
  <c r="C1544" i="8"/>
  <c r="C1543" i="8"/>
  <c r="C1542" i="8"/>
  <c r="C1541" i="8"/>
  <c r="C1540" i="8"/>
  <c r="C1539" i="8"/>
  <c r="C1538" i="8"/>
  <c r="C1537" i="8"/>
  <c r="C1536" i="8"/>
  <c r="C1535" i="8"/>
  <c r="C1534" i="8"/>
  <c r="C1533" i="8"/>
  <c r="C1532" i="8"/>
  <c r="C1531" i="8"/>
  <c r="C1530" i="8"/>
  <c r="C1529" i="8"/>
  <c r="C1528" i="8"/>
  <c r="C1527" i="8"/>
  <c r="C1526" i="8"/>
  <c r="C1525" i="8"/>
  <c r="C1524" i="8"/>
  <c r="C1523" i="8"/>
  <c r="C1522" i="8"/>
  <c r="C1521" i="8"/>
  <c r="C1520" i="8"/>
  <c r="C1519" i="8"/>
  <c r="C1518" i="8"/>
  <c r="C1517" i="8"/>
  <c r="C1516" i="8"/>
  <c r="C1515" i="8"/>
  <c r="C1514" i="8"/>
  <c r="C1513" i="8"/>
  <c r="C1512" i="8"/>
  <c r="C1511" i="8"/>
  <c r="C1510" i="8"/>
  <c r="C1509" i="8"/>
  <c r="C1508" i="8"/>
  <c r="C1507" i="8"/>
  <c r="C1506" i="8"/>
  <c r="C1505" i="8"/>
  <c r="C1504" i="8"/>
  <c r="C1503" i="8"/>
  <c r="C1502" i="8"/>
  <c r="C1501" i="8"/>
  <c r="C1500" i="8"/>
  <c r="C1499" i="8"/>
  <c r="C1498" i="8"/>
  <c r="C1497" i="8"/>
  <c r="C1496" i="8"/>
  <c r="C1495" i="8"/>
  <c r="C1494" i="8"/>
  <c r="C1493" i="8"/>
  <c r="C1492" i="8"/>
  <c r="C1491" i="8"/>
  <c r="C1490" i="8"/>
  <c r="C1489" i="8"/>
  <c r="C1488" i="8"/>
  <c r="C1487" i="8"/>
  <c r="C1486" i="8"/>
  <c r="C1485" i="8"/>
  <c r="C1484" i="8"/>
  <c r="C1483" i="8"/>
  <c r="C1482" i="8"/>
  <c r="C1481" i="8"/>
  <c r="C1480" i="8"/>
  <c r="C1479" i="8"/>
  <c r="C1478" i="8"/>
  <c r="C1477" i="8"/>
  <c r="C1476" i="8"/>
  <c r="C1475" i="8"/>
  <c r="C1474" i="8"/>
  <c r="C1473" i="8"/>
  <c r="C1472" i="8"/>
  <c r="C1471" i="8"/>
  <c r="C1470" i="8"/>
  <c r="C1469" i="8"/>
  <c r="C1468" i="8"/>
  <c r="C1467" i="8"/>
  <c r="C1466" i="8"/>
  <c r="C1465" i="8"/>
  <c r="C1464" i="8"/>
  <c r="C1463" i="8"/>
  <c r="C1462" i="8"/>
  <c r="C1461" i="8"/>
  <c r="C1460" i="8"/>
  <c r="C1459" i="8"/>
  <c r="C1458" i="8"/>
  <c r="C1457" i="8"/>
  <c r="C1456" i="8"/>
  <c r="C1455" i="8"/>
  <c r="C1454" i="8"/>
  <c r="C1453" i="8"/>
  <c r="C1452" i="8"/>
  <c r="C1451" i="8"/>
  <c r="C1450" i="8"/>
  <c r="C1449" i="8"/>
  <c r="C1448" i="8"/>
  <c r="C1447" i="8"/>
  <c r="C1446" i="8"/>
  <c r="C1445" i="8"/>
  <c r="C1444" i="8"/>
  <c r="C1443" i="8"/>
  <c r="C1442" i="8"/>
  <c r="C1441" i="8"/>
  <c r="C1440" i="8"/>
  <c r="C1439" i="8"/>
  <c r="C1438" i="8"/>
  <c r="C1437" i="8"/>
  <c r="C1436" i="8"/>
  <c r="C1435" i="8"/>
  <c r="C1434" i="8"/>
  <c r="C1433" i="8"/>
  <c r="C1432" i="8"/>
  <c r="C1431" i="8"/>
  <c r="C1430" i="8"/>
  <c r="C1429" i="8"/>
  <c r="C1428" i="8"/>
  <c r="C1427" i="8"/>
  <c r="C1426" i="8"/>
  <c r="C1425" i="8"/>
  <c r="C1424" i="8"/>
  <c r="C1423" i="8"/>
  <c r="C1422" i="8"/>
  <c r="C1421" i="8"/>
  <c r="C1420" i="8"/>
  <c r="C1419" i="8"/>
  <c r="C1418" i="8"/>
  <c r="C1417" i="8"/>
  <c r="C1416" i="8"/>
  <c r="C1415" i="8"/>
  <c r="C1414" i="8"/>
  <c r="C1413" i="8"/>
  <c r="C1412" i="8"/>
  <c r="C1411" i="8"/>
  <c r="C1410" i="8"/>
  <c r="C1409" i="8"/>
  <c r="C1408" i="8"/>
  <c r="C1407" i="8"/>
  <c r="C1406" i="8"/>
  <c r="C1405" i="8"/>
  <c r="C1404" i="8"/>
  <c r="C1403" i="8"/>
  <c r="C1402" i="8"/>
  <c r="C1401" i="8"/>
  <c r="C1400" i="8"/>
  <c r="C1399" i="8"/>
  <c r="C1398" i="8"/>
  <c r="C1397" i="8"/>
  <c r="C1396" i="8"/>
  <c r="C1395" i="8"/>
  <c r="C1394" i="8"/>
  <c r="C1393" i="8"/>
  <c r="C1392" i="8"/>
  <c r="C1391" i="8"/>
  <c r="C1390" i="8"/>
  <c r="C1389" i="8"/>
  <c r="C1388" i="8"/>
  <c r="C1387" i="8"/>
  <c r="C1386" i="8"/>
  <c r="C1385" i="8"/>
  <c r="C1384" i="8"/>
  <c r="C1383" i="8"/>
  <c r="C1382" i="8"/>
  <c r="C1381" i="8"/>
  <c r="C1380" i="8"/>
  <c r="C1379" i="8"/>
  <c r="C1378" i="8"/>
  <c r="C1377" i="8"/>
  <c r="C1376" i="8"/>
  <c r="C1375" i="8"/>
  <c r="C1374" i="8"/>
  <c r="C1373" i="8"/>
  <c r="C1372" i="8"/>
  <c r="C1371" i="8"/>
  <c r="C1370" i="8"/>
  <c r="C1369" i="8"/>
  <c r="C1368" i="8"/>
  <c r="C1367" i="8"/>
  <c r="C1366" i="8"/>
  <c r="C1365" i="8"/>
  <c r="C1364" i="8"/>
  <c r="C1363" i="8"/>
  <c r="C1362" i="8"/>
  <c r="C1361" i="8"/>
  <c r="C1360" i="8"/>
  <c r="C1359" i="8"/>
  <c r="C1358" i="8"/>
  <c r="C1357" i="8"/>
  <c r="C1356" i="8"/>
  <c r="C1355" i="8"/>
  <c r="C1354" i="8"/>
  <c r="C1353" i="8"/>
  <c r="C1352" i="8"/>
  <c r="C1351" i="8"/>
  <c r="C1350" i="8"/>
  <c r="C1349" i="8"/>
  <c r="C1348" i="8"/>
  <c r="C1347" i="8"/>
  <c r="C1346" i="8"/>
  <c r="C1345" i="8"/>
  <c r="C1344" i="8"/>
  <c r="C1343" i="8"/>
  <c r="C1342" i="8"/>
  <c r="C1341" i="8"/>
  <c r="C1340" i="8"/>
  <c r="C1339" i="8"/>
  <c r="C1338" i="8"/>
  <c r="C1337" i="8"/>
  <c r="C1336" i="8"/>
  <c r="C1335" i="8"/>
  <c r="C1334" i="8"/>
  <c r="C1333" i="8"/>
  <c r="C1332" i="8"/>
  <c r="C1331" i="8"/>
  <c r="C1330" i="8"/>
  <c r="C1329" i="8"/>
  <c r="C1328" i="8"/>
  <c r="C1327" i="8"/>
  <c r="C1326" i="8"/>
  <c r="C1325" i="8"/>
  <c r="C1324" i="8"/>
  <c r="C1323" i="8"/>
  <c r="C1322" i="8"/>
  <c r="C1321" i="8"/>
  <c r="C1320" i="8"/>
  <c r="C1319" i="8"/>
  <c r="C1318" i="8"/>
  <c r="C1317" i="8"/>
  <c r="C1316" i="8"/>
  <c r="C1315" i="8"/>
  <c r="C1314" i="8"/>
  <c r="C1313" i="8"/>
  <c r="C1312" i="8"/>
  <c r="C1311" i="8"/>
  <c r="C1310" i="8"/>
  <c r="C1309" i="8"/>
  <c r="C1308" i="8"/>
  <c r="C1307" i="8"/>
  <c r="C1306" i="8"/>
  <c r="C1305" i="8"/>
  <c r="C1304" i="8"/>
  <c r="C1303" i="8"/>
  <c r="C1302" i="8"/>
  <c r="C1301" i="8"/>
  <c r="C1300" i="8"/>
  <c r="C1299" i="8"/>
  <c r="C1298" i="8"/>
  <c r="C1297" i="8"/>
  <c r="C1296" i="8"/>
  <c r="C1295" i="8"/>
  <c r="C1294" i="8"/>
  <c r="C1293" i="8"/>
  <c r="C1292" i="8"/>
  <c r="C1291" i="8"/>
  <c r="C1290" i="8"/>
  <c r="C1289" i="8"/>
  <c r="C1288" i="8"/>
  <c r="C1287" i="8"/>
  <c r="C1286" i="8"/>
  <c r="C1285" i="8"/>
  <c r="C1284" i="8"/>
  <c r="C1283" i="8"/>
  <c r="C1282" i="8"/>
  <c r="C1281" i="8"/>
  <c r="C1280" i="8"/>
  <c r="C1279" i="8"/>
  <c r="C1278" i="8"/>
  <c r="C1277" i="8"/>
  <c r="C1276" i="8"/>
  <c r="C1275" i="8"/>
  <c r="C1274" i="8"/>
  <c r="C1273" i="8"/>
  <c r="C1272" i="8"/>
  <c r="C1271" i="8"/>
  <c r="C1270" i="8"/>
  <c r="C1269" i="8"/>
  <c r="C1268" i="8"/>
  <c r="C1267" i="8"/>
  <c r="C1266" i="8"/>
  <c r="C1265" i="8"/>
  <c r="C1264" i="8"/>
  <c r="C1263" i="8"/>
  <c r="C1262" i="8"/>
  <c r="C1261" i="8"/>
  <c r="C1260" i="8"/>
  <c r="C1259" i="8"/>
  <c r="C1258" i="8"/>
  <c r="C1257" i="8"/>
  <c r="C1256" i="8"/>
  <c r="C1255" i="8"/>
  <c r="C1254" i="8"/>
  <c r="C1253" i="8"/>
  <c r="C1252" i="8"/>
  <c r="C1251" i="8"/>
  <c r="C1250" i="8"/>
  <c r="C1249" i="8"/>
  <c r="C1248" i="8"/>
  <c r="C1247" i="8"/>
  <c r="C1246" i="8"/>
  <c r="C1245" i="8"/>
  <c r="C1244" i="8"/>
  <c r="C1243" i="8"/>
  <c r="C1242" i="8"/>
  <c r="C1241" i="8"/>
  <c r="C1240" i="8"/>
  <c r="C1239" i="8"/>
  <c r="C1238" i="8"/>
  <c r="C1237" i="8"/>
  <c r="C1236" i="8"/>
  <c r="C1235" i="8"/>
  <c r="C1234" i="8"/>
  <c r="C1233" i="8"/>
  <c r="C1232" i="8"/>
  <c r="C1231" i="8"/>
  <c r="C1230" i="8"/>
  <c r="C1229" i="8"/>
  <c r="C1228" i="8"/>
  <c r="C1227" i="8"/>
  <c r="C1226" i="8"/>
  <c r="C1225" i="8"/>
  <c r="C1224" i="8"/>
  <c r="C1223" i="8"/>
  <c r="C1222" i="8"/>
  <c r="C1221" i="8"/>
  <c r="C1220" i="8"/>
  <c r="C1219" i="8"/>
  <c r="C1218" i="8"/>
  <c r="C1217" i="8"/>
  <c r="C1216" i="8"/>
  <c r="C1215" i="8"/>
  <c r="C1214" i="8"/>
  <c r="C1213" i="8"/>
  <c r="C1212" i="8"/>
  <c r="C1211" i="8"/>
  <c r="C1210" i="8"/>
  <c r="C1209" i="8"/>
  <c r="C1208" i="8"/>
  <c r="C1207" i="8"/>
  <c r="C1206" i="8"/>
  <c r="C1205" i="8"/>
  <c r="C1204" i="8"/>
  <c r="C1203" i="8"/>
  <c r="C1202" i="8"/>
  <c r="C1201" i="8"/>
  <c r="C1200" i="8"/>
  <c r="C1199" i="8"/>
  <c r="C1198" i="8"/>
  <c r="C1197" i="8"/>
  <c r="C1196" i="8"/>
  <c r="C1195" i="8"/>
  <c r="C1194" i="8"/>
  <c r="C1193" i="8"/>
  <c r="C1192" i="8"/>
  <c r="C1191" i="8"/>
  <c r="C1190" i="8"/>
  <c r="C1189" i="8"/>
  <c r="C1188" i="8"/>
  <c r="C1187" i="8"/>
  <c r="C1186" i="8"/>
  <c r="C1185" i="8"/>
  <c r="C1184" i="8"/>
  <c r="C1183" i="8"/>
  <c r="C1182" i="8"/>
  <c r="C1181" i="8"/>
  <c r="C1180" i="8"/>
  <c r="C1179" i="8"/>
  <c r="C1178" i="8"/>
  <c r="C1177" i="8"/>
  <c r="C1176" i="8"/>
  <c r="C1175" i="8"/>
  <c r="C1174" i="8"/>
  <c r="C1173" i="8"/>
  <c r="C1172" i="8"/>
  <c r="C1171" i="8"/>
  <c r="C1170" i="8"/>
  <c r="C1169" i="8"/>
  <c r="C1168" i="8"/>
  <c r="C1167" i="8"/>
  <c r="C1166" i="8"/>
  <c r="C1165" i="8"/>
  <c r="C1164" i="8"/>
  <c r="C1163" i="8"/>
  <c r="C1162" i="8"/>
  <c r="C1161" i="8"/>
  <c r="C1160" i="8"/>
  <c r="C1159" i="8"/>
  <c r="C1158" i="8"/>
  <c r="C1157" i="8"/>
  <c r="C1156" i="8"/>
  <c r="C1155" i="8"/>
  <c r="C1154" i="8"/>
  <c r="C1153" i="8"/>
  <c r="C1152" i="8"/>
  <c r="C1151" i="8"/>
  <c r="C1150" i="8"/>
  <c r="C1149" i="8"/>
  <c r="C1148" i="8"/>
  <c r="C1147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G738" i="8"/>
  <c r="C738" i="8"/>
  <c r="G737" i="8"/>
  <c r="C737" i="8"/>
  <c r="G736" i="8"/>
  <c r="C736" i="8"/>
  <c r="G735" i="8"/>
  <c r="C735" i="8"/>
  <c r="G734" i="8"/>
  <c r="C734" i="8"/>
  <c r="G733" i="8"/>
  <c r="C733" i="8"/>
  <c r="G732" i="8"/>
  <c r="C732" i="8"/>
  <c r="G731" i="8"/>
  <c r="C731" i="8"/>
  <c r="G730" i="8"/>
  <c r="C730" i="8"/>
  <c r="G729" i="8"/>
  <c r="C729" i="8"/>
  <c r="G728" i="8"/>
  <c r="C728" i="8"/>
  <c r="G727" i="8"/>
  <c r="C727" i="8"/>
  <c r="G726" i="8"/>
  <c r="C726" i="8"/>
  <c r="G725" i="8"/>
  <c r="C725" i="8"/>
  <c r="G724" i="8"/>
  <c r="C724" i="8"/>
  <c r="G723" i="8"/>
  <c r="C723" i="8"/>
  <c r="G722" i="8"/>
  <c r="C722" i="8"/>
  <c r="G721" i="8"/>
  <c r="C721" i="8"/>
  <c r="G720" i="8"/>
  <c r="C720" i="8"/>
  <c r="G719" i="8"/>
  <c r="C719" i="8"/>
  <c r="G718" i="8"/>
  <c r="C718" i="8"/>
  <c r="G717" i="8"/>
  <c r="C717" i="8"/>
  <c r="G716" i="8"/>
  <c r="C716" i="8"/>
  <c r="G715" i="8"/>
  <c r="C715" i="8"/>
  <c r="G714" i="8"/>
  <c r="C714" i="8"/>
  <c r="G713" i="8"/>
  <c r="C713" i="8"/>
  <c r="G712" i="8"/>
  <c r="C712" i="8"/>
  <c r="G711" i="8"/>
  <c r="C711" i="8"/>
  <c r="G710" i="8"/>
  <c r="C710" i="8"/>
  <c r="G709" i="8"/>
  <c r="C709" i="8"/>
  <c r="G708" i="8"/>
  <c r="C708" i="8"/>
  <c r="G707" i="8"/>
  <c r="C707" i="8"/>
  <c r="G706" i="8"/>
  <c r="C706" i="8"/>
  <c r="G705" i="8"/>
  <c r="C705" i="8"/>
  <c r="G704" i="8"/>
  <c r="C704" i="8"/>
  <c r="G703" i="8"/>
  <c r="C703" i="8"/>
  <c r="G702" i="8"/>
  <c r="C702" i="8"/>
  <c r="G701" i="8"/>
  <c r="C701" i="8"/>
  <c r="G700" i="8"/>
  <c r="C700" i="8"/>
  <c r="G699" i="8"/>
  <c r="C699" i="8"/>
  <c r="G698" i="8"/>
  <c r="C698" i="8"/>
  <c r="G697" i="8"/>
  <c r="C697" i="8"/>
  <c r="G696" i="8"/>
  <c r="C696" i="8"/>
  <c r="G695" i="8"/>
  <c r="C695" i="8"/>
  <c r="G694" i="8"/>
  <c r="C694" i="8"/>
  <c r="G693" i="8"/>
  <c r="C693" i="8"/>
  <c r="G692" i="8"/>
  <c r="C692" i="8"/>
  <c r="G691" i="8"/>
  <c r="C691" i="8"/>
  <c r="G690" i="8"/>
  <c r="C690" i="8"/>
  <c r="G689" i="8"/>
  <c r="C689" i="8"/>
  <c r="G688" i="8"/>
  <c r="C688" i="8"/>
  <c r="G687" i="8"/>
  <c r="C687" i="8"/>
  <c r="G686" i="8"/>
  <c r="C686" i="8"/>
  <c r="G685" i="8"/>
  <c r="C685" i="8"/>
  <c r="G684" i="8"/>
  <c r="C684" i="8"/>
  <c r="G683" i="8"/>
  <c r="C683" i="8"/>
  <c r="G682" i="8"/>
  <c r="C682" i="8"/>
  <c r="G681" i="8"/>
  <c r="C681" i="8"/>
  <c r="G680" i="8"/>
  <c r="C680" i="8"/>
  <c r="G679" i="8"/>
  <c r="C679" i="8"/>
  <c r="G678" i="8"/>
  <c r="C678" i="8"/>
  <c r="G677" i="8"/>
  <c r="C677" i="8"/>
  <c r="G676" i="8"/>
  <c r="C676" i="8"/>
  <c r="G675" i="8"/>
  <c r="C675" i="8"/>
  <c r="G674" i="8"/>
  <c r="C674" i="8"/>
  <c r="G673" i="8"/>
  <c r="C673" i="8"/>
  <c r="G672" i="8"/>
  <c r="C672" i="8"/>
  <c r="G671" i="8"/>
  <c r="C671" i="8"/>
  <c r="G670" i="8"/>
  <c r="C670" i="8"/>
  <c r="G669" i="8"/>
  <c r="C669" i="8"/>
  <c r="G668" i="8"/>
  <c r="C668" i="8"/>
  <c r="G667" i="8"/>
  <c r="C667" i="8"/>
  <c r="G666" i="8"/>
  <c r="C666" i="8"/>
  <c r="G665" i="8"/>
  <c r="C665" i="8"/>
  <c r="G664" i="8"/>
  <c r="C664" i="8"/>
  <c r="G663" i="8"/>
  <c r="C663" i="8"/>
  <c r="G662" i="8"/>
  <c r="C662" i="8"/>
  <c r="G661" i="8"/>
  <c r="C661" i="8"/>
  <c r="G660" i="8"/>
  <c r="C660" i="8"/>
  <c r="G659" i="8"/>
  <c r="C659" i="8"/>
  <c r="G658" i="8"/>
  <c r="C658" i="8"/>
  <c r="G657" i="8"/>
  <c r="C657" i="8"/>
  <c r="G656" i="8"/>
  <c r="C656" i="8"/>
  <c r="G655" i="8"/>
  <c r="C655" i="8"/>
  <c r="G654" i="8"/>
  <c r="C654" i="8"/>
  <c r="G653" i="8"/>
  <c r="C653" i="8"/>
  <c r="G652" i="8"/>
  <c r="C652" i="8"/>
  <c r="G651" i="8"/>
  <c r="C651" i="8"/>
  <c r="G650" i="8"/>
  <c r="C650" i="8"/>
  <c r="G649" i="8"/>
  <c r="C649" i="8"/>
  <c r="G648" i="8"/>
  <c r="C648" i="8"/>
  <c r="G647" i="8"/>
  <c r="C647" i="8"/>
  <c r="G646" i="8"/>
  <c r="C646" i="8"/>
  <c r="G645" i="8"/>
  <c r="C645" i="8"/>
  <c r="G644" i="8"/>
  <c r="C644" i="8"/>
  <c r="G643" i="8"/>
  <c r="C643" i="8"/>
  <c r="G642" i="8"/>
  <c r="C642" i="8"/>
  <c r="G641" i="8"/>
  <c r="C641" i="8"/>
  <c r="G640" i="8"/>
  <c r="C640" i="8"/>
  <c r="G639" i="8"/>
  <c r="C639" i="8"/>
  <c r="G638" i="8"/>
  <c r="C638" i="8"/>
  <c r="G637" i="8"/>
  <c r="C637" i="8"/>
  <c r="G636" i="8"/>
  <c r="C636" i="8"/>
  <c r="G635" i="8"/>
  <c r="C635" i="8"/>
  <c r="G634" i="8"/>
  <c r="C634" i="8"/>
  <c r="G633" i="8"/>
  <c r="C633" i="8"/>
  <c r="G632" i="8"/>
  <c r="C632" i="8"/>
  <c r="G631" i="8"/>
  <c r="C631" i="8"/>
  <c r="G630" i="8"/>
  <c r="C630" i="8"/>
  <c r="G629" i="8"/>
  <c r="C629" i="8"/>
  <c r="G628" i="8"/>
  <c r="C628" i="8"/>
  <c r="G627" i="8"/>
  <c r="C627" i="8"/>
  <c r="G626" i="8"/>
  <c r="C626" i="8"/>
  <c r="G625" i="8"/>
  <c r="C625" i="8"/>
  <c r="G624" i="8"/>
  <c r="C624" i="8"/>
  <c r="G623" i="8"/>
  <c r="C623" i="8"/>
  <c r="G622" i="8"/>
  <c r="C622" i="8"/>
  <c r="G621" i="8"/>
  <c r="C621" i="8"/>
  <c r="G620" i="8"/>
  <c r="C620" i="8"/>
  <c r="G619" i="8"/>
  <c r="C619" i="8"/>
  <c r="G618" i="8"/>
  <c r="C618" i="8"/>
  <c r="G617" i="8"/>
  <c r="C617" i="8"/>
  <c r="G616" i="8"/>
  <c r="C616" i="8"/>
  <c r="G615" i="8"/>
  <c r="C615" i="8"/>
  <c r="G614" i="8"/>
  <c r="C614" i="8"/>
  <c r="G613" i="8"/>
  <c r="C613" i="8"/>
  <c r="G612" i="8"/>
  <c r="C612" i="8"/>
  <c r="G611" i="8"/>
  <c r="C611" i="8"/>
  <c r="G610" i="8"/>
  <c r="C610" i="8"/>
  <c r="G609" i="8"/>
  <c r="C609" i="8"/>
  <c r="G608" i="8"/>
  <c r="C608" i="8"/>
  <c r="G607" i="8"/>
  <c r="C607" i="8"/>
  <c r="G606" i="8"/>
  <c r="C606" i="8"/>
  <c r="G605" i="8"/>
  <c r="C605" i="8"/>
  <c r="G604" i="8"/>
  <c r="C604" i="8"/>
  <c r="G603" i="8"/>
  <c r="C603" i="8"/>
  <c r="G602" i="8"/>
  <c r="C602" i="8"/>
  <c r="G601" i="8"/>
  <c r="C601" i="8"/>
  <c r="G600" i="8"/>
  <c r="C600" i="8"/>
  <c r="G599" i="8"/>
  <c r="C599" i="8"/>
  <c r="G598" i="8"/>
  <c r="C598" i="8"/>
  <c r="G597" i="8"/>
  <c r="C597" i="8"/>
  <c r="G596" i="8"/>
  <c r="C596" i="8"/>
  <c r="G595" i="8"/>
  <c r="C595" i="8"/>
  <c r="G594" i="8"/>
  <c r="C594" i="8"/>
  <c r="G593" i="8"/>
  <c r="C593" i="8"/>
  <c r="G592" i="8"/>
  <c r="C592" i="8"/>
  <c r="G591" i="8"/>
  <c r="C591" i="8"/>
  <c r="G590" i="8"/>
  <c r="C590" i="8"/>
  <c r="G589" i="8"/>
  <c r="C589" i="8"/>
  <c r="G588" i="8"/>
  <c r="C588" i="8"/>
  <c r="G587" i="8"/>
  <c r="C587" i="8"/>
  <c r="G586" i="8"/>
  <c r="C586" i="8"/>
  <c r="G585" i="8"/>
  <c r="C585" i="8"/>
  <c r="G584" i="8"/>
  <c r="C584" i="8"/>
  <c r="G583" i="8"/>
  <c r="C583" i="8"/>
  <c r="G582" i="8"/>
  <c r="C582" i="8"/>
  <c r="G581" i="8"/>
  <c r="C581" i="8"/>
  <c r="G580" i="8"/>
  <c r="C580" i="8"/>
  <c r="G579" i="8"/>
  <c r="C579" i="8"/>
  <c r="G578" i="8"/>
  <c r="C578" i="8"/>
  <c r="G577" i="8"/>
  <c r="C577" i="8"/>
  <c r="G576" i="8"/>
  <c r="C576" i="8"/>
  <c r="G575" i="8"/>
  <c r="C575" i="8"/>
  <c r="G574" i="8"/>
  <c r="C574" i="8"/>
  <c r="G573" i="8"/>
  <c r="C573" i="8"/>
  <c r="G572" i="8"/>
  <c r="C572" i="8"/>
  <c r="G571" i="8"/>
  <c r="C571" i="8"/>
  <c r="G570" i="8"/>
  <c r="C570" i="8"/>
  <c r="G569" i="8"/>
  <c r="C569" i="8"/>
  <c r="G568" i="8"/>
  <c r="C568" i="8"/>
  <c r="G567" i="8"/>
  <c r="C567" i="8"/>
  <c r="G566" i="8"/>
  <c r="C566" i="8"/>
  <c r="G565" i="8"/>
  <c r="C565" i="8"/>
  <c r="G564" i="8"/>
  <c r="C564" i="8"/>
  <c r="G563" i="8"/>
  <c r="C563" i="8"/>
  <c r="G562" i="8"/>
  <c r="C562" i="8"/>
  <c r="G561" i="8"/>
  <c r="C561" i="8"/>
  <c r="G560" i="8"/>
  <c r="C560" i="8"/>
  <c r="G559" i="8"/>
  <c r="C559" i="8"/>
  <c r="G558" i="8"/>
  <c r="C558" i="8"/>
  <c r="G557" i="8"/>
  <c r="C557" i="8"/>
  <c r="G556" i="8"/>
  <c r="C556" i="8"/>
  <c r="G555" i="8"/>
  <c r="C555" i="8"/>
  <c r="G554" i="8"/>
  <c r="C554" i="8"/>
  <c r="G553" i="8"/>
  <c r="C553" i="8"/>
  <c r="G552" i="8"/>
  <c r="C552" i="8"/>
  <c r="G551" i="8"/>
  <c r="C551" i="8"/>
  <c r="G550" i="8"/>
  <c r="C550" i="8"/>
  <c r="G549" i="8"/>
  <c r="C549" i="8"/>
  <c r="G548" i="8"/>
  <c r="C548" i="8"/>
  <c r="G547" i="8"/>
  <c r="C547" i="8"/>
  <c r="G546" i="8"/>
  <c r="C546" i="8"/>
  <c r="G545" i="8"/>
  <c r="C545" i="8"/>
  <c r="G544" i="8"/>
  <c r="C544" i="8"/>
  <c r="G543" i="8"/>
  <c r="C543" i="8"/>
  <c r="G542" i="8"/>
  <c r="C542" i="8"/>
  <c r="G541" i="8"/>
  <c r="C541" i="8"/>
  <c r="G540" i="8"/>
  <c r="C540" i="8"/>
  <c r="G539" i="8"/>
  <c r="C539" i="8"/>
  <c r="G538" i="8"/>
  <c r="C538" i="8"/>
  <c r="G537" i="8"/>
  <c r="C537" i="8"/>
  <c r="G536" i="8"/>
  <c r="C536" i="8"/>
  <c r="G535" i="8"/>
  <c r="C535" i="8"/>
  <c r="G534" i="8"/>
  <c r="C534" i="8"/>
  <c r="G533" i="8"/>
  <c r="C533" i="8"/>
  <c r="G532" i="8"/>
  <c r="C532" i="8"/>
  <c r="G531" i="8"/>
  <c r="C531" i="8"/>
  <c r="G530" i="8"/>
  <c r="C530" i="8"/>
  <c r="G529" i="8"/>
  <c r="C529" i="8"/>
  <c r="G528" i="8"/>
  <c r="C528" i="8"/>
  <c r="G527" i="8"/>
  <c r="C527" i="8"/>
  <c r="G526" i="8"/>
  <c r="C526" i="8"/>
  <c r="G525" i="8"/>
  <c r="C525" i="8"/>
  <c r="G524" i="8"/>
  <c r="C524" i="8"/>
  <c r="G523" i="8"/>
  <c r="C523" i="8"/>
  <c r="G522" i="8"/>
  <c r="C522" i="8"/>
  <c r="G521" i="8"/>
  <c r="C521" i="8"/>
  <c r="G520" i="8"/>
  <c r="C520" i="8"/>
  <c r="G519" i="8"/>
  <c r="C519" i="8"/>
  <c r="G518" i="8"/>
  <c r="C518" i="8"/>
  <c r="G517" i="8"/>
  <c r="C517" i="8"/>
  <c r="G516" i="8"/>
  <c r="C516" i="8"/>
  <c r="G515" i="8"/>
  <c r="C515" i="8"/>
  <c r="G514" i="8"/>
  <c r="C514" i="8"/>
  <c r="G513" i="8"/>
  <c r="C513" i="8"/>
  <c r="G512" i="8"/>
  <c r="C512" i="8"/>
  <c r="G511" i="8"/>
  <c r="C511" i="8"/>
  <c r="G510" i="8"/>
  <c r="C510" i="8"/>
  <c r="G509" i="8"/>
  <c r="C509" i="8"/>
  <c r="G508" i="8"/>
  <c r="C508" i="8"/>
  <c r="G507" i="8"/>
  <c r="C507" i="8"/>
  <c r="G506" i="8"/>
  <c r="C506" i="8"/>
  <c r="G505" i="8"/>
  <c r="C505" i="8"/>
  <c r="G504" i="8"/>
  <c r="C504" i="8"/>
  <c r="G503" i="8"/>
  <c r="C503" i="8"/>
  <c r="G502" i="8"/>
  <c r="C502" i="8"/>
  <c r="G501" i="8"/>
  <c r="C501" i="8"/>
  <c r="G500" i="8"/>
  <c r="C500" i="8"/>
  <c r="G499" i="8"/>
  <c r="C499" i="8"/>
  <c r="G498" i="8"/>
  <c r="C498" i="8"/>
  <c r="G497" i="8"/>
  <c r="C497" i="8"/>
  <c r="G496" i="8"/>
  <c r="C496" i="8"/>
  <c r="G495" i="8"/>
  <c r="C495" i="8"/>
  <c r="G494" i="8"/>
  <c r="C494" i="8"/>
  <c r="G493" i="8"/>
  <c r="C493" i="8"/>
  <c r="G492" i="8"/>
  <c r="C492" i="8"/>
  <c r="G491" i="8"/>
  <c r="C491" i="8"/>
  <c r="G490" i="8"/>
  <c r="C490" i="8"/>
  <c r="G489" i="8"/>
  <c r="C489" i="8"/>
  <c r="G488" i="8"/>
  <c r="C488" i="8"/>
  <c r="G487" i="8"/>
  <c r="C487" i="8"/>
  <c r="G486" i="8"/>
  <c r="C486" i="8"/>
  <c r="G485" i="8"/>
  <c r="C485" i="8"/>
  <c r="G484" i="8"/>
  <c r="C484" i="8"/>
  <c r="G483" i="8"/>
  <c r="C483" i="8"/>
  <c r="G482" i="8"/>
  <c r="C482" i="8"/>
  <c r="G481" i="8"/>
  <c r="C481" i="8"/>
  <c r="G480" i="8"/>
  <c r="C480" i="8"/>
  <c r="G479" i="8"/>
  <c r="C479" i="8"/>
  <c r="G478" i="8"/>
  <c r="C478" i="8"/>
  <c r="G477" i="8"/>
  <c r="C477" i="8"/>
  <c r="G476" i="8"/>
  <c r="C476" i="8"/>
  <c r="G475" i="8"/>
  <c r="C475" i="8"/>
  <c r="G474" i="8"/>
  <c r="C474" i="8"/>
  <c r="G473" i="8"/>
  <c r="C473" i="8"/>
  <c r="G472" i="8"/>
  <c r="C472" i="8"/>
  <c r="G471" i="8"/>
  <c r="C471" i="8"/>
  <c r="G470" i="8"/>
  <c r="C470" i="8"/>
  <c r="G469" i="8"/>
  <c r="C469" i="8"/>
  <c r="G468" i="8"/>
  <c r="C468" i="8"/>
  <c r="G467" i="8"/>
  <c r="C467" i="8"/>
  <c r="G466" i="8"/>
  <c r="C466" i="8"/>
  <c r="G465" i="8"/>
  <c r="C465" i="8"/>
  <c r="G464" i="8"/>
  <c r="C464" i="8"/>
  <c r="G463" i="8"/>
  <c r="C463" i="8"/>
  <c r="G462" i="8"/>
  <c r="C462" i="8"/>
  <c r="G461" i="8"/>
  <c r="C461" i="8"/>
  <c r="G460" i="8"/>
  <c r="C460" i="8"/>
  <c r="G459" i="8"/>
  <c r="C459" i="8"/>
  <c r="G458" i="8"/>
  <c r="C458" i="8"/>
  <c r="G457" i="8"/>
  <c r="C457" i="8"/>
  <c r="G456" i="8"/>
  <c r="C456" i="8"/>
  <c r="G455" i="8"/>
  <c r="C455" i="8"/>
  <c r="G454" i="8"/>
  <c r="C454" i="8"/>
  <c r="G453" i="8"/>
  <c r="C453" i="8"/>
  <c r="G452" i="8"/>
  <c r="C452" i="8"/>
  <c r="G451" i="8"/>
  <c r="C451" i="8"/>
  <c r="G450" i="8"/>
  <c r="C450" i="8"/>
  <c r="G449" i="8"/>
  <c r="C449" i="8"/>
  <c r="G448" i="8"/>
  <c r="C448" i="8"/>
  <c r="G447" i="8"/>
  <c r="C447" i="8"/>
  <c r="G446" i="8"/>
  <c r="C446" i="8"/>
  <c r="G445" i="8"/>
  <c r="C445" i="8"/>
  <c r="G444" i="8"/>
  <c r="C444" i="8"/>
  <c r="G443" i="8"/>
  <c r="C443" i="8"/>
  <c r="G442" i="8"/>
  <c r="C442" i="8"/>
  <c r="G441" i="8"/>
  <c r="C441" i="8"/>
  <c r="G440" i="8"/>
  <c r="C440" i="8"/>
  <c r="G439" i="8"/>
  <c r="C439" i="8"/>
  <c r="G438" i="8"/>
  <c r="C438" i="8"/>
  <c r="G437" i="8"/>
  <c r="C437" i="8"/>
  <c r="G436" i="8"/>
  <c r="C436" i="8"/>
  <c r="G435" i="8"/>
  <c r="C435" i="8"/>
  <c r="G434" i="8"/>
  <c r="C434" i="8"/>
  <c r="G433" i="8"/>
  <c r="C433" i="8"/>
  <c r="G432" i="8"/>
  <c r="C432" i="8"/>
  <c r="G431" i="8"/>
  <c r="C431" i="8"/>
  <c r="G430" i="8"/>
  <c r="C430" i="8"/>
  <c r="G429" i="8"/>
  <c r="C429" i="8"/>
  <c r="G428" i="8"/>
  <c r="C428" i="8"/>
  <c r="G427" i="8"/>
  <c r="C427" i="8"/>
  <c r="G426" i="8"/>
  <c r="C426" i="8"/>
  <c r="G425" i="8"/>
  <c r="C425" i="8"/>
  <c r="G424" i="8"/>
  <c r="C424" i="8"/>
  <c r="G423" i="8"/>
  <c r="C423" i="8"/>
  <c r="G422" i="8"/>
  <c r="C422" i="8"/>
  <c r="G421" i="8"/>
  <c r="C421" i="8"/>
  <c r="G420" i="8"/>
  <c r="C420" i="8"/>
  <c r="G419" i="8"/>
  <c r="C419" i="8"/>
  <c r="G418" i="8"/>
  <c r="C418" i="8"/>
  <c r="G417" i="8"/>
  <c r="C417" i="8"/>
  <c r="G416" i="8"/>
  <c r="C416" i="8"/>
  <c r="G415" i="8"/>
  <c r="C415" i="8"/>
  <c r="G414" i="8"/>
  <c r="C414" i="8"/>
  <c r="G413" i="8"/>
  <c r="C413" i="8"/>
  <c r="G412" i="8"/>
  <c r="C412" i="8"/>
  <c r="G411" i="8"/>
  <c r="C411" i="8"/>
  <c r="G410" i="8"/>
  <c r="C410" i="8"/>
  <c r="G409" i="8"/>
  <c r="C409" i="8"/>
  <c r="G408" i="8"/>
  <c r="C408" i="8"/>
  <c r="G407" i="8"/>
  <c r="C407" i="8"/>
  <c r="G406" i="8"/>
  <c r="C406" i="8"/>
  <c r="G405" i="8"/>
  <c r="C405" i="8"/>
  <c r="G404" i="8"/>
  <c r="C404" i="8"/>
  <c r="G403" i="8"/>
  <c r="C403" i="8"/>
  <c r="G402" i="8"/>
  <c r="C402" i="8"/>
  <c r="G401" i="8"/>
  <c r="C401" i="8"/>
  <c r="G400" i="8"/>
  <c r="C400" i="8"/>
  <c r="G399" i="8"/>
  <c r="C399" i="8"/>
  <c r="G398" i="8"/>
  <c r="C398" i="8"/>
  <c r="G397" i="8"/>
  <c r="C397" i="8"/>
  <c r="G396" i="8"/>
  <c r="C396" i="8"/>
  <c r="G395" i="8"/>
  <c r="C395" i="8"/>
  <c r="G394" i="8"/>
  <c r="C394" i="8"/>
  <c r="G393" i="8"/>
  <c r="C393" i="8"/>
  <c r="G392" i="8"/>
  <c r="C392" i="8"/>
  <c r="G391" i="8"/>
  <c r="C391" i="8"/>
  <c r="G390" i="8"/>
  <c r="C390" i="8"/>
  <c r="G389" i="8"/>
  <c r="C389" i="8"/>
  <c r="G388" i="8"/>
  <c r="C388" i="8"/>
  <c r="G387" i="8"/>
  <c r="C387" i="8"/>
  <c r="G386" i="8"/>
  <c r="C386" i="8"/>
  <c r="G385" i="8"/>
  <c r="C385" i="8"/>
  <c r="G384" i="8"/>
  <c r="C384" i="8"/>
  <c r="G383" i="8"/>
  <c r="C383" i="8"/>
  <c r="G382" i="8"/>
  <c r="C382" i="8"/>
  <c r="G381" i="8"/>
  <c r="C381" i="8"/>
  <c r="G380" i="8"/>
  <c r="C380" i="8"/>
  <c r="G379" i="8"/>
  <c r="C379" i="8"/>
  <c r="G378" i="8"/>
  <c r="C378" i="8"/>
  <c r="G377" i="8"/>
  <c r="C377" i="8"/>
  <c r="G376" i="8"/>
  <c r="C376" i="8"/>
  <c r="G375" i="8"/>
  <c r="C375" i="8"/>
  <c r="G374" i="8"/>
  <c r="C374" i="8"/>
  <c r="G373" i="8"/>
  <c r="C373" i="8"/>
  <c r="G372" i="8"/>
  <c r="C372" i="8"/>
  <c r="G371" i="8"/>
  <c r="C371" i="8"/>
  <c r="G370" i="8"/>
  <c r="C370" i="8"/>
  <c r="G369" i="8"/>
  <c r="C369" i="8"/>
  <c r="G368" i="8"/>
  <c r="C368" i="8"/>
  <c r="G367" i="8"/>
  <c r="C367" i="8"/>
  <c r="G366" i="8"/>
  <c r="C366" i="8"/>
  <c r="G365" i="8"/>
  <c r="C365" i="8"/>
  <c r="G364" i="8"/>
  <c r="C364" i="8"/>
  <c r="G363" i="8"/>
  <c r="C363" i="8"/>
  <c r="G362" i="8"/>
  <c r="C362" i="8"/>
  <c r="G361" i="8"/>
  <c r="C361" i="8"/>
  <c r="G360" i="8"/>
  <c r="C360" i="8"/>
  <c r="G359" i="8"/>
  <c r="C359" i="8"/>
  <c r="G358" i="8"/>
  <c r="C358" i="8"/>
  <c r="G357" i="8"/>
  <c r="C357" i="8"/>
  <c r="G356" i="8"/>
  <c r="C356" i="8"/>
  <c r="G355" i="8"/>
  <c r="C355" i="8"/>
  <c r="G354" i="8"/>
  <c r="C354" i="8"/>
  <c r="G353" i="8"/>
  <c r="C353" i="8"/>
  <c r="G352" i="8"/>
  <c r="C352" i="8"/>
  <c r="G351" i="8"/>
  <c r="C351" i="8"/>
  <c r="G350" i="8"/>
  <c r="C350" i="8"/>
  <c r="G349" i="8"/>
  <c r="C349" i="8"/>
  <c r="G348" i="8"/>
  <c r="C348" i="8"/>
  <c r="G347" i="8"/>
  <c r="C347" i="8"/>
  <c r="G346" i="8"/>
  <c r="C346" i="8"/>
  <c r="G345" i="8"/>
  <c r="C345" i="8"/>
  <c r="G344" i="8"/>
  <c r="C344" i="8"/>
  <c r="G343" i="8"/>
  <c r="C343" i="8"/>
  <c r="G342" i="8"/>
  <c r="C342" i="8"/>
  <c r="G341" i="8"/>
  <c r="C341" i="8"/>
  <c r="G340" i="8"/>
  <c r="C340" i="8"/>
  <c r="G339" i="8"/>
  <c r="C339" i="8"/>
  <c r="G338" i="8"/>
  <c r="C338" i="8"/>
  <c r="G337" i="8"/>
  <c r="C337" i="8"/>
  <c r="G336" i="8"/>
  <c r="C336" i="8"/>
  <c r="G335" i="8"/>
  <c r="C335" i="8"/>
  <c r="G334" i="8"/>
  <c r="C334" i="8"/>
  <c r="G333" i="8"/>
  <c r="C333" i="8"/>
  <c r="G332" i="8"/>
  <c r="C332" i="8"/>
  <c r="G331" i="8"/>
  <c r="C331" i="8"/>
  <c r="G330" i="8"/>
  <c r="C330" i="8"/>
  <c r="G329" i="8"/>
  <c r="C329" i="8"/>
  <c r="G328" i="8"/>
  <c r="C328" i="8"/>
  <c r="G327" i="8"/>
  <c r="C327" i="8"/>
  <c r="G326" i="8"/>
  <c r="C326" i="8"/>
  <c r="G325" i="8"/>
  <c r="C325" i="8"/>
  <c r="G324" i="8"/>
  <c r="C324" i="8"/>
  <c r="G323" i="8"/>
  <c r="C323" i="8"/>
  <c r="G322" i="8"/>
  <c r="C322" i="8"/>
  <c r="G321" i="8"/>
  <c r="C321" i="8"/>
  <c r="G320" i="8"/>
  <c r="C320" i="8"/>
  <c r="G319" i="8"/>
  <c r="C319" i="8"/>
  <c r="G318" i="8"/>
  <c r="C318" i="8"/>
  <c r="G317" i="8"/>
  <c r="C317" i="8"/>
  <c r="G316" i="8"/>
  <c r="C316" i="8"/>
  <c r="G315" i="8"/>
  <c r="C315" i="8"/>
  <c r="G314" i="8"/>
  <c r="C314" i="8"/>
  <c r="G313" i="8"/>
  <c r="C313" i="8"/>
  <c r="G312" i="8"/>
  <c r="C312" i="8"/>
  <c r="G311" i="8"/>
  <c r="C311" i="8"/>
  <c r="G310" i="8"/>
  <c r="C310" i="8"/>
  <c r="G309" i="8"/>
  <c r="C309" i="8"/>
  <c r="G308" i="8"/>
  <c r="C308" i="8"/>
  <c r="G307" i="8"/>
  <c r="C307" i="8"/>
  <c r="G306" i="8"/>
  <c r="C306" i="8"/>
  <c r="G305" i="8"/>
  <c r="C305" i="8"/>
  <c r="G304" i="8"/>
  <c r="C304" i="8"/>
  <c r="G303" i="8"/>
  <c r="C303" i="8"/>
  <c r="G302" i="8"/>
  <c r="C302" i="8"/>
  <c r="G301" i="8"/>
  <c r="C301" i="8"/>
  <c r="G300" i="8"/>
  <c r="C300" i="8"/>
  <c r="G299" i="8"/>
  <c r="C299" i="8"/>
  <c r="G298" i="8"/>
  <c r="C298" i="8"/>
  <c r="G297" i="8"/>
  <c r="C297" i="8"/>
  <c r="G296" i="8"/>
  <c r="C296" i="8"/>
  <c r="G295" i="8"/>
  <c r="C295" i="8"/>
  <c r="G294" i="8"/>
  <c r="C294" i="8"/>
  <c r="G293" i="8"/>
  <c r="C293" i="8"/>
  <c r="G292" i="8"/>
  <c r="C292" i="8"/>
  <c r="G291" i="8"/>
  <c r="C291" i="8"/>
  <c r="G290" i="8"/>
  <c r="C290" i="8"/>
  <c r="G289" i="8"/>
  <c r="C289" i="8"/>
  <c r="G288" i="8"/>
  <c r="C288" i="8"/>
  <c r="G287" i="8"/>
  <c r="C287" i="8"/>
  <c r="G286" i="8"/>
  <c r="C286" i="8"/>
  <c r="G285" i="8"/>
  <c r="C285" i="8"/>
  <c r="G284" i="8"/>
  <c r="C284" i="8"/>
  <c r="G283" i="8"/>
  <c r="C283" i="8"/>
  <c r="G282" i="8"/>
  <c r="C282" i="8"/>
  <c r="G281" i="8"/>
  <c r="C281" i="8"/>
  <c r="G280" i="8"/>
  <c r="C280" i="8"/>
  <c r="G279" i="8"/>
  <c r="C279" i="8"/>
  <c r="G278" i="8"/>
  <c r="C278" i="8"/>
  <c r="G277" i="8"/>
  <c r="C277" i="8"/>
  <c r="G276" i="8"/>
  <c r="C276" i="8"/>
  <c r="G275" i="8"/>
  <c r="C275" i="8"/>
  <c r="G274" i="8"/>
  <c r="C274" i="8"/>
  <c r="G273" i="8"/>
  <c r="C273" i="8"/>
  <c r="G272" i="8"/>
  <c r="C272" i="8"/>
  <c r="G271" i="8"/>
  <c r="C271" i="8"/>
  <c r="G270" i="8"/>
  <c r="C270" i="8"/>
  <c r="G269" i="8"/>
  <c r="C269" i="8"/>
  <c r="G268" i="8"/>
  <c r="C268" i="8"/>
  <c r="G267" i="8"/>
  <c r="C267" i="8"/>
  <c r="G266" i="8"/>
  <c r="C266" i="8"/>
  <c r="G265" i="8"/>
  <c r="C265" i="8"/>
  <c r="G264" i="8"/>
  <c r="C264" i="8"/>
  <c r="G263" i="8"/>
  <c r="C263" i="8"/>
  <c r="G262" i="8"/>
  <c r="C262" i="8"/>
  <c r="G261" i="8"/>
  <c r="C261" i="8"/>
  <c r="G260" i="8"/>
  <c r="C260" i="8"/>
  <c r="G259" i="8"/>
  <c r="C259" i="8"/>
  <c r="G258" i="8"/>
  <c r="C258" i="8"/>
  <c r="G257" i="8"/>
  <c r="C257" i="8"/>
  <c r="G256" i="8"/>
  <c r="C256" i="8"/>
  <c r="G255" i="8"/>
  <c r="C255" i="8"/>
  <c r="G254" i="8"/>
  <c r="C254" i="8"/>
  <c r="G253" i="8"/>
  <c r="C253" i="8"/>
  <c r="G252" i="8"/>
  <c r="C252" i="8"/>
  <c r="G251" i="8"/>
  <c r="C251" i="8"/>
  <c r="G250" i="8"/>
  <c r="C250" i="8"/>
  <c r="G249" i="8"/>
  <c r="C249" i="8"/>
  <c r="G248" i="8"/>
  <c r="C248" i="8"/>
  <c r="G247" i="8"/>
  <c r="C247" i="8"/>
  <c r="G246" i="8"/>
  <c r="C246" i="8"/>
  <c r="G245" i="8"/>
  <c r="C245" i="8"/>
  <c r="G244" i="8"/>
  <c r="C244" i="8"/>
  <c r="G243" i="8"/>
  <c r="C243" i="8"/>
  <c r="G242" i="8"/>
  <c r="C242" i="8"/>
  <c r="G241" i="8"/>
  <c r="C241" i="8"/>
  <c r="G240" i="8"/>
  <c r="C240" i="8"/>
  <c r="G239" i="8"/>
  <c r="C239" i="8"/>
  <c r="G238" i="8"/>
  <c r="C238" i="8"/>
  <c r="G237" i="8"/>
  <c r="C237" i="8"/>
  <c r="G236" i="8"/>
  <c r="C236" i="8"/>
  <c r="G235" i="8"/>
  <c r="C235" i="8"/>
  <c r="G234" i="8"/>
  <c r="C234" i="8"/>
  <c r="G233" i="8"/>
  <c r="C233" i="8"/>
  <c r="G232" i="8"/>
  <c r="C232" i="8"/>
  <c r="G231" i="8"/>
  <c r="C231" i="8"/>
  <c r="G230" i="8"/>
  <c r="C230" i="8"/>
  <c r="G229" i="8"/>
  <c r="C229" i="8"/>
  <c r="G228" i="8"/>
  <c r="C228" i="8"/>
  <c r="G227" i="8"/>
  <c r="C227" i="8"/>
  <c r="G226" i="8"/>
  <c r="C226" i="8"/>
  <c r="G225" i="8"/>
  <c r="C225" i="8"/>
  <c r="G224" i="8"/>
  <c r="C224" i="8"/>
  <c r="G223" i="8"/>
  <c r="C223" i="8"/>
  <c r="G222" i="8"/>
  <c r="C222" i="8"/>
  <c r="G221" i="8"/>
  <c r="C221" i="8"/>
  <c r="G220" i="8"/>
  <c r="C220" i="8"/>
  <c r="G219" i="8"/>
  <c r="C219" i="8"/>
  <c r="G218" i="8"/>
  <c r="C218" i="8"/>
  <c r="G217" i="8"/>
  <c r="C217" i="8"/>
  <c r="G216" i="8"/>
  <c r="C216" i="8"/>
  <c r="G215" i="8"/>
  <c r="C215" i="8"/>
  <c r="G214" i="8"/>
  <c r="C214" i="8"/>
  <c r="G213" i="8"/>
  <c r="C213" i="8"/>
  <c r="G212" i="8"/>
  <c r="C212" i="8"/>
  <c r="G211" i="8"/>
  <c r="C211" i="8"/>
  <c r="G210" i="8"/>
  <c r="C210" i="8"/>
  <c r="G209" i="8"/>
  <c r="C209" i="8"/>
  <c r="G208" i="8"/>
  <c r="C208" i="8"/>
  <c r="G207" i="8"/>
  <c r="C207" i="8"/>
  <c r="G206" i="8"/>
  <c r="C206" i="8"/>
  <c r="G205" i="8"/>
  <c r="C205" i="8"/>
  <c r="G204" i="8"/>
  <c r="C204" i="8"/>
  <c r="G203" i="8"/>
  <c r="C203" i="8"/>
  <c r="G202" i="8"/>
  <c r="C202" i="8"/>
  <c r="G201" i="8"/>
  <c r="C201" i="8"/>
  <c r="G200" i="8"/>
  <c r="C200" i="8"/>
  <c r="G199" i="8"/>
  <c r="C199" i="8"/>
  <c r="G198" i="8"/>
  <c r="C198" i="8"/>
  <c r="G197" i="8"/>
  <c r="C197" i="8"/>
  <c r="G196" i="8"/>
  <c r="C196" i="8"/>
  <c r="G195" i="8"/>
  <c r="C195" i="8"/>
  <c r="G194" i="8"/>
  <c r="C194" i="8"/>
  <c r="G193" i="8"/>
  <c r="C193" i="8"/>
  <c r="G192" i="8"/>
  <c r="C192" i="8"/>
  <c r="G191" i="8"/>
  <c r="C191" i="8"/>
  <c r="G190" i="8"/>
  <c r="C190" i="8"/>
  <c r="G189" i="8"/>
  <c r="C189" i="8"/>
  <c r="G188" i="8"/>
  <c r="C188" i="8"/>
  <c r="G187" i="8"/>
  <c r="C187" i="8"/>
  <c r="G186" i="8"/>
  <c r="C186" i="8"/>
  <c r="G185" i="8"/>
  <c r="C185" i="8"/>
  <c r="G184" i="8"/>
  <c r="C184" i="8"/>
  <c r="G183" i="8"/>
  <c r="C183" i="8"/>
  <c r="G182" i="8"/>
  <c r="C182" i="8"/>
  <c r="G181" i="8"/>
  <c r="C181" i="8"/>
  <c r="G180" i="8"/>
  <c r="C180" i="8"/>
  <c r="G179" i="8"/>
  <c r="C179" i="8"/>
  <c r="G178" i="8"/>
  <c r="C178" i="8"/>
  <c r="G177" i="8"/>
  <c r="C177" i="8"/>
  <c r="G176" i="8"/>
  <c r="C176" i="8"/>
  <c r="G175" i="8"/>
  <c r="C175" i="8"/>
  <c r="G174" i="8"/>
  <c r="C174" i="8"/>
  <c r="G173" i="8"/>
  <c r="C173" i="8"/>
  <c r="G172" i="8"/>
  <c r="C172" i="8"/>
  <c r="G171" i="8"/>
  <c r="C171" i="8"/>
  <c r="G170" i="8"/>
  <c r="C170" i="8"/>
  <c r="G169" i="8"/>
  <c r="C169" i="8"/>
  <c r="G168" i="8"/>
  <c r="C168" i="8"/>
  <c r="G167" i="8"/>
  <c r="C167" i="8"/>
  <c r="G166" i="8"/>
  <c r="C166" i="8"/>
  <c r="G165" i="8"/>
  <c r="C165" i="8"/>
  <c r="G164" i="8"/>
  <c r="C164" i="8"/>
  <c r="G163" i="8"/>
  <c r="C163" i="8"/>
  <c r="G162" i="8"/>
  <c r="C162" i="8"/>
  <c r="G161" i="8"/>
  <c r="C161" i="8"/>
  <c r="G160" i="8"/>
  <c r="C160" i="8"/>
  <c r="G159" i="8"/>
  <c r="C159" i="8"/>
  <c r="G158" i="8"/>
  <c r="C158" i="8"/>
  <c r="G157" i="8"/>
  <c r="C157" i="8"/>
  <c r="G156" i="8"/>
  <c r="C156" i="8"/>
  <c r="G155" i="8"/>
  <c r="C155" i="8"/>
  <c r="G154" i="8"/>
  <c r="C154" i="8"/>
  <c r="G153" i="8"/>
  <c r="C153" i="8"/>
  <c r="G152" i="8"/>
  <c r="C152" i="8"/>
  <c r="G151" i="8"/>
  <c r="C151" i="8"/>
  <c r="G150" i="8"/>
  <c r="C150" i="8"/>
  <c r="G149" i="8"/>
  <c r="C149" i="8"/>
  <c r="G148" i="8"/>
  <c r="C148" i="8"/>
  <c r="G147" i="8"/>
  <c r="C147" i="8"/>
  <c r="G146" i="8"/>
  <c r="C146" i="8"/>
  <c r="G145" i="8"/>
  <c r="C145" i="8"/>
  <c r="G144" i="8"/>
  <c r="C144" i="8"/>
  <c r="G143" i="8"/>
  <c r="C143" i="8"/>
  <c r="G142" i="8"/>
  <c r="C142" i="8"/>
  <c r="G141" i="8"/>
  <c r="C141" i="8"/>
  <c r="G140" i="8"/>
  <c r="C140" i="8"/>
  <c r="G139" i="8"/>
  <c r="C139" i="8"/>
  <c r="G138" i="8"/>
  <c r="C138" i="8"/>
  <c r="G137" i="8"/>
  <c r="C137" i="8"/>
  <c r="G136" i="8"/>
  <c r="C136" i="8"/>
  <c r="G135" i="8"/>
  <c r="C135" i="8"/>
  <c r="G134" i="8"/>
  <c r="C134" i="8"/>
  <c r="G133" i="8"/>
  <c r="C133" i="8"/>
  <c r="G132" i="8"/>
  <c r="C132" i="8"/>
  <c r="G131" i="8"/>
  <c r="C131" i="8"/>
  <c r="G130" i="8"/>
  <c r="C130" i="8"/>
  <c r="G129" i="8"/>
  <c r="C129" i="8"/>
  <c r="G128" i="8"/>
  <c r="C128" i="8"/>
  <c r="G127" i="8"/>
  <c r="C127" i="8"/>
  <c r="G126" i="8"/>
  <c r="C126" i="8"/>
  <c r="G125" i="8"/>
  <c r="C125" i="8"/>
  <c r="G124" i="8"/>
  <c r="C124" i="8"/>
  <c r="G123" i="8"/>
  <c r="C123" i="8"/>
  <c r="G122" i="8"/>
  <c r="C122" i="8"/>
  <c r="G121" i="8"/>
  <c r="C121" i="8"/>
  <c r="G120" i="8"/>
  <c r="C120" i="8"/>
  <c r="G119" i="8"/>
  <c r="C119" i="8"/>
  <c r="G118" i="8"/>
  <c r="C118" i="8"/>
  <c r="G117" i="8"/>
  <c r="C117" i="8"/>
  <c r="G116" i="8"/>
  <c r="C116" i="8"/>
  <c r="G115" i="8"/>
  <c r="C115" i="8"/>
  <c r="G114" i="8"/>
  <c r="C114" i="8"/>
  <c r="G113" i="8"/>
  <c r="C113" i="8"/>
  <c r="G112" i="8"/>
  <c r="C112" i="8"/>
  <c r="G111" i="8"/>
  <c r="C111" i="8"/>
  <c r="G110" i="8"/>
  <c r="C110" i="8"/>
  <c r="G109" i="8"/>
  <c r="C109" i="8"/>
  <c r="G108" i="8"/>
  <c r="C108" i="8"/>
  <c r="G107" i="8"/>
  <c r="C107" i="8"/>
  <c r="G106" i="8"/>
  <c r="C106" i="8"/>
  <c r="G105" i="8"/>
  <c r="C105" i="8"/>
  <c r="G104" i="8"/>
  <c r="C104" i="8"/>
  <c r="G103" i="8"/>
  <c r="C103" i="8"/>
  <c r="G102" i="8"/>
  <c r="C102" i="8"/>
  <c r="G101" i="8"/>
  <c r="C101" i="8"/>
  <c r="G100" i="8"/>
  <c r="C100" i="8"/>
  <c r="G99" i="8"/>
  <c r="C99" i="8"/>
  <c r="G98" i="8"/>
  <c r="C98" i="8"/>
  <c r="G97" i="8"/>
  <c r="C97" i="8"/>
  <c r="G96" i="8"/>
  <c r="C96" i="8"/>
  <c r="G95" i="8"/>
  <c r="C95" i="8"/>
  <c r="G94" i="8"/>
  <c r="C94" i="8"/>
  <c r="G93" i="8"/>
  <c r="C93" i="8"/>
  <c r="G92" i="8"/>
  <c r="C92" i="8"/>
  <c r="G91" i="8"/>
  <c r="C91" i="8"/>
  <c r="G90" i="8"/>
  <c r="C90" i="8"/>
  <c r="G89" i="8"/>
  <c r="C89" i="8"/>
  <c r="G88" i="8"/>
  <c r="C88" i="8"/>
  <c r="G87" i="8"/>
  <c r="C87" i="8"/>
  <c r="G86" i="8"/>
  <c r="C86" i="8"/>
  <c r="G85" i="8"/>
  <c r="C85" i="8"/>
  <c r="G84" i="8"/>
  <c r="C84" i="8"/>
  <c r="G83" i="8"/>
  <c r="C83" i="8"/>
  <c r="G82" i="8"/>
  <c r="C82" i="8"/>
  <c r="G81" i="8"/>
  <c r="C81" i="8"/>
  <c r="G80" i="8"/>
  <c r="C80" i="8"/>
  <c r="G79" i="8"/>
  <c r="C79" i="8"/>
  <c r="G78" i="8"/>
  <c r="C78" i="8"/>
  <c r="G77" i="8"/>
  <c r="C77" i="8"/>
  <c r="G76" i="8"/>
  <c r="C76" i="8"/>
  <c r="G75" i="8"/>
  <c r="C75" i="8"/>
  <c r="G74" i="8"/>
  <c r="C74" i="8"/>
  <c r="G73" i="8"/>
  <c r="C73" i="8"/>
  <c r="G72" i="8"/>
  <c r="C72" i="8"/>
  <c r="G71" i="8"/>
  <c r="C71" i="8"/>
  <c r="G70" i="8"/>
  <c r="C70" i="8"/>
  <c r="G69" i="8"/>
  <c r="C69" i="8"/>
  <c r="G68" i="8"/>
  <c r="C68" i="8"/>
  <c r="G67" i="8"/>
  <c r="C67" i="8"/>
  <c r="G66" i="8"/>
  <c r="C66" i="8"/>
  <c r="G65" i="8"/>
  <c r="C65" i="8"/>
  <c r="G64" i="8"/>
  <c r="C64" i="8"/>
  <c r="G63" i="8"/>
  <c r="C63" i="8"/>
  <c r="G62" i="8"/>
  <c r="C62" i="8"/>
  <c r="G61" i="8"/>
  <c r="C61" i="8"/>
  <c r="G60" i="8"/>
  <c r="C60" i="8"/>
  <c r="G59" i="8"/>
  <c r="C59" i="8"/>
  <c r="G58" i="8"/>
  <c r="C58" i="8"/>
  <c r="G57" i="8"/>
  <c r="C57" i="8"/>
  <c r="G56" i="8"/>
  <c r="C56" i="8"/>
  <c r="G55" i="8"/>
  <c r="C55" i="8"/>
  <c r="G54" i="8"/>
  <c r="C54" i="8"/>
  <c r="G53" i="8"/>
  <c r="C53" i="8"/>
  <c r="G52" i="8"/>
  <c r="C52" i="8"/>
  <c r="G51" i="8"/>
  <c r="C51" i="8"/>
  <c r="G50" i="8"/>
  <c r="C50" i="8"/>
  <c r="G49" i="8"/>
  <c r="C49" i="8"/>
  <c r="G48" i="8"/>
  <c r="C48" i="8"/>
  <c r="G47" i="8"/>
  <c r="C47" i="8"/>
  <c r="G46" i="8"/>
  <c r="C46" i="8"/>
  <c r="G45" i="8"/>
  <c r="C45" i="8"/>
  <c r="G44" i="8"/>
  <c r="C44" i="8"/>
  <c r="G43" i="8"/>
  <c r="C43" i="8"/>
  <c r="G42" i="8"/>
  <c r="C42" i="8"/>
  <c r="G41" i="8"/>
  <c r="C41" i="8"/>
  <c r="G40" i="8"/>
  <c r="C40" i="8"/>
  <c r="G39" i="8"/>
  <c r="C39" i="8"/>
  <c r="G38" i="8"/>
  <c r="C38" i="8"/>
  <c r="G37" i="8"/>
  <c r="C37" i="8"/>
  <c r="G36" i="8"/>
  <c r="C36" i="8"/>
  <c r="G35" i="8"/>
  <c r="C35" i="8"/>
  <c r="G34" i="8"/>
  <c r="C34" i="8"/>
  <c r="G33" i="8"/>
  <c r="C33" i="8"/>
  <c r="G32" i="8"/>
  <c r="C32" i="8"/>
  <c r="G31" i="8"/>
  <c r="C31" i="8"/>
  <c r="G30" i="8"/>
  <c r="C30" i="8"/>
  <c r="G29" i="8"/>
  <c r="C29" i="8"/>
  <c r="G28" i="8"/>
  <c r="C28" i="8"/>
  <c r="G27" i="8"/>
  <c r="C27" i="8"/>
  <c r="G26" i="8"/>
  <c r="C26" i="8"/>
  <c r="G25" i="8"/>
  <c r="C25" i="8"/>
  <c r="G24" i="8"/>
  <c r="C24" i="8"/>
  <c r="G23" i="8"/>
  <c r="C23" i="8"/>
  <c r="G22" i="8"/>
  <c r="C22" i="8"/>
  <c r="G21" i="8"/>
  <c r="C21" i="8"/>
  <c r="G20" i="8"/>
  <c r="C20" i="8"/>
  <c r="G19" i="8"/>
  <c r="C19" i="8"/>
  <c r="G18" i="8"/>
  <c r="C18" i="8"/>
  <c r="G17" i="8"/>
  <c r="C17" i="8"/>
  <c r="G16" i="8"/>
  <c r="C16" i="8"/>
  <c r="G15" i="8"/>
  <c r="C15" i="8"/>
  <c r="G14" i="8"/>
  <c r="C14" i="8"/>
  <c r="G13" i="8"/>
  <c r="C13" i="8"/>
  <c r="G12" i="8"/>
  <c r="C12" i="8"/>
  <c r="G11" i="8"/>
  <c r="C11" i="8"/>
  <c r="G10" i="8"/>
  <c r="C10" i="8"/>
  <c r="G9" i="8"/>
  <c r="C9" i="8"/>
  <c r="G8" i="8"/>
  <c r="C8" i="8"/>
  <c r="G7" i="8"/>
  <c r="C7" i="8"/>
  <c r="G6" i="8"/>
  <c r="C6" i="8"/>
  <c r="G5" i="8"/>
  <c r="C5" i="8"/>
  <c r="G4" i="8"/>
  <c r="C4" i="8"/>
  <c r="D15" i="12" l="1"/>
  <c r="N4" i="9"/>
  <c r="M4" i="9"/>
  <c r="J4" i="8"/>
  <c r="K3" i="8"/>
  <c r="K2" i="8"/>
  <c r="K4" i="8"/>
  <c r="D7" i="12"/>
  <c r="E4" i="9"/>
  <c r="D3" i="10"/>
  <c r="E3" i="10"/>
  <c r="F4" i="9"/>
  <c r="D4" i="9"/>
  <c r="J3" i="8"/>
  <c r="G4" i="1"/>
  <c r="M5" i="1" s="1"/>
  <c r="C4" i="1"/>
  <c r="M6" i="1" l="1"/>
  <c r="M7" i="1"/>
  <c r="L5" i="1"/>
  <c r="L6" i="1"/>
  <c r="L9" i="1"/>
  <c r="L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16B4E8-BA6B-433B-87DF-FDE8BDBB26CE}" keepAlive="1" name="Query - Cnergyico" description="Connection to the 'Cnergyico' query in the workbook." type="5" refreshedVersion="0" background="1">
    <dbPr connection="Provider=Microsoft.Mashup.OleDb.1;Data Source=$Workbook$;Location=Cnergyico;Extended Properties=&quot;&quot;" command="SELECT * FROM [Cnergyico]"/>
  </connection>
  <connection id="2" xr16:uid="{116630D2-A0F1-484B-9F1A-454009BC4FE6}" keepAlive="1" name="Query - Fauji Fertilizer Company Stock" description="Connection to the 'Fauji Fertilizer Company Stock' query in the workbook." type="5" refreshedVersion="0" background="1">
    <dbPr connection="Provider=Microsoft.Mashup.OleDb.1;Data Source=$Workbook$;Location=&quot;Fauji Fertilizer Company Stock&quot;;Extended Properties=&quot;&quot;" command="SELECT * FROM [Fauji Fertilizer Company Stock]"/>
  </connection>
  <connection id="3" xr16:uid="{6F0AAAF1-6C96-4D65-9FDE-7E1DEA98004B}" keepAlive="1" name="Query - FM assign 3" description="Connection to the 'FM assign 3' query in the workbook." type="5" refreshedVersion="0" background="1">
    <dbPr connection="Provider=Microsoft.Mashup.OleDb.1;Data Source=$Workbook$;Location=&quot;FM assign 3&quot;;Extended Properties=&quot;&quot;" command="SELECT * FROM [FM assign 3]"/>
  </connection>
  <connection id="4" xr16:uid="{4BE8B56C-2B1A-407B-B64F-6A611FCDE01C}" keepAlive="1" name="Query - Lucky Cement Stock Price Histor" description="Connection to the 'Lucky Cement Stock Price Histor' query in the workbook." type="5" refreshedVersion="0" background="1">
    <dbPr connection="Provider=Microsoft.Mashup.OleDb.1;Data Source=$Workbook$;Location=&quot;Lucky Cement Stock Price Histor&quot;;Extended Properties=&quot;&quot;" command="SELECT * FROM [Lucky Cement Stock Price Histor]"/>
  </connection>
  <connection id="5" xr16:uid="{C087097B-6236-410B-8B59-71D52E983737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<sst xmlns="http://schemas.openxmlformats.org/spreadsheetml/2006/main" count="2217" uniqueCount="1113">
  <si>
    <t>Date</t>
  </si>
  <si>
    <t>Price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</si>
  <si>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</si>
  <si>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</si>
  <si>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</si>
  <si>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</si>
  <si>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</si>
  <si>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</si>
  <si>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</si>
  <si>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</si>
  <si>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</si>
  <si>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</si>
  <si>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</si>
  <si>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</si>
  <si>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</si>
  <si>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</si>
  <si>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</si>
  <si>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</si>
  <si>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</si>
  <si>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</si>
  <si>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</si>
  <si>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</si>
  <si>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</si>
  <si>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</si>
  <si>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</si>
  <si>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</si>
  <si>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</si>
  <si>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</si>
  <si>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</si>
  <si>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</si>
  <si>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</si>
  <si>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</si>
  <si>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</si>
  <si>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</si>
  <si>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</si>
  <si>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</si>
  <si>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</si>
  <si>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</si>
  <si>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</si>
  <si>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</si>
  <si>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</si>
  <si>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</si>
  <si>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</si>
  <si>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</si>
  <si>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</si>
  <si>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</si>
  <si>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</si>
  <si>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</si>
  <si>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</si>
  <si>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</si>
  <si>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</si>
  <si>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</si>
  <si>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</si>
  <si>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</si>
  <si>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</si>
  <si>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</si>
  <si>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</si>
  <si>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</si>
  <si>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</si>
  <si>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</si>
  <si>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</si>
  <si>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</si>
  <si>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</si>
  <si>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</si>
  <si>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</si>
  <si>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</si>
  <si>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</si>
  <si>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</si>
  <si>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</si>
  <si>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</si>
  <si>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</si>
  <si>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</si>
  <si>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</si>
  <si>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</si>
  <si>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</si>
  <si>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</si>
  <si>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</si>
  <si>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</si>
  <si>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</si>
  <si>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</si>
  <si>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</si>
  <si>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</si>
  <si>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</si>
  <si>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</si>
  <si>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</si>
  <si>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</si>
  <si>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</si>
  <si>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</si>
  <si>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</si>
  <si>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</si>
  <si>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</si>
  <si>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</si>
  <si>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</si>
  <si>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</si>
  <si>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</si>
  <si>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</si>
  <si>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</si>
  <si>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</si>
  <si>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</si>
  <si>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</si>
  <si>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</si>
  <si>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</si>
  <si>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</si>
  <si>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</si>
  <si>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</si>
  <si>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</si>
  <si>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</si>
  <si>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</si>
  <si>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</si>
  <si>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</si>
  <si>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</si>
  <si>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</si>
  <si>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</si>
  <si>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</si>
  <si>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</si>
  <si>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</si>
  <si>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</si>
  <si>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</si>
  <si>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</si>
  <si>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</si>
  <si>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</si>
  <si>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</si>
  <si>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</si>
  <si>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</si>
  <si>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</si>
  <si>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</si>
  <si>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</si>
  <si>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</si>
  <si>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</si>
  <si>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</si>
  <si>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</si>
  <si>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</si>
  <si>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</si>
  <si>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</si>
  <si>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</si>
  <si>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</si>
  <si>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</si>
  <si>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</si>
  <si>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</si>
  <si>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</si>
  <si>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</si>
  <si>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</si>
  <si>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</si>
  <si>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</si>
  <si>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</si>
  <si>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</si>
  <si>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</si>
  <si>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</si>
  <si>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</si>
  <si>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</si>
  <si>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</si>
  <si>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</si>
  <si>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</si>
  <si>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</si>
  <si>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</si>
  <si>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</si>
  <si>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</si>
  <si>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</si>
  <si>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</si>
  <si>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</si>
  <si>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</si>
  <si>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</si>
  <si>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</si>
  <si>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</si>
  <si>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</si>
  <si>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</si>
  <si>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</si>
  <si>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</si>
  <si>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</si>
  <si>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</si>
  <si>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</si>
  <si>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</si>
  <si>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</si>
  <si>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</si>
  <si>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</si>
  <si>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</si>
  <si>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</si>
  <si>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</si>
  <si>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</si>
  <si>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</si>
  <si>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</si>
  <si>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</si>
  <si>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</si>
  <si>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</si>
  <si>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</si>
  <si>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</si>
  <si>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</si>
  <si>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</si>
  <si>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</si>
  <si>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</si>
  <si>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</si>
  <si>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</si>
  <si>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</si>
  <si>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</si>
  <si>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</si>
  <si>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</si>
  <si>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</si>
  <si>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</si>
  <si>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</si>
  <si>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</si>
  <si>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</si>
  <si>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</si>
  <si>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</si>
  <si>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</si>
  <si>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</si>
  <si>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</si>
  <si>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</si>
  <si>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</si>
  <si>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</si>
  <si>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</si>
  <si>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</si>
  <si>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</si>
  <si>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</si>
  <si>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</si>
  <si>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</si>
  <si>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</si>
  <si>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</si>
  <si>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</si>
  <si>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</si>
  <si>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</si>
  <si>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</si>
  <si>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</si>
  <si>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</si>
  <si>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</si>
  <si>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</si>
  <si>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</si>
  <si>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</si>
  <si>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</si>
  <si>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</si>
  <si>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</si>
  <si>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</si>
  <si>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</si>
  <si>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</si>
  <si>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</si>
  <si>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</si>
  <si>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</si>
  <si>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06/14/2024</t>
  </si>
  <si>
    <t>06/13/2024</t>
  </si>
  <si>
    <t>05/31/2024</t>
  </si>
  <si>
    <t>05/30/2024</t>
  </si>
  <si>
    <t>05/29/2024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</si>
  <si>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</si>
  <si>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</si>
  <si>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</si>
  <si>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</si>
  <si>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</si>
  <si>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</si>
  <si>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</si>
  <si>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</si>
  <si>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</si>
  <si>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</si>
  <si>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</si>
  <si>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</si>
  <si>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</si>
  <si>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</si>
  <si>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</si>
  <si>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</si>
  <si>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</si>
  <si>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</si>
  <si>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</si>
  <si>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</si>
  <si>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</si>
  <si>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</si>
  <si>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</si>
  <si>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</si>
  <si>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</si>
  <si>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</si>
  <si>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</si>
  <si>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</si>
  <si>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</si>
  <si>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</si>
  <si>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</si>
  <si>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</si>
  <si>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</si>
  <si>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</si>
  <si>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</si>
  <si>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</si>
  <si>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</si>
  <si>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</si>
  <si>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</si>
  <si>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</si>
  <si>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</si>
  <si>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</si>
  <si>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</si>
  <si>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</si>
  <si>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</si>
  <si>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</si>
  <si>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</si>
  <si>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</si>
  <si>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</si>
  <si>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</si>
  <si>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</si>
  <si>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</si>
  <si>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</si>
  <si>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</si>
  <si>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</si>
  <si>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</si>
  <si>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</si>
  <si>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</si>
  <si>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</si>
  <si>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</si>
  <si>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</si>
  <si>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</si>
  <si>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</si>
  <si>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</si>
  <si>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</si>
  <si>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</si>
  <si>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</si>
  <si>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</si>
  <si>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</si>
  <si>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</si>
  <si>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</si>
  <si>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</si>
  <si>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</si>
  <si>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</si>
  <si>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</si>
  <si>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</si>
  <si>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</si>
  <si>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</si>
  <si>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</si>
  <si>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</si>
  <si>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</si>
  <si>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</si>
  <si>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</si>
  <si>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</si>
  <si>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</si>
  <si>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</si>
  <si>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</si>
  <si>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</si>
  <si>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</si>
  <si>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</si>
  <si>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</si>
  <si>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</si>
  <si>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</si>
  <si>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</si>
  <si>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</si>
  <si>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</si>
  <si>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</si>
  <si>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</si>
  <si>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</si>
  <si>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</si>
  <si>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</si>
  <si>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</si>
  <si>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</si>
  <si>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</si>
  <si>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</si>
  <si>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</si>
  <si>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</si>
  <si>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</si>
  <si>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</si>
  <si>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</si>
  <si>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</si>
  <si>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</si>
  <si>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</si>
  <si>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</si>
  <si>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</si>
  <si>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</si>
  <si>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</si>
  <si>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</si>
  <si>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</si>
  <si>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</si>
  <si>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</si>
  <si>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</si>
  <si>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</si>
  <si>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</si>
  <si>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</si>
  <si>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</si>
  <si>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07/31/2023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</si>
  <si>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</si>
  <si>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</si>
  <si>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</si>
  <si>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</si>
  <si>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</si>
  <si>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</si>
  <si>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</si>
  <si>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</si>
  <si>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</si>
  <si>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</si>
  <si>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</si>
  <si>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</si>
  <si>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</si>
  <si>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</si>
  <si>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</si>
  <si>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</si>
  <si>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</si>
  <si>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</si>
  <si>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</si>
  <si>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</si>
  <si>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</si>
  <si>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</si>
  <si>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</si>
  <si>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</si>
  <si>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</si>
  <si>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</si>
  <si>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</si>
  <si>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</si>
  <si>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</si>
  <si>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</si>
  <si>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</si>
  <si>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</si>
  <si>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</si>
  <si>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</si>
  <si>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</si>
  <si>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</si>
  <si>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</si>
  <si>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</si>
  <si>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04/20/2023</t>
  </si>
  <si>
    <t>04/19/2023</t>
  </si>
  <si>
    <t>04/18/2023</t>
  </si>
  <si>
    <t>04/17/2023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</si>
  <si>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</si>
  <si>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</si>
  <si>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</si>
  <si>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</si>
  <si>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</si>
  <si>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</si>
  <si>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</si>
  <si>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</si>
  <si>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</si>
  <si>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</si>
  <si>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</si>
  <si>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</si>
  <si>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</si>
  <si>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</si>
  <si>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</si>
  <si>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</si>
  <si>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</si>
  <si>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</si>
  <si>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</si>
  <si>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</si>
  <si>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</si>
  <si>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</si>
  <si>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</si>
  <si>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</si>
  <si>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</si>
  <si>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</si>
  <si>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</si>
  <si>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</si>
  <si>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</si>
  <si>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</si>
  <si>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</si>
  <si>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</si>
  <si>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</si>
  <si>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</si>
  <si>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</si>
  <si>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</si>
  <si>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</si>
  <si>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</si>
  <si>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</si>
  <si>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</si>
  <si>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</si>
  <si>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</si>
  <si>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</si>
  <si>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</si>
  <si>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</si>
  <si>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</si>
  <si>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</si>
  <si>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</si>
  <si>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</si>
  <si>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</si>
  <si>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</si>
  <si>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</si>
  <si>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</si>
  <si>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</si>
  <si>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</si>
  <si>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</si>
  <si>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</si>
  <si>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</si>
  <si>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</si>
  <si>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</si>
  <si>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</si>
  <si>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</si>
  <si>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</si>
  <si>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</si>
  <si>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</si>
  <si>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</si>
  <si>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</si>
  <si>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</si>
  <si>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</si>
  <si>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</si>
  <si>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</si>
  <si>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</si>
  <si>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</si>
  <si>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</si>
  <si>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</si>
  <si>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</si>
  <si>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</si>
  <si>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</si>
  <si>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</si>
  <si>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</si>
  <si>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</si>
  <si>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</si>
  <si>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</si>
  <si>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</si>
  <si>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</si>
  <si>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</si>
  <si>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</si>
  <si>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</si>
  <si>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</si>
  <si>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</si>
  <si>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</si>
  <si>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</si>
  <si>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</si>
  <si>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</si>
  <si>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</si>
  <si>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</si>
  <si>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</si>
  <si>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</si>
  <si>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</si>
  <si>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</si>
  <si>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</si>
  <si>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</si>
  <si>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</si>
  <si>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</si>
  <si>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</si>
  <si>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</si>
  <si>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</si>
  <si>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</si>
  <si>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</si>
  <si>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</si>
  <si>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</si>
  <si>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</si>
  <si>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</si>
  <si>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</si>
  <si>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</si>
  <si>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</si>
  <si>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</si>
  <si>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</si>
  <si>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</si>
  <si>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</si>
  <si>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</si>
  <si>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</si>
  <si>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</si>
  <si>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</si>
  <si>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</si>
  <si>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</si>
  <si>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</si>
  <si>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</si>
  <si>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</si>
  <si>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</si>
  <si>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</si>
  <si>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</si>
  <si>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</si>
  <si>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</si>
  <si>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</si>
  <si>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</si>
  <si>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</si>
  <si>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</si>
  <si>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</si>
  <si>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</si>
  <si>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</si>
  <si>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</si>
  <si>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</si>
  <si>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</si>
  <si>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</si>
  <si>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</si>
  <si>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</si>
  <si>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</si>
  <si>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</si>
  <si>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</si>
  <si>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</si>
  <si>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</si>
  <si>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</si>
  <si>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</si>
  <si>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</si>
  <si>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</si>
  <si>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</si>
  <si>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</si>
  <si>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</si>
  <si>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</si>
  <si>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</si>
  <si>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</si>
  <si>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</si>
  <si>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</si>
  <si>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</si>
  <si>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</si>
  <si>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</si>
  <si>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</si>
  <si>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</si>
  <si>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</si>
  <si>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</si>
  <si>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</si>
  <si>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</si>
  <si>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</si>
  <si>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</si>
  <si>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</si>
  <si>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</si>
  <si>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</si>
  <si>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</si>
  <si>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</si>
  <si>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</si>
  <si>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</si>
  <si>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</si>
  <si>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</si>
  <si>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</si>
  <si>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</si>
  <si>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</si>
  <si>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</si>
  <si>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</si>
  <si>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</si>
  <si>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</si>
  <si>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</si>
  <si>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</si>
  <si>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</si>
  <si>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</si>
  <si>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</si>
  <si>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</si>
  <si>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</si>
  <si>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</si>
  <si>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</si>
  <si>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</si>
  <si>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</si>
  <si>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</si>
  <si>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</si>
  <si>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</si>
  <si>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</si>
  <si>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</si>
  <si>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</si>
  <si>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</si>
  <si>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</si>
  <si>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</si>
  <si>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</si>
  <si>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</si>
  <si>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</si>
  <si>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</si>
  <si>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</si>
  <si>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</si>
  <si>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</si>
  <si>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</si>
  <si>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</si>
  <si>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</si>
  <si>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</si>
  <si>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</si>
  <si>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</si>
  <si>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</si>
  <si>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</si>
  <si>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</si>
  <si>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</si>
  <si>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</si>
  <si>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</si>
  <si>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</si>
  <si>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</si>
  <si>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</si>
  <si>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</si>
  <si>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</si>
  <si>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</si>
  <si>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</si>
  <si>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</si>
  <si>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</si>
  <si>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</si>
  <si>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</si>
  <si>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</si>
  <si>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</si>
  <si>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</si>
  <si>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</si>
  <si>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</si>
  <si>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</si>
  <si>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</si>
  <si>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</si>
  <si>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</si>
  <si>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</si>
  <si>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</si>
  <si>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</si>
  <si>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</si>
  <si>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</si>
  <si>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</si>
  <si>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</si>
  <si>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</si>
  <si>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</si>
  <si>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</si>
  <si>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</si>
  <si>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</si>
  <si>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</si>
  <si>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</si>
  <si>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</si>
  <si>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</si>
  <si>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</si>
  <si>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</si>
  <si>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</si>
  <si>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</si>
  <si>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</si>
  <si>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</si>
  <si>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</si>
  <si>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</si>
  <si>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</si>
  <si>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</si>
  <si>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</si>
  <si>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</si>
  <si>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</si>
  <si>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</si>
  <si>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</si>
  <si>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</si>
  <si>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</si>
  <si>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</si>
  <si>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</si>
  <si>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</si>
  <si>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</si>
  <si>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</si>
  <si>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</si>
  <si>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</si>
  <si>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</si>
  <si>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</si>
  <si>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</si>
  <si>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</si>
  <si>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</si>
  <si>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</si>
  <si>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</si>
  <si>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</si>
  <si>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</si>
  <si>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</si>
  <si>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</si>
  <si>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</si>
  <si>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</si>
  <si>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</si>
  <si>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</si>
  <si>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</si>
  <si>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</si>
  <si>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</si>
  <si>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</si>
  <si>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</si>
  <si>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</si>
  <si>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</si>
  <si>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</si>
  <si>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</si>
  <si>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</si>
  <si>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</si>
  <si>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</si>
  <si>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</si>
  <si>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</si>
  <si>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</si>
  <si>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</si>
  <si>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</si>
  <si>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</si>
  <si>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</si>
  <si>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</si>
  <si>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</si>
  <si>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</si>
  <si>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</si>
  <si>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</si>
  <si>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</si>
  <si>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</si>
  <si>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</si>
  <si>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</si>
  <si>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</si>
  <si>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</si>
  <si>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</si>
  <si>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</si>
  <si>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</si>
  <si>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</si>
  <si>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</si>
  <si>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</si>
  <si>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</si>
  <si>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</si>
  <si>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</si>
  <si>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</si>
  <si>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</si>
  <si>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</si>
  <si>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</si>
  <si>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</si>
  <si>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</si>
  <si>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</si>
  <si>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</si>
  <si>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</si>
  <si>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</si>
  <si>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</si>
  <si>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</si>
  <si>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</si>
  <si>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</si>
  <si>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</si>
  <si>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</si>
  <si>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</si>
  <si>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</si>
  <si>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</si>
  <si>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</si>
  <si>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</si>
  <si>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</si>
  <si>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</si>
  <si>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</si>
  <si>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</si>
  <si>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</si>
  <si>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</si>
  <si>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</si>
  <si>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</si>
  <si>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</si>
  <si>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</si>
  <si>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</si>
  <si>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</si>
  <si>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</si>
  <si>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</si>
  <si>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</si>
  <si>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</si>
  <si>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</si>
  <si>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</si>
  <si>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</si>
  <si>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</si>
  <si>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</si>
  <si>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</si>
  <si>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</si>
  <si>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</si>
  <si>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</si>
  <si>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</si>
  <si>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</si>
  <si>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</si>
  <si>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</si>
  <si>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</si>
  <si>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</si>
  <si>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</si>
  <si>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</si>
  <si>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</si>
  <si>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</si>
  <si>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</si>
  <si>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</si>
  <si>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</si>
  <si>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</si>
  <si>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</si>
  <si>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</si>
  <si>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08/13/2020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</si>
  <si>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</si>
  <si>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</si>
  <si>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</si>
  <si>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</si>
  <si>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</si>
  <si>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</si>
  <si>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</si>
  <si>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</si>
  <si>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</si>
  <si>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</si>
  <si>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</si>
  <si>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</si>
  <si>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</si>
  <si>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</si>
  <si>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</si>
  <si>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</si>
  <si>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</si>
  <si>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</si>
  <si>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</si>
  <si>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</si>
  <si>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</si>
  <si>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</si>
  <si>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</si>
  <si>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</si>
  <si>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</si>
  <si>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</si>
  <si>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</si>
  <si>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</si>
  <si>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</si>
  <si>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</si>
  <si>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</si>
  <si>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</si>
  <si>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</si>
  <si>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</si>
  <si>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</si>
  <si>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</si>
  <si>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</si>
  <si>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</si>
  <si>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</si>
  <si>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</si>
  <si>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</si>
  <si>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</si>
  <si>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</si>
  <si>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</si>
  <si>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</si>
  <si>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</si>
  <si>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</si>
  <si>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</si>
  <si>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</si>
  <si>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</si>
  <si>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</si>
  <si>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</si>
  <si>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</si>
  <si>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</si>
  <si>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</si>
  <si>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</si>
  <si>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</si>
  <si>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</si>
  <si>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</si>
  <si>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</si>
  <si>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</si>
  <si>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</si>
  <si>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</si>
  <si>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</si>
  <si>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</si>
  <si>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</si>
  <si>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</si>
  <si>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</si>
  <si>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</si>
  <si>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</si>
  <si>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</si>
  <si>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</si>
  <si>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</si>
  <si>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</si>
  <si>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</si>
  <si>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</si>
  <si>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</si>
  <si>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</si>
  <si>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</si>
  <si>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</si>
  <si>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</si>
  <si>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</si>
  <si>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</si>
  <si>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</si>
  <si>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</si>
  <si>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</si>
  <si>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</si>
  <si>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</si>
  <si>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</si>
  <si>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</si>
  <si>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</si>
  <si>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</si>
  <si>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</si>
  <si>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</si>
  <si>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</si>
  <si>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</si>
  <si>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</si>
  <si>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</si>
  <si>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</si>
  <si>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</si>
  <si>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</si>
  <si>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</si>
  <si>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</si>
  <si>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</si>
  <si>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</si>
  <si>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</si>
  <si>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</si>
  <si>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</si>
  <si>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</si>
  <si>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</si>
  <si>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</si>
  <si>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</si>
  <si>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</si>
  <si>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</si>
  <si>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</si>
  <si>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</si>
  <si>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</si>
  <si>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</si>
  <si>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</si>
  <si>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</si>
  <si>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</si>
  <si>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</si>
  <si>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</si>
  <si>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</si>
  <si>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</si>
  <si>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</si>
  <si>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</si>
  <si>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</si>
  <si>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</si>
  <si>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</si>
  <si>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</si>
  <si>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</si>
  <si>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</si>
  <si>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</si>
  <si>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</si>
  <si>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</si>
  <si>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</si>
  <si>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</si>
  <si>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</si>
  <si>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</si>
  <si>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</si>
  <si>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</si>
  <si>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</si>
  <si>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</si>
  <si>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</si>
  <si>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</si>
  <si>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</si>
  <si>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</si>
  <si>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</si>
  <si>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</si>
  <si>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</si>
  <si>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</si>
  <si>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</si>
  <si>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</si>
  <si>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</si>
  <si>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</si>
  <si>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</si>
  <si>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</si>
  <si>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</si>
  <si>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</si>
  <si>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</si>
  <si>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</si>
  <si>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</si>
  <si>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</si>
  <si>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</si>
  <si>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</si>
  <si>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</si>
  <si>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</si>
  <si>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</si>
  <si>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</si>
  <si>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</si>
  <si>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</si>
  <si>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</si>
  <si>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</si>
  <si>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</si>
  <si>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</si>
  <si>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</si>
  <si>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</si>
  <si>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</si>
  <si>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</si>
  <si>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</si>
  <si>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</si>
  <si>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</si>
  <si>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</si>
  <si>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</si>
  <si>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</si>
  <si>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</si>
  <si>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</si>
  <si>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</si>
  <si>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</si>
  <si>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</si>
  <si>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</si>
  <si>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</si>
  <si>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</si>
  <si>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</si>
  <si>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</si>
  <si>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</si>
  <si>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</si>
  <si>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</si>
  <si>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</si>
  <si>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</si>
  <si>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</si>
  <si>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</si>
  <si>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</si>
  <si>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</si>
  <si>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</si>
  <si>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</si>
  <si>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</si>
  <si>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</si>
  <si>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</si>
  <si>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</si>
  <si>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</si>
  <si>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</si>
  <si>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</si>
  <si>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</si>
  <si>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</si>
  <si>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</si>
  <si>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</si>
  <si>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</si>
  <si>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</si>
  <si>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</si>
  <si>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</si>
  <si>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</si>
  <si>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</si>
  <si>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</si>
  <si>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</si>
  <si>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</si>
  <si>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</si>
  <si>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</si>
  <si>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</si>
  <si>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</si>
  <si>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</si>
  <si>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</si>
  <si>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</si>
  <si>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</si>
  <si>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</si>
  <si>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</si>
  <si>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</si>
  <si>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</si>
  <si>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</si>
  <si>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Historical Return</t>
  </si>
  <si>
    <t>Average Return</t>
  </si>
  <si>
    <t>Risk</t>
  </si>
  <si>
    <t>CV</t>
  </si>
  <si>
    <t>Bank Al Habib</t>
  </si>
  <si>
    <t>KSE 100</t>
  </si>
  <si>
    <t>Beta</t>
  </si>
  <si>
    <t>Statistical Analysis – LUCK &amp; KSE-100</t>
  </si>
  <si>
    <t>LUCK Cement</t>
  </si>
  <si>
    <t>KSE-100 Index</t>
  </si>
  <si>
    <t>Hist Return</t>
  </si>
  <si>
    <t>Avg Return</t>
  </si>
  <si>
    <t>St Dev</t>
  </si>
  <si>
    <t>BETA</t>
  </si>
  <si>
    <t>Fauji Fertilizer</t>
  </si>
  <si>
    <t xml:space="preserve">KSE 100 index </t>
  </si>
  <si>
    <t>Return</t>
  </si>
  <si>
    <t>Cnergyico</t>
  </si>
  <si>
    <t>Course: Financial Management (MGT 330)</t>
  </si>
  <si>
    <t>Submitted To:</t>
  </si>
  <si>
    <t>Madam Humaira Kousar</t>
  </si>
  <si>
    <t>Submitted By:</t>
  </si>
  <si>
    <t xml:space="preserve"> Alizeh Imran (FA24-BBD-021)</t>
  </si>
  <si>
    <t xml:space="preserve"> Jeremiah Huang (FA24-BBD-075)</t>
  </si>
  <si>
    <t xml:space="preserve"> Moaz Ali Tamour (FA24-BBD-099)</t>
  </si>
  <si>
    <t>Muhammad Hamza (FA24-BBD-128)</t>
  </si>
  <si>
    <t>Date of Submission:</t>
  </si>
  <si>
    <t>Assignment # 3</t>
  </si>
  <si>
    <t>Portfolio Calculation</t>
  </si>
  <si>
    <t>Companies</t>
  </si>
  <si>
    <t>Betas</t>
  </si>
  <si>
    <t>Weights</t>
  </si>
  <si>
    <t>Cynergico</t>
  </si>
  <si>
    <t>Fauji Fertillizers</t>
  </si>
  <si>
    <t>Lucky Cement</t>
  </si>
  <si>
    <t>Portfolio Beta</t>
  </si>
  <si>
    <t xml:space="preserve">Stock A </t>
  </si>
  <si>
    <t>Stock B</t>
  </si>
  <si>
    <t>Stock C</t>
  </si>
  <si>
    <t>Our Portfolio</t>
  </si>
  <si>
    <t>Expanded Portfolio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</si>
  <si>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</si>
  <si>
    <r>
      <t>R</t>
    </r>
    <r>
      <rPr>
        <vertAlign val="subscript"/>
        <sz val="11"/>
        <color theme="1"/>
        <rFont val="Calibri"/>
        <family val="2"/>
        <scheme val="minor"/>
      </rPr>
      <t>m</t>
    </r>
  </si>
  <si>
    <t>As of April 2026</t>
  </si>
  <si>
    <r>
      <t>R</t>
    </r>
    <r>
      <rPr>
        <vertAlign val="subscript"/>
        <sz val="11"/>
        <color theme="1"/>
        <rFont val="Calibri"/>
        <family val="2"/>
        <scheme val="minor"/>
      </rPr>
      <t>j</t>
    </r>
  </si>
  <si>
    <t>Risk Free rate</t>
  </si>
  <si>
    <t>Market Return</t>
  </si>
  <si>
    <t>Rm (annual)</t>
  </si>
  <si>
    <t>Average daily Returns</t>
  </si>
  <si>
    <t>Average Annual Returns</t>
  </si>
  <si>
    <t>Required Return</t>
  </si>
  <si>
    <t>Weight x Beta</t>
  </si>
  <si>
    <t>Undervalued Stocks</t>
  </si>
  <si>
    <t>Overvalued Stocks</t>
  </si>
  <si>
    <t>Fauji Fertilizers</t>
  </si>
  <si>
    <t>25/4/2026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</si>
</sst>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FFFF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B5E20"/>
        <bgColor rgb="FF2E7D3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34" borderId="0" xfId="0" applyFill="1" applyAlignment="1">
      <alignment horizontal="center"/>
    </xf>
    <xf numFmtId="0" fontId="13" fillId="33" borderId="14" xfId="0" applyFont="1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14" fontId="0" fillId="35" borderId="1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4" fontId="0" fillId="35" borderId="10" xfId="0" applyNumberFormat="1" applyFill="1" applyBorder="1" applyAlignment="1">
      <alignment horizontal="center"/>
    </xf>
    <xf numFmtId="10" fontId="0" fillId="35" borderId="10" xfId="1" applyNumberFormat="1" applyFont="1" applyFill="1" applyBorder="1" applyAlignment="1">
      <alignment horizontal="center"/>
    </xf>
    <xf numFmtId="3" fontId="0" fillId="35" borderId="10" xfId="0" applyNumberForma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1" xfId="0" applyBorder="1" applyAlignment="1">
      <alignment horizontal="center"/>
    </xf>
    <xf numFmtId="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4" fontId="0" fillId="0" borderId="0" xfId="0" applyNumberFormat="1"/>
    <xf numFmtId="4" fontId="0" fillId="0" borderId="0" xfId="0" applyNumberFormat="1"/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10" xfId="0" applyNumberFormat="1" applyBorder="1"/>
    <xf numFmtId="10" fontId="0" fillId="0" borderId="10" xfId="0" applyNumberFormat="1" applyBorder="1"/>
    <xf numFmtId="10" fontId="0" fillId="0" borderId="10" xfId="1" applyNumberFormat="1" applyFont="1" applyBorder="1"/>
    <xf numFmtId="2" fontId="0" fillId="0" borderId="10" xfId="0" applyNumberFormat="1" applyBorder="1"/>
    <xf numFmtId="164" fontId="0" fillId="0" borderId="10" xfId="0" applyNumberFormat="1" applyBorder="1"/>
    <xf numFmtId="0" fontId="0" fillId="0" borderId="15" xfId="0" applyBorder="1"/>
    <xf numFmtId="10" fontId="0" fillId="0" borderId="0" xfId="1" applyNumberFormat="1" applyFont="1" applyBorder="1"/>
    <xf numFmtId="10" fontId="0" fillId="0" borderId="10" xfId="1" applyNumberFormat="1" applyFont="1" applyBorder="1" applyAlignme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165" fontId="0" fillId="35" borderId="10" xfId="0" applyNumberFormat="1" applyFill="1" applyBorder="1"/>
    <xf numFmtId="165" fontId="0" fillId="0" borderId="10" xfId="0" applyNumberFormat="1" applyBorder="1" applyAlignment="1">
      <alignment horizontal="center"/>
    </xf>
    <xf numFmtId="0" fontId="0" fillId="0" borderId="16" xfId="0" applyBorder="1"/>
    <xf numFmtId="0" fontId="19" fillId="0" borderId="10" xfId="0" applyFont="1" applyBorder="1" applyAlignment="1">
      <alignment horizontal="center"/>
    </xf>
    <xf numFmtId="166" fontId="0" fillId="0" borderId="10" xfId="1" applyNumberFormat="1" applyFont="1" applyBorder="1"/>
    <xf numFmtId="166" fontId="0" fillId="0" borderId="10" xfId="0" applyNumberFormat="1" applyBorder="1"/>
    <xf numFmtId="166" fontId="0" fillId="35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0" xfId="0" applyAlignment="1"/>
    <xf numFmtId="0" fontId="16" fillId="37" borderId="10" xfId="0" applyFont="1" applyFill="1" applyBorder="1"/>
    <xf numFmtId="0" fontId="0" fillId="38" borderId="10" xfId="0" applyFill="1" applyBorder="1"/>
    <xf numFmtId="0" fontId="13" fillId="39" borderId="10" xfId="0" applyFont="1" applyFill="1" applyBorder="1"/>
    <xf numFmtId="0" fontId="0" fillId="40" borderId="10" xfId="0" applyFill="1" applyBorder="1"/>
    <xf numFmtId="0" fontId="0" fillId="40" borderId="10" xfId="0" applyFill="1" applyBorder="1" applyAlignment="1"/>
    <xf numFmtId="0" fontId="13" fillId="39" borderId="10" xfId="0" applyFont="1" applyFill="1" applyBorder="1" applyAlignment="1">
      <alignment horizontal="center"/>
    </xf>
    <xf numFmtId="10" fontId="0" fillId="38" borderId="10" xfId="0" applyNumberFormat="1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40" borderId="10" xfId="0" applyFill="1" applyBorder="1" applyAlignment="1">
      <alignment horizontal="left"/>
    </xf>
    <xf numFmtId="9" fontId="0" fillId="38" borderId="10" xfId="0" applyNumberFormat="1" applyFill="1" applyBorder="1" applyAlignment="1">
      <alignment horizontal="center"/>
    </xf>
    <xf numFmtId="10" fontId="0" fillId="38" borderId="10" xfId="1" applyNumberFormat="1" applyFont="1" applyFill="1" applyBorder="1" applyAlignment="1">
      <alignment horizontal="center"/>
    </xf>
    <xf numFmtId="166" fontId="0" fillId="38" borderId="10" xfId="1" applyNumberFormat="1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5" fontId="2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13" fillId="33" borderId="13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36" borderId="0" xfId="0" applyFont="1" applyFill="1" applyAlignment="1">
      <alignment horizontal="center" vertical="center"/>
    </xf>
    <xf numFmtId="0" fontId="13" fillId="39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Bank Al Habib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'Bank Al-Habib '!$G$3:$G$1736</c:f>
              <c:numCache>
                <c:formatCode>0.00%</c:formatCode>
                <c:ptCount val="1734"/>
                <c:pt idx="1">
                  <c:v>-5.277167768193136E-3</c:v>
                </c:pt>
                <c:pt idx="2">
                  <c:v>-6.700312870003452E-3</c:v>
                </c:pt>
                <c:pt idx="3">
                  <c:v>1.4596980822273301E-4</c:v>
                </c:pt>
                <c:pt idx="4">
                  <c:v>2.7030035829292545E-2</c:v>
                </c:pt>
                <c:pt idx="5">
                  <c:v>1.2709271207186236E-2</c:v>
                </c:pt>
                <c:pt idx="6">
                  <c:v>-3.3495934959348996E-3</c:v>
                </c:pt>
                <c:pt idx="7">
                  <c:v>4.3315179787927118E-3</c:v>
                </c:pt>
                <c:pt idx="8">
                  <c:v>-1.0539704499429804E-3</c:v>
                </c:pt>
                <c:pt idx="9">
                  <c:v>9.3080297922512167E-3</c:v>
                </c:pt>
                <c:pt idx="10">
                  <c:v>5.1156294124586037E-3</c:v>
                </c:pt>
                <c:pt idx="11">
                  <c:v>-8.6390804098633381E-3</c:v>
                </c:pt>
                <c:pt idx="12">
                  <c:v>-7.1425042918691847E-4</c:v>
                </c:pt>
                <c:pt idx="13">
                  <c:v>1.5954075908377224E-3</c:v>
                </c:pt>
                <c:pt idx="14">
                  <c:v>6.0364061923599607E-3</c:v>
                </c:pt>
                <c:pt idx="15">
                  <c:v>9.0643861220111883E-3</c:v>
                </c:pt>
                <c:pt idx="16">
                  <c:v>3.9005358349825593E-3</c:v>
                </c:pt>
                <c:pt idx="17">
                  <c:v>5.7743987757706656E-3</c:v>
                </c:pt>
                <c:pt idx="18">
                  <c:v>-6.0512554741783283E-4</c:v>
                </c:pt>
                <c:pt idx="19">
                  <c:v>3.8572171510684442E-3</c:v>
                </c:pt>
                <c:pt idx="20">
                  <c:v>5.0544172464732987E-3</c:v>
                </c:pt>
                <c:pt idx="21">
                  <c:v>-4.2511407555896342E-4</c:v>
                </c:pt>
                <c:pt idx="22">
                  <c:v>4.7380853406987292E-3</c:v>
                </c:pt>
                <c:pt idx="23">
                  <c:v>7.6763157997937811E-3</c:v>
                </c:pt>
                <c:pt idx="24">
                  <c:v>1.2202552446676474E-2</c:v>
                </c:pt>
                <c:pt idx="25">
                  <c:v>-2.6123175180508265E-3</c:v>
                </c:pt>
                <c:pt idx="26">
                  <c:v>-4.1664177047575244E-3</c:v>
                </c:pt>
                <c:pt idx="27">
                  <c:v>-1.0775958531672861E-2</c:v>
                </c:pt>
                <c:pt idx="28">
                  <c:v>-1.3716222743709233E-2</c:v>
                </c:pt>
                <c:pt idx="29">
                  <c:v>6.6891448383979485E-3</c:v>
                </c:pt>
                <c:pt idx="30">
                  <c:v>-1.2850931169062351E-3</c:v>
                </c:pt>
                <c:pt idx="31">
                  <c:v>-9.1579270083860223E-4</c:v>
                </c:pt>
                <c:pt idx="32">
                  <c:v>-5.0139506820811989E-4</c:v>
                </c:pt>
                <c:pt idx="33">
                  <c:v>-6.5997030627610795E-3</c:v>
                </c:pt>
                <c:pt idx="34">
                  <c:v>-6.5242033273934606E-3</c:v>
                </c:pt>
                <c:pt idx="35">
                  <c:v>8.0664072716041917E-3</c:v>
                </c:pt>
                <c:pt idx="36">
                  <c:v>-5.1805663344370806E-3</c:v>
                </c:pt>
                <c:pt idx="37">
                  <c:v>-1.3620921615814081E-3</c:v>
                </c:pt>
                <c:pt idx="38">
                  <c:v>-1.0229375004529338E-2</c:v>
                </c:pt>
                <c:pt idx="39">
                  <c:v>-1.9822863705945434E-2</c:v>
                </c:pt>
                <c:pt idx="40">
                  <c:v>-3.3223712426589565E-3</c:v>
                </c:pt>
                <c:pt idx="41">
                  <c:v>9.353446348651288E-3</c:v>
                </c:pt>
                <c:pt idx="42">
                  <c:v>1.2403404464518994E-2</c:v>
                </c:pt>
                <c:pt idx="43">
                  <c:v>5.3296731506427683E-3</c:v>
                </c:pt>
                <c:pt idx="44">
                  <c:v>-1.5403874339805978E-3</c:v>
                </c:pt>
                <c:pt idx="45">
                  <c:v>-3.0338755473562368E-3</c:v>
                </c:pt>
                <c:pt idx="46">
                  <c:v>-6.9247702063025517E-3</c:v>
                </c:pt>
                <c:pt idx="47">
                  <c:v>-8.7511865649040274E-3</c:v>
                </c:pt>
                <c:pt idx="48">
                  <c:v>-6.7059937771876102E-4</c:v>
                </c:pt>
                <c:pt idx="49">
                  <c:v>-7.095859096072491E-4</c:v>
                </c:pt>
                <c:pt idx="50">
                  <c:v>8.3400841566944289E-4</c:v>
                </c:pt>
                <c:pt idx="51">
                  <c:v>-3.0907605218021585E-3</c:v>
                </c:pt>
                <c:pt idx="52">
                  <c:v>-1.2926512956789833E-2</c:v>
                </c:pt>
                <c:pt idx="53">
                  <c:v>1.4227183317909675E-2</c:v>
                </c:pt>
                <c:pt idx="54">
                  <c:v>-6.1664858520613375E-3</c:v>
                </c:pt>
                <c:pt idx="55">
                  <c:v>-1.6732979612492209E-3</c:v>
                </c:pt>
                <c:pt idx="56">
                  <c:v>-4.2298177637300561E-3</c:v>
                </c:pt>
                <c:pt idx="57">
                  <c:v>3.8338182052177414E-3</c:v>
                </c:pt>
                <c:pt idx="58">
                  <c:v>-1.046432472651857E-2</c:v>
                </c:pt>
                <c:pt idx="59">
                  <c:v>5.2577247666189654E-3</c:v>
                </c:pt>
                <c:pt idx="60">
                  <c:v>1.658999304184584E-2</c:v>
                </c:pt>
                <c:pt idx="61">
                  <c:v>-1.0575128814287611E-2</c:v>
                </c:pt>
                <c:pt idx="62">
                  <c:v>2.5001977799364102E-3</c:v>
                </c:pt>
                <c:pt idx="63">
                  <c:v>-7.6195350295761325E-3</c:v>
                </c:pt>
                <c:pt idx="64">
                  <c:v>-8.3123777045145449E-3</c:v>
                </c:pt>
                <c:pt idx="65">
                  <c:v>-3.4782809877886638E-4</c:v>
                </c:pt>
                <c:pt idx="66">
                  <c:v>-1.3325951797342707E-2</c:v>
                </c:pt>
                <c:pt idx="67">
                  <c:v>1.5193472884041256E-4</c:v>
                </c:pt>
                <c:pt idx="68">
                  <c:v>-1.5988034692356105E-2</c:v>
                </c:pt>
                <c:pt idx="69">
                  <c:v>5.6351364271241024E-3</c:v>
                </c:pt>
                <c:pt idx="70">
                  <c:v>-1.483033786453373E-2</c:v>
                </c:pt>
                <c:pt idx="71">
                  <c:v>5.6950211212236784E-3</c:v>
                </c:pt>
                <c:pt idx="72">
                  <c:v>1.4956925750061793E-2</c:v>
                </c:pt>
                <c:pt idx="73">
                  <c:v>4.4515126331523226E-3</c:v>
                </c:pt>
                <c:pt idx="74">
                  <c:v>-3.2564456987081046E-3</c:v>
                </c:pt>
                <c:pt idx="75">
                  <c:v>-1.6836467867513531E-2</c:v>
                </c:pt>
                <c:pt idx="76">
                  <c:v>1.6132205176400147E-3</c:v>
                </c:pt>
                <c:pt idx="77">
                  <c:v>1.3055846675500792E-2</c:v>
                </c:pt>
                <c:pt idx="78">
                  <c:v>-1.0478791026713941E-2</c:v>
                </c:pt>
                <c:pt idx="79">
                  <c:v>-1.3486103210991243E-2</c:v>
                </c:pt>
                <c:pt idx="80">
                  <c:v>2.7529919077640902E-3</c:v>
                </c:pt>
                <c:pt idx="81">
                  <c:v>7.9930419060793966E-3</c:v>
                </c:pt>
                <c:pt idx="82">
                  <c:v>9.0933723013052921E-3</c:v>
                </c:pt>
                <c:pt idx="83">
                  <c:v>-2.8106175413668065E-3</c:v>
                </c:pt>
                <c:pt idx="84">
                  <c:v>-6.5313087167568999E-3</c:v>
                </c:pt>
                <c:pt idx="85">
                  <c:v>-6.437776407633362E-3</c:v>
                </c:pt>
                <c:pt idx="86">
                  <c:v>-1.1619905312601674E-2</c:v>
                </c:pt>
                <c:pt idx="87">
                  <c:v>-1.4326902979961462E-2</c:v>
                </c:pt>
                <c:pt idx="88">
                  <c:v>7.2011508360242404E-4</c:v>
                </c:pt>
                <c:pt idx="89">
                  <c:v>-1.6727821176243392E-2</c:v>
                </c:pt>
                <c:pt idx="90">
                  <c:v>-4.2069323188819712E-3</c:v>
                </c:pt>
                <c:pt idx="91">
                  <c:v>-4.9046023176116411E-3</c:v>
                </c:pt>
                <c:pt idx="92">
                  <c:v>-2.3508973967156323E-2</c:v>
                </c:pt>
                <c:pt idx="93">
                  <c:v>-4.5102739261332391E-4</c:v>
                </c:pt>
                <c:pt idx="94">
                  <c:v>1.1998197437280084E-2</c:v>
                </c:pt>
                <c:pt idx="95">
                  <c:v>-9.3471734372653058E-3</c:v>
                </c:pt>
                <c:pt idx="96">
                  <c:v>-2.3681880373682115E-2</c:v>
                </c:pt>
                <c:pt idx="97">
                  <c:v>2.5302548164388848E-3</c:v>
                </c:pt>
                <c:pt idx="98">
                  <c:v>5.7611094436360328E-3</c:v>
                </c:pt>
                <c:pt idx="99">
                  <c:v>3.573459800670415E-2</c:v>
                </c:pt>
                <c:pt idx="100">
                  <c:v>2.7259756434855682E-2</c:v>
                </c:pt>
                <c:pt idx="101">
                  <c:v>3.4419726744411867E-3</c:v>
                </c:pt>
                <c:pt idx="102">
                  <c:v>-1.8037290698093712E-4</c:v>
                </c:pt>
                <c:pt idx="103">
                  <c:v>-2.0956445810994023E-2</c:v>
                </c:pt>
                <c:pt idx="104">
                  <c:v>2.8903313601882544E-2</c:v>
                </c:pt>
                <c:pt idx="105">
                  <c:v>4.271480387759367E-4</c:v>
                </c:pt>
                <c:pt idx="106">
                  <c:v>-1.3050805855989708E-2</c:v>
                </c:pt>
                <c:pt idx="107">
                  <c:v>-2.6411275615549061E-2</c:v>
                </c:pt>
                <c:pt idx="108">
                  <c:v>2.6701342733284721E-3</c:v>
                </c:pt>
                <c:pt idx="109">
                  <c:v>8.0231160838838533E-3</c:v>
                </c:pt>
                <c:pt idx="110">
                  <c:v>1.3313324515791274E-2</c:v>
                </c:pt>
                <c:pt idx="111">
                  <c:v>4.798453919391662E-3</c:v>
                </c:pt>
                <c:pt idx="112">
                  <c:v>-1.1360598432235657E-2</c:v>
                </c:pt>
                <c:pt idx="113">
                  <c:v>-1.3850336747152692E-2</c:v>
                </c:pt>
                <c:pt idx="114">
                  <c:v>-7.381410149207866E-4</c:v>
                </c:pt>
                <c:pt idx="115">
                  <c:v>9.8046174817031113E-3</c:v>
                </c:pt>
                <c:pt idx="116">
                  <c:v>3.6958604591221232E-3</c:v>
                </c:pt>
                <c:pt idx="117">
                  <c:v>-1.8599155877894191E-2</c:v>
                </c:pt>
                <c:pt idx="118">
                  <c:v>-8.1611281056045426E-3</c:v>
                </c:pt>
                <c:pt idx="119">
                  <c:v>-2.9850292273145367E-3</c:v>
                </c:pt>
                <c:pt idx="120">
                  <c:v>-9.2154083364037499E-3</c:v>
                </c:pt>
                <c:pt idx="121">
                  <c:v>3.7649795318469865E-3</c:v>
                </c:pt>
                <c:pt idx="122">
                  <c:v>2.7948549890595069E-3</c:v>
                </c:pt>
                <c:pt idx="123">
                  <c:v>9.141574987653044E-3</c:v>
                </c:pt>
                <c:pt idx="124">
                  <c:v>1.7181278166537559E-2</c:v>
                </c:pt>
                <c:pt idx="125">
                  <c:v>-9.3398917658049363E-3</c:v>
                </c:pt>
                <c:pt idx="126">
                  <c:v>-1.1009348400462757E-2</c:v>
                </c:pt>
                <c:pt idx="127">
                  <c:v>-1.3083935019634283E-2</c:v>
                </c:pt>
                <c:pt idx="128">
                  <c:v>3.345910876077462E-3</c:v>
                </c:pt>
                <c:pt idx="129">
                  <c:v>-4.5871315747651747E-4</c:v>
                </c:pt>
                <c:pt idx="130">
                  <c:v>1.0446202059393689E-3</c:v>
                </c:pt>
                <c:pt idx="131">
                  <c:v>-5.9898923702746973E-3</c:v>
                </c:pt>
                <c:pt idx="132">
                  <c:v>-2.1208410782808145E-2</c:v>
                </c:pt>
                <c:pt idx="133">
                  <c:v>4.14765909094304E-4</c:v>
                </c:pt>
                <c:pt idx="134">
                  <c:v>3.023775916671519E-4</c:v>
                </c:pt>
                <c:pt idx="135">
                  <c:v>-2.0388399850948872E-2</c:v>
                </c:pt>
                <c:pt idx="136">
                  <c:v>4.6187596604594051E-3</c:v>
                </c:pt>
                <c:pt idx="137">
                  <c:v>3.8750698193430878E-3</c:v>
                </c:pt>
                <c:pt idx="138">
                  <c:v>4.0304377381305484E-3</c:v>
                </c:pt>
                <c:pt idx="139">
                  <c:v>-9.6124573143072899E-3</c:v>
                </c:pt>
                <c:pt idx="140">
                  <c:v>1.3888288777645409E-3</c:v>
                </c:pt>
                <c:pt idx="141">
                  <c:v>-1.0575287242960729E-2</c:v>
                </c:pt>
                <c:pt idx="142">
                  <c:v>-1.1495402181771541E-2</c:v>
                </c:pt>
                <c:pt idx="143">
                  <c:v>-2.3983566010582448E-3</c:v>
                </c:pt>
                <c:pt idx="144">
                  <c:v>8.8558638352498695E-3</c:v>
                </c:pt>
                <c:pt idx="145">
                  <c:v>-3.1112939626431499E-3</c:v>
                </c:pt>
                <c:pt idx="146">
                  <c:v>-5.4241465920373006E-3</c:v>
                </c:pt>
                <c:pt idx="147">
                  <c:v>-1.5335176927223533E-2</c:v>
                </c:pt>
                <c:pt idx="148">
                  <c:v>-5.7769524835796712E-3</c:v>
                </c:pt>
                <c:pt idx="149">
                  <c:v>-2.3329173208191875E-2</c:v>
                </c:pt>
                <c:pt idx="150">
                  <c:v>-1.7817550685411129E-2</c:v>
                </c:pt>
                <c:pt idx="151">
                  <c:v>-1.0387726402398545E-2</c:v>
                </c:pt>
                <c:pt idx="152">
                  <c:v>-2.2577675747143852E-2</c:v>
                </c:pt>
                <c:pt idx="153">
                  <c:v>2.7735103841071387E-2</c:v>
                </c:pt>
                <c:pt idx="154">
                  <c:v>2.8982742278879842E-2</c:v>
                </c:pt>
                <c:pt idx="155">
                  <c:v>1.8196719048022888E-2</c:v>
                </c:pt>
                <c:pt idx="156">
                  <c:v>2.9435552219289559E-2</c:v>
                </c:pt>
                <c:pt idx="157">
                  <c:v>-1.6761775724530369E-2</c:v>
                </c:pt>
                <c:pt idx="158">
                  <c:v>-2.6456450891084241E-2</c:v>
                </c:pt>
                <c:pt idx="159">
                  <c:v>2.1051355477939493E-3</c:v>
                </c:pt>
                <c:pt idx="160">
                  <c:v>1.7283066616315132E-3</c:v>
                </c:pt>
                <c:pt idx="161">
                  <c:v>-1.5626167882651806E-2</c:v>
                </c:pt>
                <c:pt idx="162">
                  <c:v>-1.6142466451097789E-2</c:v>
                </c:pt>
                <c:pt idx="163">
                  <c:v>1.2980872280106777E-2</c:v>
                </c:pt>
                <c:pt idx="164">
                  <c:v>-8.2379349568773696E-3</c:v>
                </c:pt>
                <c:pt idx="165">
                  <c:v>1.4594252605193992E-2</c:v>
                </c:pt>
                <c:pt idx="166">
                  <c:v>-9.9058579792245228E-4</c:v>
                </c:pt>
                <c:pt idx="167">
                  <c:v>8.354523301021332E-3</c:v>
                </c:pt>
                <c:pt idx="168">
                  <c:v>1.6005080873857821E-2</c:v>
                </c:pt>
                <c:pt idx="169">
                  <c:v>1.9117533515771168E-2</c:v>
                </c:pt>
                <c:pt idx="170">
                  <c:v>-2.0699529997042243E-3</c:v>
                </c:pt>
                <c:pt idx="171">
                  <c:v>1.4206524442597781E-2</c:v>
                </c:pt>
                <c:pt idx="172">
                  <c:v>-6.1481025602481228E-4</c:v>
                </c:pt>
                <c:pt idx="173">
                  <c:v>-1.1076839955723889E-2</c:v>
                </c:pt>
                <c:pt idx="174">
                  <c:v>1.9919208935883309E-2</c:v>
                </c:pt>
                <c:pt idx="175">
                  <c:v>-2.2660306990765389E-3</c:v>
                </c:pt>
                <c:pt idx="176">
                  <c:v>-1.1207650936903421E-2</c:v>
                </c:pt>
                <c:pt idx="177">
                  <c:v>2.4575441376880592E-3</c:v>
                </c:pt>
                <c:pt idx="178">
                  <c:v>-8.295202775812506E-3</c:v>
                </c:pt>
                <c:pt idx="179">
                  <c:v>-4.1602764562630725E-3</c:v>
                </c:pt>
                <c:pt idx="180">
                  <c:v>2.0262207445530984E-2</c:v>
                </c:pt>
                <c:pt idx="181">
                  <c:v>2.5069525839843877E-4</c:v>
                </c:pt>
                <c:pt idx="182">
                  <c:v>5.4699591787112437E-3</c:v>
                </c:pt>
                <c:pt idx="183">
                  <c:v>3.3803223878227425E-3</c:v>
                </c:pt>
                <c:pt idx="184">
                  <c:v>1.2016679361067427E-2</c:v>
                </c:pt>
                <c:pt idx="185">
                  <c:v>8.5817004938591908E-3</c:v>
                </c:pt>
                <c:pt idx="186">
                  <c:v>1.8269432197550835E-2</c:v>
                </c:pt>
                <c:pt idx="187">
                  <c:v>-4.7626380852885944E-3</c:v>
                </c:pt>
                <c:pt idx="188">
                  <c:v>1.4075495076861207E-3</c:v>
                </c:pt>
                <c:pt idx="189">
                  <c:v>1.5032928903517304E-2</c:v>
                </c:pt>
                <c:pt idx="190">
                  <c:v>1.3165450500621708E-2</c:v>
                </c:pt>
                <c:pt idx="191">
                  <c:v>-8.3951909301887874E-3</c:v>
                </c:pt>
                <c:pt idx="192">
                  <c:v>-3.0050084449133423E-3</c:v>
                </c:pt>
                <c:pt idx="193">
                  <c:v>5.7963479721730021E-3</c:v>
                </c:pt>
                <c:pt idx="194">
                  <c:v>-1.1158630020223945E-2</c:v>
                </c:pt>
                <c:pt idx="195">
                  <c:v>-8.3808869757288267E-4</c:v>
                </c:pt>
                <c:pt idx="196">
                  <c:v>-2.318915032853407E-2</c:v>
                </c:pt>
                <c:pt idx="197">
                  <c:v>3.4526502105350692E-3</c:v>
                </c:pt>
                <c:pt idx="198">
                  <c:v>7.2511307583130076E-3</c:v>
                </c:pt>
                <c:pt idx="199">
                  <c:v>9.65290049040529E-3</c:v>
                </c:pt>
                <c:pt idx="200">
                  <c:v>-3.110553490146579E-3</c:v>
                </c:pt>
                <c:pt idx="201">
                  <c:v>6.0649258737883781E-3</c:v>
                </c:pt>
                <c:pt idx="202">
                  <c:v>-1.8924096594399281E-3</c:v>
                </c:pt>
                <c:pt idx="203">
                  <c:v>-1.0681260246686382E-3</c:v>
                </c:pt>
                <c:pt idx="204">
                  <c:v>1.3099867570696744E-2</c:v>
                </c:pt>
                <c:pt idx="205">
                  <c:v>5.0851253432379288E-3</c:v>
                </c:pt>
                <c:pt idx="206">
                  <c:v>2.6175467113624201E-2</c:v>
                </c:pt>
                <c:pt idx="207">
                  <c:v>2.2918316681529382E-3</c:v>
                </c:pt>
                <c:pt idx="208">
                  <c:v>8.3437245728091667E-3</c:v>
                </c:pt>
                <c:pt idx="209">
                  <c:v>2.9503555488363934E-3</c:v>
                </c:pt>
                <c:pt idx="210">
                  <c:v>6.14231237758181E-3</c:v>
                </c:pt>
                <c:pt idx="211">
                  <c:v>2.2928910205524546E-2</c:v>
                </c:pt>
                <c:pt idx="212">
                  <c:v>-1.0200227698210444E-3</c:v>
                </c:pt>
                <c:pt idx="213">
                  <c:v>1.0917826357058113E-2</c:v>
                </c:pt>
                <c:pt idx="214">
                  <c:v>2.0512842589223861E-3</c:v>
                </c:pt>
                <c:pt idx="215">
                  <c:v>9.1477101860205981E-3</c:v>
                </c:pt>
                <c:pt idx="216">
                  <c:v>2.2021935462241887E-2</c:v>
                </c:pt>
                <c:pt idx="217">
                  <c:v>3.9782294705032794E-3</c:v>
                </c:pt>
                <c:pt idx="218">
                  <c:v>-1.3657425234743944E-2</c:v>
                </c:pt>
                <c:pt idx="219">
                  <c:v>-2.4616906183552799E-2</c:v>
                </c:pt>
                <c:pt idx="220">
                  <c:v>2.2222395920791026E-2</c:v>
                </c:pt>
                <c:pt idx="221">
                  <c:v>7.5539626201589459E-3</c:v>
                </c:pt>
                <c:pt idx="222">
                  <c:v>-1.0918741305151013E-2</c:v>
                </c:pt>
                <c:pt idx="223">
                  <c:v>8.6696538303295857E-3</c:v>
                </c:pt>
                <c:pt idx="224">
                  <c:v>1.5307144925650521E-2</c:v>
                </c:pt>
                <c:pt idx="225">
                  <c:v>1.5020305495724716E-2</c:v>
                </c:pt>
                <c:pt idx="226">
                  <c:v>2.1293459904066538E-2</c:v>
                </c:pt>
                <c:pt idx="227">
                  <c:v>-8.3612840324372145E-3</c:v>
                </c:pt>
                <c:pt idx="228">
                  <c:v>1.2108705153444041E-2</c:v>
                </c:pt>
                <c:pt idx="229">
                  <c:v>9.2022650812555139E-3</c:v>
                </c:pt>
                <c:pt idx="230">
                  <c:v>2.2428034674258682E-3</c:v>
                </c:pt>
                <c:pt idx="231">
                  <c:v>-7.1061628071122287E-3</c:v>
                </c:pt>
                <c:pt idx="232">
                  <c:v>5.4842889216373649E-3</c:v>
                </c:pt>
                <c:pt idx="233">
                  <c:v>-3.2750844715059364E-3</c:v>
                </c:pt>
                <c:pt idx="234">
                  <c:v>-4.2559574769401122E-4</c:v>
                </c:pt>
                <c:pt idx="235">
                  <c:v>9.9328210352081329E-3</c:v>
                </c:pt>
                <c:pt idx="236">
                  <c:v>1.7799381620022609E-2</c:v>
                </c:pt>
                <c:pt idx="237">
                  <c:v>2.9722741427038839E-3</c:v>
                </c:pt>
                <c:pt idx="238">
                  <c:v>-3.9491331539006601E-3</c:v>
                </c:pt>
                <c:pt idx="239">
                  <c:v>-2.2794601731432041E-2</c:v>
                </c:pt>
                <c:pt idx="240">
                  <c:v>4.3689185463075438E-3</c:v>
                </c:pt>
                <c:pt idx="241">
                  <c:v>-2.0196904512748078E-2</c:v>
                </c:pt>
                <c:pt idx="242">
                  <c:v>7.9990921881439771E-3</c:v>
                </c:pt>
                <c:pt idx="243">
                  <c:v>1.9824034326250167E-2</c:v>
                </c:pt>
                <c:pt idx="244">
                  <c:v>-6.7900560667130917E-3</c:v>
                </c:pt>
                <c:pt idx="245">
                  <c:v>9.5694998081947589E-4</c:v>
                </c:pt>
                <c:pt idx="246">
                  <c:v>-3.7307135998622776E-3</c:v>
                </c:pt>
                <c:pt idx="247">
                  <c:v>1.6323031647415404E-2</c:v>
                </c:pt>
                <c:pt idx="248">
                  <c:v>2.6105314009661883E-2</c:v>
                </c:pt>
                <c:pt idx="249">
                  <c:v>-3.7066191847791594E-3</c:v>
                </c:pt>
                <c:pt idx="250">
                  <c:v>-2.4267011315280352E-2</c:v>
                </c:pt>
                <c:pt idx="251">
                  <c:v>1.4728459540142232E-2</c:v>
                </c:pt>
                <c:pt idx="252">
                  <c:v>-1.305135227816993E-2</c:v>
                </c:pt>
                <c:pt idx="253">
                  <c:v>2.8181304699793751E-2</c:v>
                </c:pt>
                <c:pt idx="254">
                  <c:v>1.6084915788065236E-2</c:v>
                </c:pt>
                <c:pt idx="255">
                  <c:v>2.6893759236039816E-4</c:v>
                </c:pt>
                <c:pt idx="256">
                  <c:v>-2.6909666586216979E-4</c:v>
                </c:pt>
                <c:pt idx="257">
                  <c:v>-4.9531280087689884E-3</c:v>
                </c:pt>
                <c:pt idx="258">
                  <c:v>1.676318231117921E-3</c:v>
                </c:pt>
                <c:pt idx="259">
                  <c:v>2.3840650549980902E-3</c:v>
                </c:pt>
                <c:pt idx="260">
                  <c:v>-9.7327242060453768E-3</c:v>
                </c:pt>
                <c:pt idx="261">
                  <c:v>-2.8340752458088131E-3</c:v>
                </c:pt>
                <c:pt idx="262">
                  <c:v>-1.5298002556159082E-3</c:v>
                </c:pt>
                <c:pt idx="263">
                  <c:v>-1.2762777050590764E-3</c:v>
                </c:pt>
                <c:pt idx="264">
                  <c:v>2.9661031901842346E-3</c:v>
                </c:pt>
                <c:pt idx="265">
                  <c:v>-2.2001720262433996E-3</c:v>
                </c:pt>
                <c:pt idx="266">
                  <c:v>-5.6427913716350971E-3</c:v>
                </c:pt>
                <c:pt idx="267">
                  <c:v>-9.4680300024658909E-3</c:v>
                </c:pt>
                <c:pt idx="268">
                  <c:v>1.1480069787379914E-4</c:v>
                </c:pt>
                <c:pt idx="269">
                  <c:v>-6.5047056917188961E-3</c:v>
                </c:pt>
                <c:pt idx="270">
                  <c:v>-2.9342599518531288E-2</c:v>
                </c:pt>
                <c:pt idx="271">
                  <c:v>1.1751479483228959E-2</c:v>
                </c:pt>
                <c:pt idx="272">
                  <c:v>-3.9095739802001142E-3</c:v>
                </c:pt>
                <c:pt idx="273">
                  <c:v>-1.4261225638382632E-2</c:v>
                </c:pt>
                <c:pt idx="274">
                  <c:v>-2.109749417279903E-2</c:v>
                </c:pt>
                <c:pt idx="275">
                  <c:v>1.0630918117806382E-2</c:v>
                </c:pt>
                <c:pt idx="276">
                  <c:v>2.0563542850639244E-2</c:v>
                </c:pt>
                <c:pt idx="277">
                  <c:v>-1.867453485752681E-3</c:v>
                </c:pt>
                <c:pt idx="278">
                  <c:v>-5.2447829018792101E-3</c:v>
                </c:pt>
                <c:pt idx="279">
                  <c:v>8.3666184101383067E-4</c:v>
                </c:pt>
                <c:pt idx="280">
                  <c:v>-2.5220392914753371E-3</c:v>
                </c:pt>
                <c:pt idx="281">
                  <c:v>9.9356943996753797E-3</c:v>
                </c:pt>
                <c:pt idx="282">
                  <c:v>-2.2888748899554537E-3</c:v>
                </c:pt>
                <c:pt idx="283">
                  <c:v>-5.7416137929160562E-3</c:v>
                </c:pt>
                <c:pt idx="284">
                  <c:v>-2.7466122324854941E-2</c:v>
                </c:pt>
                <c:pt idx="285">
                  <c:v>-7.2880126651191923E-3</c:v>
                </c:pt>
                <c:pt idx="286">
                  <c:v>-1.3384990909313043E-2</c:v>
                </c:pt>
                <c:pt idx="287">
                  <c:v>-6.5472335388631177E-3</c:v>
                </c:pt>
                <c:pt idx="288">
                  <c:v>-2.7226909113058383E-3</c:v>
                </c:pt>
                <c:pt idx="289">
                  <c:v>3.4559107320471301E-2</c:v>
                </c:pt>
                <c:pt idx="290">
                  <c:v>-2.4587556589297874E-3</c:v>
                </c:pt>
                <c:pt idx="291">
                  <c:v>-7.4816937281120361E-3</c:v>
                </c:pt>
                <c:pt idx="292">
                  <c:v>1.2227037196965001E-2</c:v>
                </c:pt>
                <c:pt idx="293">
                  <c:v>-2.9516955795410717E-2</c:v>
                </c:pt>
                <c:pt idx="294">
                  <c:v>-3.0369702302505523E-2</c:v>
                </c:pt>
                <c:pt idx="295">
                  <c:v>1.7183433421616181E-2</c:v>
                </c:pt>
                <c:pt idx="296">
                  <c:v>-5.9688426414118299E-4</c:v>
                </c:pt>
                <c:pt idx="297">
                  <c:v>-4.55644256866609E-2</c:v>
                </c:pt>
                <c:pt idx="298">
                  <c:v>2.8976527038499663E-3</c:v>
                </c:pt>
                <c:pt idx="299">
                  <c:v>-6.5887743172102123E-2</c:v>
                </c:pt>
                <c:pt idx="300">
                  <c:v>-3.1704997875903577E-2</c:v>
                </c:pt>
                <c:pt idx="301">
                  <c:v>-6.7476614138731045E-2</c:v>
                </c:pt>
                <c:pt idx="302">
                  <c:v>-9.4101633841342826E-3</c:v>
                </c:pt>
                <c:pt idx="303">
                  <c:v>1.7842118591442371E-2</c:v>
                </c:pt>
                <c:pt idx="304">
                  <c:v>-6.8560729451883878E-2</c:v>
                </c:pt>
                <c:pt idx="305">
                  <c:v>-4.6771851959210062E-2</c:v>
                </c:pt>
                <c:pt idx="306">
                  <c:v>1.4102714772594258E-3</c:v>
                </c:pt>
                <c:pt idx="307">
                  <c:v>3.089316101396546E-2</c:v>
                </c:pt>
                <c:pt idx="308">
                  <c:v>-3.0658597765814378E-3</c:v>
                </c:pt>
                <c:pt idx="309">
                  <c:v>4.3115411804210753E-2</c:v>
                </c:pt>
                <c:pt idx="310">
                  <c:v>9.3713556171858593E-3</c:v>
                </c:pt>
                <c:pt idx="311">
                  <c:v>4.3283014020742527E-2</c:v>
                </c:pt>
                <c:pt idx="312">
                  <c:v>2.7259827448310219E-2</c:v>
                </c:pt>
                <c:pt idx="313">
                  <c:v>-3.2972200498453737E-2</c:v>
                </c:pt>
                <c:pt idx="314">
                  <c:v>2.1334798383866059E-2</c:v>
                </c:pt>
                <c:pt idx="315">
                  <c:v>-8.3338803229426276E-3</c:v>
                </c:pt>
                <c:pt idx="316">
                  <c:v>2.7962366412484823E-2</c:v>
                </c:pt>
                <c:pt idx="317">
                  <c:v>6.1531599727364271E-3</c:v>
                </c:pt>
                <c:pt idx="318">
                  <c:v>-3.1224167426295191E-2</c:v>
                </c:pt>
                <c:pt idx="319">
                  <c:v>6.1144607722298109E-3</c:v>
                </c:pt>
                <c:pt idx="320">
                  <c:v>6.2294340599182158E-4</c:v>
                </c:pt>
                <c:pt idx="321">
                  <c:v>2.7933381110607303E-3</c:v>
                </c:pt>
                <c:pt idx="322">
                  <c:v>4.7953906642502063E-2</c:v>
                </c:pt>
                <c:pt idx="323">
                  <c:v>2.0340626763722877E-2</c:v>
                </c:pt>
                <c:pt idx="324">
                  <c:v>-3.2144216432111967E-2</c:v>
                </c:pt>
                <c:pt idx="325">
                  <c:v>1.2768780516690806E-3</c:v>
                </c:pt>
                <c:pt idx="326">
                  <c:v>1.190849128409952E-2</c:v>
                </c:pt>
                <c:pt idx="327">
                  <c:v>-1.3530860559688861E-3</c:v>
                </c:pt>
                <c:pt idx="328">
                  <c:v>-1.4991291328089162E-2</c:v>
                </c:pt>
                <c:pt idx="329">
                  <c:v>7.3904743278341541E-3</c:v>
                </c:pt>
                <c:pt idx="330">
                  <c:v>1.859867743420876E-2</c:v>
                </c:pt>
                <c:pt idx="331">
                  <c:v>2.873441893624756E-2</c:v>
                </c:pt>
                <c:pt idx="332">
                  <c:v>-5.7165237438012361E-3</c:v>
                </c:pt>
                <c:pt idx="333">
                  <c:v>2.2440312483783943E-3</c:v>
                </c:pt>
                <c:pt idx="334">
                  <c:v>-7.7831302262982459E-3</c:v>
                </c:pt>
                <c:pt idx="335">
                  <c:v>-1.2571683381670662E-2</c:v>
                </c:pt>
                <c:pt idx="336">
                  <c:v>-1.0950583951074328E-3</c:v>
                </c:pt>
                <c:pt idx="337">
                  <c:v>4.8395304873883769E-4</c:v>
                </c:pt>
                <c:pt idx="338">
                  <c:v>9.5911553341730595E-3</c:v>
                </c:pt>
                <c:pt idx="339">
                  <c:v>2.6789258822571328E-3</c:v>
                </c:pt>
                <c:pt idx="340">
                  <c:v>3.3199735019458195E-3</c:v>
                </c:pt>
                <c:pt idx="341">
                  <c:v>6.017766655129886E-3</c:v>
                </c:pt>
                <c:pt idx="342">
                  <c:v>-5.9797114412851373E-3</c:v>
                </c:pt>
                <c:pt idx="343">
                  <c:v>1.0459408779241683E-2</c:v>
                </c:pt>
                <c:pt idx="344">
                  <c:v>-6.6085943343615356E-3</c:v>
                </c:pt>
                <c:pt idx="345">
                  <c:v>-2.8350142531666871E-3</c:v>
                </c:pt>
                <c:pt idx="346">
                  <c:v>-4.1726993336508094E-3</c:v>
                </c:pt>
                <c:pt idx="347">
                  <c:v>6.9982804784746696E-3</c:v>
                </c:pt>
                <c:pt idx="348">
                  <c:v>2.6742325580298137E-3</c:v>
                </c:pt>
                <c:pt idx="349">
                  <c:v>1.1347961332045197E-2</c:v>
                </c:pt>
                <c:pt idx="350">
                  <c:v>-1.9268746703183284E-4</c:v>
                </c:pt>
                <c:pt idx="351">
                  <c:v>-8.1982080972238594E-3</c:v>
                </c:pt>
                <c:pt idx="352">
                  <c:v>6.7712230494155626E-3</c:v>
                </c:pt>
                <c:pt idx="353">
                  <c:v>1.1619945258311296E-2</c:v>
                </c:pt>
                <c:pt idx="354">
                  <c:v>1.554839383623994E-3</c:v>
                </c:pt>
                <c:pt idx="355">
                  <c:v>7.5130158949075158E-3</c:v>
                </c:pt>
                <c:pt idx="356">
                  <c:v>1.8109184407963704E-3</c:v>
                </c:pt>
                <c:pt idx="357">
                  <c:v>-1.4788243646626342E-2</c:v>
                </c:pt>
                <c:pt idx="358">
                  <c:v>-2.2669766815596553E-2</c:v>
                </c:pt>
                <c:pt idx="359">
                  <c:v>5.7535201544678862E-3</c:v>
                </c:pt>
                <c:pt idx="360">
                  <c:v>-5.0101237186618089E-3</c:v>
                </c:pt>
                <c:pt idx="361">
                  <c:v>-9.1238417569016496E-3</c:v>
                </c:pt>
                <c:pt idx="362">
                  <c:v>-3.0086598479121471E-3</c:v>
                </c:pt>
                <c:pt idx="363">
                  <c:v>8.9410728928607155E-3</c:v>
                </c:pt>
                <c:pt idx="364">
                  <c:v>9.3274866974609686E-3</c:v>
                </c:pt>
                <c:pt idx="365">
                  <c:v>-5.2741919048199617E-4</c:v>
                </c:pt>
                <c:pt idx="366">
                  <c:v>-9.5496795177856704E-3</c:v>
                </c:pt>
                <c:pt idx="367">
                  <c:v>6.8188229891577154E-3</c:v>
                </c:pt>
                <c:pt idx="368">
                  <c:v>7.1394708641763609E-3</c:v>
                </c:pt>
                <c:pt idx="369">
                  <c:v>7.0247909706333579E-3</c:v>
                </c:pt>
                <c:pt idx="370">
                  <c:v>1.3581171532558476E-2</c:v>
                </c:pt>
                <c:pt idx="371">
                  <c:v>2.5443250545078518E-3</c:v>
                </c:pt>
                <c:pt idx="372">
                  <c:v>2.0927332411233828E-3</c:v>
                </c:pt>
                <c:pt idx="373">
                  <c:v>4.3190881500243198E-3</c:v>
                </c:pt>
                <c:pt idx="374">
                  <c:v>4.8456414083324056E-3</c:v>
                </c:pt>
                <c:pt idx="375">
                  <c:v>9.0898939455833529E-3</c:v>
                </c:pt>
                <c:pt idx="376">
                  <c:v>1.2530645142764099E-2</c:v>
                </c:pt>
                <c:pt idx="377">
                  <c:v>1.3344522478866987E-3</c:v>
                </c:pt>
                <c:pt idx="378">
                  <c:v>1.1831038065343247E-2</c:v>
                </c:pt>
                <c:pt idx="379">
                  <c:v>3.4586276853520348E-3</c:v>
                </c:pt>
                <c:pt idx="380">
                  <c:v>-1.801322729868057E-3</c:v>
                </c:pt>
                <c:pt idx="381">
                  <c:v>8.790036159625909E-3</c:v>
                </c:pt>
                <c:pt idx="382">
                  <c:v>8.9026264923742476E-3</c:v>
                </c:pt>
                <c:pt idx="383">
                  <c:v>8.5644982635005949E-3</c:v>
                </c:pt>
                <c:pt idx="384">
                  <c:v>1.3210955371989843E-3</c:v>
                </c:pt>
                <c:pt idx="385">
                  <c:v>2.7665555004720895E-3</c:v>
                </c:pt>
                <c:pt idx="386">
                  <c:v>-5.9886876230174427E-3</c:v>
                </c:pt>
                <c:pt idx="387">
                  <c:v>7.8263440435304111E-4</c:v>
                </c:pt>
                <c:pt idx="388">
                  <c:v>1.6314246953144092E-2</c:v>
                </c:pt>
                <c:pt idx="389">
                  <c:v>1.0625266213793439E-2</c:v>
                </c:pt>
                <c:pt idx="390">
                  <c:v>5.4106852490481468E-3</c:v>
                </c:pt>
                <c:pt idx="391">
                  <c:v>1.0870508419063046E-2</c:v>
                </c:pt>
                <c:pt idx="392">
                  <c:v>1.5618807064162464E-2</c:v>
                </c:pt>
                <c:pt idx="393">
                  <c:v>-7.3734168246528788E-3</c:v>
                </c:pt>
                <c:pt idx="394">
                  <c:v>7.7104181605664058E-3</c:v>
                </c:pt>
                <c:pt idx="395">
                  <c:v>7.1043192074374904E-3</c:v>
                </c:pt>
                <c:pt idx="396">
                  <c:v>-3.3966437385537932E-3</c:v>
                </c:pt>
                <c:pt idx="397">
                  <c:v>-2.8711189119875842E-3</c:v>
                </c:pt>
                <c:pt idx="398">
                  <c:v>1.6144153190448832E-2</c:v>
                </c:pt>
                <c:pt idx="399">
                  <c:v>-2.1196203569355167E-3</c:v>
                </c:pt>
                <c:pt idx="400">
                  <c:v>-4.507676441534921E-3</c:v>
                </c:pt>
                <c:pt idx="401">
                  <c:v>-4.1756492931129575E-3</c:v>
                </c:pt>
                <c:pt idx="402">
                  <c:v>1.5330550190043501E-3</c:v>
                </c:pt>
                <c:pt idx="403">
                  <c:v>-7.4407705950703905E-4</c:v>
                </c:pt>
                <c:pt idx="404">
                  <c:v>-7.1116007800944327E-3</c:v>
                </c:pt>
                <c:pt idx="405">
                  <c:v>-6.1943562030725065E-3</c:v>
                </c:pt>
                <c:pt idx="406">
                  <c:v>4.568468857509304E-3</c:v>
                </c:pt>
                <c:pt idx="407">
                  <c:v>1.2316280845974916E-2</c:v>
                </c:pt>
                <c:pt idx="408">
                  <c:v>1.4140732765787969E-2</c:v>
                </c:pt>
                <c:pt idx="409">
                  <c:v>5.367990624187205E-3</c:v>
                </c:pt>
                <c:pt idx="410">
                  <c:v>-6.2606585764939928E-4</c:v>
                </c:pt>
                <c:pt idx="411">
                  <c:v>1.3325630075052971E-3</c:v>
                </c:pt>
                <c:pt idx="412">
                  <c:v>6.4783258369489997E-3</c:v>
                </c:pt>
                <c:pt idx="413">
                  <c:v>1.1058972972110684E-2</c:v>
                </c:pt>
                <c:pt idx="414">
                  <c:v>8.4441560086865874E-3</c:v>
                </c:pt>
                <c:pt idx="415">
                  <c:v>-3.9136619298660354E-3</c:v>
                </c:pt>
                <c:pt idx="416">
                  <c:v>6.49049330128739E-3</c:v>
                </c:pt>
                <c:pt idx="417">
                  <c:v>-7.3425817014711329E-3</c:v>
                </c:pt>
                <c:pt idx="418">
                  <c:v>8.8269220646608167E-4</c:v>
                </c:pt>
                <c:pt idx="419">
                  <c:v>1.4875452885078704E-2</c:v>
                </c:pt>
                <c:pt idx="420">
                  <c:v>-2.735926147814584E-3</c:v>
                </c:pt>
                <c:pt idx="421">
                  <c:v>1.5047964210284436E-5</c:v>
                </c:pt>
                <c:pt idx="422">
                  <c:v>-4.3471503699274586E-3</c:v>
                </c:pt>
                <c:pt idx="423">
                  <c:v>-1.5146498806746691E-3</c:v>
                </c:pt>
                <c:pt idx="424">
                  <c:v>1.2411818851775071E-3</c:v>
                </c:pt>
                <c:pt idx="425">
                  <c:v>4.0156127021860992E-3</c:v>
                </c:pt>
                <c:pt idx="426">
                  <c:v>-7.7786582020461861E-3</c:v>
                </c:pt>
                <c:pt idx="427">
                  <c:v>-8.1855867566205612E-3</c:v>
                </c:pt>
                <c:pt idx="428">
                  <c:v>1.1319922034783727E-3</c:v>
                </c:pt>
                <c:pt idx="429">
                  <c:v>-1.6689647069723851E-3</c:v>
                </c:pt>
                <c:pt idx="430">
                  <c:v>-2.5149277490487554E-3</c:v>
                </c:pt>
                <c:pt idx="431">
                  <c:v>-2.3027618130208774E-2</c:v>
                </c:pt>
                <c:pt idx="432">
                  <c:v>1.1374550667080751E-2</c:v>
                </c:pt>
                <c:pt idx="433">
                  <c:v>-1.5359539621535133E-2</c:v>
                </c:pt>
                <c:pt idx="434">
                  <c:v>2.5988699450943138E-3</c:v>
                </c:pt>
                <c:pt idx="435">
                  <c:v>-1.490009568079384E-2</c:v>
                </c:pt>
                <c:pt idx="436">
                  <c:v>-2.4914881972746772E-2</c:v>
                </c:pt>
                <c:pt idx="437">
                  <c:v>1.4078966597197986E-3</c:v>
                </c:pt>
                <c:pt idx="438">
                  <c:v>1.8464772073233337E-2</c:v>
                </c:pt>
                <c:pt idx="439">
                  <c:v>1.2638908545955969E-2</c:v>
                </c:pt>
                <c:pt idx="440">
                  <c:v>1.1022802910866426E-2</c:v>
                </c:pt>
                <c:pt idx="441">
                  <c:v>-1.4427270853314713E-2</c:v>
                </c:pt>
                <c:pt idx="442">
                  <c:v>-5.0522484308559816E-3</c:v>
                </c:pt>
                <c:pt idx="443">
                  <c:v>3.439926392274154E-3</c:v>
                </c:pt>
                <c:pt idx="444">
                  <c:v>-1.8881888308400251E-3</c:v>
                </c:pt>
                <c:pt idx="445">
                  <c:v>2.3841677088405088E-3</c:v>
                </c:pt>
                <c:pt idx="446">
                  <c:v>4.3857661658370222E-3</c:v>
                </c:pt>
                <c:pt idx="447">
                  <c:v>1.5280302487570169E-2</c:v>
                </c:pt>
                <c:pt idx="448">
                  <c:v>1.4145224039702448E-2</c:v>
                </c:pt>
                <c:pt idx="449">
                  <c:v>-8.1110518317639643E-3</c:v>
                </c:pt>
                <c:pt idx="450">
                  <c:v>1.6257668264925526E-3</c:v>
                </c:pt>
                <c:pt idx="451">
                  <c:v>1.4163475985072485E-2</c:v>
                </c:pt>
                <c:pt idx="452">
                  <c:v>-1.119796265131549E-2</c:v>
                </c:pt>
                <c:pt idx="453">
                  <c:v>-4.7114881096365522E-3</c:v>
                </c:pt>
                <c:pt idx="454">
                  <c:v>-3.153578592784205E-2</c:v>
                </c:pt>
                <c:pt idx="455">
                  <c:v>-1.9449959887685511E-2</c:v>
                </c:pt>
                <c:pt idx="456">
                  <c:v>3.4994214078581075E-2</c:v>
                </c:pt>
                <c:pt idx="457">
                  <c:v>-4.9139247961012275E-3</c:v>
                </c:pt>
                <c:pt idx="458">
                  <c:v>1.9595372221212767E-2</c:v>
                </c:pt>
                <c:pt idx="459">
                  <c:v>-8.2707389344871558E-3</c:v>
                </c:pt>
                <c:pt idx="460">
                  <c:v>1.2872066682362983E-3</c:v>
                </c:pt>
                <c:pt idx="461">
                  <c:v>9.0479020714966454E-3</c:v>
                </c:pt>
                <c:pt idx="462">
                  <c:v>1.0757404372214647E-3</c:v>
                </c:pt>
                <c:pt idx="463">
                  <c:v>-1.5359494258364302E-2</c:v>
                </c:pt>
                <c:pt idx="464">
                  <c:v>1.1832992107630022E-4</c:v>
                </c:pt>
                <c:pt idx="465">
                  <c:v>-1.5923351002665447E-3</c:v>
                </c:pt>
                <c:pt idx="466">
                  <c:v>3.6519173677160891E-3</c:v>
                </c:pt>
                <c:pt idx="467">
                  <c:v>-3.3946109812713408E-3</c:v>
                </c:pt>
                <c:pt idx="468">
                  <c:v>6.4248332764400742E-4</c:v>
                </c:pt>
                <c:pt idx="469">
                  <c:v>-8.7201257008388319E-3</c:v>
                </c:pt>
                <c:pt idx="470">
                  <c:v>-1.380191394370054E-2</c:v>
                </c:pt>
                <c:pt idx="471">
                  <c:v>5.824509771268741E-3</c:v>
                </c:pt>
                <c:pt idx="472">
                  <c:v>1.2898310629108992E-2</c:v>
                </c:pt>
                <c:pt idx="473">
                  <c:v>1.6184744336763542E-2</c:v>
                </c:pt>
                <c:pt idx="474">
                  <c:v>-5.4578205811553438E-3</c:v>
                </c:pt>
                <c:pt idx="475">
                  <c:v>6.4138364191125424E-3</c:v>
                </c:pt>
                <c:pt idx="476">
                  <c:v>1.4523183281136325E-2</c:v>
                </c:pt>
                <c:pt idx="477">
                  <c:v>8.6909313200178619E-3</c:v>
                </c:pt>
                <c:pt idx="478">
                  <c:v>4.8397021180011186E-4</c:v>
                </c:pt>
                <c:pt idx="479">
                  <c:v>3.7880769753984005E-3</c:v>
                </c:pt>
                <c:pt idx="480">
                  <c:v>-2.1723884663681931E-3</c:v>
                </c:pt>
                <c:pt idx="481">
                  <c:v>-3.2126084314703697E-4</c:v>
                </c:pt>
                <c:pt idx="482">
                  <c:v>2.428638409112394E-3</c:v>
                </c:pt>
                <c:pt idx="483">
                  <c:v>2.4123288700154386E-3</c:v>
                </c:pt>
                <c:pt idx="484">
                  <c:v>3.8895339272309194E-3</c:v>
                </c:pt>
                <c:pt idx="485">
                  <c:v>1.8738466964866623E-2</c:v>
                </c:pt>
                <c:pt idx="486">
                  <c:v>-3.5547362353366337E-4</c:v>
                </c:pt>
                <c:pt idx="487">
                  <c:v>2.5282745953605947E-3</c:v>
                </c:pt>
                <c:pt idx="488">
                  <c:v>9.3749589196910794E-3</c:v>
                </c:pt>
                <c:pt idx="489">
                  <c:v>-5.9725786894095523E-4</c:v>
                </c:pt>
                <c:pt idx="490">
                  <c:v>-9.3000659571038959E-3</c:v>
                </c:pt>
                <c:pt idx="491">
                  <c:v>-9.8495953270613876E-3</c:v>
                </c:pt>
                <c:pt idx="492">
                  <c:v>4.2128382960890422E-3</c:v>
                </c:pt>
                <c:pt idx="493">
                  <c:v>7.6372143326285625E-3</c:v>
                </c:pt>
                <c:pt idx="494">
                  <c:v>5.9311183213307224E-3</c:v>
                </c:pt>
                <c:pt idx="495">
                  <c:v>-9.5875650382787284E-3</c:v>
                </c:pt>
                <c:pt idx="496">
                  <c:v>1.0153841530162005E-2</c:v>
                </c:pt>
                <c:pt idx="497">
                  <c:v>1.3873517099074429E-3</c:v>
                </c:pt>
                <c:pt idx="498">
                  <c:v>1.552769053771229E-2</c:v>
                </c:pt>
                <c:pt idx="499">
                  <c:v>5.6635789966421862E-3</c:v>
                </c:pt>
                <c:pt idx="500">
                  <c:v>-8.0628449870495081E-4</c:v>
                </c:pt>
                <c:pt idx="501">
                  <c:v>1.1265065084479544E-2</c:v>
                </c:pt>
                <c:pt idx="502">
                  <c:v>4.2326804924190152E-3</c:v>
                </c:pt>
                <c:pt idx="503">
                  <c:v>6.8321345855530922E-3</c:v>
                </c:pt>
                <c:pt idx="504">
                  <c:v>-1.0715301108284176E-3</c:v>
                </c:pt>
                <c:pt idx="505">
                  <c:v>6.9425958581239384E-3</c:v>
                </c:pt>
                <c:pt idx="506">
                  <c:v>3.7001840510569269E-3</c:v>
                </c:pt>
                <c:pt idx="507">
                  <c:v>-2.2262017063279711E-3</c:v>
                </c:pt>
                <c:pt idx="508">
                  <c:v>-1.268772009171657E-3</c:v>
                </c:pt>
                <c:pt idx="509">
                  <c:v>-4.4484117480568615E-3</c:v>
                </c:pt>
                <c:pt idx="510">
                  <c:v>3.8609844405936076E-3</c:v>
                </c:pt>
                <c:pt idx="511">
                  <c:v>-4.9297184533637576E-3</c:v>
                </c:pt>
                <c:pt idx="512">
                  <c:v>6.7325000317446128E-3</c:v>
                </c:pt>
                <c:pt idx="513">
                  <c:v>-2.5317248479159752E-3</c:v>
                </c:pt>
                <c:pt idx="514">
                  <c:v>4.7876473466055783E-3</c:v>
                </c:pt>
                <c:pt idx="515">
                  <c:v>4.3339168592706843E-3</c:v>
                </c:pt>
                <c:pt idx="516">
                  <c:v>3.6889104546422805E-3</c:v>
                </c:pt>
                <c:pt idx="517">
                  <c:v>-6.2869512828001147E-3</c:v>
                </c:pt>
                <c:pt idx="518">
                  <c:v>4.7543595347663047E-3</c:v>
                </c:pt>
                <c:pt idx="519">
                  <c:v>-2.9554468914235726E-3</c:v>
                </c:pt>
                <c:pt idx="520">
                  <c:v>7.1762405010329959E-3</c:v>
                </c:pt>
                <c:pt idx="521">
                  <c:v>7.5845302975461517E-3</c:v>
                </c:pt>
                <c:pt idx="522">
                  <c:v>-5.9317806868969031E-4</c:v>
                </c:pt>
                <c:pt idx="523">
                  <c:v>-3.9210511111740839E-3</c:v>
                </c:pt>
                <c:pt idx="524">
                  <c:v>-1.0080932120226742E-3</c:v>
                </c:pt>
                <c:pt idx="525">
                  <c:v>-6.5302946324097429E-4</c:v>
                </c:pt>
                <c:pt idx="526">
                  <c:v>-1.2622552513930517E-2</c:v>
                </c:pt>
                <c:pt idx="527">
                  <c:v>-5.3665662661065653E-3</c:v>
                </c:pt>
                <c:pt idx="528">
                  <c:v>1.238267425421901E-2</c:v>
                </c:pt>
                <c:pt idx="529">
                  <c:v>1.0616792152940816E-2</c:v>
                </c:pt>
                <c:pt idx="530">
                  <c:v>-2.1296002918838497E-3</c:v>
                </c:pt>
                <c:pt idx="531">
                  <c:v>-1.3372351348589049E-2</c:v>
                </c:pt>
                <c:pt idx="532">
                  <c:v>1.8401594703739634E-3</c:v>
                </c:pt>
                <c:pt idx="533">
                  <c:v>-7.3032049000976811E-3</c:v>
                </c:pt>
                <c:pt idx="534">
                  <c:v>-3.5147060233549779E-3</c:v>
                </c:pt>
                <c:pt idx="535">
                  <c:v>-8.0074351474728311E-3</c:v>
                </c:pt>
                <c:pt idx="536">
                  <c:v>1.329377650036662E-2</c:v>
                </c:pt>
                <c:pt idx="537">
                  <c:v>-2.1885922565605732E-3</c:v>
                </c:pt>
                <c:pt idx="538">
                  <c:v>-5.9215061936089101E-3</c:v>
                </c:pt>
                <c:pt idx="539">
                  <c:v>8.133628024914916E-3</c:v>
                </c:pt>
                <c:pt idx="540">
                  <c:v>4.275277296909144E-3</c:v>
                </c:pt>
                <c:pt idx="541">
                  <c:v>-1.9112545325273966E-2</c:v>
                </c:pt>
                <c:pt idx="542">
                  <c:v>1.2341831768831711E-2</c:v>
                </c:pt>
                <c:pt idx="543">
                  <c:v>-1.7154133037795501E-2</c:v>
                </c:pt>
                <c:pt idx="544">
                  <c:v>-1.8382257461257826E-2</c:v>
                </c:pt>
                <c:pt idx="545">
                  <c:v>-1.2012551865085385E-2</c:v>
                </c:pt>
                <c:pt idx="546">
                  <c:v>-2.0871708297781139E-2</c:v>
                </c:pt>
                <c:pt idx="547">
                  <c:v>2.3570024703270884E-2</c:v>
                </c:pt>
                <c:pt idx="548">
                  <c:v>2.2346492470096763E-2</c:v>
                </c:pt>
                <c:pt idx="549">
                  <c:v>2.0209267670376761E-3</c:v>
                </c:pt>
                <c:pt idx="550">
                  <c:v>1.3225342900314912E-2</c:v>
                </c:pt>
                <c:pt idx="551">
                  <c:v>-1.5978328860683264E-2</c:v>
                </c:pt>
                <c:pt idx="552">
                  <c:v>3.9625177393212739E-3</c:v>
                </c:pt>
                <c:pt idx="553">
                  <c:v>1.1269604383480217E-2</c:v>
                </c:pt>
                <c:pt idx="554">
                  <c:v>3.014050815143735E-3</c:v>
                </c:pt>
                <c:pt idx="555">
                  <c:v>3.9954602332372396E-3</c:v>
                </c:pt>
                <c:pt idx="556">
                  <c:v>-4.4729319059375657E-3</c:v>
                </c:pt>
                <c:pt idx="557">
                  <c:v>-2.3940926544150431E-2</c:v>
                </c:pt>
                <c:pt idx="558">
                  <c:v>1.3330542539351528E-3</c:v>
                </c:pt>
                <c:pt idx="559">
                  <c:v>2.1761689940646397E-3</c:v>
                </c:pt>
                <c:pt idx="560">
                  <c:v>-3.5828146008385696E-3</c:v>
                </c:pt>
                <c:pt idx="561">
                  <c:v>-2.8619274738285335E-3</c:v>
                </c:pt>
                <c:pt idx="562">
                  <c:v>-1.69915092114277E-2</c:v>
                </c:pt>
                <c:pt idx="563">
                  <c:v>1.9667628129835829E-2</c:v>
                </c:pt>
                <c:pt idx="564">
                  <c:v>-1.015928494055799E-2</c:v>
                </c:pt>
                <c:pt idx="565">
                  <c:v>1.7922999673746685E-2</c:v>
                </c:pt>
                <c:pt idx="566">
                  <c:v>9.948736471131021E-3</c:v>
                </c:pt>
                <c:pt idx="567">
                  <c:v>-4.6126629027089579E-3</c:v>
                </c:pt>
                <c:pt idx="568">
                  <c:v>1.5678758861266062E-3</c:v>
                </c:pt>
                <c:pt idx="569">
                  <c:v>5.8303737499326054E-3</c:v>
                </c:pt>
                <c:pt idx="570">
                  <c:v>-1.7885194881091455E-3</c:v>
                </c:pt>
                <c:pt idx="571">
                  <c:v>1.6681339760309839E-3</c:v>
                </c:pt>
                <c:pt idx="572">
                  <c:v>-8.653670636519074E-3</c:v>
                </c:pt>
                <c:pt idx="573">
                  <c:v>1.0825458764466934E-2</c:v>
                </c:pt>
                <c:pt idx="574">
                  <c:v>-2.0537544455060787E-3</c:v>
                </c:pt>
                <c:pt idx="575">
                  <c:v>-8.3195494513595668E-3</c:v>
                </c:pt>
                <c:pt idx="576">
                  <c:v>-4.9599807343085897E-3</c:v>
                </c:pt>
                <c:pt idx="577">
                  <c:v>2.1831374047235692E-2</c:v>
                </c:pt>
                <c:pt idx="578">
                  <c:v>-8.5349465454917506E-3</c:v>
                </c:pt>
                <c:pt idx="579">
                  <c:v>-5.1608564438508754E-3</c:v>
                </c:pt>
                <c:pt idx="580">
                  <c:v>-4.3500627619891827E-3</c:v>
                </c:pt>
                <c:pt idx="581">
                  <c:v>-1.3390957514982845E-2</c:v>
                </c:pt>
                <c:pt idx="582">
                  <c:v>-4.2056058930445735E-3</c:v>
                </c:pt>
                <c:pt idx="583">
                  <c:v>1.1057895190601718E-2</c:v>
                </c:pt>
                <c:pt idx="584">
                  <c:v>8.5275894513885467E-3</c:v>
                </c:pt>
                <c:pt idx="585">
                  <c:v>5.1411090475375178E-3</c:v>
                </c:pt>
                <c:pt idx="586">
                  <c:v>1.376080887807259E-2</c:v>
                </c:pt>
                <c:pt idx="587">
                  <c:v>4.0507630418259036E-3</c:v>
                </c:pt>
                <c:pt idx="588">
                  <c:v>-6.5180108138390156E-3</c:v>
                </c:pt>
                <c:pt idx="589">
                  <c:v>-2.3650396183539E-3</c:v>
                </c:pt>
                <c:pt idx="590">
                  <c:v>7.4803501201451501E-3</c:v>
                </c:pt>
                <c:pt idx="591">
                  <c:v>3.966679284189983E-3</c:v>
                </c:pt>
                <c:pt idx="592">
                  <c:v>4.4156781195177509E-3</c:v>
                </c:pt>
                <c:pt idx="593">
                  <c:v>1.1050598414795689E-2</c:v>
                </c:pt>
                <c:pt idx="594">
                  <c:v>-4.6056261696971742E-4</c:v>
                </c:pt>
                <c:pt idx="595">
                  <c:v>7.171075479662131E-3</c:v>
                </c:pt>
                <c:pt idx="596">
                  <c:v>1.6340136259399916E-2</c:v>
                </c:pt>
                <c:pt idx="597">
                  <c:v>6.157464223780054E-3</c:v>
                </c:pt>
                <c:pt idx="598">
                  <c:v>-1.3355118749748519E-3</c:v>
                </c:pt>
                <c:pt idx="599">
                  <c:v>-6.9337522258866905E-4</c:v>
                </c:pt>
                <c:pt idx="600">
                  <c:v>2.4570872630891986E-3</c:v>
                </c:pt>
                <c:pt idx="601">
                  <c:v>1.8866789596717478E-3</c:v>
                </c:pt>
                <c:pt idx="602">
                  <c:v>-3.2023081130521649E-3</c:v>
                </c:pt>
                <c:pt idx="603">
                  <c:v>-7.6921191709392704E-3</c:v>
                </c:pt>
                <c:pt idx="604">
                  <c:v>9.9182420555899466E-3</c:v>
                </c:pt>
                <c:pt idx="605">
                  <c:v>1.1031783681706658E-3</c:v>
                </c:pt>
                <c:pt idx="606">
                  <c:v>8.7229570940479638E-3</c:v>
                </c:pt>
                <c:pt idx="607">
                  <c:v>-1.9193007112413736E-3</c:v>
                </c:pt>
                <c:pt idx="608">
                  <c:v>-3.1184868738145027E-3</c:v>
                </c:pt>
                <c:pt idx="609">
                  <c:v>-7.2121185869074515E-3</c:v>
                </c:pt>
                <c:pt idx="610">
                  <c:v>2.2318140501233243E-3</c:v>
                </c:pt>
                <c:pt idx="611">
                  <c:v>-4.6881474966038962E-3</c:v>
                </c:pt>
                <c:pt idx="612">
                  <c:v>-5.2861212033855718E-4</c:v>
                </c:pt>
                <c:pt idx="613">
                  <c:v>-1.8013159358945402E-3</c:v>
                </c:pt>
                <c:pt idx="614">
                  <c:v>1.2910040980612764E-3</c:v>
                </c:pt>
                <c:pt idx="615">
                  <c:v>-5.3917077786121946E-3</c:v>
                </c:pt>
                <c:pt idx="616">
                  <c:v>-1.4707170938081923E-2</c:v>
                </c:pt>
                <c:pt idx="617">
                  <c:v>2.8811325391176878E-3</c:v>
                </c:pt>
                <c:pt idx="618">
                  <c:v>4.6300450785007443E-3</c:v>
                </c:pt>
                <c:pt idx="619">
                  <c:v>9.3874020663054659E-3</c:v>
                </c:pt>
                <c:pt idx="620">
                  <c:v>-2.3930676977282784E-3</c:v>
                </c:pt>
                <c:pt idx="621">
                  <c:v>-5.3906603548448976E-3</c:v>
                </c:pt>
                <c:pt idx="622">
                  <c:v>-1.7491363955308285E-3</c:v>
                </c:pt>
                <c:pt idx="623">
                  <c:v>-2.0749306807564803E-3</c:v>
                </c:pt>
                <c:pt idx="624">
                  <c:v>1.7043078298473246E-2</c:v>
                </c:pt>
                <c:pt idx="625">
                  <c:v>-1.0191211110526135E-2</c:v>
                </c:pt>
                <c:pt idx="626">
                  <c:v>-2.4466265588386745E-3</c:v>
                </c:pt>
                <c:pt idx="627">
                  <c:v>7.0415292152849478E-4</c:v>
                </c:pt>
                <c:pt idx="628">
                  <c:v>2.3125287881408136E-4</c:v>
                </c:pt>
                <c:pt idx="629">
                  <c:v>2.8803067161324099E-3</c:v>
                </c:pt>
                <c:pt idx="630">
                  <c:v>4.3266329695856977E-3</c:v>
                </c:pt>
                <c:pt idx="631">
                  <c:v>8.1385063823409445E-4</c:v>
                </c:pt>
                <c:pt idx="632">
                  <c:v>-1.6750478241925101E-3</c:v>
                </c:pt>
                <c:pt idx="633">
                  <c:v>-2.5189844469082948E-3</c:v>
                </c:pt>
                <c:pt idx="634">
                  <c:v>3.0017192236722737E-4</c:v>
                </c:pt>
                <c:pt idx="635">
                  <c:v>-7.7371207534801239E-3</c:v>
                </c:pt>
                <c:pt idx="636">
                  <c:v>-1.2046148159585447E-4</c:v>
                </c:pt>
                <c:pt idx="637">
                  <c:v>-5.4328332593216368E-3</c:v>
                </c:pt>
                <c:pt idx="638">
                  <c:v>8.4572850363901515E-3</c:v>
                </c:pt>
                <c:pt idx="639">
                  <c:v>6.428853661234999E-3</c:v>
                </c:pt>
                <c:pt idx="640">
                  <c:v>6.6082726528063948E-4</c:v>
                </c:pt>
                <c:pt idx="641">
                  <c:v>-3.1178149013975347E-3</c:v>
                </c:pt>
                <c:pt idx="642">
                  <c:v>-3.1680774998278853E-3</c:v>
                </c:pt>
                <c:pt idx="643">
                  <c:v>-7.7138426130159013E-3</c:v>
                </c:pt>
                <c:pt idx="644">
                  <c:v>2.5167845763972676E-4</c:v>
                </c:pt>
                <c:pt idx="645">
                  <c:v>5.1320152038335908E-3</c:v>
                </c:pt>
                <c:pt idx="646">
                  <c:v>-2.2504410332524795E-3</c:v>
                </c:pt>
                <c:pt idx="647">
                  <c:v>-2.1349349999874243E-3</c:v>
                </c:pt>
                <c:pt idx="648">
                  <c:v>-5.4494566867302422E-3</c:v>
                </c:pt>
                <c:pt idx="649">
                  <c:v>7.3681399038512995E-3</c:v>
                </c:pt>
                <c:pt idx="650">
                  <c:v>7.2234700884181062E-3</c:v>
                </c:pt>
                <c:pt idx="651">
                  <c:v>1.0764536504549794E-2</c:v>
                </c:pt>
                <c:pt idx="652">
                  <c:v>-5.8924751118271225E-3</c:v>
                </c:pt>
                <c:pt idx="653">
                  <c:v>-4.0312607218550879E-3</c:v>
                </c:pt>
                <c:pt idx="654">
                  <c:v>-5.7232045579070547E-3</c:v>
                </c:pt>
                <c:pt idx="655">
                  <c:v>-4.7872539206013009E-3</c:v>
                </c:pt>
                <c:pt idx="656">
                  <c:v>4.8618343352809009E-3</c:v>
                </c:pt>
                <c:pt idx="657">
                  <c:v>1.1409099833846197E-3</c:v>
                </c:pt>
                <c:pt idx="658">
                  <c:v>-1.3243429845880293E-4</c:v>
                </c:pt>
                <c:pt idx="659">
                  <c:v>-1.0764875628144445E-2</c:v>
                </c:pt>
                <c:pt idx="660">
                  <c:v>1.1600522439261637E-3</c:v>
                </c:pt>
                <c:pt idx="661">
                  <c:v>-8.2947398997442509E-4</c:v>
                </c:pt>
                <c:pt idx="662">
                  <c:v>-4.018882096025145E-3</c:v>
                </c:pt>
                <c:pt idx="663">
                  <c:v>-7.1313992136950262E-3</c:v>
                </c:pt>
                <c:pt idx="664">
                  <c:v>4.9229783749753699E-3</c:v>
                </c:pt>
                <c:pt idx="665">
                  <c:v>1.2293158709296582E-2</c:v>
                </c:pt>
                <c:pt idx="666">
                  <c:v>1.5290808205127399E-3</c:v>
                </c:pt>
                <c:pt idx="667">
                  <c:v>-8.0202308164549832E-3</c:v>
                </c:pt>
                <c:pt idx="668">
                  <c:v>-3.7239285548247365E-3</c:v>
                </c:pt>
                <c:pt idx="669">
                  <c:v>4.3611794663666022E-3</c:v>
                </c:pt>
                <c:pt idx="670">
                  <c:v>-6.0608953961661374E-3</c:v>
                </c:pt>
                <c:pt idx="671">
                  <c:v>-2.3130160167836281E-3</c:v>
                </c:pt>
                <c:pt idx="672">
                  <c:v>-1.1162260486702595E-2</c:v>
                </c:pt>
                <c:pt idx="673">
                  <c:v>-8.9463222836476154E-3</c:v>
                </c:pt>
                <c:pt idx="674">
                  <c:v>-6.5872408066804172E-3</c:v>
                </c:pt>
                <c:pt idx="675">
                  <c:v>-4.9310239469031996E-3</c:v>
                </c:pt>
                <c:pt idx="676">
                  <c:v>-5.6742850347608698E-3</c:v>
                </c:pt>
                <c:pt idx="677">
                  <c:v>1.0200643673400862E-2</c:v>
                </c:pt>
                <c:pt idx="678">
                  <c:v>-2.0059445702069606E-2</c:v>
                </c:pt>
                <c:pt idx="679">
                  <c:v>1.2010348292437096E-2</c:v>
                </c:pt>
                <c:pt idx="680">
                  <c:v>-6.2138638206134255E-4</c:v>
                </c:pt>
                <c:pt idx="681">
                  <c:v>3.8509795706425857E-3</c:v>
                </c:pt>
                <c:pt idx="682">
                  <c:v>-8.3901475207850077E-3</c:v>
                </c:pt>
                <c:pt idx="683">
                  <c:v>-6.5673276457090058E-3</c:v>
                </c:pt>
                <c:pt idx="684">
                  <c:v>4.7959096058591555E-3</c:v>
                </c:pt>
                <c:pt idx="685">
                  <c:v>-2.4404499704391257E-3</c:v>
                </c:pt>
                <c:pt idx="686">
                  <c:v>-1.4566554616823138E-2</c:v>
                </c:pt>
                <c:pt idx="687">
                  <c:v>1.2258908699308386E-3</c:v>
                </c:pt>
                <c:pt idx="688">
                  <c:v>-1.5069589463638443E-2</c:v>
                </c:pt>
                <c:pt idx="689">
                  <c:v>2.5725456008521663E-2</c:v>
                </c:pt>
                <c:pt idx="690">
                  <c:v>1.1004049291644604E-2</c:v>
                </c:pt>
                <c:pt idx="691">
                  <c:v>-4.2854405014733261E-3</c:v>
                </c:pt>
                <c:pt idx="692">
                  <c:v>1.9494078461643648E-2</c:v>
                </c:pt>
                <c:pt idx="693">
                  <c:v>7.0756883708070891E-3</c:v>
                </c:pt>
                <c:pt idx="694">
                  <c:v>-5.3040718965374446E-3</c:v>
                </c:pt>
                <c:pt idx="695">
                  <c:v>-3.2721668791944121E-3</c:v>
                </c:pt>
                <c:pt idx="696">
                  <c:v>-3.8134046765495415E-3</c:v>
                </c:pt>
                <c:pt idx="697">
                  <c:v>1.3148759567243878E-2</c:v>
                </c:pt>
                <c:pt idx="698">
                  <c:v>3.0466048316461812E-3</c:v>
                </c:pt>
                <c:pt idx="699">
                  <c:v>4.9618694897862478E-3</c:v>
                </c:pt>
                <c:pt idx="700">
                  <c:v>1.5735543856164536E-2</c:v>
                </c:pt>
                <c:pt idx="701">
                  <c:v>3.5510853804811746E-3</c:v>
                </c:pt>
                <c:pt idx="702">
                  <c:v>-1.7082362969647377E-3</c:v>
                </c:pt>
                <c:pt idx="703">
                  <c:v>3.9704510333718164E-3</c:v>
                </c:pt>
                <c:pt idx="704">
                  <c:v>1.6226457130344622E-3</c:v>
                </c:pt>
                <c:pt idx="705">
                  <c:v>-3.8219038476989928E-3</c:v>
                </c:pt>
                <c:pt idx="706">
                  <c:v>-1.5178380406766022E-2</c:v>
                </c:pt>
                <c:pt idx="707">
                  <c:v>4.9562596134344631E-3</c:v>
                </c:pt>
                <c:pt idx="708">
                  <c:v>-6.0411907557985801E-3</c:v>
                </c:pt>
                <c:pt idx="709">
                  <c:v>-1.2924563596671948E-2</c:v>
                </c:pt>
                <c:pt idx="710">
                  <c:v>-2.8175386865109884E-4</c:v>
                </c:pt>
                <c:pt idx="711">
                  <c:v>1.7636990868951711E-2</c:v>
                </c:pt>
                <c:pt idx="712">
                  <c:v>-7.4874991701207594E-3</c:v>
                </c:pt>
                <c:pt idx="713">
                  <c:v>-1.8166696323927924E-3</c:v>
                </c:pt>
                <c:pt idx="714">
                  <c:v>8.2174342069594453E-3</c:v>
                </c:pt>
                <c:pt idx="715">
                  <c:v>-1.601246391382475E-2</c:v>
                </c:pt>
                <c:pt idx="716">
                  <c:v>-1.7411301781615547E-2</c:v>
                </c:pt>
                <c:pt idx="717">
                  <c:v>-1.3010884451812869E-2</c:v>
                </c:pt>
                <c:pt idx="718">
                  <c:v>-9.6464000973768439E-3</c:v>
                </c:pt>
                <c:pt idx="719">
                  <c:v>4.060702275481891E-3</c:v>
                </c:pt>
                <c:pt idx="720">
                  <c:v>2.7562351861624462E-2</c:v>
                </c:pt>
                <c:pt idx="721">
                  <c:v>-5.6843087532443826E-3</c:v>
                </c:pt>
                <c:pt idx="722">
                  <c:v>6.5840765453255862E-3</c:v>
                </c:pt>
                <c:pt idx="723">
                  <c:v>-4.7058198590495613E-2</c:v>
                </c:pt>
                <c:pt idx="724">
                  <c:v>-3.0531420185194089E-5</c:v>
                </c:pt>
                <c:pt idx="725">
                  <c:v>1.1088795251200316E-3</c:v>
                </c:pt>
                <c:pt idx="726">
                  <c:v>1.3232666609212388E-2</c:v>
                </c:pt>
                <c:pt idx="727">
                  <c:v>-1.5095719861738129E-4</c:v>
                </c:pt>
                <c:pt idx="728">
                  <c:v>-7.4812637709374945E-3</c:v>
                </c:pt>
                <c:pt idx="729">
                  <c:v>-2.8277408129444093E-3</c:v>
                </c:pt>
                <c:pt idx="730">
                  <c:v>-1.1969136169461552E-2</c:v>
                </c:pt>
                <c:pt idx="731">
                  <c:v>8.6373916448616445E-3</c:v>
                </c:pt>
                <c:pt idx="732">
                  <c:v>2.5901392267758668E-2</c:v>
                </c:pt>
                <c:pt idx="733">
                  <c:v>-1.4327360556956329E-2</c:v>
                </c:pt>
                <c:pt idx="734">
                  <c:v>3.8754939265330749E-3</c:v>
                </c:pt>
                <c:pt idx="735">
                  <c:v>1.0005995351324782E-2</c:v>
                </c:pt>
                <c:pt idx="736">
                  <c:v>-3.6734367088821118E-3</c:v>
                </c:pt>
                <c:pt idx="737">
                  <c:v>-4.7535972847419367E-5</c:v>
                </c:pt>
                <c:pt idx="738">
                  <c:v>2.081042726231626E-3</c:v>
                </c:pt>
                <c:pt idx="739">
                  <c:v>-3.3548768944742465E-3</c:v>
                </c:pt>
                <c:pt idx="740">
                  <c:v>-4.6454551038693183E-3</c:v>
                </c:pt>
                <c:pt idx="741">
                  <c:v>2.9672009298291283E-3</c:v>
                </c:pt>
                <c:pt idx="742">
                  <c:v>4.9126164126843596E-3</c:v>
                </c:pt>
                <c:pt idx="743">
                  <c:v>3.5266518768253515E-3</c:v>
                </c:pt>
                <c:pt idx="744">
                  <c:v>4.0496485516546355E-3</c:v>
                </c:pt>
                <c:pt idx="745">
                  <c:v>6.5212024288238786E-3</c:v>
                </c:pt>
                <c:pt idx="746">
                  <c:v>1.1227108850713362E-2</c:v>
                </c:pt>
                <c:pt idx="747">
                  <c:v>3.7562644797943621E-4</c:v>
                </c:pt>
                <c:pt idx="748">
                  <c:v>-7.1703397801570722E-3</c:v>
                </c:pt>
                <c:pt idx="749">
                  <c:v>5.8415386970052221E-3</c:v>
                </c:pt>
                <c:pt idx="750">
                  <c:v>1.1952193870856321E-2</c:v>
                </c:pt>
                <c:pt idx="751">
                  <c:v>-1.4165037505750461E-4</c:v>
                </c:pt>
                <c:pt idx="752">
                  <c:v>7.6545629979040666E-4</c:v>
                </c:pt>
                <c:pt idx="753">
                  <c:v>-3.3332425884083066E-3</c:v>
                </c:pt>
                <c:pt idx="754">
                  <c:v>5.4629046919795826E-6</c:v>
                </c:pt>
                <c:pt idx="755">
                  <c:v>-3.3050392835330378E-3</c:v>
                </c:pt>
                <c:pt idx="756">
                  <c:v>-2.2974116574073079E-3</c:v>
                </c:pt>
                <c:pt idx="757">
                  <c:v>-1.4810335283858236E-2</c:v>
                </c:pt>
                <c:pt idx="758">
                  <c:v>-1.6639369327751919E-4</c:v>
                </c:pt>
                <c:pt idx="759">
                  <c:v>4.2901469839915938E-3</c:v>
                </c:pt>
                <c:pt idx="760">
                  <c:v>-2.0962595638926084E-3</c:v>
                </c:pt>
                <c:pt idx="761">
                  <c:v>-8.0447138283392273E-4</c:v>
                </c:pt>
                <c:pt idx="762">
                  <c:v>1.4988492411185969E-3</c:v>
                </c:pt>
                <c:pt idx="763">
                  <c:v>2.8470661249403117E-3</c:v>
                </c:pt>
                <c:pt idx="764">
                  <c:v>-1.1379001948398733E-4</c:v>
                </c:pt>
                <c:pt idx="765">
                  <c:v>6.5834906720386279E-3</c:v>
                </c:pt>
                <c:pt idx="766">
                  <c:v>6.607649905189408E-3</c:v>
                </c:pt>
                <c:pt idx="767">
                  <c:v>9.7351914087729797E-3</c:v>
                </c:pt>
                <c:pt idx="768">
                  <c:v>-5.5556097629726733E-3</c:v>
                </c:pt>
                <c:pt idx="769">
                  <c:v>1.0186876416312949E-3</c:v>
                </c:pt>
                <c:pt idx="770">
                  <c:v>-1.4898828459812142E-3</c:v>
                </c:pt>
                <c:pt idx="771">
                  <c:v>2.3275979603522394E-3</c:v>
                </c:pt>
                <c:pt idx="772">
                  <c:v>8.5272574728579836E-3</c:v>
                </c:pt>
                <c:pt idx="773">
                  <c:v>-8.6258539103353394E-3</c:v>
                </c:pt>
                <c:pt idx="774">
                  <c:v>3.032866318792969E-3</c:v>
                </c:pt>
                <c:pt idx="775">
                  <c:v>-9.446309704321176E-3</c:v>
                </c:pt>
                <c:pt idx="776">
                  <c:v>1.9194160733624131E-3</c:v>
                </c:pt>
                <c:pt idx="777">
                  <c:v>-1.0255468307540324E-3</c:v>
                </c:pt>
                <c:pt idx="778">
                  <c:v>-5.3343781739222749E-3</c:v>
                </c:pt>
                <c:pt idx="779">
                  <c:v>5.1664682413058681E-3</c:v>
                </c:pt>
                <c:pt idx="780">
                  <c:v>-6.853071435749424E-3</c:v>
                </c:pt>
                <c:pt idx="781">
                  <c:v>-7.730334403592329E-3</c:v>
                </c:pt>
                <c:pt idx="782">
                  <c:v>2.6823850788830483E-3</c:v>
                </c:pt>
                <c:pt idx="783">
                  <c:v>-2.885720666865774E-2</c:v>
                </c:pt>
                <c:pt idx="784">
                  <c:v>3.5073742012127151E-3</c:v>
                </c:pt>
                <c:pt idx="785">
                  <c:v>1.0839564353050186E-2</c:v>
                </c:pt>
                <c:pt idx="786">
                  <c:v>7.7049531713292091E-3</c:v>
                </c:pt>
                <c:pt idx="787">
                  <c:v>-6.4606444395737825E-3</c:v>
                </c:pt>
                <c:pt idx="788">
                  <c:v>2.605914707512705E-4</c:v>
                </c:pt>
                <c:pt idx="789">
                  <c:v>5.7562235939132218E-4</c:v>
                </c:pt>
                <c:pt idx="790">
                  <c:v>-2.8829204951140591E-2</c:v>
                </c:pt>
                <c:pt idx="791">
                  <c:v>-8.9819092947808141E-3</c:v>
                </c:pt>
                <c:pt idx="792">
                  <c:v>3.8390003346677423E-3</c:v>
                </c:pt>
                <c:pt idx="793">
                  <c:v>1.8833741917377512E-2</c:v>
                </c:pt>
                <c:pt idx="794">
                  <c:v>-4.567239831056156E-3</c:v>
                </c:pt>
                <c:pt idx="795">
                  <c:v>-6.5616987295127847E-3</c:v>
                </c:pt>
                <c:pt idx="796">
                  <c:v>8.1382363365231011E-3</c:v>
                </c:pt>
                <c:pt idx="797">
                  <c:v>5.8524943606813257E-3</c:v>
                </c:pt>
                <c:pt idx="798">
                  <c:v>-3.8307528545885039E-3</c:v>
                </c:pt>
                <c:pt idx="799">
                  <c:v>-1.7742733334200816E-2</c:v>
                </c:pt>
                <c:pt idx="800">
                  <c:v>4.6537332003717411E-3</c:v>
                </c:pt>
                <c:pt idx="801">
                  <c:v>-6.1137787408901208E-4</c:v>
                </c:pt>
                <c:pt idx="802">
                  <c:v>7.3780564158839315E-3</c:v>
                </c:pt>
                <c:pt idx="803">
                  <c:v>6.5690084795115415E-4</c:v>
                </c:pt>
                <c:pt idx="804">
                  <c:v>8.7809412107237202E-3</c:v>
                </c:pt>
                <c:pt idx="805">
                  <c:v>1.1497816247988997E-2</c:v>
                </c:pt>
                <c:pt idx="806">
                  <c:v>-2.2759441657834146E-3</c:v>
                </c:pt>
                <c:pt idx="807">
                  <c:v>1.3335645894812526E-2</c:v>
                </c:pt>
                <c:pt idx="808">
                  <c:v>4.9696375356313265E-3</c:v>
                </c:pt>
                <c:pt idx="809">
                  <c:v>-2.7685749348147843E-2</c:v>
                </c:pt>
                <c:pt idx="810">
                  <c:v>5.9313872430531408E-4</c:v>
                </c:pt>
                <c:pt idx="811">
                  <c:v>4.1663555520750463E-3</c:v>
                </c:pt>
                <c:pt idx="812">
                  <c:v>-7.3512109197004108E-3</c:v>
                </c:pt>
                <c:pt idx="813">
                  <c:v>1.5021640068486346E-2</c:v>
                </c:pt>
                <c:pt idx="814">
                  <c:v>3.8258433311778341E-2</c:v>
                </c:pt>
                <c:pt idx="815">
                  <c:v>5.6842610763993056E-3</c:v>
                </c:pt>
                <c:pt idx="816">
                  <c:v>-5.20952971582468E-3</c:v>
                </c:pt>
                <c:pt idx="817">
                  <c:v>6.9084056275790428E-3</c:v>
                </c:pt>
                <c:pt idx="818">
                  <c:v>2.5193381956065846E-3</c:v>
                </c:pt>
                <c:pt idx="819">
                  <c:v>-1.3293552101498012E-3</c:v>
                </c:pt>
                <c:pt idx="820">
                  <c:v>-4.4312809803437447E-3</c:v>
                </c:pt>
                <c:pt idx="821">
                  <c:v>-8.4215778868615854E-3</c:v>
                </c:pt>
                <c:pt idx="822">
                  <c:v>-6.32390109866193E-3</c:v>
                </c:pt>
                <c:pt idx="823">
                  <c:v>-2.181692967457417E-3</c:v>
                </c:pt>
                <c:pt idx="824">
                  <c:v>1.1420318565048009E-2</c:v>
                </c:pt>
                <c:pt idx="825">
                  <c:v>-5.5472535581926989E-3</c:v>
                </c:pt>
                <c:pt idx="826">
                  <c:v>-6.206557426425118E-3</c:v>
                </c:pt>
                <c:pt idx="827">
                  <c:v>-6.234777624288145E-3</c:v>
                </c:pt>
                <c:pt idx="828">
                  <c:v>-9.0299519927443429E-3</c:v>
                </c:pt>
                <c:pt idx="829">
                  <c:v>-3.2284653198726747E-2</c:v>
                </c:pt>
                <c:pt idx="830">
                  <c:v>2.563077942734754E-3</c:v>
                </c:pt>
                <c:pt idx="831">
                  <c:v>-1.4738982483594728E-2</c:v>
                </c:pt>
                <c:pt idx="832">
                  <c:v>8.2331793160327397E-4</c:v>
                </c:pt>
                <c:pt idx="833">
                  <c:v>1.3707258352518105E-2</c:v>
                </c:pt>
                <c:pt idx="834">
                  <c:v>-1.8836667781189809E-2</c:v>
                </c:pt>
                <c:pt idx="835">
                  <c:v>1.3766976693168908E-3</c:v>
                </c:pt>
                <c:pt idx="836">
                  <c:v>7.040667920234155E-3</c:v>
                </c:pt>
                <c:pt idx="837">
                  <c:v>-1.0093690269896468E-3</c:v>
                </c:pt>
                <c:pt idx="838">
                  <c:v>2.7277940695779423E-3</c:v>
                </c:pt>
                <c:pt idx="839">
                  <c:v>-1.5323417021069197E-2</c:v>
                </c:pt>
                <c:pt idx="840">
                  <c:v>-1.1543994203615678E-2</c:v>
                </c:pt>
                <c:pt idx="841">
                  <c:v>1.4860434914442556E-3</c:v>
                </c:pt>
                <c:pt idx="842">
                  <c:v>1.2592632792115414E-2</c:v>
                </c:pt>
                <c:pt idx="843">
                  <c:v>7.5159179073901348E-3</c:v>
                </c:pt>
                <c:pt idx="844">
                  <c:v>4.1690143473914754E-3</c:v>
                </c:pt>
                <c:pt idx="845">
                  <c:v>8.8289675637672187E-4</c:v>
                </c:pt>
                <c:pt idx="846">
                  <c:v>-7.4771102002082392E-3</c:v>
                </c:pt>
                <c:pt idx="847">
                  <c:v>-1.21182878489214E-2</c:v>
                </c:pt>
                <c:pt idx="848">
                  <c:v>-2.1853117258879666E-2</c:v>
                </c:pt>
                <c:pt idx="849">
                  <c:v>6.3495283055403223E-3</c:v>
                </c:pt>
                <c:pt idx="850">
                  <c:v>-2.1165441355963121E-4</c:v>
                </c:pt>
                <c:pt idx="851">
                  <c:v>-3.6686512666710125E-4</c:v>
                </c:pt>
                <c:pt idx="852">
                  <c:v>4.399184081306828E-3</c:v>
                </c:pt>
                <c:pt idx="853">
                  <c:v>6.6793719372935014E-3</c:v>
                </c:pt>
                <c:pt idx="854">
                  <c:v>-2.7009574975252793E-2</c:v>
                </c:pt>
                <c:pt idx="855">
                  <c:v>4.2747137776410083E-3</c:v>
                </c:pt>
                <c:pt idx="856">
                  <c:v>9.3560587976815445E-3</c:v>
                </c:pt>
                <c:pt idx="857">
                  <c:v>7.0313346504567971E-3</c:v>
                </c:pt>
                <c:pt idx="858">
                  <c:v>9.8394063190747061E-3</c:v>
                </c:pt>
                <c:pt idx="859">
                  <c:v>-8.6324973730895881E-3</c:v>
                </c:pt>
                <c:pt idx="860">
                  <c:v>1.7927815749247403E-2</c:v>
                </c:pt>
                <c:pt idx="861">
                  <c:v>-1.5945557947558532E-3</c:v>
                </c:pt>
                <c:pt idx="862">
                  <c:v>6.0961219686025284E-3</c:v>
                </c:pt>
                <c:pt idx="863">
                  <c:v>-3.8981697437809854E-2</c:v>
                </c:pt>
                <c:pt idx="864">
                  <c:v>2.0139925688989417E-2</c:v>
                </c:pt>
                <c:pt idx="865">
                  <c:v>-2.6970834964039386E-3</c:v>
                </c:pt>
                <c:pt idx="866">
                  <c:v>-1.120275480167658E-2</c:v>
                </c:pt>
                <c:pt idx="867">
                  <c:v>5.8865220921343261E-3</c:v>
                </c:pt>
                <c:pt idx="868">
                  <c:v>2.1549882368743427E-3</c:v>
                </c:pt>
                <c:pt idx="869">
                  <c:v>-6.7777474847075803E-3</c:v>
                </c:pt>
                <c:pt idx="870">
                  <c:v>-5.9402842059108904E-3</c:v>
                </c:pt>
                <c:pt idx="871">
                  <c:v>1.392127061641186E-3</c:v>
                </c:pt>
                <c:pt idx="872">
                  <c:v>4.4757274028852231E-3</c:v>
                </c:pt>
                <c:pt idx="873">
                  <c:v>1.2547404085863823E-2</c:v>
                </c:pt>
                <c:pt idx="874">
                  <c:v>1.1612705036002317E-2</c:v>
                </c:pt>
                <c:pt idx="875">
                  <c:v>-6.4700602683752662E-3</c:v>
                </c:pt>
                <c:pt idx="876">
                  <c:v>-1.682237704132945E-2</c:v>
                </c:pt>
                <c:pt idx="877">
                  <c:v>-2.3642937589790556E-2</c:v>
                </c:pt>
                <c:pt idx="878">
                  <c:v>1.7487404389355185E-3</c:v>
                </c:pt>
                <c:pt idx="879">
                  <c:v>-1.5520382009752844E-2</c:v>
                </c:pt>
                <c:pt idx="880">
                  <c:v>6.1646801860325727E-3</c:v>
                </c:pt>
                <c:pt idx="881">
                  <c:v>-5.8207513979236652E-3</c:v>
                </c:pt>
                <c:pt idx="882">
                  <c:v>1.2556463931100857E-3</c:v>
                </c:pt>
                <c:pt idx="883">
                  <c:v>1.9699679526144001E-3</c:v>
                </c:pt>
                <c:pt idx="884">
                  <c:v>7.6052019581393671E-3</c:v>
                </c:pt>
                <c:pt idx="885">
                  <c:v>-3.1353161534824862E-3</c:v>
                </c:pt>
                <c:pt idx="886">
                  <c:v>-1.8530344435268189E-3</c:v>
                </c:pt>
                <c:pt idx="887">
                  <c:v>2.885769922916418E-3</c:v>
                </c:pt>
                <c:pt idx="888">
                  <c:v>2.1826943483975934E-2</c:v>
                </c:pt>
                <c:pt idx="889">
                  <c:v>8.6805407599478621E-3</c:v>
                </c:pt>
                <c:pt idx="890">
                  <c:v>1.6194665249821435E-2</c:v>
                </c:pt>
                <c:pt idx="891">
                  <c:v>9.4690167102810269E-3</c:v>
                </c:pt>
                <c:pt idx="892">
                  <c:v>-5.9188348705783598E-3</c:v>
                </c:pt>
                <c:pt idx="893">
                  <c:v>1.454052036143926E-2</c:v>
                </c:pt>
                <c:pt idx="894">
                  <c:v>1.7832322271188032E-2</c:v>
                </c:pt>
                <c:pt idx="895">
                  <c:v>-4.2487910866625123E-3</c:v>
                </c:pt>
                <c:pt idx="896">
                  <c:v>5.5271513713817154E-3</c:v>
                </c:pt>
                <c:pt idx="897">
                  <c:v>-4.4660110594789901E-3</c:v>
                </c:pt>
                <c:pt idx="898">
                  <c:v>-4.8491887354391765E-3</c:v>
                </c:pt>
                <c:pt idx="899">
                  <c:v>-1.0260765669108229E-2</c:v>
                </c:pt>
                <c:pt idx="900">
                  <c:v>1.2611770331844588E-2</c:v>
                </c:pt>
                <c:pt idx="901">
                  <c:v>-6.6433339067363713E-4</c:v>
                </c:pt>
                <c:pt idx="902">
                  <c:v>-7.0469382852958147E-3</c:v>
                </c:pt>
                <c:pt idx="903">
                  <c:v>-1.0249445942921783E-2</c:v>
                </c:pt>
                <c:pt idx="904">
                  <c:v>-2.0466520205554002E-3</c:v>
                </c:pt>
                <c:pt idx="905">
                  <c:v>-7.2719632865725367E-3</c:v>
                </c:pt>
                <c:pt idx="906">
                  <c:v>3.694728672066203E-3</c:v>
                </c:pt>
                <c:pt idx="907">
                  <c:v>2.5720671103382146E-3</c:v>
                </c:pt>
                <c:pt idx="908">
                  <c:v>-3.5555750248233435E-3</c:v>
                </c:pt>
                <c:pt idx="909">
                  <c:v>-1.0631516474820616E-2</c:v>
                </c:pt>
                <c:pt idx="910">
                  <c:v>2.5322927043635981E-5</c:v>
                </c:pt>
                <c:pt idx="911">
                  <c:v>-2.2529667685609409E-3</c:v>
                </c:pt>
                <c:pt idx="912">
                  <c:v>1.406405441740312E-3</c:v>
                </c:pt>
                <c:pt idx="913">
                  <c:v>2.9496860593921123E-3</c:v>
                </c:pt>
                <c:pt idx="914">
                  <c:v>-2.0470504546564764E-3</c:v>
                </c:pt>
                <c:pt idx="915">
                  <c:v>3.3216051964666919E-3</c:v>
                </c:pt>
                <c:pt idx="916">
                  <c:v>-1.5170944546053506E-3</c:v>
                </c:pt>
                <c:pt idx="917">
                  <c:v>-3.9470527893572908E-3</c:v>
                </c:pt>
                <c:pt idx="918">
                  <c:v>-2.2167911636692956E-3</c:v>
                </c:pt>
                <c:pt idx="919">
                  <c:v>-3.8124266875626707E-3</c:v>
                </c:pt>
                <c:pt idx="920">
                  <c:v>-7.2176238343432267E-3</c:v>
                </c:pt>
                <c:pt idx="921">
                  <c:v>-6.1941863971465387E-3</c:v>
                </c:pt>
                <c:pt idx="922">
                  <c:v>-9.1857603383144225E-4</c:v>
                </c:pt>
                <c:pt idx="923">
                  <c:v>-7.5190670434262643E-3</c:v>
                </c:pt>
                <c:pt idx="924">
                  <c:v>1.3080434591549422E-2</c:v>
                </c:pt>
                <c:pt idx="925">
                  <c:v>8.9107236327000718E-3</c:v>
                </c:pt>
                <c:pt idx="926">
                  <c:v>-2.001530412062504E-3</c:v>
                </c:pt>
                <c:pt idx="927">
                  <c:v>-1.0166976669314102E-2</c:v>
                </c:pt>
                <c:pt idx="928">
                  <c:v>2.7992976032979503E-3</c:v>
                </c:pt>
                <c:pt idx="929">
                  <c:v>2.018786408604967E-3</c:v>
                </c:pt>
                <c:pt idx="930">
                  <c:v>3.3662770523905398E-3</c:v>
                </c:pt>
                <c:pt idx="931">
                  <c:v>6.3116635062802967E-3</c:v>
                </c:pt>
                <c:pt idx="932">
                  <c:v>1.3197098296573428E-2</c:v>
                </c:pt>
                <c:pt idx="933">
                  <c:v>-1.7865033608416515E-3</c:v>
                </c:pt>
                <c:pt idx="934">
                  <c:v>3.0031899537248659E-3</c:v>
                </c:pt>
                <c:pt idx="935">
                  <c:v>-1.3304387131131655E-3</c:v>
                </c:pt>
                <c:pt idx="936">
                  <c:v>-3.5188782099030485E-3</c:v>
                </c:pt>
                <c:pt idx="937">
                  <c:v>1.8706343731089939E-3</c:v>
                </c:pt>
                <c:pt idx="938">
                  <c:v>-3.260488355670312E-3</c:v>
                </c:pt>
                <c:pt idx="939">
                  <c:v>-4.6020715877803237E-3</c:v>
                </c:pt>
                <c:pt idx="940">
                  <c:v>2.0071631367882506E-3</c:v>
                </c:pt>
                <c:pt idx="941">
                  <c:v>9.2446663731624527E-3</c:v>
                </c:pt>
                <c:pt idx="942">
                  <c:v>-2.1079404775014958E-3</c:v>
                </c:pt>
                <c:pt idx="943">
                  <c:v>1.8140809131349123E-3</c:v>
                </c:pt>
                <c:pt idx="944">
                  <c:v>3.1684191874254385E-3</c:v>
                </c:pt>
                <c:pt idx="945">
                  <c:v>-3.7124033850621727E-3</c:v>
                </c:pt>
                <c:pt idx="946">
                  <c:v>-1.5406250103697462E-2</c:v>
                </c:pt>
                <c:pt idx="947">
                  <c:v>1.512276230903052E-3</c:v>
                </c:pt>
                <c:pt idx="948">
                  <c:v>-1.1117507574601183E-2</c:v>
                </c:pt>
                <c:pt idx="949">
                  <c:v>3.0220953502317978E-3</c:v>
                </c:pt>
                <c:pt idx="950">
                  <c:v>1.3183920575136177E-2</c:v>
                </c:pt>
                <c:pt idx="951">
                  <c:v>3.2505204061642249E-3</c:v>
                </c:pt>
                <c:pt idx="952">
                  <c:v>3.4836435402039365E-3</c:v>
                </c:pt>
                <c:pt idx="953">
                  <c:v>-5.5689248292557069E-3</c:v>
                </c:pt>
                <c:pt idx="954">
                  <c:v>4.5644252921483745E-3</c:v>
                </c:pt>
                <c:pt idx="955">
                  <c:v>5.1846299030426646E-3</c:v>
                </c:pt>
                <c:pt idx="956">
                  <c:v>1.5045654408243446E-2</c:v>
                </c:pt>
                <c:pt idx="957">
                  <c:v>4.4679330005848381E-3</c:v>
                </c:pt>
                <c:pt idx="958">
                  <c:v>-5.6185524546357437E-3</c:v>
                </c:pt>
                <c:pt idx="959">
                  <c:v>-1.259718889925894E-3</c:v>
                </c:pt>
                <c:pt idx="960">
                  <c:v>4.3671438435305748E-3</c:v>
                </c:pt>
                <c:pt idx="961">
                  <c:v>-3.8160932910692724E-3</c:v>
                </c:pt>
                <c:pt idx="962">
                  <c:v>-2.0896913851842841E-3</c:v>
                </c:pt>
                <c:pt idx="963">
                  <c:v>7.2431140101259363E-4</c:v>
                </c:pt>
                <c:pt idx="964">
                  <c:v>3.9154663375832221E-3</c:v>
                </c:pt>
                <c:pt idx="965">
                  <c:v>-1.1253564638230846E-3</c:v>
                </c:pt>
                <c:pt idx="966">
                  <c:v>5.4430576644627301E-4</c:v>
                </c:pt>
                <c:pt idx="967">
                  <c:v>7.7102997064356401E-4</c:v>
                </c:pt>
                <c:pt idx="968">
                  <c:v>-2.0155004817553796E-2</c:v>
                </c:pt>
                <c:pt idx="969">
                  <c:v>7.1842256510013715E-3</c:v>
                </c:pt>
                <c:pt idx="970">
                  <c:v>-5.8904614879218709E-4</c:v>
                </c:pt>
                <c:pt idx="971">
                  <c:v>1.0600106780313653E-3</c:v>
                </c:pt>
                <c:pt idx="972">
                  <c:v>-5.7419152738436979E-3</c:v>
                </c:pt>
                <c:pt idx="973">
                  <c:v>-1.2750384933843581E-2</c:v>
                </c:pt>
                <c:pt idx="974">
                  <c:v>-1.7477849895235257E-3</c:v>
                </c:pt>
                <c:pt idx="975">
                  <c:v>6.7248532376310254E-3</c:v>
                </c:pt>
                <c:pt idx="976">
                  <c:v>-4.0096328751635978E-3</c:v>
                </c:pt>
                <c:pt idx="977">
                  <c:v>1.1204848984228521E-3</c:v>
                </c:pt>
                <c:pt idx="978">
                  <c:v>-3.7826500277708319E-3</c:v>
                </c:pt>
                <c:pt idx="979">
                  <c:v>4.1826600755165734E-3</c:v>
                </c:pt>
                <c:pt idx="980">
                  <c:v>5.5904090443803945E-4</c:v>
                </c:pt>
                <c:pt idx="981">
                  <c:v>-1.3365879511098154E-2</c:v>
                </c:pt>
                <c:pt idx="982">
                  <c:v>2.9558210149840882E-3</c:v>
                </c:pt>
                <c:pt idx="983">
                  <c:v>-8.0060085013903496E-3</c:v>
                </c:pt>
                <c:pt idx="984">
                  <c:v>-2.7784896665480521E-2</c:v>
                </c:pt>
                <c:pt idx="985">
                  <c:v>-1.2290481755453097E-2</c:v>
                </c:pt>
                <c:pt idx="986">
                  <c:v>1.2592872562234302E-2</c:v>
                </c:pt>
                <c:pt idx="987">
                  <c:v>-4.245408881346298E-3</c:v>
                </c:pt>
                <c:pt idx="988">
                  <c:v>1.2250310064231355E-2</c:v>
                </c:pt>
                <c:pt idx="989">
                  <c:v>-8.7722225487334628E-3</c:v>
                </c:pt>
                <c:pt idx="990">
                  <c:v>-1.3151802217476138E-2</c:v>
                </c:pt>
                <c:pt idx="991">
                  <c:v>1.1912596491344152E-2</c:v>
                </c:pt>
                <c:pt idx="992">
                  <c:v>1.6934462297486463E-2</c:v>
                </c:pt>
                <c:pt idx="993">
                  <c:v>9.783414088660675E-3</c:v>
                </c:pt>
                <c:pt idx="994">
                  <c:v>-4.5389174316872111E-3</c:v>
                </c:pt>
                <c:pt idx="995">
                  <c:v>-2.248057131268336E-3</c:v>
                </c:pt>
                <c:pt idx="996">
                  <c:v>4.3769872691436472E-3</c:v>
                </c:pt>
                <c:pt idx="997">
                  <c:v>7.1415344155744999E-3</c:v>
                </c:pt>
                <c:pt idx="998">
                  <c:v>-1.2260190326066896E-2</c:v>
                </c:pt>
                <c:pt idx="999">
                  <c:v>7.3260525429603325E-3</c:v>
                </c:pt>
                <c:pt idx="1000">
                  <c:v>-1.0612354937931917E-3</c:v>
                </c:pt>
                <c:pt idx="1001">
                  <c:v>1.1210014181196012E-3</c:v>
                </c:pt>
                <c:pt idx="1002">
                  <c:v>-1.1774367590933177E-2</c:v>
                </c:pt>
                <c:pt idx="1003">
                  <c:v>-1.4946637750490028E-2</c:v>
                </c:pt>
                <c:pt idx="1004">
                  <c:v>-3.4705789795006409E-2</c:v>
                </c:pt>
                <c:pt idx="1005">
                  <c:v>1.1707202062687503E-2</c:v>
                </c:pt>
                <c:pt idx="1006">
                  <c:v>1.0437963975749389E-3</c:v>
                </c:pt>
                <c:pt idx="1007">
                  <c:v>-1.0908647034192235E-2</c:v>
                </c:pt>
                <c:pt idx="1008">
                  <c:v>9.2715107641675777E-4</c:v>
                </c:pt>
                <c:pt idx="1009">
                  <c:v>1.5920989689048422E-2</c:v>
                </c:pt>
                <c:pt idx="1010">
                  <c:v>1.8672074334955376E-2</c:v>
                </c:pt>
                <c:pt idx="1011">
                  <c:v>2.668424452493276E-2</c:v>
                </c:pt>
                <c:pt idx="1012">
                  <c:v>-9.6948259742014806E-3</c:v>
                </c:pt>
                <c:pt idx="1013">
                  <c:v>-1.4320207918165771E-2</c:v>
                </c:pt>
                <c:pt idx="1014">
                  <c:v>2.0109467293116093E-2</c:v>
                </c:pt>
                <c:pt idx="1015">
                  <c:v>-1.3060241840666855E-3</c:v>
                </c:pt>
                <c:pt idx="1016">
                  <c:v>2.7959174730440199E-3</c:v>
                </c:pt>
                <c:pt idx="1017">
                  <c:v>-6.4406430970470885E-3</c:v>
                </c:pt>
                <c:pt idx="1018">
                  <c:v>1.7780809840884058E-2</c:v>
                </c:pt>
                <c:pt idx="1019">
                  <c:v>8.0598153421265317E-3</c:v>
                </c:pt>
                <c:pt idx="1020">
                  <c:v>4.8301220824434037E-3</c:v>
                </c:pt>
                <c:pt idx="1021">
                  <c:v>1.7814258309261987E-2</c:v>
                </c:pt>
                <c:pt idx="1022">
                  <c:v>-1.7067770216539584E-2</c:v>
                </c:pt>
                <c:pt idx="1023">
                  <c:v>-5.9484765623319725E-4</c:v>
                </c:pt>
                <c:pt idx="1024">
                  <c:v>-1.3586563734884588E-2</c:v>
                </c:pt>
                <c:pt idx="1025">
                  <c:v>4.2937864640136278E-3</c:v>
                </c:pt>
                <c:pt idx="1026">
                  <c:v>-6.005780745447502E-3</c:v>
                </c:pt>
                <c:pt idx="1027">
                  <c:v>9.7276809242755361E-4</c:v>
                </c:pt>
                <c:pt idx="1028">
                  <c:v>-1.0821620672488715E-2</c:v>
                </c:pt>
                <c:pt idx="1029">
                  <c:v>6.7906388511084102E-3</c:v>
                </c:pt>
                <c:pt idx="1030">
                  <c:v>5.3177252951416183E-3</c:v>
                </c:pt>
                <c:pt idx="1031">
                  <c:v>-7.993907830429671E-3</c:v>
                </c:pt>
                <c:pt idx="1032">
                  <c:v>-3.201634927425119E-3</c:v>
                </c:pt>
                <c:pt idx="1033">
                  <c:v>1.8760550813897729E-3</c:v>
                </c:pt>
                <c:pt idx="1034">
                  <c:v>-6.7124148535225537E-3</c:v>
                </c:pt>
                <c:pt idx="1035">
                  <c:v>-2.4092596537628715E-3</c:v>
                </c:pt>
                <c:pt idx="1036">
                  <c:v>6.3868425747604183E-3</c:v>
                </c:pt>
                <c:pt idx="1037">
                  <c:v>1.6378303100400154E-2</c:v>
                </c:pt>
                <c:pt idx="1038">
                  <c:v>2.3545491932167729E-3</c:v>
                </c:pt>
                <c:pt idx="1039">
                  <c:v>-2.4047691853590829E-3</c:v>
                </c:pt>
                <c:pt idx="1040">
                  <c:v>5.8643236467959383E-4</c:v>
                </c:pt>
                <c:pt idx="1041">
                  <c:v>5.4791069304742793E-3</c:v>
                </c:pt>
                <c:pt idx="1042">
                  <c:v>5.009674035734578E-3</c:v>
                </c:pt>
                <c:pt idx="1043">
                  <c:v>1.5069195554275284E-3</c:v>
                </c:pt>
                <c:pt idx="1044">
                  <c:v>-9.6567228542038534E-4</c:v>
                </c:pt>
                <c:pt idx="1045">
                  <c:v>1.3776881479361242E-3</c:v>
                </c:pt>
                <c:pt idx="1046">
                  <c:v>-4.2974119526084506E-3</c:v>
                </c:pt>
                <c:pt idx="1047">
                  <c:v>-8.7336118860010959E-3</c:v>
                </c:pt>
                <c:pt idx="1048">
                  <c:v>-9.9564601457296717E-3</c:v>
                </c:pt>
                <c:pt idx="1049">
                  <c:v>-9.8904039620254175E-4</c:v>
                </c:pt>
                <c:pt idx="1050">
                  <c:v>-1.2277514691283782E-2</c:v>
                </c:pt>
                <c:pt idx="1051">
                  <c:v>-1.0750171512354974E-2</c:v>
                </c:pt>
                <c:pt idx="1052">
                  <c:v>1.4601153421018628E-3</c:v>
                </c:pt>
                <c:pt idx="1053">
                  <c:v>2.0499810376754012E-3</c:v>
                </c:pt>
                <c:pt idx="1054">
                  <c:v>-5.0515974978526269E-3</c:v>
                </c:pt>
                <c:pt idx="1055">
                  <c:v>-7.9087479930363077E-4</c:v>
                </c:pt>
                <c:pt idx="1056">
                  <c:v>3.8265072455949422E-3</c:v>
                </c:pt>
                <c:pt idx="1057">
                  <c:v>-2.7731924562565398E-3</c:v>
                </c:pt>
                <c:pt idx="1058">
                  <c:v>-5.0799826522503044E-3</c:v>
                </c:pt>
                <c:pt idx="1059">
                  <c:v>7.5313841267952021E-4</c:v>
                </c:pt>
                <c:pt idx="1060">
                  <c:v>1.5956331207047786E-2</c:v>
                </c:pt>
                <c:pt idx="1061">
                  <c:v>-7.4655106739900398E-3</c:v>
                </c:pt>
                <c:pt idx="1062">
                  <c:v>-5.337125293229778E-3</c:v>
                </c:pt>
                <c:pt idx="1063">
                  <c:v>-7.8296210202361005E-4</c:v>
                </c:pt>
                <c:pt idx="1064">
                  <c:v>8.0729139842999429E-3</c:v>
                </c:pt>
                <c:pt idx="1065">
                  <c:v>1.9810073505864135E-3</c:v>
                </c:pt>
                <c:pt idx="1066">
                  <c:v>1.0227446267355846E-3</c:v>
                </c:pt>
                <c:pt idx="1067">
                  <c:v>5.0038934907890341E-3</c:v>
                </c:pt>
                <c:pt idx="1068">
                  <c:v>1.2680462964220424E-3</c:v>
                </c:pt>
                <c:pt idx="1069">
                  <c:v>1.255526633273538E-2</c:v>
                </c:pt>
                <c:pt idx="1070">
                  <c:v>2.2376219950244135E-3</c:v>
                </c:pt>
                <c:pt idx="1071">
                  <c:v>8.8645674724656971E-3</c:v>
                </c:pt>
                <c:pt idx="1072">
                  <c:v>2.8202839529604187E-3</c:v>
                </c:pt>
                <c:pt idx="1073">
                  <c:v>8.3401373468796544E-3</c:v>
                </c:pt>
                <c:pt idx="1074">
                  <c:v>3.8230150802668807E-3</c:v>
                </c:pt>
                <c:pt idx="1075">
                  <c:v>1.3946991453375396E-4</c:v>
                </c:pt>
                <c:pt idx="1076">
                  <c:v>3.520233383538675E-3</c:v>
                </c:pt>
                <c:pt idx="1077">
                  <c:v>-9.7649305264574538E-3</c:v>
                </c:pt>
                <c:pt idx="1078">
                  <c:v>-1.0893749840124761E-2</c:v>
                </c:pt>
                <c:pt idx="1079">
                  <c:v>-7.2234101717971004E-3</c:v>
                </c:pt>
                <c:pt idx="1080">
                  <c:v>6.102989778441612E-3</c:v>
                </c:pt>
                <c:pt idx="1081">
                  <c:v>3.9188755259146535E-3</c:v>
                </c:pt>
                <c:pt idx="1082">
                  <c:v>5.5120110645161821E-3</c:v>
                </c:pt>
                <c:pt idx="1083">
                  <c:v>6.3253513138520883E-3</c:v>
                </c:pt>
                <c:pt idx="1084">
                  <c:v>-3.44353388138621E-3</c:v>
                </c:pt>
                <c:pt idx="1085">
                  <c:v>-8.685671068901479E-3</c:v>
                </c:pt>
                <c:pt idx="1086">
                  <c:v>3.440135801814361E-3</c:v>
                </c:pt>
                <c:pt idx="1087">
                  <c:v>-9.8851684506043782E-3</c:v>
                </c:pt>
                <c:pt idx="1088">
                  <c:v>-2.1083160411130759E-3</c:v>
                </c:pt>
                <c:pt idx="1089">
                  <c:v>-4.4142722786362065E-4</c:v>
                </c:pt>
                <c:pt idx="1090">
                  <c:v>-6.8567012697307267E-4</c:v>
                </c:pt>
                <c:pt idx="1091">
                  <c:v>-1.648393121063259E-3</c:v>
                </c:pt>
                <c:pt idx="1092">
                  <c:v>8.4787306170828556E-3</c:v>
                </c:pt>
                <c:pt idx="1093">
                  <c:v>7.6323601429253403E-3</c:v>
                </c:pt>
                <c:pt idx="1094">
                  <c:v>-7.8728743083364156E-3</c:v>
                </c:pt>
                <c:pt idx="1095">
                  <c:v>-1.5506381323446314E-3</c:v>
                </c:pt>
                <c:pt idx="1096">
                  <c:v>1.9993351701760053E-3</c:v>
                </c:pt>
                <c:pt idx="1097">
                  <c:v>6.8258139521388036E-3</c:v>
                </c:pt>
                <c:pt idx="1098">
                  <c:v>6.5888493181675374E-3</c:v>
                </c:pt>
                <c:pt idx="1099">
                  <c:v>4.9230689945430565E-3</c:v>
                </c:pt>
                <c:pt idx="1100">
                  <c:v>-1.0711261984433744E-2</c:v>
                </c:pt>
                <c:pt idx="1101">
                  <c:v>5.6827686043534262E-3</c:v>
                </c:pt>
                <c:pt idx="1102">
                  <c:v>-3.162640323819214E-3</c:v>
                </c:pt>
                <c:pt idx="1103">
                  <c:v>-5.6537425611642503E-3</c:v>
                </c:pt>
                <c:pt idx="1104">
                  <c:v>1.7093539701289834E-5</c:v>
                </c:pt>
                <c:pt idx="1105">
                  <c:v>-3.1868072871163045E-3</c:v>
                </c:pt>
                <c:pt idx="1106">
                  <c:v>-1.6657609680107515E-3</c:v>
                </c:pt>
                <c:pt idx="1107">
                  <c:v>-1.6573635320510025E-2</c:v>
                </c:pt>
                <c:pt idx="1108">
                  <c:v>-7.3061921823593299E-5</c:v>
                </c:pt>
                <c:pt idx="1109">
                  <c:v>-1.0276651836719056E-2</c:v>
                </c:pt>
                <c:pt idx="1110">
                  <c:v>-1.1911579885141132E-3</c:v>
                </c:pt>
                <c:pt idx="1111">
                  <c:v>-2.276650347520072E-3</c:v>
                </c:pt>
                <c:pt idx="1112">
                  <c:v>3.2332211534144346E-2</c:v>
                </c:pt>
                <c:pt idx="1113">
                  <c:v>1.597378086659527E-3</c:v>
                </c:pt>
                <c:pt idx="1114">
                  <c:v>5.9118252426622372E-2</c:v>
                </c:pt>
                <c:pt idx="1115">
                  <c:v>-9.1200454453413734E-3</c:v>
                </c:pt>
                <c:pt idx="1116">
                  <c:v>1.17049694859349E-3</c:v>
                </c:pt>
                <c:pt idx="1117">
                  <c:v>1.5105681913935968E-2</c:v>
                </c:pt>
                <c:pt idx="1118">
                  <c:v>1.6556695826354887E-3</c:v>
                </c:pt>
                <c:pt idx="1119">
                  <c:v>6.2526927902320124E-3</c:v>
                </c:pt>
                <c:pt idx="1120">
                  <c:v>1.3855134283115085E-2</c:v>
                </c:pt>
                <c:pt idx="1121">
                  <c:v>8.895680603675498E-3</c:v>
                </c:pt>
                <c:pt idx="1122">
                  <c:v>-6.2440312471410998E-3</c:v>
                </c:pt>
                <c:pt idx="1123">
                  <c:v>-4.9579967732619303E-3</c:v>
                </c:pt>
                <c:pt idx="1124">
                  <c:v>-5.455722562641808E-4</c:v>
                </c:pt>
                <c:pt idx="1125">
                  <c:v>-6.1624046697535009E-4</c:v>
                </c:pt>
                <c:pt idx="1126">
                  <c:v>1.482465744357184E-3</c:v>
                </c:pt>
                <c:pt idx="1127">
                  <c:v>7.5466333143549271E-3</c:v>
                </c:pt>
                <c:pt idx="1128">
                  <c:v>1.0163212815052339E-2</c:v>
                </c:pt>
                <c:pt idx="1129">
                  <c:v>3.863515417668939E-3</c:v>
                </c:pt>
                <c:pt idx="1130">
                  <c:v>7.2433738444455395E-3</c:v>
                </c:pt>
                <c:pt idx="1131">
                  <c:v>7.012186842796077E-3</c:v>
                </c:pt>
                <c:pt idx="1132">
                  <c:v>8.8707057398909935E-3</c:v>
                </c:pt>
                <c:pt idx="1133">
                  <c:v>1.8997621081116148E-2</c:v>
                </c:pt>
                <c:pt idx="1134">
                  <c:v>4.0785192503985882E-3</c:v>
                </c:pt>
                <c:pt idx="1135">
                  <c:v>1.1072868827816483E-2</c:v>
                </c:pt>
                <c:pt idx="1136">
                  <c:v>-3.1451125869100117E-3</c:v>
                </c:pt>
                <c:pt idx="1137">
                  <c:v>-5.2395354319728844E-4</c:v>
                </c:pt>
                <c:pt idx="1138">
                  <c:v>-4.1053223262559942E-3</c:v>
                </c:pt>
                <c:pt idx="1139">
                  <c:v>-1.9766565914903517E-2</c:v>
                </c:pt>
                <c:pt idx="1140">
                  <c:v>1.6820219853248417E-2</c:v>
                </c:pt>
                <c:pt idx="1141">
                  <c:v>-8.6933623070607289E-3</c:v>
                </c:pt>
                <c:pt idx="1142">
                  <c:v>1.288603620205188E-2</c:v>
                </c:pt>
                <c:pt idx="1143">
                  <c:v>2.9189829920453023E-3</c:v>
                </c:pt>
                <c:pt idx="1144">
                  <c:v>-8.6340682476848344E-3</c:v>
                </c:pt>
                <c:pt idx="1145">
                  <c:v>3.7263406653410486E-3</c:v>
                </c:pt>
                <c:pt idx="1146">
                  <c:v>-2.2213788730831899E-3</c:v>
                </c:pt>
                <c:pt idx="1147">
                  <c:v>-1.5980176898944803E-2</c:v>
                </c:pt>
                <c:pt idx="1148">
                  <c:v>-6.3332557044078056E-4</c:v>
                </c:pt>
                <c:pt idx="1149">
                  <c:v>1.5395030146757352E-5</c:v>
                </c:pt>
                <c:pt idx="1150">
                  <c:v>7.0042091051556038E-3</c:v>
                </c:pt>
                <c:pt idx="1151">
                  <c:v>-1.6659420708697182E-3</c:v>
                </c:pt>
                <c:pt idx="1152">
                  <c:v>-4.0401743526123747E-3</c:v>
                </c:pt>
                <c:pt idx="1153">
                  <c:v>-1.4916190680392646E-2</c:v>
                </c:pt>
                <c:pt idx="1154">
                  <c:v>-1.1243433615399149E-2</c:v>
                </c:pt>
                <c:pt idx="1155">
                  <c:v>-2.6860246234421122E-2</c:v>
                </c:pt>
                <c:pt idx="1156">
                  <c:v>6.8938530180938738E-3</c:v>
                </c:pt>
                <c:pt idx="1157">
                  <c:v>8.7121366770647225E-3</c:v>
                </c:pt>
                <c:pt idx="1158">
                  <c:v>-4.724397045381145E-3</c:v>
                </c:pt>
                <c:pt idx="1159">
                  <c:v>6.9483340616747682E-3</c:v>
                </c:pt>
                <c:pt idx="1160">
                  <c:v>-1.0989449997019381E-3</c:v>
                </c:pt>
                <c:pt idx="1161">
                  <c:v>5.6002078797164944E-3</c:v>
                </c:pt>
                <c:pt idx="1162">
                  <c:v>-3.2110155545722685E-3</c:v>
                </c:pt>
                <c:pt idx="1163">
                  <c:v>-7.7910021272964312E-3</c:v>
                </c:pt>
                <c:pt idx="1164">
                  <c:v>1.8135117502508622E-3</c:v>
                </c:pt>
                <c:pt idx="1165">
                  <c:v>1.2969687823804533E-3</c:v>
                </c:pt>
                <c:pt idx="1166">
                  <c:v>2.2663721069308604E-3</c:v>
                </c:pt>
                <c:pt idx="1167">
                  <c:v>1.833957657019018E-3</c:v>
                </c:pt>
                <c:pt idx="1168">
                  <c:v>1.674614321661255E-3</c:v>
                </c:pt>
                <c:pt idx="1169">
                  <c:v>3.9944086990111787E-4</c:v>
                </c:pt>
                <c:pt idx="1170">
                  <c:v>8.103409087940449E-3</c:v>
                </c:pt>
                <c:pt idx="1171">
                  <c:v>2.8437699561146405E-3</c:v>
                </c:pt>
                <c:pt idx="1172">
                  <c:v>-9.0640081780662594E-4</c:v>
                </c:pt>
                <c:pt idx="1173">
                  <c:v>-1.8489332314817598E-3</c:v>
                </c:pt>
                <c:pt idx="1174">
                  <c:v>2.1481998784672529E-3</c:v>
                </c:pt>
                <c:pt idx="1175">
                  <c:v>-3.7801655834487293E-3</c:v>
                </c:pt>
                <c:pt idx="1176">
                  <c:v>8.532725508131932E-3</c:v>
                </c:pt>
                <c:pt idx="1177">
                  <c:v>2.7820742795817617E-3</c:v>
                </c:pt>
                <c:pt idx="1178">
                  <c:v>6.9087277144714524E-3</c:v>
                </c:pt>
                <c:pt idx="1179">
                  <c:v>8.5966750517152656E-3</c:v>
                </c:pt>
                <c:pt idx="1180">
                  <c:v>5.0774399088884012E-4</c:v>
                </c:pt>
                <c:pt idx="1181">
                  <c:v>4.7978611061939291E-3</c:v>
                </c:pt>
                <c:pt idx="1182">
                  <c:v>8.5236467357024184E-3</c:v>
                </c:pt>
                <c:pt idx="1183">
                  <c:v>7.4423338560761663E-3</c:v>
                </c:pt>
                <c:pt idx="1184">
                  <c:v>5.5649481050187048E-3</c:v>
                </c:pt>
                <c:pt idx="1185">
                  <c:v>1.4798742959801943E-2</c:v>
                </c:pt>
                <c:pt idx="1186">
                  <c:v>4.5743408170815557E-3</c:v>
                </c:pt>
                <c:pt idx="1187">
                  <c:v>-3.8614340705236203E-3</c:v>
                </c:pt>
                <c:pt idx="1188">
                  <c:v>-2.4569999765787485E-3</c:v>
                </c:pt>
                <c:pt idx="1189">
                  <c:v>1.8576214842715027E-2</c:v>
                </c:pt>
                <c:pt idx="1190">
                  <c:v>6.965865371909164E-3</c:v>
                </c:pt>
                <c:pt idx="1191">
                  <c:v>7.858189875306296E-3</c:v>
                </c:pt>
                <c:pt idx="1192">
                  <c:v>-8.9676036507187803E-5</c:v>
                </c:pt>
                <c:pt idx="1193">
                  <c:v>1.1194844536173379E-3</c:v>
                </c:pt>
                <c:pt idx="1194">
                  <c:v>6.4703751487524665E-4</c:v>
                </c:pt>
                <c:pt idx="1195">
                  <c:v>-3.9084490523551233E-3</c:v>
                </c:pt>
                <c:pt idx="1196">
                  <c:v>1.0292306771497233E-2</c:v>
                </c:pt>
                <c:pt idx="1197">
                  <c:v>9.583370643434579E-3</c:v>
                </c:pt>
                <c:pt idx="1198">
                  <c:v>7.3252602964697811E-3</c:v>
                </c:pt>
                <c:pt idx="1199">
                  <c:v>6.577528718672984E-3</c:v>
                </c:pt>
                <c:pt idx="1200">
                  <c:v>8.9995660459308378E-3</c:v>
                </c:pt>
                <c:pt idx="1201">
                  <c:v>1.4392282793726154E-2</c:v>
                </c:pt>
                <c:pt idx="1202">
                  <c:v>-2.4141173399697367E-3</c:v>
                </c:pt>
                <c:pt idx="1203">
                  <c:v>9.2276980726181627E-3</c:v>
                </c:pt>
                <c:pt idx="1204">
                  <c:v>2.0113108036717682E-2</c:v>
                </c:pt>
                <c:pt idx="1205">
                  <c:v>2.0343987670682375E-2</c:v>
                </c:pt>
                <c:pt idx="1206">
                  <c:v>2.0852089215877348E-3</c:v>
                </c:pt>
                <c:pt idx="1207">
                  <c:v>2.1308305225318483E-3</c:v>
                </c:pt>
                <c:pt idx="1208">
                  <c:v>1.0197782870092506E-2</c:v>
                </c:pt>
                <c:pt idx="1209">
                  <c:v>-5.705899258093664E-3</c:v>
                </c:pt>
                <c:pt idx="1210">
                  <c:v>8.599195748071949E-4</c:v>
                </c:pt>
                <c:pt idx="1211">
                  <c:v>5.9963911955264832E-3</c:v>
                </c:pt>
                <c:pt idx="1212">
                  <c:v>1.341429043735573E-2</c:v>
                </c:pt>
                <c:pt idx="1213">
                  <c:v>1.25911272370252E-2</c:v>
                </c:pt>
                <c:pt idx="1214">
                  <c:v>4.4565682353659023E-3</c:v>
                </c:pt>
                <c:pt idx="1215">
                  <c:v>1.0151869068063443E-2</c:v>
                </c:pt>
                <c:pt idx="1216">
                  <c:v>1.7925334166693733E-2</c:v>
                </c:pt>
                <c:pt idx="1217">
                  <c:v>-5.6958991071324339E-3</c:v>
                </c:pt>
                <c:pt idx="1218">
                  <c:v>4.5967732337874357E-4</c:v>
                </c:pt>
                <c:pt idx="1219">
                  <c:v>1.9239090405782488E-2</c:v>
                </c:pt>
                <c:pt idx="1220">
                  <c:v>1.433104370554979E-2</c:v>
                </c:pt>
                <c:pt idx="1221">
                  <c:v>7.2357565718769263E-3</c:v>
                </c:pt>
                <c:pt idx="1222">
                  <c:v>1.190928558407179E-2</c:v>
                </c:pt>
                <c:pt idx="1223">
                  <c:v>1.4727946220332034E-2</c:v>
                </c:pt>
                <c:pt idx="1224">
                  <c:v>2.3263205583354804E-2</c:v>
                </c:pt>
                <c:pt idx="1225">
                  <c:v>-3.190703982853294E-3</c:v>
                </c:pt>
                <c:pt idx="1226">
                  <c:v>6.2783725404026349E-3</c:v>
                </c:pt>
                <c:pt idx="1227">
                  <c:v>-1.726141173785626E-2</c:v>
                </c:pt>
                <c:pt idx="1228">
                  <c:v>2.6046198416180173E-3</c:v>
                </c:pt>
                <c:pt idx="1229">
                  <c:v>1.0386982833816094E-2</c:v>
                </c:pt>
                <c:pt idx="1230">
                  <c:v>-1.3992737337747724E-2</c:v>
                </c:pt>
                <c:pt idx="1231">
                  <c:v>-3.6372389221141818E-2</c:v>
                </c:pt>
                <c:pt idx="1232">
                  <c:v>-6.1276688391439472E-3</c:v>
                </c:pt>
                <c:pt idx="1233">
                  <c:v>3.932230987024209E-3</c:v>
                </c:pt>
                <c:pt idx="1234">
                  <c:v>-1.5766848179167389E-2</c:v>
                </c:pt>
                <c:pt idx="1235">
                  <c:v>-4.1068086927674739E-2</c:v>
                </c:pt>
                <c:pt idx="1236">
                  <c:v>2.8605914588536462E-2</c:v>
                </c:pt>
                <c:pt idx="1237">
                  <c:v>1.9529236019809458E-2</c:v>
                </c:pt>
                <c:pt idx="1238">
                  <c:v>6.426842931052979E-3</c:v>
                </c:pt>
                <c:pt idx="1239">
                  <c:v>3.5399570607631159E-2</c:v>
                </c:pt>
                <c:pt idx="1240">
                  <c:v>-4.8278906024548087E-3</c:v>
                </c:pt>
                <c:pt idx="1241">
                  <c:v>4.6192983328567699E-3</c:v>
                </c:pt>
                <c:pt idx="1242">
                  <c:v>-1.1895397842269272E-4</c:v>
                </c:pt>
                <c:pt idx="1243">
                  <c:v>-1.9223640901274402E-3</c:v>
                </c:pt>
                <c:pt idx="1244">
                  <c:v>-4.3070670496273356E-3</c:v>
                </c:pt>
                <c:pt idx="1245">
                  <c:v>-1.034450067196399E-3</c:v>
                </c:pt>
                <c:pt idx="1246">
                  <c:v>-3.9072422284480391E-3</c:v>
                </c:pt>
                <c:pt idx="1247">
                  <c:v>1.0915545014576868E-2</c:v>
                </c:pt>
                <c:pt idx="1248">
                  <c:v>3.1059663803513054E-4</c:v>
                </c:pt>
                <c:pt idx="1249">
                  <c:v>-5.6972995920024621E-3</c:v>
                </c:pt>
                <c:pt idx="1250">
                  <c:v>-8.2764140559625481E-3</c:v>
                </c:pt>
                <c:pt idx="1251">
                  <c:v>-2.6690740421724153E-3</c:v>
                </c:pt>
                <c:pt idx="1252">
                  <c:v>-5.7409984435402685E-3</c:v>
                </c:pt>
                <c:pt idx="1253">
                  <c:v>1.2630849461413133E-3</c:v>
                </c:pt>
                <c:pt idx="1254">
                  <c:v>1.038490584165571E-2</c:v>
                </c:pt>
                <c:pt idx="1255">
                  <c:v>8.0515287832652448E-3</c:v>
                </c:pt>
                <c:pt idx="1256">
                  <c:v>5.7127368851876432E-3</c:v>
                </c:pt>
                <c:pt idx="1257">
                  <c:v>-8.0901009110580738E-3</c:v>
                </c:pt>
                <c:pt idx="1258">
                  <c:v>-7.5422240906056716E-3</c:v>
                </c:pt>
                <c:pt idx="1259">
                  <c:v>-1.6287261573101126E-2</c:v>
                </c:pt>
                <c:pt idx="1260">
                  <c:v>-1.4846658761022976E-2</c:v>
                </c:pt>
                <c:pt idx="1261">
                  <c:v>2.2224471691773603E-3</c:v>
                </c:pt>
                <c:pt idx="1262">
                  <c:v>6.6886977207507052E-3</c:v>
                </c:pt>
                <c:pt idx="1263">
                  <c:v>9.7634794772680777E-3</c:v>
                </c:pt>
                <c:pt idx="1264">
                  <c:v>1.2635922271539137E-2</c:v>
                </c:pt>
                <c:pt idx="1265">
                  <c:v>5.4052554412278722E-3</c:v>
                </c:pt>
                <c:pt idx="1266">
                  <c:v>-1.8709815918497005E-2</c:v>
                </c:pt>
                <c:pt idx="1267">
                  <c:v>-2.9842994737364716E-2</c:v>
                </c:pt>
                <c:pt idx="1268">
                  <c:v>2.6465103269744691E-3</c:v>
                </c:pt>
                <c:pt idx="1269">
                  <c:v>1.5138926612848238E-2</c:v>
                </c:pt>
                <c:pt idx="1270">
                  <c:v>-1.8241511707080351E-2</c:v>
                </c:pt>
                <c:pt idx="1271">
                  <c:v>-1.8798736022219556E-2</c:v>
                </c:pt>
                <c:pt idx="1272">
                  <c:v>9.8005844374489063E-3</c:v>
                </c:pt>
                <c:pt idx="1273">
                  <c:v>7.4264283262798192E-5</c:v>
                </c:pt>
                <c:pt idx="1274">
                  <c:v>1.8108554742439591E-2</c:v>
                </c:pt>
                <c:pt idx="1275">
                  <c:v>5.769734349851314E-3</c:v>
                </c:pt>
                <c:pt idx="1276">
                  <c:v>1.4560116444752592E-2</c:v>
                </c:pt>
                <c:pt idx="1277">
                  <c:v>7.8023338706714419E-3</c:v>
                </c:pt>
                <c:pt idx="1278">
                  <c:v>-1.3715934668363887E-3</c:v>
                </c:pt>
                <c:pt idx="1279">
                  <c:v>7.6614504160925825E-3</c:v>
                </c:pt>
                <c:pt idx="1280">
                  <c:v>1.3736618660370823E-2</c:v>
                </c:pt>
                <c:pt idx="1281">
                  <c:v>1.1569946167858997E-2</c:v>
                </c:pt>
                <c:pt idx="1282">
                  <c:v>9.5833660539979531E-3</c:v>
                </c:pt>
                <c:pt idx="1283">
                  <c:v>-3.4220482161726818E-3</c:v>
                </c:pt>
                <c:pt idx="1284">
                  <c:v>-1.05620238188697E-3</c:v>
                </c:pt>
                <c:pt idx="1285">
                  <c:v>-8.1530240210353261E-4</c:v>
                </c:pt>
                <c:pt idx="1286">
                  <c:v>2.9064179751288888E-3</c:v>
                </c:pt>
                <c:pt idx="1287">
                  <c:v>-5.8440192504573523E-4</c:v>
                </c:pt>
                <c:pt idx="1288">
                  <c:v>-1.4502402923809509E-2</c:v>
                </c:pt>
                <c:pt idx="1289">
                  <c:v>-1.162407776339193E-2</c:v>
                </c:pt>
                <c:pt idx="1290">
                  <c:v>1.5860339455574475E-2</c:v>
                </c:pt>
                <c:pt idx="1291">
                  <c:v>-3.8085419232398313E-3</c:v>
                </c:pt>
                <c:pt idx="1292">
                  <c:v>1.1423022574355078E-3</c:v>
                </c:pt>
                <c:pt idx="1293">
                  <c:v>9.4326581806799866E-3</c:v>
                </c:pt>
                <c:pt idx="1294">
                  <c:v>3.4989450800425488E-3</c:v>
                </c:pt>
                <c:pt idx="1295">
                  <c:v>-4.7829216274194297E-3</c:v>
                </c:pt>
                <c:pt idx="1296">
                  <c:v>-4.0596232806562127E-3</c:v>
                </c:pt>
                <c:pt idx="1297">
                  <c:v>5.7376745979353105E-3</c:v>
                </c:pt>
                <c:pt idx="1298">
                  <c:v>5.8088702668343982E-3</c:v>
                </c:pt>
                <c:pt idx="1299">
                  <c:v>9.7336702966696765E-3</c:v>
                </c:pt>
                <c:pt idx="1300">
                  <c:v>8.9308750899166119E-3</c:v>
                </c:pt>
                <c:pt idx="1301">
                  <c:v>-2.0405968712336573E-3</c:v>
                </c:pt>
                <c:pt idx="1302">
                  <c:v>-3.1160310012175729E-3</c:v>
                </c:pt>
                <c:pt idx="1303">
                  <c:v>1.3464813630449666E-3</c:v>
                </c:pt>
                <c:pt idx="1304">
                  <c:v>1.3003866563925071E-2</c:v>
                </c:pt>
                <c:pt idx="1305">
                  <c:v>9.7517505450437376E-3</c:v>
                </c:pt>
                <c:pt idx="1306">
                  <c:v>1.7586475130808646E-2</c:v>
                </c:pt>
                <c:pt idx="1307">
                  <c:v>9.9788868111011769E-3</c:v>
                </c:pt>
                <c:pt idx="1308">
                  <c:v>3.2690167862433439E-3</c:v>
                </c:pt>
                <c:pt idx="1309">
                  <c:v>-8.6356740659591783E-4</c:v>
                </c:pt>
                <c:pt idx="1310">
                  <c:v>-2.1329766360032453E-3</c:v>
                </c:pt>
                <c:pt idx="1311">
                  <c:v>-6.1421812591829362E-4</c:v>
                </c:pt>
                <c:pt idx="1312">
                  <c:v>8.8174554261679864E-3</c:v>
                </c:pt>
                <c:pt idx="1313">
                  <c:v>7.3834542144328545E-3</c:v>
                </c:pt>
                <c:pt idx="1314">
                  <c:v>-1.036629053107646E-3</c:v>
                </c:pt>
                <c:pt idx="1315">
                  <c:v>9.7041161074621542E-3</c:v>
                </c:pt>
                <c:pt idx="1316">
                  <c:v>-1.1171115705640093E-3</c:v>
                </c:pt>
                <c:pt idx="1317">
                  <c:v>1.0717451654407248E-2</c:v>
                </c:pt>
                <c:pt idx="1318">
                  <c:v>-1.4403084843506758E-2</c:v>
                </c:pt>
                <c:pt idx="1319">
                  <c:v>-8.2638922112173736E-3</c:v>
                </c:pt>
                <c:pt idx="1320">
                  <c:v>-6.2573001952813713E-3</c:v>
                </c:pt>
                <c:pt idx="1321">
                  <c:v>1.7612391243183288E-2</c:v>
                </c:pt>
                <c:pt idx="1322">
                  <c:v>1.1990611121318015E-2</c:v>
                </c:pt>
                <c:pt idx="1323">
                  <c:v>-4.177876385444483E-5</c:v>
                </c:pt>
                <c:pt idx="1324">
                  <c:v>-2.1904531536037081E-3</c:v>
                </c:pt>
                <c:pt idx="1325">
                  <c:v>7.744984905336522E-4</c:v>
                </c:pt>
                <c:pt idx="1326">
                  <c:v>5.8830370482004001E-3</c:v>
                </c:pt>
                <c:pt idx="1327">
                  <c:v>9.764043483317492E-3</c:v>
                </c:pt>
                <c:pt idx="1328">
                  <c:v>9.9199028280964607E-3</c:v>
                </c:pt>
                <c:pt idx="1329">
                  <c:v>1.7816701974031756E-3</c:v>
                </c:pt>
                <c:pt idx="1330">
                  <c:v>3.5722713951225368E-3</c:v>
                </c:pt>
                <c:pt idx="1331">
                  <c:v>5.4937428850926088E-3</c:v>
                </c:pt>
                <c:pt idx="1332">
                  <c:v>-3.429014359122138E-3</c:v>
                </c:pt>
                <c:pt idx="1333">
                  <c:v>1.635102019072027E-3</c:v>
                </c:pt>
                <c:pt idx="1334">
                  <c:v>-3.3254984890323811E-3</c:v>
                </c:pt>
                <c:pt idx="1335">
                  <c:v>2.1052162536036208E-3</c:v>
                </c:pt>
                <c:pt idx="1336">
                  <c:v>1.1563284677372981E-2</c:v>
                </c:pt>
                <c:pt idx="1337">
                  <c:v>-6.1270251887788167E-3</c:v>
                </c:pt>
                <c:pt idx="1338">
                  <c:v>-9.0202945039619606E-3</c:v>
                </c:pt>
                <c:pt idx="1339">
                  <c:v>5.5881971716924045E-4</c:v>
                </c:pt>
                <c:pt idx="1340">
                  <c:v>1.3359843970441574E-2</c:v>
                </c:pt>
                <c:pt idx="1341">
                  <c:v>-3.996126437957128E-3</c:v>
                </c:pt>
                <c:pt idx="1342">
                  <c:v>-1.2022452850310953E-2</c:v>
                </c:pt>
                <c:pt idx="1343">
                  <c:v>-5.9895541062102032E-3</c:v>
                </c:pt>
                <c:pt idx="1344">
                  <c:v>-4.8034585008996204E-3</c:v>
                </c:pt>
                <c:pt idx="1345">
                  <c:v>-1.4744879467953539E-3</c:v>
                </c:pt>
                <c:pt idx="1346">
                  <c:v>-6.7990870192567998E-3</c:v>
                </c:pt>
                <c:pt idx="1347">
                  <c:v>-9.0518338198691279E-3</c:v>
                </c:pt>
                <c:pt idx="1348">
                  <c:v>2.8646020243424737E-3</c:v>
                </c:pt>
                <c:pt idx="1349">
                  <c:v>4.6852340803789513E-2</c:v>
                </c:pt>
                <c:pt idx="1350">
                  <c:v>6.5427376805843439E-3</c:v>
                </c:pt>
                <c:pt idx="1351">
                  <c:v>2.7308671711766701E-2</c:v>
                </c:pt>
                <c:pt idx="1352">
                  <c:v>1.1370337606397239E-4</c:v>
                </c:pt>
                <c:pt idx="1353">
                  <c:v>-7.3389976385123271E-3</c:v>
                </c:pt>
                <c:pt idx="1354">
                  <c:v>-3.7263476245684834E-3</c:v>
                </c:pt>
                <c:pt idx="1355">
                  <c:v>4.2990442206100139E-3</c:v>
                </c:pt>
                <c:pt idx="1356">
                  <c:v>3.2270572010581304E-3</c:v>
                </c:pt>
                <c:pt idx="1357">
                  <c:v>-1.0606374139242069E-3</c:v>
                </c:pt>
                <c:pt idx="1358">
                  <c:v>4.8361296888926363E-3</c:v>
                </c:pt>
                <c:pt idx="1359">
                  <c:v>9.2428314963158929E-3</c:v>
                </c:pt>
                <c:pt idx="1360">
                  <c:v>8.5575772294381614E-3</c:v>
                </c:pt>
                <c:pt idx="1361">
                  <c:v>6.123364417956284E-4</c:v>
                </c:pt>
                <c:pt idx="1362">
                  <c:v>-8.7204233036228566E-4</c:v>
                </c:pt>
                <c:pt idx="1363">
                  <c:v>4.4060305095984425E-3</c:v>
                </c:pt>
                <c:pt idx="1364">
                  <c:v>1.3138262306243681E-3</c:v>
                </c:pt>
                <c:pt idx="1365">
                  <c:v>-1.0294766242488415E-2</c:v>
                </c:pt>
                <c:pt idx="1366">
                  <c:v>1.888615402805358E-3</c:v>
                </c:pt>
                <c:pt idx="1367">
                  <c:v>-6.0318267934371221E-4</c:v>
                </c:pt>
                <c:pt idx="1368">
                  <c:v>1.5154464181846999E-2</c:v>
                </c:pt>
                <c:pt idx="1369">
                  <c:v>8.4313333360441743E-3</c:v>
                </c:pt>
                <c:pt idx="1370">
                  <c:v>-2.1040725142980464E-2</c:v>
                </c:pt>
                <c:pt idx="1371">
                  <c:v>-1.9704712642831673E-2</c:v>
                </c:pt>
                <c:pt idx="1372">
                  <c:v>5.7028854002695237E-3</c:v>
                </c:pt>
                <c:pt idx="1373">
                  <c:v>5.1897088498892453E-3</c:v>
                </c:pt>
                <c:pt idx="1374">
                  <c:v>-1.1684067195981222E-2</c:v>
                </c:pt>
                <c:pt idx="1375">
                  <c:v>-5.6049924218800765E-3</c:v>
                </c:pt>
                <c:pt idx="1376">
                  <c:v>1.0229847656354762E-2</c:v>
                </c:pt>
                <c:pt idx="1377">
                  <c:v>-2.5236040003177506E-3</c:v>
                </c:pt>
                <c:pt idx="1378">
                  <c:v>-9.4344553860091791E-3</c:v>
                </c:pt>
                <c:pt idx="1379">
                  <c:v>-1.8832413474960011E-3</c:v>
                </c:pt>
                <c:pt idx="1380">
                  <c:v>6.2473380926831691E-3</c:v>
                </c:pt>
                <c:pt idx="1381">
                  <c:v>-1.4592210925321623E-2</c:v>
                </c:pt>
                <c:pt idx="1382">
                  <c:v>1.3861413625489546E-3</c:v>
                </c:pt>
                <c:pt idx="1383">
                  <c:v>-9.9557800136636145E-4</c:v>
                </c:pt>
                <c:pt idx="1384">
                  <c:v>9.8519746418603803E-3</c:v>
                </c:pt>
                <c:pt idx="1385">
                  <c:v>8.9293992286535312E-3</c:v>
                </c:pt>
                <c:pt idx="1386">
                  <c:v>-7.5003573265432968E-3</c:v>
                </c:pt>
                <c:pt idx="1387">
                  <c:v>-1.3191795003583001E-3</c:v>
                </c:pt>
                <c:pt idx="1388">
                  <c:v>2.9348686692496706E-3</c:v>
                </c:pt>
                <c:pt idx="1389">
                  <c:v>-7.7676510812614162E-4</c:v>
                </c:pt>
                <c:pt idx="1390">
                  <c:v>-2.7544256022559352E-3</c:v>
                </c:pt>
                <c:pt idx="1391">
                  <c:v>-1.0898063660006168E-3</c:v>
                </c:pt>
                <c:pt idx="1392">
                  <c:v>6.6285491434104043E-3</c:v>
                </c:pt>
                <c:pt idx="1393">
                  <c:v>6.8048063872541515E-3</c:v>
                </c:pt>
                <c:pt idx="1394">
                  <c:v>1.0178516198232216E-4</c:v>
                </c:pt>
                <c:pt idx="1395">
                  <c:v>-2.9234241053746786E-3</c:v>
                </c:pt>
                <c:pt idx="1396">
                  <c:v>-6.1959199735881435E-3</c:v>
                </c:pt>
                <c:pt idx="1397">
                  <c:v>-1.1711710327207082E-3</c:v>
                </c:pt>
                <c:pt idx="1398">
                  <c:v>4.5756793672852318E-3</c:v>
                </c:pt>
                <c:pt idx="1399">
                  <c:v>1.7684824669309052E-3</c:v>
                </c:pt>
                <c:pt idx="1400">
                  <c:v>-2.6108376518157532E-3</c:v>
                </c:pt>
                <c:pt idx="1401">
                  <c:v>9.3276599223594391E-4</c:v>
                </c:pt>
                <c:pt idx="1402">
                  <c:v>6.2750522229730512E-3</c:v>
                </c:pt>
                <c:pt idx="1403">
                  <c:v>1.9442469125094909E-4</c:v>
                </c:pt>
                <c:pt idx="1404">
                  <c:v>4.3607080298652606E-4</c:v>
                </c:pt>
                <c:pt idx="1405">
                  <c:v>-3.5834998041134507E-3</c:v>
                </c:pt>
                <c:pt idx="1406">
                  <c:v>8.5446797684920854E-3</c:v>
                </c:pt>
                <c:pt idx="1407">
                  <c:v>-8.0081486513381966E-3</c:v>
                </c:pt>
                <c:pt idx="1408">
                  <c:v>4.6511332226343511E-3</c:v>
                </c:pt>
                <c:pt idx="1409">
                  <c:v>3.9920210201218713E-3</c:v>
                </c:pt>
                <c:pt idx="1410">
                  <c:v>1.9926119073183581E-3</c:v>
                </c:pt>
                <c:pt idx="1411">
                  <c:v>1.2205133804849158E-2</c:v>
                </c:pt>
                <c:pt idx="1412">
                  <c:v>1.2402850859804188E-2</c:v>
                </c:pt>
                <c:pt idx="1413">
                  <c:v>7.5517476275573179E-3</c:v>
                </c:pt>
                <c:pt idx="1414">
                  <c:v>-2.7286201735131589E-3</c:v>
                </c:pt>
                <c:pt idx="1415">
                  <c:v>-4.4820740252044956E-3</c:v>
                </c:pt>
                <c:pt idx="1416">
                  <c:v>9.3795515271531665E-3</c:v>
                </c:pt>
                <c:pt idx="1417">
                  <c:v>-7.1728257687245717E-3</c:v>
                </c:pt>
                <c:pt idx="1418">
                  <c:v>-4.4801505597064986E-3</c:v>
                </c:pt>
                <c:pt idx="1419">
                  <c:v>-2.1887727631199668E-3</c:v>
                </c:pt>
                <c:pt idx="1420">
                  <c:v>8.5113334040155669E-3</c:v>
                </c:pt>
                <c:pt idx="1421">
                  <c:v>1.9854631628860712E-3</c:v>
                </c:pt>
                <c:pt idx="1422">
                  <c:v>9.2080948176590724E-3</c:v>
                </c:pt>
                <c:pt idx="1423">
                  <c:v>9.7941569673860012E-3</c:v>
                </c:pt>
                <c:pt idx="1424">
                  <c:v>1.6500750132045224E-2</c:v>
                </c:pt>
                <c:pt idx="1425">
                  <c:v>8.8761905210556664E-3</c:v>
                </c:pt>
                <c:pt idx="1426">
                  <c:v>6.1869644627799341E-5</c:v>
                </c:pt>
                <c:pt idx="1427">
                  <c:v>-2.522024230856121E-3</c:v>
                </c:pt>
                <c:pt idx="1428">
                  <c:v>3.5317569074627046E-4</c:v>
                </c:pt>
                <c:pt idx="1429">
                  <c:v>-2.5971124218268668E-3</c:v>
                </c:pt>
                <c:pt idx="1430">
                  <c:v>6.7902951148227477E-3</c:v>
                </c:pt>
                <c:pt idx="1431">
                  <c:v>4.2558079336592449E-3</c:v>
                </c:pt>
                <c:pt idx="1432">
                  <c:v>-7.1947712017982396E-3</c:v>
                </c:pt>
                <c:pt idx="1433">
                  <c:v>-3.9181902807521856E-3</c:v>
                </c:pt>
                <c:pt idx="1434">
                  <c:v>9.4713096490573519E-3</c:v>
                </c:pt>
                <c:pt idx="1435">
                  <c:v>4.7533324223147221E-3</c:v>
                </c:pt>
                <c:pt idx="1436">
                  <c:v>8.4189752850175395E-3</c:v>
                </c:pt>
                <c:pt idx="1437">
                  <c:v>2.0086693501680401E-2</c:v>
                </c:pt>
                <c:pt idx="1438">
                  <c:v>1.1782206257977407E-2</c:v>
                </c:pt>
                <c:pt idx="1439">
                  <c:v>2.239594497275794E-3</c:v>
                </c:pt>
                <c:pt idx="1440">
                  <c:v>7.4124524144879083E-3</c:v>
                </c:pt>
                <c:pt idx="1441">
                  <c:v>-6.3558662173361282E-3</c:v>
                </c:pt>
                <c:pt idx="1442">
                  <c:v>-1.4617899428453233E-2</c:v>
                </c:pt>
                <c:pt idx="1443">
                  <c:v>2.1278506570486955E-2</c:v>
                </c:pt>
                <c:pt idx="1444">
                  <c:v>1.1866187320361951E-2</c:v>
                </c:pt>
                <c:pt idx="1445">
                  <c:v>3.9843150836091868E-3</c:v>
                </c:pt>
                <c:pt idx="1446">
                  <c:v>-3.0646452950414955E-3</c:v>
                </c:pt>
                <c:pt idx="1447">
                  <c:v>5.423192682053257E-3</c:v>
                </c:pt>
                <c:pt idx="1448">
                  <c:v>8.3353427981195053E-3</c:v>
                </c:pt>
                <c:pt idx="1449">
                  <c:v>3.8229561307075695E-3</c:v>
                </c:pt>
                <c:pt idx="1450">
                  <c:v>-4.5251207362694461E-3</c:v>
                </c:pt>
                <c:pt idx="1451">
                  <c:v>1.4038146170922701E-3</c:v>
                </c:pt>
                <c:pt idx="1452">
                  <c:v>8.9599501603710302E-3</c:v>
                </c:pt>
                <c:pt idx="1453">
                  <c:v>6.0700555005319462E-3</c:v>
                </c:pt>
                <c:pt idx="1454">
                  <c:v>2.4485129528582783E-3</c:v>
                </c:pt>
                <c:pt idx="1455">
                  <c:v>9.0635710027625466E-3</c:v>
                </c:pt>
                <c:pt idx="1456">
                  <c:v>-3.2361858595754667E-3</c:v>
                </c:pt>
                <c:pt idx="1457">
                  <c:v>1.8649984520619473E-2</c:v>
                </c:pt>
                <c:pt idx="1458">
                  <c:v>4.8272652175521411E-3</c:v>
                </c:pt>
                <c:pt idx="1459">
                  <c:v>2.8788864583745833E-3</c:v>
                </c:pt>
                <c:pt idx="1460">
                  <c:v>-3.5742535311559583E-2</c:v>
                </c:pt>
                <c:pt idx="1461">
                  <c:v>4.9644532925272572E-2</c:v>
                </c:pt>
                <c:pt idx="1462">
                  <c:v>8.1950855879338678E-3</c:v>
                </c:pt>
                <c:pt idx="1463">
                  <c:v>1.2734959274208766E-2</c:v>
                </c:pt>
                <c:pt idx="1464">
                  <c:v>1.8919501817924841E-2</c:v>
                </c:pt>
                <c:pt idx="1465">
                  <c:v>1.2433992947951172E-2</c:v>
                </c:pt>
                <c:pt idx="1466">
                  <c:v>5.2149469194780473E-3</c:v>
                </c:pt>
                <c:pt idx="1467">
                  <c:v>2.9823982530122018E-2</c:v>
                </c:pt>
                <c:pt idx="1468">
                  <c:v>7.5294508068581576E-3</c:v>
                </c:pt>
                <c:pt idx="1469">
                  <c:v>8.403547051711582E-3</c:v>
                </c:pt>
                <c:pt idx="1470">
                  <c:v>-9.7639009918943209E-3</c:v>
                </c:pt>
                <c:pt idx="1471">
                  <c:v>1.7572349562635831E-2</c:v>
                </c:pt>
                <c:pt idx="1472">
                  <c:v>3.0414974358863232E-2</c:v>
                </c:pt>
                <c:pt idx="1473">
                  <c:v>1.0622653550943866E-3</c:v>
                </c:pt>
                <c:pt idx="1474">
                  <c:v>1.6339287745249859E-2</c:v>
                </c:pt>
                <c:pt idx="1475">
                  <c:v>-1.1265616309835792E-2</c:v>
                </c:pt>
                <c:pt idx="1476">
                  <c:v>-3.2999975883829434E-2</c:v>
                </c:pt>
                <c:pt idx="1477">
                  <c:v>-4.3173651567849497E-2</c:v>
                </c:pt>
                <c:pt idx="1478">
                  <c:v>3.0469730504771662E-2</c:v>
                </c:pt>
                <c:pt idx="1479">
                  <c:v>4.02807334096408E-2</c:v>
                </c:pt>
                <c:pt idx="1480">
                  <c:v>-1.3250978148495298E-2</c:v>
                </c:pt>
                <c:pt idx="1481">
                  <c:v>-1.7715548333889376E-2</c:v>
                </c:pt>
                <c:pt idx="1482">
                  <c:v>8.4027540559366079E-3</c:v>
                </c:pt>
                <c:pt idx="1483">
                  <c:v>3.5094554004726372E-2</c:v>
                </c:pt>
                <c:pt idx="1484">
                  <c:v>-1.1461144032136824E-3</c:v>
                </c:pt>
                <c:pt idx="1485">
                  <c:v>1.6340056059878341E-2</c:v>
                </c:pt>
                <c:pt idx="1486">
                  <c:v>9.5360935757600452E-4</c:v>
                </c:pt>
                <c:pt idx="1487">
                  <c:v>3.9901072117182754E-3</c:v>
                </c:pt>
                <c:pt idx="1488">
                  <c:v>-1.1326509108406315E-2</c:v>
                </c:pt>
                <c:pt idx="1489">
                  <c:v>-1.7414285287884641E-3</c:v>
                </c:pt>
                <c:pt idx="1490">
                  <c:v>-1.6408238051891493E-2</c:v>
                </c:pt>
                <c:pt idx="1491">
                  <c:v>-1.3230139066265209E-2</c:v>
                </c:pt>
                <c:pt idx="1492">
                  <c:v>5.4069549724933509E-3</c:v>
                </c:pt>
                <c:pt idx="1493">
                  <c:v>8.6780884558032619E-3</c:v>
                </c:pt>
                <c:pt idx="1494">
                  <c:v>5.0259099925186118E-3</c:v>
                </c:pt>
                <c:pt idx="1495">
                  <c:v>-2.6868362011588241E-3</c:v>
                </c:pt>
                <c:pt idx="1496">
                  <c:v>-5.7554121460096728E-3</c:v>
                </c:pt>
                <c:pt idx="1497">
                  <c:v>1.2608758824260045E-2</c:v>
                </c:pt>
                <c:pt idx="1498">
                  <c:v>4.9685925681223521E-3</c:v>
                </c:pt>
                <c:pt idx="1499">
                  <c:v>-6.9279748546374961E-3</c:v>
                </c:pt>
                <c:pt idx="1500">
                  <c:v>-1.3897676723117003E-2</c:v>
                </c:pt>
                <c:pt idx="1501">
                  <c:v>5.2392633050675624E-3</c:v>
                </c:pt>
                <c:pt idx="1502">
                  <c:v>7.3896556571292002E-3</c:v>
                </c:pt>
                <c:pt idx="1503">
                  <c:v>-1.1839869415598751E-2</c:v>
                </c:pt>
                <c:pt idx="1504">
                  <c:v>-1.3125051092174567E-2</c:v>
                </c:pt>
                <c:pt idx="1505">
                  <c:v>-4.8469004294907202E-3</c:v>
                </c:pt>
                <c:pt idx="1506">
                  <c:v>1.5419147067434313E-2</c:v>
                </c:pt>
                <c:pt idx="1507">
                  <c:v>9.2691755943127042E-3</c:v>
                </c:pt>
                <c:pt idx="1508">
                  <c:v>-1.3222269027557753E-2</c:v>
                </c:pt>
                <c:pt idx="1509">
                  <c:v>-7.1810716944367657E-3</c:v>
                </c:pt>
                <c:pt idx="1510">
                  <c:v>-1.4599673490186937E-2</c:v>
                </c:pt>
                <c:pt idx="1511">
                  <c:v>1.9745939208616514E-4</c:v>
                </c:pt>
                <c:pt idx="1512">
                  <c:v>9.563106276899427E-3</c:v>
                </c:pt>
                <c:pt idx="1513">
                  <c:v>1.4656489070504729E-2</c:v>
                </c:pt>
                <c:pt idx="1514">
                  <c:v>-7.5603674635907185E-4</c:v>
                </c:pt>
                <c:pt idx="1515">
                  <c:v>-3.1955739803802472E-3</c:v>
                </c:pt>
                <c:pt idx="1516">
                  <c:v>-4.2533994858750578E-3</c:v>
                </c:pt>
                <c:pt idx="1517">
                  <c:v>-3.0491955680183223E-3</c:v>
                </c:pt>
                <c:pt idx="1518">
                  <c:v>1.2036043608072854E-2</c:v>
                </c:pt>
                <c:pt idx="1519">
                  <c:v>2.2456752447287858E-3</c:v>
                </c:pt>
                <c:pt idx="1520">
                  <c:v>3.5001893377273434E-3</c:v>
                </c:pt>
                <c:pt idx="1521">
                  <c:v>-8.2489619230528034E-3</c:v>
                </c:pt>
                <c:pt idx="1522">
                  <c:v>1.3556359863345213E-2</c:v>
                </c:pt>
                <c:pt idx="1523">
                  <c:v>1.7317399355024677E-3</c:v>
                </c:pt>
                <c:pt idx="1524">
                  <c:v>-5.8130717101804001E-3</c:v>
                </c:pt>
                <c:pt idx="1525">
                  <c:v>-6.8521345031323413E-4</c:v>
                </c:pt>
                <c:pt idx="1526">
                  <c:v>-4.6811374960220743E-3</c:v>
                </c:pt>
                <c:pt idx="1527">
                  <c:v>-1.1167870637139381E-2</c:v>
                </c:pt>
                <c:pt idx="1528">
                  <c:v>6.7589161552749927E-3</c:v>
                </c:pt>
                <c:pt idx="1529">
                  <c:v>-4.3464917804793531E-3</c:v>
                </c:pt>
                <c:pt idx="1530">
                  <c:v>1.3001078983902173E-2</c:v>
                </c:pt>
                <c:pt idx="1531">
                  <c:v>6.0285008298950407E-3</c:v>
                </c:pt>
                <c:pt idx="1532">
                  <c:v>-3.7028392805163506E-4</c:v>
                </c:pt>
                <c:pt idx="1533">
                  <c:v>-1.5624844236882102E-3</c:v>
                </c:pt>
                <c:pt idx="1534">
                  <c:v>-8.1557110208783305E-4</c:v>
                </c:pt>
                <c:pt idx="1535">
                  <c:v>8.8504542333256702E-3</c:v>
                </c:pt>
                <c:pt idx="1536">
                  <c:v>3.8397229956945978E-3</c:v>
                </c:pt>
                <c:pt idx="1537">
                  <c:v>5.7420979075210668E-3</c:v>
                </c:pt>
                <c:pt idx="1538">
                  <c:v>6.8976146989847388E-3</c:v>
                </c:pt>
                <c:pt idx="1539">
                  <c:v>8.3156490251501281E-3</c:v>
                </c:pt>
                <c:pt idx="1540">
                  <c:v>6.7450438032845474E-3</c:v>
                </c:pt>
                <c:pt idx="1541">
                  <c:v>-2.7581934359223819E-3</c:v>
                </c:pt>
                <c:pt idx="1542">
                  <c:v>-1.6907490220122577E-2</c:v>
                </c:pt>
                <c:pt idx="1543">
                  <c:v>1.6622348990833439E-3</c:v>
                </c:pt>
                <c:pt idx="1544">
                  <c:v>9.7668613482768188E-3</c:v>
                </c:pt>
                <c:pt idx="1545">
                  <c:v>2.9242867020271853E-4</c:v>
                </c:pt>
                <c:pt idx="1546">
                  <c:v>9.6035244160457747E-3</c:v>
                </c:pt>
                <c:pt idx="1547">
                  <c:v>-1.2313126549597694E-3</c:v>
                </c:pt>
                <c:pt idx="1548">
                  <c:v>-3.2680492889820702E-2</c:v>
                </c:pt>
                <c:pt idx="1549">
                  <c:v>5.4211362351359125E-3</c:v>
                </c:pt>
                <c:pt idx="1550">
                  <c:v>-1.1938379552823303E-2</c:v>
                </c:pt>
                <c:pt idx="1551">
                  <c:v>1.7836124729267266E-2</c:v>
                </c:pt>
                <c:pt idx="1552">
                  <c:v>-1.1497453162819547E-2</c:v>
                </c:pt>
                <c:pt idx="1553">
                  <c:v>1.3379760081836476E-2</c:v>
                </c:pt>
                <c:pt idx="1554">
                  <c:v>3.3117954079232761E-3</c:v>
                </c:pt>
                <c:pt idx="1555">
                  <c:v>-6.4687370210360856E-3</c:v>
                </c:pt>
                <c:pt idx="1556">
                  <c:v>7.5936835433098974E-3</c:v>
                </c:pt>
                <c:pt idx="1557">
                  <c:v>3.5453891677522009E-3</c:v>
                </c:pt>
                <c:pt idx="1558">
                  <c:v>9.1018593521969941E-3</c:v>
                </c:pt>
                <c:pt idx="1559">
                  <c:v>3.9676177517486969E-4</c:v>
                </c:pt>
                <c:pt idx="1560">
                  <c:v>-1.0168001698888939E-2</c:v>
                </c:pt>
                <c:pt idx="1561">
                  <c:v>-1.8821141869796009E-2</c:v>
                </c:pt>
                <c:pt idx="1562">
                  <c:v>3.9082829376710796E-3</c:v>
                </c:pt>
                <c:pt idx="1563">
                  <c:v>-1.2171628228616612E-2</c:v>
                </c:pt>
                <c:pt idx="1564">
                  <c:v>7.0862034350920745E-3</c:v>
                </c:pt>
                <c:pt idx="1565">
                  <c:v>-3.0865610803242276E-2</c:v>
                </c:pt>
                <c:pt idx="1566">
                  <c:v>2.5037686417744984E-2</c:v>
                </c:pt>
                <c:pt idx="1567">
                  <c:v>-1.0252910380622287E-4</c:v>
                </c:pt>
                <c:pt idx="1568">
                  <c:v>-4.6776469944850374E-3</c:v>
                </c:pt>
                <c:pt idx="1569">
                  <c:v>-3.1342138767163505E-2</c:v>
                </c:pt>
                <c:pt idx="1570">
                  <c:v>-5.8924344665160597E-2</c:v>
                </c:pt>
                <c:pt idx="1571">
                  <c:v>3.5235507088887619E-2</c:v>
                </c:pt>
                <c:pt idx="1572">
                  <c:v>9.4454154452956379E-2</c:v>
                </c:pt>
                <c:pt idx="1573">
                  <c:v>1.0896715563037781E-2</c:v>
                </c:pt>
                <c:pt idx="1574">
                  <c:v>-3.3193931751219059E-4</c:v>
                </c:pt>
                <c:pt idx="1575">
                  <c:v>1.2024816316117948E-2</c:v>
                </c:pt>
                <c:pt idx="1576">
                  <c:v>-2.6072442494455453E-3</c:v>
                </c:pt>
                <c:pt idx="1577">
                  <c:v>3.3840610973054412E-4</c:v>
                </c:pt>
                <c:pt idx="1578">
                  <c:v>-6.0030263273434794E-3</c:v>
                </c:pt>
                <c:pt idx="1579">
                  <c:v>8.0719582977820063E-3</c:v>
                </c:pt>
                <c:pt idx="1580">
                  <c:v>-6.4905405137235285E-3</c:v>
                </c:pt>
                <c:pt idx="1581">
                  <c:v>-4.2273365413081652E-4</c:v>
                </c:pt>
                <c:pt idx="1582">
                  <c:v>-7.4015972941664778E-3</c:v>
                </c:pt>
                <c:pt idx="1583">
                  <c:v>9.4560092139211798E-4</c:v>
                </c:pt>
                <c:pt idx="1584">
                  <c:v>5.395793951150191E-3</c:v>
                </c:pt>
                <c:pt idx="1585">
                  <c:v>6.0491844217026008E-3</c:v>
                </c:pt>
                <c:pt idx="1586">
                  <c:v>-6.7948249113613957E-3</c:v>
                </c:pt>
                <c:pt idx="1587">
                  <c:v>1.3232578897609214E-2</c:v>
                </c:pt>
                <c:pt idx="1588">
                  <c:v>1.1191284878224624E-2</c:v>
                </c:pt>
                <c:pt idx="1589">
                  <c:v>-1.2961532401737008E-3</c:v>
                </c:pt>
                <c:pt idx="1590">
                  <c:v>3.152226634111873E-3</c:v>
                </c:pt>
                <c:pt idx="1591">
                  <c:v>1.9080112148025352E-2</c:v>
                </c:pt>
                <c:pt idx="1592">
                  <c:v>-2.0872891521115404E-3</c:v>
                </c:pt>
                <c:pt idx="1593">
                  <c:v>-1.5710379431188356E-2</c:v>
                </c:pt>
                <c:pt idx="1594">
                  <c:v>6.696218229088407E-4</c:v>
                </c:pt>
                <c:pt idx="1595">
                  <c:v>-2.080746581560545E-3</c:v>
                </c:pt>
                <c:pt idx="1596">
                  <c:v>-1.2339896421314441E-2</c:v>
                </c:pt>
                <c:pt idx="1597">
                  <c:v>-3.8462327066249896E-3</c:v>
                </c:pt>
                <c:pt idx="1598">
                  <c:v>1.7207961928162327E-4</c:v>
                </c:pt>
                <c:pt idx="1599">
                  <c:v>-3.2125195087218145E-2</c:v>
                </c:pt>
                <c:pt idx="1600">
                  <c:v>5.2331087179569274E-2</c:v>
                </c:pt>
                <c:pt idx="1601">
                  <c:v>4.2127947238468069E-3</c:v>
                </c:pt>
                <c:pt idx="1602">
                  <c:v>-5.825761206839474E-3</c:v>
                </c:pt>
                <c:pt idx="1603">
                  <c:v>1.9112475691634156E-2</c:v>
                </c:pt>
                <c:pt idx="1604">
                  <c:v>1.0035772095739184E-2</c:v>
                </c:pt>
                <c:pt idx="1605">
                  <c:v>2.0474210583670025E-2</c:v>
                </c:pt>
                <c:pt idx="1606">
                  <c:v>1.6728623520401033E-2</c:v>
                </c:pt>
                <c:pt idx="1607">
                  <c:v>2.6286589420321336E-3</c:v>
                </c:pt>
                <c:pt idx="1608">
                  <c:v>9.6597464500201794E-3</c:v>
                </c:pt>
                <c:pt idx="1609">
                  <c:v>1.0770065357040103E-2</c:v>
                </c:pt>
                <c:pt idx="1610">
                  <c:v>2.4765659724783139E-4</c:v>
                </c:pt>
                <c:pt idx="1611">
                  <c:v>-6.193330159496125E-3</c:v>
                </c:pt>
                <c:pt idx="1612">
                  <c:v>9.0917744543584107E-3</c:v>
                </c:pt>
                <c:pt idx="1613">
                  <c:v>3.8677003257679078E-3</c:v>
                </c:pt>
                <c:pt idx="1614">
                  <c:v>1.640196405399651E-2</c:v>
                </c:pt>
                <c:pt idx="1615">
                  <c:v>-4.1220475368407682E-3</c:v>
                </c:pt>
                <c:pt idx="1616">
                  <c:v>3.23738699784049E-3</c:v>
                </c:pt>
                <c:pt idx="1617">
                  <c:v>1.675854599469408E-2</c:v>
                </c:pt>
                <c:pt idx="1618">
                  <c:v>-4.9139836513057659E-4</c:v>
                </c:pt>
                <c:pt idx="1619">
                  <c:v>-2.7401676337846471E-3</c:v>
                </c:pt>
                <c:pt idx="1620">
                  <c:v>8.6967952991219896E-3</c:v>
                </c:pt>
                <c:pt idx="1621">
                  <c:v>-1.185414134293848E-3</c:v>
                </c:pt>
                <c:pt idx="1622">
                  <c:v>-4.0335541379097452E-3</c:v>
                </c:pt>
                <c:pt idx="1623">
                  <c:v>3.7105782158492985E-3</c:v>
                </c:pt>
                <c:pt idx="1624">
                  <c:v>1.2410268714356885E-3</c:v>
                </c:pt>
                <c:pt idx="1625">
                  <c:v>-1.0153891453339883E-2</c:v>
                </c:pt>
                <c:pt idx="1626">
                  <c:v>3.2431458427696334E-3</c:v>
                </c:pt>
                <c:pt idx="1627">
                  <c:v>7.0670767941422297E-3</c:v>
                </c:pt>
                <c:pt idx="1628">
                  <c:v>1.1798228314399207E-2</c:v>
                </c:pt>
                <c:pt idx="1629">
                  <c:v>7.2157985203386635E-3</c:v>
                </c:pt>
                <c:pt idx="1630">
                  <c:v>6.9305988356712879E-3</c:v>
                </c:pt>
                <c:pt idx="1631">
                  <c:v>1.4341237316146475E-2</c:v>
                </c:pt>
                <c:pt idx="1632">
                  <c:v>3.8503396203008093E-3</c:v>
                </c:pt>
                <c:pt idx="1633">
                  <c:v>-1.8149343680900674E-3</c:v>
                </c:pt>
                <c:pt idx="1634">
                  <c:v>1.0641148746619327E-2</c:v>
                </c:pt>
                <c:pt idx="1635">
                  <c:v>5.1364651319297128E-4</c:v>
                </c:pt>
                <c:pt idx="1636">
                  <c:v>-3.2379782743902244E-3</c:v>
                </c:pt>
                <c:pt idx="1637">
                  <c:v>-2.5714991765123996E-4</c:v>
                </c:pt>
                <c:pt idx="1638">
                  <c:v>1.1637456692918279E-2</c:v>
                </c:pt>
                <c:pt idx="1639">
                  <c:v>1.0623266068100613E-2</c:v>
                </c:pt>
                <c:pt idx="1640">
                  <c:v>5.4767035619438372E-3</c:v>
                </c:pt>
                <c:pt idx="1641">
                  <c:v>-9.0027292467678051E-3</c:v>
                </c:pt>
                <c:pt idx="1642">
                  <c:v>1.7274066646578129E-3</c:v>
                </c:pt>
                <c:pt idx="1643">
                  <c:v>-4.5336552746997084E-3</c:v>
                </c:pt>
                <c:pt idx="1644">
                  <c:v>-2.55518064639989E-3</c:v>
                </c:pt>
                <c:pt idx="1645">
                  <c:v>-6.3396747372217784E-3</c:v>
                </c:pt>
                <c:pt idx="1646">
                  <c:v>-1.0204480818648003E-3</c:v>
                </c:pt>
                <c:pt idx="1647">
                  <c:v>8.6482255887466875E-3</c:v>
                </c:pt>
                <c:pt idx="1648">
                  <c:v>9.1062455649654154E-3</c:v>
                </c:pt>
                <c:pt idx="1649">
                  <c:v>6.6969556073892744E-3</c:v>
                </c:pt>
                <c:pt idx="1650">
                  <c:v>8.1231733788824124E-3</c:v>
                </c:pt>
                <c:pt idx="1651">
                  <c:v>3.0475313445536712E-3</c:v>
                </c:pt>
                <c:pt idx="1652">
                  <c:v>1.0555545802947781E-2</c:v>
                </c:pt>
                <c:pt idx="1653">
                  <c:v>1.1732907502398736E-2</c:v>
                </c:pt>
                <c:pt idx="1654">
                  <c:v>3.0509847341209299E-3</c:v>
                </c:pt>
                <c:pt idx="1655">
                  <c:v>2.9206674121360801E-3</c:v>
                </c:pt>
                <c:pt idx="1656">
                  <c:v>-5.6014871915057649E-3</c:v>
                </c:pt>
                <c:pt idx="1657">
                  <c:v>-1.0897568707820628E-2</c:v>
                </c:pt>
                <c:pt idx="1658">
                  <c:v>6.1177926477318572E-3</c:v>
                </c:pt>
                <c:pt idx="1659">
                  <c:v>5.1254783938581069E-3</c:v>
                </c:pt>
                <c:pt idx="1660">
                  <c:v>-2.0040857738496492E-5</c:v>
                </c:pt>
                <c:pt idx="1661">
                  <c:v>1.1369476880230319E-2</c:v>
                </c:pt>
                <c:pt idx="1662">
                  <c:v>5.3123239394489718E-4</c:v>
                </c:pt>
                <c:pt idx="1663">
                  <c:v>-3.0544672405984023E-3</c:v>
                </c:pt>
                <c:pt idx="1664">
                  <c:v>2.4776798096609477E-3</c:v>
                </c:pt>
                <c:pt idx="1665">
                  <c:v>1.8465918174190318E-3</c:v>
                </c:pt>
                <c:pt idx="1666">
                  <c:v>6.5939195265016862E-3</c:v>
                </c:pt>
                <c:pt idx="1667">
                  <c:v>1.8689906566476656E-2</c:v>
                </c:pt>
                <c:pt idx="1668">
                  <c:v>9.8033971041746795E-3</c:v>
                </c:pt>
                <c:pt idx="1669">
                  <c:v>1.0045304880404442E-2</c:v>
                </c:pt>
                <c:pt idx="1670">
                  <c:v>8.8674129312198743E-4</c:v>
                </c:pt>
                <c:pt idx="1671">
                  <c:v>1.7201667178418062E-2</c:v>
                </c:pt>
                <c:pt idx="1672">
                  <c:v>2.970093767788516E-3</c:v>
                </c:pt>
                <c:pt idx="1673">
                  <c:v>-7.3238035420544511E-3</c:v>
                </c:pt>
                <c:pt idx="1674">
                  <c:v>-9.4106546666006367E-3</c:v>
                </c:pt>
                <c:pt idx="1675">
                  <c:v>-5.4581424563145504E-3</c:v>
                </c:pt>
                <c:pt idx="1676">
                  <c:v>-4.4530433375134584E-3</c:v>
                </c:pt>
                <c:pt idx="1677">
                  <c:v>-8.7073053369152893E-3</c:v>
                </c:pt>
                <c:pt idx="1678">
                  <c:v>-2.8539679073078552E-2</c:v>
                </c:pt>
                <c:pt idx="1679">
                  <c:v>4.4385560473259013E-2</c:v>
                </c:pt>
                <c:pt idx="1680">
                  <c:v>1.2712415974230897E-3</c:v>
                </c:pt>
                <c:pt idx="1681">
                  <c:v>-7.494037832198419E-3</c:v>
                </c:pt>
                <c:pt idx="1682">
                  <c:v>-3.8827637640174765E-3</c:v>
                </c:pt>
                <c:pt idx="1683">
                  <c:v>1.4875442458778441E-2</c:v>
                </c:pt>
                <c:pt idx="1684">
                  <c:v>6.6404034914931635E-3</c:v>
                </c:pt>
                <c:pt idx="1685">
                  <c:v>-4.7419482042174834E-3</c:v>
                </c:pt>
                <c:pt idx="1686">
                  <c:v>-1.1785237732934443E-2</c:v>
                </c:pt>
                <c:pt idx="1687">
                  <c:v>-7.8150361251302473E-3</c:v>
                </c:pt>
                <c:pt idx="1688">
                  <c:v>-6.9827995164605267E-3</c:v>
                </c:pt>
                <c:pt idx="1689">
                  <c:v>-1.2720347406736427E-2</c:v>
                </c:pt>
                <c:pt idx="1690">
                  <c:v>-1.0218360244153339E-2</c:v>
                </c:pt>
                <c:pt idx="1691">
                  <c:v>-1.0930990087026081E-2</c:v>
                </c:pt>
                <c:pt idx="1692">
                  <c:v>3.1256045317357824E-2</c:v>
                </c:pt>
                <c:pt idx="1693">
                  <c:v>7.2475249754487747E-3</c:v>
                </c:pt>
                <c:pt idx="1694">
                  <c:v>-9.3449660313719585E-3</c:v>
                </c:pt>
                <c:pt idx="1695">
                  <c:v>-1.0562756100704918E-2</c:v>
                </c:pt>
                <c:pt idx="1696">
                  <c:v>-3.0166403065482444E-3</c:v>
                </c:pt>
                <c:pt idx="1697">
                  <c:v>3.1182902484526097E-3</c:v>
                </c:pt>
                <c:pt idx="1698">
                  <c:v>1.2190391164620031E-2</c:v>
                </c:pt>
                <c:pt idx="1699">
                  <c:v>-2.2706116768142038E-2</c:v>
                </c:pt>
                <c:pt idx="1700">
                  <c:v>1.985488105757641E-3</c:v>
                </c:pt>
                <c:pt idx="1701">
                  <c:v>1.5637174315093209E-2</c:v>
                </c:pt>
                <c:pt idx="1702">
                  <c:v>7.952881129110077E-3</c:v>
                </c:pt>
                <c:pt idx="1703">
                  <c:v>-1.5314768828196021E-3</c:v>
                </c:pt>
                <c:pt idx="1704">
                  <c:v>-4.6513270469973386E-3</c:v>
                </c:pt>
                <c:pt idx="1705">
                  <c:v>8.0227977570838278E-3</c:v>
                </c:pt>
                <c:pt idx="1706">
                  <c:v>4.3806712451275069E-3</c:v>
                </c:pt>
                <c:pt idx="1707">
                  <c:v>-5.118667381380732E-3</c:v>
                </c:pt>
                <c:pt idx="1708">
                  <c:v>-7.3305280373738046E-4</c:v>
                </c:pt>
                <c:pt idx="1709">
                  <c:v>-1.8002385295987158E-3</c:v>
                </c:pt>
                <c:pt idx="1710">
                  <c:v>9.2524401876944943E-3</c:v>
                </c:pt>
                <c:pt idx="1711">
                  <c:v>1.3388073291670676E-2</c:v>
                </c:pt>
                <c:pt idx="1712">
                  <c:v>7.8875484804652816E-3</c:v>
                </c:pt>
                <c:pt idx="1713">
                  <c:v>8.3063901169741997E-3</c:v>
                </c:pt>
                <c:pt idx="1714">
                  <c:v>-2.4985393799759688E-3</c:v>
                </c:pt>
                <c:pt idx="1715">
                  <c:v>-8.9293703235246054E-3</c:v>
                </c:pt>
                <c:pt idx="1716">
                  <c:v>8.3186203115893508E-4</c:v>
                </c:pt>
                <c:pt idx="1717">
                  <c:v>4.8232672444147298E-3</c:v>
                </c:pt>
                <c:pt idx="1718">
                  <c:v>7.2877025055065369E-3</c:v>
                </c:pt>
                <c:pt idx="1719">
                  <c:v>6.8515610958196829E-3</c:v>
                </c:pt>
                <c:pt idx="1720">
                  <c:v>-2.6732541629312057E-5</c:v>
                </c:pt>
                <c:pt idx="1721">
                  <c:v>-5.1765144389679984E-3</c:v>
                </c:pt>
                <c:pt idx="1722">
                  <c:v>7.6514451843274723E-3</c:v>
                </c:pt>
                <c:pt idx="1723">
                  <c:v>5.1618192450183552E-3</c:v>
                </c:pt>
                <c:pt idx="1724">
                  <c:v>-1.7221371227378686E-3</c:v>
                </c:pt>
                <c:pt idx="1725">
                  <c:v>-7.8288127767352331E-4</c:v>
                </c:pt>
                <c:pt idx="1726">
                  <c:v>9.6692071919456096E-3</c:v>
                </c:pt>
                <c:pt idx="1727">
                  <c:v>-3.2343444134256814E-3</c:v>
                </c:pt>
                <c:pt idx="1728">
                  <c:v>-1.1685225497023656E-3</c:v>
                </c:pt>
                <c:pt idx="1729">
                  <c:v>-7.6201406052031704E-4</c:v>
                </c:pt>
                <c:pt idx="1730">
                  <c:v>-1.4234213517178196E-3</c:v>
                </c:pt>
                <c:pt idx="1731">
                  <c:v>9.1933968123439121E-3</c:v>
                </c:pt>
                <c:pt idx="1732">
                  <c:v>8.6751952848458692E-3</c:v>
                </c:pt>
                <c:pt idx="1733">
                  <c:v>3.3149633856583288E-3</c:v>
                </c:pt>
              </c:numCache>
            </c:numRef>
          </c:xVal>
          <c:yVal>
            <c:numRef>
              <c:f>'Bank Al-Habib '!$C$3:$C$1736</c:f>
              <c:numCache>
                <c:formatCode>0.00%</c:formatCode>
                <c:ptCount val="1734"/>
                <c:pt idx="1">
                  <c:v>3.9739684297978466E-2</c:v>
                </c:pt>
                <c:pt idx="2">
                  <c:v>-1.1985617259289308E-3</c:v>
                </c:pt>
                <c:pt idx="3">
                  <c:v>6.6666666666666671E-3</c:v>
                </c:pt>
                <c:pt idx="4">
                  <c:v>4.1589403973509943E-2</c:v>
                </c:pt>
                <c:pt idx="5">
                  <c:v>6.4852492370295663E-3</c:v>
                </c:pt>
                <c:pt idx="6">
                  <c:v>-9.9810486418194094E-3</c:v>
                </c:pt>
                <c:pt idx="7">
                  <c:v>5.2322613578355869E-3</c:v>
                </c:pt>
                <c:pt idx="8">
                  <c:v>-3.0468452456518329E-3</c:v>
                </c:pt>
                <c:pt idx="9">
                  <c:v>-6.7490131160066365E-3</c:v>
                </c:pt>
                <c:pt idx="10">
                  <c:v>1.0256410256410037E-3</c:v>
                </c:pt>
                <c:pt idx="11">
                  <c:v>-1.0630122950819651E-2</c:v>
                </c:pt>
                <c:pt idx="12">
                  <c:v>-1.5145631067961187E-2</c:v>
                </c:pt>
                <c:pt idx="13">
                  <c:v>-1.0515247108306822E-3</c:v>
                </c:pt>
                <c:pt idx="14">
                  <c:v>7.3684210526316091E-3</c:v>
                </c:pt>
                <c:pt idx="15">
                  <c:v>2.847439916405424E-2</c:v>
                </c:pt>
                <c:pt idx="16">
                  <c:v>3.3020066040132731E-3</c:v>
                </c:pt>
                <c:pt idx="17">
                  <c:v>1.6455696202531071E-3</c:v>
                </c:pt>
                <c:pt idx="18">
                  <c:v>2.7802350562365586E-3</c:v>
                </c:pt>
                <c:pt idx="19">
                  <c:v>-8.8216761184616488E-4</c:v>
                </c:pt>
                <c:pt idx="20">
                  <c:v>4.2885973763875304E-3</c:v>
                </c:pt>
                <c:pt idx="21">
                  <c:v>-7.0334086912836255E-3</c:v>
                </c:pt>
                <c:pt idx="22">
                  <c:v>1.1257272957247667E-2</c:v>
                </c:pt>
                <c:pt idx="23">
                  <c:v>4.4777986241400849E-2</c:v>
                </c:pt>
                <c:pt idx="24">
                  <c:v>2.1549144020112501E-2</c:v>
                </c:pt>
                <c:pt idx="25">
                  <c:v>-1.605531466072899E-2</c:v>
                </c:pt>
                <c:pt idx="26">
                  <c:v>-1.1314911862791672E-2</c:v>
                </c:pt>
                <c:pt idx="27">
                  <c:v>-6.1438380917962308E-3</c:v>
                </c:pt>
                <c:pt idx="28">
                  <c:v>-1.1393939393939366E-2</c:v>
                </c:pt>
                <c:pt idx="29">
                  <c:v>-6.8661108386464231E-3</c:v>
                </c:pt>
                <c:pt idx="30">
                  <c:v>2.8395061728395555E-3</c:v>
                </c:pt>
                <c:pt idx="31">
                  <c:v>-8.2481841684107059E-3</c:v>
                </c:pt>
                <c:pt idx="32">
                  <c:v>8.6891757696118638E-4</c:v>
                </c:pt>
                <c:pt idx="33">
                  <c:v>-2.4804663276694612E-3</c:v>
                </c:pt>
                <c:pt idx="34">
                  <c:v>-4.1029466616935529E-3</c:v>
                </c:pt>
                <c:pt idx="35">
                  <c:v>1.822721598002507E-2</c:v>
                </c:pt>
                <c:pt idx="36">
                  <c:v>3.3227072094163729E-2</c:v>
                </c:pt>
                <c:pt idx="37">
                  <c:v>1.77999288002848E-2</c:v>
                </c:pt>
                <c:pt idx="38">
                  <c:v>-9.5604523726243815E-3</c:v>
                </c:pt>
                <c:pt idx="39">
                  <c:v>-1.8952324896998225E-2</c:v>
                </c:pt>
                <c:pt idx="40">
                  <c:v>8.2793376529877328E-3</c:v>
                </c:pt>
                <c:pt idx="41">
                  <c:v>-2.3801023444003355E-4</c:v>
                </c:pt>
                <c:pt idx="42">
                  <c:v>3.6067134864897051E-2</c:v>
                </c:pt>
                <c:pt idx="43">
                  <c:v>2.2977941176466015E-4</c:v>
                </c:pt>
                <c:pt idx="44">
                  <c:v>-6.8917987594764845E-4</c:v>
                </c:pt>
                <c:pt idx="45">
                  <c:v>-2.7586206896551137E-3</c:v>
                </c:pt>
                <c:pt idx="46">
                  <c:v>-2.0401106500691681E-2</c:v>
                </c:pt>
                <c:pt idx="47">
                  <c:v>7.2949758795152909E-3</c:v>
                </c:pt>
                <c:pt idx="48">
                  <c:v>-1.9857493283495118E-3</c:v>
                </c:pt>
                <c:pt idx="49">
                  <c:v>-3.7453183520598453E-3</c:v>
                </c:pt>
                <c:pt idx="50">
                  <c:v>7.0488721804513941E-4</c:v>
                </c:pt>
                <c:pt idx="51">
                  <c:v>-2.5358065273538514E-2</c:v>
                </c:pt>
                <c:pt idx="52">
                  <c:v>9.6362322331966152E-4</c:v>
                </c:pt>
                <c:pt idx="53">
                  <c:v>5.5354993983153791E-3</c:v>
                </c:pt>
                <c:pt idx="54">
                  <c:v>-9.0952608903782321E-3</c:v>
                </c:pt>
                <c:pt idx="55">
                  <c:v>-1.2077294685979355E-4</c:v>
                </c:pt>
                <c:pt idx="56">
                  <c:v>9.4214277086603071E-3</c:v>
                </c:pt>
                <c:pt idx="57">
                  <c:v>2.0342228072274945E-3</c:v>
                </c:pt>
                <c:pt idx="58">
                  <c:v>-2.8660138524002256E-3</c:v>
                </c:pt>
                <c:pt idx="59">
                  <c:v>0</c:v>
                </c:pt>
                <c:pt idx="60">
                  <c:v>1.2694610778443142E-2</c:v>
                </c:pt>
                <c:pt idx="61">
                  <c:v>9.1059602649006151E-3</c:v>
                </c:pt>
                <c:pt idx="62">
                  <c:v>3.8673385679127894E-3</c:v>
                </c:pt>
                <c:pt idx="63">
                  <c:v>-1.8795236983422829E-2</c:v>
                </c:pt>
                <c:pt idx="64">
                  <c:v>-1.1897679952408604E-3</c:v>
                </c:pt>
                <c:pt idx="65">
                  <c:v>-1.5485407980942187E-3</c:v>
                </c:pt>
                <c:pt idx="66">
                  <c:v>-9.7828680505845055E-3</c:v>
                </c:pt>
                <c:pt idx="67">
                  <c:v>1.8072289156627192E-3</c:v>
                </c:pt>
                <c:pt idx="68">
                  <c:v>-1.8039687312087272E-3</c:v>
                </c:pt>
                <c:pt idx="69">
                  <c:v>-2.7710843373494457E-3</c:v>
                </c:pt>
                <c:pt idx="70">
                  <c:v>-3.2620514679231128E-3</c:v>
                </c:pt>
                <c:pt idx="71">
                  <c:v>-1.696969696969704E-3</c:v>
                </c:pt>
                <c:pt idx="72">
                  <c:v>2.1126760563380219E-2</c:v>
                </c:pt>
                <c:pt idx="73">
                  <c:v>5.9453032104650862E-4</c:v>
                </c:pt>
                <c:pt idx="74">
                  <c:v>-8.3184789067142339E-3</c:v>
                </c:pt>
                <c:pt idx="75">
                  <c:v>-1.6536848412223002E-2</c:v>
                </c:pt>
                <c:pt idx="76">
                  <c:v>3.0461800901669311E-3</c:v>
                </c:pt>
                <c:pt idx="77">
                  <c:v>-1.2147716229348193E-3</c:v>
                </c:pt>
                <c:pt idx="78">
                  <c:v>-4.1352468985648679E-3</c:v>
                </c:pt>
                <c:pt idx="79">
                  <c:v>-5.4958475818269251E-3</c:v>
                </c:pt>
                <c:pt idx="80">
                  <c:v>1.7192680830159198E-3</c:v>
                </c:pt>
                <c:pt idx="81">
                  <c:v>2.5009194556822441E-2</c:v>
                </c:pt>
                <c:pt idx="82">
                  <c:v>-1.1362277239564679E-2</c:v>
                </c:pt>
                <c:pt idx="83">
                  <c:v>-6.2908299056375037E-3</c:v>
                </c:pt>
                <c:pt idx="84">
                  <c:v>-1.0591672753834972E-2</c:v>
                </c:pt>
                <c:pt idx="85">
                  <c:v>-3.1992125015379712E-3</c:v>
                </c:pt>
                <c:pt idx="86">
                  <c:v>1.012220713492153E-2</c:v>
                </c:pt>
                <c:pt idx="87">
                  <c:v>-1.2098252474642489E-2</c:v>
                </c:pt>
                <c:pt idx="88">
                  <c:v>-4.5769421078674481E-3</c:v>
                </c:pt>
                <c:pt idx="89">
                  <c:v>-4.9707965701493778E-4</c:v>
                </c:pt>
                <c:pt idx="90">
                  <c:v>-8.9518836255130293E-3</c:v>
                </c:pt>
                <c:pt idx="91">
                  <c:v>2.5090954710827104E-3</c:v>
                </c:pt>
                <c:pt idx="92">
                  <c:v>-1.8645976723814229E-2</c:v>
                </c:pt>
                <c:pt idx="93">
                  <c:v>7.2685539403212597E-3</c:v>
                </c:pt>
                <c:pt idx="94">
                  <c:v>-3.0383592859855031E-3</c:v>
                </c:pt>
                <c:pt idx="95">
                  <c:v>5.0793650793658739E-4</c:v>
                </c:pt>
                <c:pt idx="96">
                  <c:v>-1.6880314760756597E-2</c:v>
                </c:pt>
                <c:pt idx="97">
                  <c:v>-2.5819777949908167E-3</c:v>
                </c:pt>
                <c:pt idx="98">
                  <c:v>-9.966347398395161E-3</c:v>
                </c:pt>
                <c:pt idx="99">
                  <c:v>2.1440711204078974E-2</c:v>
                </c:pt>
                <c:pt idx="100">
                  <c:v>3.686164085498541E-2</c:v>
                </c:pt>
                <c:pt idx="101">
                  <c:v>1.0245648685347466E-2</c:v>
                </c:pt>
                <c:pt idx="102">
                  <c:v>1.160801564027374E-2</c:v>
                </c:pt>
                <c:pt idx="103">
                  <c:v>-1.7876555139509649E-2</c:v>
                </c:pt>
                <c:pt idx="104">
                  <c:v>1.7095068257286933E-2</c:v>
                </c:pt>
                <c:pt idx="105">
                  <c:v>2.4183796856106408E-2</c:v>
                </c:pt>
                <c:pt idx="106">
                  <c:v>-1.0507674144037787E-2</c:v>
                </c:pt>
                <c:pt idx="107">
                  <c:v>-2.3624865767808183E-2</c:v>
                </c:pt>
                <c:pt idx="108">
                  <c:v>-2.2852254674324876E-2</c:v>
                </c:pt>
                <c:pt idx="109">
                  <c:v>3.3766883441722143E-3</c:v>
                </c:pt>
                <c:pt idx="110">
                  <c:v>4.3624579334412853E-3</c:v>
                </c:pt>
                <c:pt idx="111">
                  <c:v>1.7870439314966464E-2</c:v>
                </c:pt>
                <c:pt idx="112">
                  <c:v>-1.5605949768349198E-2</c:v>
                </c:pt>
                <c:pt idx="113">
                  <c:v>-1.0156056477582279E-2</c:v>
                </c:pt>
                <c:pt idx="114">
                  <c:v>-1.5015015015015583E-3</c:v>
                </c:pt>
                <c:pt idx="115">
                  <c:v>0</c:v>
                </c:pt>
                <c:pt idx="116">
                  <c:v>-6.8922305764410677E-3</c:v>
                </c:pt>
                <c:pt idx="117">
                  <c:v>5.5520504731860912E-3</c:v>
                </c:pt>
                <c:pt idx="118">
                  <c:v>-1.3050570962479508E-2</c:v>
                </c:pt>
                <c:pt idx="119">
                  <c:v>-1.9071837253656157E-3</c:v>
                </c:pt>
                <c:pt idx="120">
                  <c:v>2.5477707006364356E-4</c:v>
                </c:pt>
                <c:pt idx="121">
                  <c:v>-1.7829852266938433E-3</c:v>
                </c:pt>
                <c:pt idx="122">
                  <c:v>-3.8275070170963431E-4</c:v>
                </c:pt>
                <c:pt idx="123">
                  <c:v>6.8921506062540692E-3</c:v>
                </c:pt>
                <c:pt idx="124">
                  <c:v>7.8590442388135947E-3</c:v>
                </c:pt>
                <c:pt idx="125">
                  <c:v>1.886555150295453E-3</c:v>
                </c:pt>
                <c:pt idx="126">
                  <c:v>-9.4150138086869194E-3</c:v>
                </c:pt>
                <c:pt idx="127">
                  <c:v>-1.5333924724369456E-2</c:v>
                </c:pt>
                <c:pt idx="128">
                  <c:v>1.6731016731016146E-3</c:v>
                </c:pt>
                <c:pt idx="129">
                  <c:v>-2.8266735192085169E-3</c:v>
                </c:pt>
                <c:pt idx="130">
                  <c:v>-3.3500837520938683E-3</c:v>
                </c:pt>
                <c:pt idx="131">
                  <c:v>-4.2663219133807148E-3</c:v>
                </c:pt>
                <c:pt idx="132">
                  <c:v>-1.3373149831212688E-2</c:v>
                </c:pt>
                <c:pt idx="133">
                  <c:v>-9.2117383866296716E-3</c:v>
                </c:pt>
                <c:pt idx="134">
                  <c:v>4.1174126710052869E-3</c:v>
                </c:pt>
                <c:pt idx="135">
                  <c:v>-1.9841269841268717E-3</c:v>
                </c:pt>
                <c:pt idx="136">
                  <c:v>-6.4943671305501532E-3</c:v>
                </c:pt>
                <c:pt idx="137">
                  <c:v>-1.7342582710778477E-3</c:v>
                </c:pt>
                <c:pt idx="138">
                  <c:v>6.0136308966992225E-3</c:v>
                </c:pt>
                <c:pt idx="139">
                  <c:v>-7.1732199787460978E-3</c:v>
                </c:pt>
                <c:pt idx="140">
                  <c:v>-2.1407546160020952E-3</c:v>
                </c:pt>
                <c:pt idx="141">
                  <c:v>1.2067578439260312E-3</c:v>
                </c:pt>
                <c:pt idx="142">
                  <c:v>-8.4371233427078529E-3</c:v>
                </c:pt>
                <c:pt idx="143">
                  <c:v>-1.0399783900594411E-2</c:v>
                </c:pt>
                <c:pt idx="144">
                  <c:v>0</c:v>
                </c:pt>
                <c:pt idx="145">
                  <c:v>-1.3102224648560035E-2</c:v>
                </c:pt>
                <c:pt idx="146">
                  <c:v>-6.7763794772508516E-3</c:v>
                </c:pt>
                <c:pt idx="147">
                  <c:v>4.8732943469786769E-3</c:v>
                </c:pt>
                <c:pt idx="148">
                  <c:v>1.5241790217541836E-3</c:v>
                </c:pt>
                <c:pt idx="149">
                  <c:v>-2.9607083563918103E-2</c:v>
                </c:pt>
                <c:pt idx="150">
                  <c:v>-1.7108639863131529E-3</c:v>
                </c:pt>
                <c:pt idx="151">
                  <c:v>-2.7135104255926759E-2</c:v>
                </c:pt>
                <c:pt idx="152">
                  <c:v>-2.9800352319436303E-2</c:v>
                </c:pt>
                <c:pt idx="153">
                  <c:v>2.0426690876077989E-2</c:v>
                </c:pt>
                <c:pt idx="154">
                  <c:v>4.9970344009489985E-2</c:v>
                </c:pt>
                <c:pt idx="155">
                  <c:v>-3.9542437508826595E-3</c:v>
                </c:pt>
                <c:pt idx="156">
                  <c:v>2.8356727633631483E-3</c:v>
                </c:pt>
                <c:pt idx="157">
                  <c:v>-7.7760497667184666E-3</c:v>
                </c:pt>
                <c:pt idx="158">
                  <c:v>-1.0401823881447761E-2</c:v>
                </c:pt>
                <c:pt idx="159">
                  <c:v>-3.412526997840179E-2</c:v>
                </c:pt>
                <c:pt idx="160">
                  <c:v>-8.9445438282650979E-4</c:v>
                </c:pt>
                <c:pt idx="161">
                  <c:v>-1.2831990450611751E-2</c:v>
                </c:pt>
                <c:pt idx="162">
                  <c:v>-1.5719467956469047E-2</c:v>
                </c:pt>
                <c:pt idx="163">
                  <c:v>3.1633906633906667E-2</c:v>
                </c:pt>
                <c:pt idx="164">
                  <c:v>-1.1461744566835519E-2</c:v>
                </c:pt>
                <c:pt idx="165">
                  <c:v>-3.6289715404306533E-2</c:v>
                </c:pt>
                <c:pt idx="166">
                  <c:v>4.9999999999998934E-3</c:v>
                </c:pt>
                <c:pt idx="167">
                  <c:v>3.1094527363184524E-3</c:v>
                </c:pt>
                <c:pt idx="168">
                  <c:v>2.0768753874767568E-2</c:v>
                </c:pt>
                <c:pt idx="169">
                  <c:v>4.7676890373519597E-2</c:v>
                </c:pt>
                <c:pt idx="170">
                  <c:v>-1.5652173913043455E-2</c:v>
                </c:pt>
                <c:pt idx="171">
                  <c:v>1.1484098939929344E-2</c:v>
                </c:pt>
                <c:pt idx="172">
                  <c:v>-2.358078602620094E-2</c:v>
                </c:pt>
                <c:pt idx="173">
                  <c:v>-1.2969588550983967E-2</c:v>
                </c:pt>
                <c:pt idx="174">
                  <c:v>1.1931732366712073E-2</c:v>
                </c:pt>
                <c:pt idx="175">
                  <c:v>-6.2686567164179363E-3</c:v>
                </c:pt>
                <c:pt idx="176">
                  <c:v>4.8062481225594382E-3</c:v>
                </c:pt>
                <c:pt idx="177">
                  <c:v>1.1360239162929608E-2</c:v>
                </c:pt>
                <c:pt idx="178">
                  <c:v>-9.75465563109661E-3</c:v>
                </c:pt>
                <c:pt idx="179">
                  <c:v>0</c:v>
                </c:pt>
                <c:pt idx="180">
                  <c:v>-1.4925373134335994E-4</c:v>
                </c:pt>
                <c:pt idx="181">
                  <c:v>-2.6869682042094736E-3</c:v>
                </c:pt>
                <c:pt idx="182">
                  <c:v>-2.0954946864241964E-3</c:v>
                </c:pt>
                <c:pt idx="183">
                  <c:v>-1.1249437528123593E-2</c:v>
                </c:pt>
                <c:pt idx="184">
                  <c:v>8.9502427184466535E-3</c:v>
                </c:pt>
                <c:pt idx="185">
                  <c:v>1.2178619756427424E-2</c:v>
                </c:pt>
                <c:pt idx="186">
                  <c:v>3.7284610814022658E-2</c:v>
                </c:pt>
                <c:pt idx="187">
                  <c:v>-3.723328082486111E-3</c:v>
                </c:pt>
                <c:pt idx="188">
                  <c:v>-4.7434238896075656E-3</c:v>
                </c:pt>
                <c:pt idx="189">
                  <c:v>-2.8885037550543073E-4</c:v>
                </c:pt>
                <c:pt idx="190">
                  <c:v>1.1268419531927205E-2</c:v>
                </c:pt>
                <c:pt idx="191">
                  <c:v>-5.5714285714285796E-3</c:v>
                </c:pt>
                <c:pt idx="192">
                  <c:v>-2.8731504094233617E-4</c:v>
                </c:pt>
                <c:pt idx="193">
                  <c:v>1.4800977151889655E-2</c:v>
                </c:pt>
                <c:pt idx="194">
                  <c:v>-7.5049561030869601E-3</c:v>
                </c:pt>
                <c:pt idx="195">
                  <c:v>4.993579683264293E-3</c:v>
                </c:pt>
                <c:pt idx="196">
                  <c:v>-2.8250993753549048E-2</c:v>
                </c:pt>
                <c:pt idx="197">
                  <c:v>-4.3827611395178545E-3</c:v>
                </c:pt>
                <c:pt idx="198">
                  <c:v>1.0271460014672513E-3</c:v>
                </c:pt>
                <c:pt idx="199">
                  <c:v>4.5441219583700126E-3</c:v>
                </c:pt>
                <c:pt idx="200">
                  <c:v>-1.2111484021596355E-2</c:v>
                </c:pt>
                <c:pt idx="201">
                  <c:v>1.9350073855243757E-2</c:v>
                </c:pt>
                <c:pt idx="202">
                  <c:v>-9.7087378640776933E-3</c:v>
                </c:pt>
                <c:pt idx="203">
                  <c:v>6.5847234416154931E-3</c:v>
                </c:pt>
                <c:pt idx="204">
                  <c:v>2.9073993312979884E-3</c:v>
                </c:pt>
                <c:pt idx="205">
                  <c:v>-4.7833019278156015E-3</c:v>
                </c:pt>
                <c:pt idx="206">
                  <c:v>1.6457908534809346E-2</c:v>
                </c:pt>
                <c:pt idx="207">
                  <c:v>-4.0120361083249905E-3</c:v>
                </c:pt>
                <c:pt idx="208">
                  <c:v>-1.7263703064307947E-3</c:v>
                </c:pt>
                <c:pt idx="209">
                  <c:v>-5.4762934140365387E-3</c:v>
                </c:pt>
                <c:pt idx="210">
                  <c:v>9.4189247935080635E-3</c:v>
                </c:pt>
                <c:pt idx="211">
                  <c:v>2.1676715475165163E-2</c:v>
                </c:pt>
                <c:pt idx="212">
                  <c:v>-4.6367851622874569E-3</c:v>
                </c:pt>
                <c:pt idx="213">
                  <c:v>3.8961038961038828E-2</c:v>
                </c:pt>
                <c:pt idx="214">
                  <c:v>1.8478260869565211E-2</c:v>
                </c:pt>
                <c:pt idx="215">
                  <c:v>7.3372465314836101E-3</c:v>
                </c:pt>
                <c:pt idx="216">
                  <c:v>7.1513706793801084E-3</c:v>
                </c:pt>
                <c:pt idx="217">
                  <c:v>-1.4201183431952641E-2</c:v>
                </c:pt>
                <c:pt idx="218">
                  <c:v>-6.9361077764438575E-3</c:v>
                </c:pt>
                <c:pt idx="219">
                  <c:v>-2.619207521826733E-2</c:v>
                </c:pt>
                <c:pt idx="220">
                  <c:v>1.9448275862068917E-2</c:v>
                </c:pt>
                <c:pt idx="221">
                  <c:v>5.4119875524294761E-4</c:v>
                </c:pt>
                <c:pt idx="222">
                  <c:v>-1.284651791751187E-2</c:v>
                </c:pt>
                <c:pt idx="223">
                  <c:v>5.0684931506849934E-3</c:v>
                </c:pt>
                <c:pt idx="224">
                  <c:v>8.5866157830175194E-3</c:v>
                </c:pt>
                <c:pt idx="225">
                  <c:v>1.4594594594594572E-2</c:v>
                </c:pt>
                <c:pt idx="226">
                  <c:v>4.9280767181672923E-2</c:v>
                </c:pt>
                <c:pt idx="227">
                  <c:v>-1.9294237116019245E-2</c:v>
                </c:pt>
                <c:pt idx="228">
                  <c:v>1.1001812063163269E-2</c:v>
                </c:pt>
                <c:pt idx="229">
                  <c:v>-7.6814748431701797E-4</c:v>
                </c:pt>
                <c:pt idx="230">
                  <c:v>2.4215246636771309E-2</c:v>
                </c:pt>
                <c:pt idx="231">
                  <c:v>6.2546910182633428E-4</c:v>
                </c:pt>
                <c:pt idx="232">
                  <c:v>3.7504688086012174E-4</c:v>
                </c:pt>
                <c:pt idx="233">
                  <c:v>-4.9987503124209007E-4</c:v>
                </c:pt>
                <c:pt idx="234">
                  <c:v>-1.8379594898724667E-2</c:v>
                </c:pt>
                <c:pt idx="235">
                  <c:v>6.1138708444782794E-3</c:v>
                </c:pt>
                <c:pt idx="236">
                  <c:v>1.6584377769337921E-2</c:v>
                </c:pt>
                <c:pt idx="237">
                  <c:v>-4.4831880448318734E-3</c:v>
                </c:pt>
                <c:pt idx="238">
                  <c:v>-1.1633725293970386E-2</c:v>
                </c:pt>
                <c:pt idx="239">
                  <c:v>-1.202379445639796E-2</c:v>
                </c:pt>
                <c:pt idx="240">
                  <c:v>-7.1739687419933671E-3</c:v>
                </c:pt>
                <c:pt idx="241">
                  <c:v>-1.2774193548387032E-2</c:v>
                </c:pt>
                <c:pt idx="242">
                  <c:v>-1.5945628022480705E-2</c:v>
                </c:pt>
                <c:pt idx="243">
                  <c:v>4.2502324345862513E-2</c:v>
                </c:pt>
                <c:pt idx="244">
                  <c:v>-1.0702000254809394E-2</c:v>
                </c:pt>
                <c:pt idx="245">
                  <c:v>-1.6999356084996874E-2</c:v>
                </c:pt>
                <c:pt idx="246">
                  <c:v>-2.2271714922049222E-3</c:v>
                </c:pt>
                <c:pt idx="247">
                  <c:v>1.5362394957983217E-2</c:v>
                </c:pt>
                <c:pt idx="248">
                  <c:v>4.4484676063623406E-2</c:v>
                </c:pt>
                <c:pt idx="249">
                  <c:v>1.2133217778878345E-2</c:v>
                </c:pt>
                <c:pt idx="250">
                  <c:v>-2.6055045871559577E-2</c:v>
                </c:pt>
                <c:pt idx="251">
                  <c:v>2.3235367997990381E-2</c:v>
                </c:pt>
                <c:pt idx="252">
                  <c:v>-1.9639130968454226E-3</c:v>
                </c:pt>
                <c:pt idx="253">
                  <c:v>1.5988193334152681E-3</c:v>
                </c:pt>
                <c:pt idx="254">
                  <c:v>2.5785854616896852E-3</c:v>
                </c:pt>
                <c:pt idx="255">
                  <c:v>4.0416411512553367E-3</c:v>
                </c:pt>
                <c:pt idx="256">
                  <c:v>2.4396194193700927E-4</c:v>
                </c:pt>
                <c:pt idx="257">
                  <c:v>-4.9999999999999585E-3</c:v>
                </c:pt>
                <c:pt idx="258">
                  <c:v>-7.3538423826452102E-4</c:v>
                </c:pt>
                <c:pt idx="259">
                  <c:v>3.5569728934133696E-3</c:v>
                </c:pt>
                <c:pt idx="260">
                  <c:v>-1.1855292104619884E-2</c:v>
                </c:pt>
                <c:pt idx="261">
                  <c:v>3.2158317872604224E-3</c:v>
                </c:pt>
                <c:pt idx="262">
                  <c:v>-3.5753914437184841E-3</c:v>
                </c:pt>
                <c:pt idx="263">
                  <c:v>-8.6612224696848786E-4</c:v>
                </c:pt>
                <c:pt idx="264">
                  <c:v>1.3003095975232163E-2</c:v>
                </c:pt>
                <c:pt idx="265">
                  <c:v>-4.0342298288508346E-3</c:v>
                </c:pt>
                <c:pt idx="266">
                  <c:v>-6.0144838590891724E-3</c:v>
                </c:pt>
                <c:pt idx="267">
                  <c:v>7.2857495677943838E-3</c:v>
                </c:pt>
                <c:pt idx="268">
                  <c:v>-1.2872379551305593E-2</c:v>
                </c:pt>
                <c:pt idx="269">
                  <c:v>-3.2290114257326244E-3</c:v>
                </c:pt>
                <c:pt idx="270">
                  <c:v>-2.7784699725890902E-2</c:v>
                </c:pt>
                <c:pt idx="271">
                  <c:v>2.4221453287197239E-2</c:v>
                </c:pt>
                <c:pt idx="272">
                  <c:v>-5.3803803803804656E-3</c:v>
                </c:pt>
                <c:pt idx="273">
                  <c:v>2.2644357780853795E-3</c:v>
                </c:pt>
                <c:pt idx="274">
                  <c:v>-2.1086983808208948E-2</c:v>
                </c:pt>
                <c:pt idx="275">
                  <c:v>1.2052827285549583E-2</c:v>
                </c:pt>
                <c:pt idx="276">
                  <c:v>6.9681996705941605E-3</c:v>
                </c:pt>
                <c:pt idx="277">
                  <c:v>2.2647206844488249E-3</c:v>
                </c:pt>
                <c:pt idx="278">
                  <c:v>-1.1298016570424731E-3</c:v>
                </c:pt>
                <c:pt idx="279">
                  <c:v>-4.901344727912359E-3</c:v>
                </c:pt>
                <c:pt idx="280">
                  <c:v>-7.5776711290731049E-3</c:v>
                </c:pt>
                <c:pt idx="281">
                  <c:v>-5.2176126240773297E-3</c:v>
                </c:pt>
                <c:pt idx="282">
                  <c:v>9.7223998976590145E-3</c:v>
                </c:pt>
                <c:pt idx="283">
                  <c:v>2.6605853287722503E-3</c:v>
                </c:pt>
                <c:pt idx="284">
                  <c:v>-2.2365428354814202E-2</c:v>
                </c:pt>
                <c:pt idx="285">
                  <c:v>-9.9521778467107427E-3</c:v>
                </c:pt>
                <c:pt idx="286">
                  <c:v>-1.0443864229764792E-3</c:v>
                </c:pt>
                <c:pt idx="287">
                  <c:v>-2.0256142185049623E-2</c:v>
                </c:pt>
                <c:pt idx="288">
                  <c:v>-1.3872215552887715E-2</c:v>
                </c:pt>
                <c:pt idx="289">
                  <c:v>5.6404707155417115E-2</c:v>
                </c:pt>
                <c:pt idx="290">
                  <c:v>4.8655569782331586E-3</c:v>
                </c:pt>
                <c:pt idx="291">
                  <c:v>-8.9194699286442771E-3</c:v>
                </c:pt>
                <c:pt idx="292">
                  <c:v>-3.471329390588844E-2</c:v>
                </c:pt>
                <c:pt idx="293">
                  <c:v>-2.0511454448588068E-2</c:v>
                </c:pt>
                <c:pt idx="294">
                  <c:v>-6.9893935273320648E-2</c:v>
                </c:pt>
                <c:pt idx="295">
                  <c:v>5.9502923976608085E-2</c:v>
                </c:pt>
                <c:pt idx="296">
                  <c:v>3.0771353663584987E-2</c:v>
                </c:pt>
                <c:pt idx="297">
                  <c:v>-0.10963855421686744</c:v>
                </c:pt>
                <c:pt idx="298">
                  <c:v>-4.6609532401143024E-3</c:v>
                </c:pt>
                <c:pt idx="299">
                  <c:v>-7.4924471299093659E-2</c:v>
                </c:pt>
                <c:pt idx="300">
                  <c:v>-5.6662312214239036E-2</c:v>
                </c:pt>
                <c:pt idx="301">
                  <c:v>-5.1756967284057501E-2</c:v>
                </c:pt>
                <c:pt idx="302">
                  <c:v>5.9875867104782786E-2</c:v>
                </c:pt>
                <c:pt idx="303">
                  <c:v>1.6534619359283513E-2</c:v>
                </c:pt>
                <c:pt idx="304">
                  <c:v>-7.4889867841409719E-2</c:v>
                </c:pt>
                <c:pt idx="305">
                  <c:v>-4.7435897435897496E-2</c:v>
                </c:pt>
                <c:pt idx="306">
                  <c:v>1.8073447413958946E-2</c:v>
                </c:pt>
                <c:pt idx="307">
                  <c:v>2.0018885741265251E-2</c:v>
                </c:pt>
                <c:pt idx="308">
                  <c:v>-1.3701166450657191E-2</c:v>
                </c:pt>
                <c:pt idx="309">
                  <c:v>1.1263375258118909E-2</c:v>
                </c:pt>
                <c:pt idx="310">
                  <c:v>-9.0959717839241682E-3</c:v>
                </c:pt>
                <c:pt idx="311">
                  <c:v>4.2712626451854516E-2</c:v>
                </c:pt>
                <c:pt idx="312">
                  <c:v>3.8986704994610169E-2</c:v>
                </c:pt>
                <c:pt idx="313">
                  <c:v>1.1066920283589842E-2</c:v>
                </c:pt>
                <c:pt idx="314">
                  <c:v>-9.4065332649221345E-3</c:v>
                </c:pt>
                <c:pt idx="315">
                  <c:v>-3.0041436464088432E-2</c:v>
                </c:pt>
                <c:pt idx="316">
                  <c:v>1.3171947312210787E-2</c:v>
                </c:pt>
                <c:pt idx="317">
                  <c:v>2.4595924104005721E-3</c:v>
                </c:pt>
                <c:pt idx="318">
                  <c:v>-2.9617946021731595E-2</c:v>
                </c:pt>
                <c:pt idx="319">
                  <c:v>1.191981217265674E-2</c:v>
                </c:pt>
                <c:pt idx="320">
                  <c:v>1.1243976441192138E-2</c:v>
                </c:pt>
                <c:pt idx="321">
                  <c:v>-2.4708789269324649E-3</c:v>
                </c:pt>
                <c:pt idx="322">
                  <c:v>-2.6893135173390006E-2</c:v>
                </c:pt>
                <c:pt idx="323">
                  <c:v>2.5999999999999995E-2</c:v>
                </c:pt>
                <c:pt idx="324">
                  <c:v>1.2227538543327976E-2</c:v>
                </c:pt>
                <c:pt idx="325">
                  <c:v>1.7682072829131742E-2</c:v>
                </c:pt>
                <c:pt idx="326">
                  <c:v>6.5370720798210123E-3</c:v>
                </c:pt>
                <c:pt idx="327">
                  <c:v>-2.5636643308835855E-3</c:v>
                </c:pt>
                <c:pt idx="328">
                  <c:v>2.0562028786839863E-3</c:v>
                </c:pt>
                <c:pt idx="329">
                  <c:v>1.2824897400820793E-2</c:v>
                </c:pt>
                <c:pt idx="330">
                  <c:v>-3.663683943947315E-2</c:v>
                </c:pt>
                <c:pt idx="331">
                  <c:v>8.2369435681738327E-3</c:v>
                </c:pt>
                <c:pt idx="332">
                  <c:v>-8.1696506170693354E-3</c:v>
                </c:pt>
                <c:pt idx="333">
                  <c:v>-1.0515247108307444E-3</c:v>
                </c:pt>
                <c:pt idx="334">
                  <c:v>0</c:v>
                </c:pt>
                <c:pt idx="335">
                  <c:v>-2.9649122807017505E-2</c:v>
                </c:pt>
                <c:pt idx="336">
                  <c:v>-4.1583800397758811E-3</c:v>
                </c:pt>
                <c:pt idx="337">
                  <c:v>-1.8155410312269447E-4</c:v>
                </c:pt>
                <c:pt idx="338">
                  <c:v>-9.9872889050299108E-3</c:v>
                </c:pt>
                <c:pt idx="339">
                  <c:v>1.100513573000645E-3</c:v>
                </c:pt>
                <c:pt idx="340">
                  <c:v>-1.1176255038475622E-2</c:v>
                </c:pt>
                <c:pt idx="341">
                  <c:v>-2.5940337224383891E-2</c:v>
                </c:pt>
                <c:pt idx="342">
                  <c:v>-3.024538710291047E-2</c:v>
                </c:pt>
                <c:pt idx="343">
                  <c:v>4.7077285209886624E-3</c:v>
                </c:pt>
                <c:pt idx="344">
                  <c:v>-1.3666536509176158E-3</c:v>
                </c:pt>
                <c:pt idx="345">
                  <c:v>-2.5415444770282591E-3</c:v>
                </c:pt>
                <c:pt idx="346">
                  <c:v>-9.2120736965896899E-3</c:v>
                </c:pt>
                <c:pt idx="347">
                  <c:v>1.8991097922848681E-2</c:v>
                </c:pt>
                <c:pt idx="348">
                  <c:v>3.0285381479324448E-2</c:v>
                </c:pt>
                <c:pt idx="349">
                  <c:v>2.9018277746372698E-2</c:v>
                </c:pt>
                <c:pt idx="350">
                  <c:v>7.8740157480314907E-3</c:v>
                </c:pt>
                <c:pt idx="351">
                  <c:v>-3.6337209302318355E-4</c:v>
                </c:pt>
                <c:pt idx="352">
                  <c:v>-2.5445292620865242E-3</c:v>
                </c:pt>
                <c:pt idx="353">
                  <c:v>-1.603498542274057E-2</c:v>
                </c:pt>
                <c:pt idx="354">
                  <c:v>9.2592592592592587E-3</c:v>
                </c:pt>
                <c:pt idx="355">
                  <c:v>2.1651376146788987E-2</c:v>
                </c:pt>
                <c:pt idx="356">
                  <c:v>1.4727011494252878E-2</c:v>
                </c:pt>
                <c:pt idx="357">
                  <c:v>-1.6460176991150436E-2</c:v>
                </c:pt>
                <c:pt idx="358">
                  <c:v>-9.1776138204066587E-3</c:v>
                </c:pt>
                <c:pt idx="359">
                  <c:v>1.634580457682461E-3</c:v>
                </c:pt>
                <c:pt idx="360">
                  <c:v>-3.8077969174977492E-3</c:v>
                </c:pt>
                <c:pt idx="361">
                  <c:v>-5.1146705496905628E-2</c:v>
                </c:pt>
                <c:pt idx="362">
                  <c:v>1.0550546710147653E-2</c:v>
                </c:pt>
                <c:pt idx="363">
                  <c:v>6.4540622627183636E-3</c:v>
                </c:pt>
                <c:pt idx="364">
                  <c:v>-6.0354583176159991E-3</c:v>
                </c:pt>
                <c:pt idx="365">
                  <c:v>-3.4155597722960096E-3</c:v>
                </c:pt>
                <c:pt idx="366">
                  <c:v>2.0944402132520835E-3</c:v>
                </c:pt>
                <c:pt idx="367">
                  <c:v>7.0302109063271412E-3</c:v>
                </c:pt>
                <c:pt idx="368">
                  <c:v>-2.2641509433962318E-2</c:v>
                </c:pt>
                <c:pt idx="369">
                  <c:v>1.9305019305029182E-4</c:v>
                </c:pt>
                <c:pt idx="370">
                  <c:v>-1.3510905230650508E-2</c:v>
                </c:pt>
                <c:pt idx="371">
                  <c:v>2.6217961260027459E-2</c:v>
                </c:pt>
                <c:pt idx="372">
                  <c:v>7.6263107721638026E-4</c:v>
                </c:pt>
                <c:pt idx="373">
                  <c:v>-9.9066488855020594E-3</c:v>
                </c:pt>
                <c:pt idx="374">
                  <c:v>5.3877236867423735E-3</c:v>
                </c:pt>
                <c:pt idx="375">
                  <c:v>9.5693779904306216E-3</c:v>
                </c:pt>
                <c:pt idx="376">
                  <c:v>3.5071090047393394E-2</c:v>
                </c:pt>
                <c:pt idx="377">
                  <c:v>3.6630036630035849E-3</c:v>
                </c:pt>
                <c:pt idx="378">
                  <c:v>1.2773722627737278E-2</c:v>
                </c:pt>
                <c:pt idx="379">
                  <c:v>-3.6036036036036548E-3</c:v>
                </c:pt>
                <c:pt idx="380">
                  <c:v>-1.4466546112115682E-2</c:v>
                </c:pt>
                <c:pt idx="381">
                  <c:v>1.2844036697247759E-2</c:v>
                </c:pt>
                <c:pt idx="382">
                  <c:v>9.0579710144922387E-4</c:v>
                </c:pt>
                <c:pt idx="383">
                  <c:v>2.7149321266968069E-3</c:v>
                </c:pt>
                <c:pt idx="384">
                  <c:v>-2.7075812274367974E-3</c:v>
                </c:pt>
                <c:pt idx="385">
                  <c:v>4.5248868778280547E-3</c:v>
                </c:pt>
                <c:pt idx="386">
                  <c:v>1.3513513513513514E-2</c:v>
                </c:pt>
                <c:pt idx="387">
                  <c:v>1.3333333333333334E-2</c:v>
                </c:pt>
                <c:pt idx="388">
                  <c:v>6.9298245614035137E-2</c:v>
                </c:pt>
                <c:pt idx="389">
                  <c:v>2.543068088597206E-2</c:v>
                </c:pt>
                <c:pt idx="390">
                  <c:v>8.0000000000000002E-3</c:v>
                </c:pt>
                <c:pt idx="391">
                  <c:v>1.1111111111111157E-2</c:v>
                </c:pt>
                <c:pt idx="392">
                  <c:v>9.2621664050236002E-3</c:v>
                </c:pt>
                <c:pt idx="393">
                  <c:v>3.2664489034063418E-3</c:v>
                </c:pt>
                <c:pt idx="394">
                  <c:v>-1.5503875968992248E-2</c:v>
                </c:pt>
                <c:pt idx="395">
                  <c:v>-1.5748031496059858E-4</c:v>
                </c:pt>
                <c:pt idx="396">
                  <c:v>0</c:v>
                </c:pt>
                <c:pt idx="397">
                  <c:v>8.1902661836510179E-3</c:v>
                </c:pt>
                <c:pt idx="398">
                  <c:v>-8.1237306670833166E-3</c:v>
                </c:pt>
                <c:pt idx="399">
                  <c:v>-5.6701842809891226E-3</c:v>
                </c:pt>
                <c:pt idx="400">
                  <c:v>2.5502930460953466E-2</c:v>
                </c:pt>
                <c:pt idx="401">
                  <c:v>-3.552672227370865E-3</c:v>
                </c:pt>
                <c:pt idx="402">
                  <c:v>1.1471089753526505E-2</c:v>
                </c:pt>
                <c:pt idx="403">
                  <c:v>3.524904214559448E-3</c:v>
                </c:pt>
                <c:pt idx="404">
                  <c:v>6.414172266340893E-3</c:v>
                </c:pt>
                <c:pt idx="405">
                  <c:v>-6.0698027314113152E-3</c:v>
                </c:pt>
                <c:pt idx="406">
                  <c:v>-3.358778625954181E-3</c:v>
                </c:pt>
                <c:pt idx="407">
                  <c:v>4.9019607843136213E-3</c:v>
                </c:pt>
                <c:pt idx="408">
                  <c:v>-9.1463414634128154E-4</c:v>
                </c:pt>
                <c:pt idx="409">
                  <c:v>-6.1031431187070866E-4</c:v>
                </c:pt>
                <c:pt idx="410">
                  <c:v>-6.1068702290077203E-3</c:v>
                </c:pt>
                <c:pt idx="411">
                  <c:v>1.5360983102919899E-3</c:v>
                </c:pt>
                <c:pt idx="412">
                  <c:v>7.668711656441281E-4</c:v>
                </c:pt>
                <c:pt idx="413">
                  <c:v>3.8314176245210726E-3</c:v>
                </c:pt>
                <c:pt idx="414">
                  <c:v>-1.5267175572519083E-2</c:v>
                </c:pt>
                <c:pt idx="415">
                  <c:v>7.7519379844961239E-3</c:v>
                </c:pt>
                <c:pt idx="416">
                  <c:v>-1.5384615384623256E-4</c:v>
                </c:pt>
                <c:pt idx="417">
                  <c:v>1.5386982612717521E-4</c:v>
                </c:pt>
                <c:pt idx="418">
                  <c:v>4.6153846153845716E-3</c:v>
                </c:pt>
                <c:pt idx="419">
                  <c:v>-4.5941807044409984E-3</c:v>
                </c:pt>
                <c:pt idx="420">
                  <c:v>0</c:v>
                </c:pt>
                <c:pt idx="421">
                  <c:v>0</c:v>
                </c:pt>
                <c:pt idx="422">
                  <c:v>4.7692307692308042E-3</c:v>
                </c:pt>
                <c:pt idx="423">
                  <c:v>-4.7465931710305043E-3</c:v>
                </c:pt>
                <c:pt idx="424">
                  <c:v>5.8461538461537762E-3</c:v>
                </c:pt>
                <c:pt idx="425">
                  <c:v>9.4830223309881403E-3</c:v>
                </c:pt>
                <c:pt idx="426">
                  <c:v>-9.8484848484849345E-3</c:v>
                </c:pt>
                <c:pt idx="427">
                  <c:v>-9.1813312930356646E-4</c:v>
                </c:pt>
                <c:pt idx="428">
                  <c:v>-8.2707918517384935E-3</c:v>
                </c:pt>
                <c:pt idx="429">
                  <c:v>3.8610038610038611E-3</c:v>
                </c:pt>
                <c:pt idx="430">
                  <c:v>3.0769230769231207E-3</c:v>
                </c:pt>
                <c:pt idx="431">
                  <c:v>-3.3742331288343599E-2</c:v>
                </c:pt>
                <c:pt idx="432">
                  <c:v>2.3809523809523808E-2</c:v>
                </c:pt>
                <c:pt idx="433">
                  <c:v>7.4418604651163411E-3</c:v>
                </c:pt>
                <c:pt idx="434">
                  <c:v>-1.815943367189915E-2</c:v>
                </c:pt>
                <c:pt idx="435">
                  <c:v>3.1347962382445587E-3</c:v>
                </c:pt>
                <c:pt idx="436">
                  <c:v>1.171875E-2</c:v>
                </c:pt>
                <c:pt idx="437">
                  <c:v>-1.3281853281853273E-2</c:v>
                </c:pt>
                <c:pt idx="438">
                  <c:v>-1.3773673501330451E-2</c:v>
                </c:pt>
                <c:pt idx="439">
                  <c:v>-8.7287732106014464E-3</c:v>
                </c:pt>
                <c:pt idx="440">
                  <c:v>5.4434838296509172E-3</c:v>
                </c:pt>
                <c:pt idx="441">
                  <c:v>-2.3885350318471111E-3</c:v>
                </c:pt>
                <c:pt idx="442">
                  <c:v>-2.3942537909018131E-3</c:v>
                </c:pt>
                <c:pt idx="443">
                  <c:v>8.0000000000000002E-3</c:v>
                </c:pt>
                <c:pt idx="444">
                  <c:v>0</c:v>
                </c:pt>
                <c:pt idx="445">
                  <c:v>-3.1746031746036706E-4</c:v>
                </c:pt>
                <c:pt idx="446">
                  <c:v>-7.6214671324229422E-3</c:v>
                </c:pt>
                <c:pt idx="447">
                  <c:v>5.6000000000000225E-3</c:v>
                </c:pt>
                <c:pt idx="448">
                  <c:v>7.1599045346061943E-2</c:v>
                </c:pt>
                <c:pt idx="449">
                  <c:v>5.493689680772091E-2</c:v>
                </c:pt>
                <c:pt idx="450">
                  <c:v>-8.3040112596763326E-3</c:v>
                </c:pt>
                <c:pt idx="451">
                  <c:v>3.4061879080330561E-3</c:v>
                </c:pt>
                <c:pt idx="452">
                  <c:v>-3.1117397454031158E-2</c:v>
                </c:pt>
                <c:pt idx="453">
                  <c:v>-1.1532846715328558E-2</c:v>
                </c:pt>
                <c:pt idx="454">
                  <c:v>-1.0485895731797279E-2</c:v>
                </c:pt>
                <c:pt idx="455">
                  <c:v>-1.4925373134328358E-2</c:v>
                </c:pt>
                <c:pt idx="456">
                  <c:v>4.5303030303030227E-2</c:v>
                </c:pt>
                <c:pt idx="457">
                  <c:v>-8.5519640527611136E-3</c:v>
                </c:pt>
                <c:pt idx="458">
                  <c:v>1.9736842105263074E-2</c:v>
                </c:pt>
                <c:pt idx="459">
                  <c:v>-1.0752688172043012E-2</c:v>
                </c:pt>
                <c:pt idx="460">
                  <c:v>-7.246376811594203E-3</c:v>
                </c:pt>
                <c:pt idx="461">
                  <c:v>1.4598540145985401E-2</c:v>
                </c:pt>
                <c:pt idx="462">
                  <c:v>0</c:v>
                </c:pt>
                <c:pt idx="463">
                  <c:v>-7.1942446043165471E-3</c:v>
                </c:pt>
                <c:pt idx="464">
                  <c:v>0</c:v>
                </c:pt>
                <c:pt idx="465">
                  <c:v>0</c:v>
                </c:pt>
                <c:pt idx="466">
                  <c:v>3.6231884057971015E-3</c:v>
                </c:pt>
                <c:pt idx="467">
                  <c:v>1.4440433212995569E-3</c:v>
                </c:pt>
                <c:pt idx="468">
                  <c:v>-3.3886085075702878E-2</c:v>
                </c:pt>
                <c:pt idx="469">
                  <c:v>9.1044776119402898E-3</c:v>
                </c:pt>
                <c:pt idx="470">
                  <c:v>-9.0223339742641542E-3</c:v>
                </c:pt>
                <c:pt idx="471">
                  <c:v>-1.4925373134327511E-3</c:v>
                </c:pt>
                <c:pt idx="472">
                  <c:v>8.8191330343795095E-3</c:v>
                </c:pt>
                <c:pt idx="473">
                  <c:v>1.3038968736109198E-2</c:v>
                </c:pt>
                <c:pt idx="474">
                  <c:v>-1.1262249524645461E-2</c:v>
                </c:pt>
                <c:pt idx="475">
                  <c:v>-5.1775147928993246E-3</c:v>
                </c:pt>
                <c:pt idx="476">
                  <c:v>3.7174721189591076E-3</c:v>
                </c:pt>
                <c:pt idx="477">
                  <c:v>4.296296296296305E-2</c:v>
                </c:pt>
                <c:pt idx="478">
                  <c:v>-7.102272727272727E-3</c:v>
                </c:pt>
                <c:pt idx="479">
                  <c:v>-1.2875536480687181E-3</c:v>
                </c:pt>
                <c:pt idx="480">
                  <c:v>1.418134937688003E-2</c:v>
                </c:pt>
                <c:pt idx="481">
                  <c:v>-4.5197740112993389E-3</c:v>
                </c:pt>
                <c:pt idx="482">
                  <c:v>-7.5198637911464399E-3</c:v>
                </c:pt>
                <c:pt idx="483">
                  <c:v>1.486776268763391E-2</c:v>
                </c:pt>
                <c:pt idx="484">
                  <c:v>-6.902380616988237E-3</c:v>
                </c:pt>
                <c:pt idx="485">
                  <c:v>2.1276595744680851E-2</c:v>
                </c:pt>
                <c:pt idx="486">
                  <c:v>3.472222222222222E-3</c:v>
                </c:pt>
                <c:pt idx="487">
                  <c:v>1.7301038062283738E-2</c:v>
                </c:pt>
                <c:pt idx="488">
                  <c:v>4.0816326530611858E-3</c:v>
                </c:pt>
                <c:pt idx="489">
                  <c:v>-8.6720867208672173E-3</c:v>
                </c:pt>
                <c:pt idx="490">
                  <c:v>-2.2689994532531392E-2</c:v>
                </c:pt>
                <c:pt idx="491">
                  <c:v>6.2937062937063332E-3</c:v>
                </c:pt>
                <c:pt idx="492">
                  <c:v>7.6441973592772357E-3</c:v>
                </c:pt>
                <c:pt idx="493">
                  <c:v>1.0344827586206896E-2</c:v>
                </c:pt>
                <c:pt idx="494">
                  <c:v>-2.047781569965948E-3</c:v>
                </c:pt>
                <c:pt idx="495">
                  <c:v>-2.7359781121749473E-3</c:v>
                </c:pt>
                <c:pt idx="496">
                  <c:v>-2.6063100137174288E-2</c:v>
                </c:pt>
                <c:pt idx="497">
                  <c:v>-2.9577464788731514E-3</c:v>
                </c:pt>
                <c:pt idx="498">
                  <c:v>1.5680180816499495E-2</c:v>
                </c:pt>
                <c:pt idx="499">
                  <c:v>1.3908205841445661E-3</c:v>
                </c:pt>
                <c:pt idx="500">
                  <c:v>-2.0833333333334122E-3</c:v>
                </c:pt>
                <c:pt idx="501">
                  <c:v>8.2115518441197421E-3</c:v>
                </c:pt>
                <c:pt idx="502">
                  <c:v>1.7393705135284446E-2</c:v>
                </c:pt>
                <c:pt idx="503">
                  <c:v>2.3744911804613297E-2</c:v>
                </c:pt>
                <c:pt idx="504">
                  <c:v>1.0603048376408179E-2</c:v>
                </c:pt>
                <c:pt idx="505">
                  <c:v>1.311475409835991E-3</c:v>
                </c:pt>
                <c:pt idx="506">
                  <c:v>1.7681728880157285E-2</c:v>
                </c:pt>
                <c:pt idx="507">
                  <c:v>-6.4350064350064346E-3</c:v>
                </c:pt>
                <c:pt idx="508">
                  <c:v>-3.2383419689119169E-3</c:v>
                </c:pt>
                <c:pt idx="509">
                  <c:v>3.8986354775829933E-4</c:v>
                </c:pt>
                <c:pt idx="510">
                  <c:v>2.3902312288906068E-2</c:v>
                </c:pt>
                <c:pt idx="511">
                  <c:v>-6.4704389748793572E-3</c:v>
                </c:pt>
                <c:pt idx="512">
                  <c:v>1.5451411058613123E-2</c:v>
                </c:pt>
                <c:pt idx="513">
                  <c:v>-6.5392354124747991E-3</c:v>
                </c:pt>
                <c:pt idx="514">
                  <c:v>5.9493670886075802E-3</c:v>
                </c:pt>
                <c:pt idx="515">
                  <c:v>-5.1591795646155356E-3</c:v>
                </c:pt>
                <c:pt idx="516">
                  <c:v>-2.5676701239564902E-2</c:v>
                </c:pt>
                <c:pt idx="517">
                  <c:v>-1.4799428793976379E-2</c:v>
                </c:pt>
                <c:pt idx="518">
                  <c:v>-7.6426406641190974E-3</c:v>
                </c:pt>
                <c:pt idx="519">
                  <c:v>-8.7637763909174955E-3</c:v>
                </c:pt>
                <c:pt idx="520">
                  <c:v>-5.760214333556688E-3</c:v>
                </c:pt>
                <c:pt idx="521">
                  <c:v>7.5451360819186507E-3</c:v>
                </c:pt>
                <c:pt idx="522">
                  <c:v>-9.3607916555238553E-4</c:v>
                </c:pt>
                <c:pt idx="523">
                  <c:v>1.8739124615178768E-3</c:v>
                </c:pt>
                <c:pt idx="524">
                  <c:v>2.0040080160321403E-3</c:v>
                </c:pt>
                <c:pt idx="525">
                  <c:v>-1.3466666666666734E-2</c:v>
                </c:pt>
                <c:pt idx="526">
                  <c:v>-1.0136504933099068E-2</c:v>
                </c:pt>
                <c:pt idx="527">
                  <c:v>-1.0103768432550449E-2</c:v>
                </c:pt>
                <c:pt idx="528">
                  <c:v>1.9310344827586285E-3</c:v>
                </c:pt>
                <c:pt idx="529">
                  <c:v>-4.1299559471365248E-3</c:v>
                </c:pt>
                <c:pt idx="530">
                  <c:v>1.5897152336190094E-2</c:v>
                </c:pt>
                <c:pt idx="531">
                  <c:v>-2.0138794393794936E-2</c:v>
                </c:pt>
                <c:pt idx="532">
                  <c:v>-1.3886960144431489E-4</c:v>
                </c:pt>
                <c:pt idx="533">
                  <c:v>-1.5277777777777699E-2</c:v>
                </c:pt>
                <c:pt idx="534">
                  <c:v>-1.2693935119887244E-2</c:v>
                </c:pt>
                <c:pt idx="535">
                  <c:v>0</c:v>
                </c:pt>
                <c:pt idx="536">
                  <c:v>1.7857142857142856E-2</c:v>
                </c:pt>
                <c:pt idx="537">
                  <c:v>-1.0526315789473684E-2</c:v>
                </c:pt>
                <c:pt idx="538">
                  <c:v>-1.0780141843971703E-2</c:v>
                </c:pt>
                <c:pt idx="539">
                  <c:v>1.0897619730427376E-2</c:v>
                </c:pt>
                <c:pt idx="540">
                  <c:v>-2.8368794326235491E-4</c:v>
                </c:pt>
                <c:pt idx="541">
                  <c:v>-1.1208853575482495E-2</c:v>
                </c:pt>
                <c:pt idx="542">
                  <c:v>8.0355861673124165E-3</c:v>
                </c:pt>
                <c:pt idx="543">
                  <c:v>-1.7081850533807869E-2</c:v>
                </c:pt>
                <c:pt idx="544">
                  <c:v>2.0854453294713943E-2</c:v>
                </c:pt>
                <c:pt idx="545">
                  <c:v>2.8372818839566226E-4</c:v>
                </c:pt>
                <c:pt idx="546">
                  <c:v>-7.6584881577081335E-2</c:v>
                </c:pt>
                <c:pt idx="547">
                  <c:v>1.3669175241898335E-2</c:v>
                </c:pt>
                <c:pt idx="548">
                  <c:v>1.5151515151515152E-2</c:v>
                </c:pt>
                <c:pt idx="549">
                  <c:v>7.3134328358208196E-3</c:v>
                </c:pt>
                <c:pt idx="550">
                  <c:v>7.7048451622464108E-3</c:v>
                </c:pt>
                <c:pt idx="551">
                  <c:v>-2.9554477282752609E-2</c:v>
                </c:pt>
                <c:pt idx="552">
                  <c:v>-7.8787878787878185E-3</c:v>
                </c:pt>
                <c:pt idx="553">
                  <c:v>1.6188149053146032E-2</c:v>
                </c:pt>
                <c:pt idx="554">
                  <c:v>9.768560264502426E-3</c:v>
                </c:pt>
                <c:pt idx="555">
                  <c:v>1.116237535347522E-2</c:v>
                </c:pt>
                <c:pt idx="556">
                  <c:v>-2.8554607006181891E-2</c:v>
                </c:pt>
                <c:pt idx="557">
                  <c:v>-1.1363636363636364E-2</c:v>
                </c:pt>
                <c:pt idx="558">
                  <c:v>3.8314176245210726E-3</c:v>
                </c:pt>
                <c:pt idx="559">
                  <c:v>-1.1450381679389313E-2</c:v>
                </c:pt>
                <c:pt idx="560">
                  <c:v>-5.4054054054053172E-3</c:v>
                </c:pt>
                <c:pt idx="561">
                  <c:v>-3.8819875776397511E-3</c:v>
                </c:pt>
                <c:pt idx="562">
                  <c:v>-1.0132501948558154E-2</c:v>
                </c:pt>
                <c:pt idx="563">
                  <c:v>1.5748031496062992E-2</c:v>
                </c:pt>
                <c:pt idx="564">
                  <c:v>-3.2868217054263529E-2</c:v>
                </c:pt>
                <c:pt idx="565">
                  <c:v>1.4748316768194847E-2</c:v>
                </c:pt>
                <c:pt idx="566">
                  <c:v>-4.423380726698168E-3</c:v>
                </c:pt>
                <c:pt idx="567">
                  <c:v>-2.3801967629324926E-3</c:v>
                </c:pt>
                <c:pt idx="568">
                  <c:v>1.9564180054079797E-2</c:v>
                </c:pt>
                <c:pt idx="569">
                  <c:v>1.3884555382215299E-2</c:v>
                </c:pt>
                <c:pt idx="570">
                  <c:v>-7.8473611324817814E-3</c:v>
                </c:pt>
                <c:pt idx="571">
                  <c:v>7.5992555831264708E-3</c:v>
                </c:pt>
                <c:pt idx="572">
                  <c:v>-1.6623056795444024E-2</c:v>
                </c:pt>
                <c:pt idx="573">
                  <c:v>9.3911410236342825E-3</c:v>
                </c:pt>
                <c:pt idx="574">
                  <c:v>-7.7531400217083516E-4</c:v>
                </c:pt>
                <c:pt idx="575">
                  <c:v>6.3625077591557512E-3</c:v>
                </c:pt>
                <c:pt idx="576">
                  <c:v>-1.1873554356206571E-2</c:v>
                </c:pt>
                <c:pt idx="577">
                  <c:v>4.2446941323345803E-2</c:v>
                </c:pt>
                <c:pt idx="578">
                  <c:v>-1.1227544910179641E-2</c:v>
                </c:pt>
                <c:pt idx="579">
                  <c:v>7.5700227100676998E-4</c:v>
                </c:pt>
                <c:pt idx="580">
                  <c:v>-1.5128593040846343E-3</c:v>
                </c:pt>
                <c:pt idx="581">
                  <c:v>7.575757575757576E-3</c:v>
                </c:pt>
                <c:pt idx="582">
                  <c:v>-1.3233082706766848E-2</c:v>
                </c:pt>
                <c:pt idx="583">
                  <c:v>1.9506248095092975E-2</c:v>
                </c:pt>
                <c:pt idx="584">
                  <c:v>4.4843049327353834E-3</c:v>
                </c:pt>
                <c:pt idx="585">
                  <c:v>1.9345238095238051E-2</c:v>
                </c:pt>
                <c:pt idx="586">
                  <c:v>-1.2408759124087508E-2</c:v>
                </c:pt>
                <c:pt idx="587">
                  <c:v>-2.0694752402069558E-2</c:v>
                </c:pt>
                <c:pt idx="588">
                  <c:v>-2.2641509433963124E-3</c:v>
                </c:pt>
                <c:pt idx="589">
                  <c:v>1.5128593040848492E-3</c:v>
                </c:pt>
                <c:pt idx="590">
                  <c:v>1.1631419939576979E-2</c:v>
                </c:pt>
                <c:pt idx="591">
                  <c:v>1.2393609078691926E-2</c:v>
                </c:pt>
                <c:pt idx="592">
                  <c:v>1.0324483775811251E-2</c:v>
                </c:pt>
                <c:pt idx="593">
                  <c:v>1.4598540145985401E-2</c:v>
                </c:pt>
                <c:pt idx="594">
                  <c:v>7.3381294964029514E-3</c:v>
                </c:pt>
                <c:pt idx="595">
                  <c:v>4.2708184545064913E-2</c:v>
                </c:pt>
                <c:pt idx="596">
                  <c:v>0</c:v>
                </c:pt>
                <c:pt idx="597">
                  <c:v>1.3698630136986301E-2</c:v>
                </c:pt>
                <c:pt idx="598">
                  <c:v>2.702702702702741E-3</c:v>
                </c:pt>
                <c:pt idx="599">
                  <c:v>-1.4824797843665883E-2</c:v>
                </c:pt>
                <c:pt idx="600">
                  <c:v>-2.2571819425444482E-2</c:v>
                </c:pt>
                <c:pt idx="601">
                  <c:v>7.6976906927921224E-3</c:v>
                </c:pt>
                <c:pt idx="602">
                  <c:v>9.0277777777778567E-3</c:v>
                </c:pt>
                <c:pt idx="603">
                  <c:v>-1.3076393668272578E-2</c:v>
                </c:pt>
                <c:pt idx="604">
                  <c:v>1.8131101813110142E-2</c:v>
                </c:pt>
                <c:pt idx="605">
                  <c:v>-1.3698630136985523E-3</c:v>
                </c:pt>
                <c:pt idx="606">
                  <c:v>-4.1152263374487153E-3</c:v>
                </c:pt>
                <c:pt idx="607">
                  <c:v>-4.8209366391183794E-3</c:v>
                </c:pt>
                <c:pt idx="608">
                  <c:v>3.4602076124567475E-3</c:v>
                </c:pt>
                <c:pt idx="609">
                  <c:v>-5.3793103448275944E-3</c:v>
                </c:pt>
                <c:pt idx="610">
                  <c:v>7.3498821245319805E-3</c:v>
                </c:pt>
                <c:pt idx="611">
                  <c:v>-1.569383259911895E-2</c:v>
                </c:pt>
                <c:pt idx="612">
                  <c:v>0</c:v>
                </c:pt>
                <c:pt idx="613">
                  <c:v>-8.5314685314685241E-3</c:v>
                </c:pt>
                <c:pt idx="614">
                  <c:v>-6.9121173649315118E-3</c:v>
                </c:pt>
                <c:pt idx="615">
                  <c:v>-2.8409090909091309E-3</c:v>
                </c:pt>
                <c:pt idx="616">
                  <c:v>-1.424501424501546E-3</c:v>
                </c:pt>
                <c:pt idx="617">
                  <c:v>-1.4265335235377221E-3</c:v>
                </c:pt>
                <c:pt idx="618">
                  <c:v>1.3571428571428613E-2</c:v>
                </c:pt>
                <c:pt idx="619">
                  <c:v>-6.9062720225512202E-3</c:v>
                </c:pt>
                <c:pt idx="620">
                  <c:v>4.2577348850413201E-4</c:v>
                </c:pt>
                <c:pt idx="621">
                  <c:v>-1.1207263441622813E-2</c:v>
                </c:pt>
                <c:pt idx="622">
                  <c:v>4.3041606886656692E-3</c:v>
                </c:pt>
                <c:pt idx="623">
                  <c:v>-1.2142857142857061E-2</c:v>
                </c:pt>
                <c:pt idx="624">
                  <c:v>8.8214027476500277E-3</c:v>
                </c:pt>
                <c:pt idx="625">
                  <c:v>-2.1502293577982464E-3</c:v>
                </c:pt>
                <c:pt idx="626">
                  <c:v>-8.7631087487429881E-3</c:v>
                </c:pt>
                <c:pt idx="627">
                  <c:v>1.4492753623188406E-2</c:v>
                </c:pt>
                <c:pt idx="628">
                  <c:v>-3.5714285714285713E-3</c:v>
                </c:pt>
                <c:pt idx="629">
                  <c:v>3.5842293906810036E-3</c:v>
                </c:pt>
                <c:pt idx="630">
                  <c:v>0</c:v>
                </c:pt>
                <c:pt idx="631">
                  <c:v>-1.4285714285721594E-4</c:v>
                </c:pt>
                <c:pt idx="632">
                  <c:v>-6.5723674810686354E-3</c:v>
                </c:pt>
                <c:pt idx="633">
                  <c:v>4.3146843089315602E-4</c:v>
                </c:pt>
                <c:pt idx="634">
                  <c:v>6.3254744105807606E-3</c:v>
                </c:pt>
                <c:pt idx="635">
                  <c:v>7.1428571428567374E-4</c:v>
                </c:pt>
                <c:pt idx="636">
                  <c:v>2.8551034975018252E-3</c:v>
                </c:pt>
                <c:pt idx="637">
                  <c:v>-3.5587188612099642E-3</c:v>
                </c:pt>
                <c:pt idx="638">
                  <c:v>8.4285714285714779E-3</c:v>
                </c:pt>
                <c:pt idx="639">
                  <c:v>2.9749256268592397E-3</c:v>
                </c:pt>
                <c:pt idx="640">
                  <c:v>-4.2372881355931804E-3</c:v>
                </c:pt>
                <c:pt idx="641">
                  <c:v>-1.1347517730496413E-2</c:v>
                </c:pt>
                <c:pt idx="642">
                  <c:v>-3.0129124820661114E-3</c:v>
                </c:pt>
                <c:pt idx="643">
                  <c:v>-3.453734350266152E-3</c:v>
                </c:pt>
                <c:pt idx="644">
                  <c:v>3.3212996389892272E-3</c:v>
                </c:pt>
                <c:pt idx="645">
                  <c:v>2.878526194587798E-4</c:v>
                </c:pt>
                <c:pt idx="646">
                  <c:v>-2.1582733812950459E-3</c:v>
                </c:pt>
                <c:pt idx="647">
                  <c:v>-1.5861571737563005E-3</c:v>
                </c:pt>
                <c:pt idx="648">
                  <c:v>-2.7440785673021047E-3</c:v>
                </c:pt>
                <c:pt idx="649">
                  <c:v>1.4482259232441496E-3</c:v>
                </c:pt>
                <c:pt idx="650">
                  <c:v>4.9168474331162566E-3</c:v>
                </c:pt>
                <c:pt idx="651">
                  <c:v>4.0293567419772795E-3</c:v>
                </c:pt>
                <c:pt idx="652">
                  <c:v>1.1466246237637711E-3</c:v>
                </c:pt>
                <c:pt idx="653">
                  <c:v>-7.8740157480314561E-3</c:v>
                </c:pt>
                <c:pt idx="654">
                  <c:v>5.0505050505051741E-3</c:v>
                </c:pt>
                <c:pt idx="655">
                  <c:v>-9.1888011486001512E-3</c:v>
                </c:pt>
                <c:pt idx="656">
                  <c:v>-3.0430372409796834E-3</c:v>
                </c:pt>
                <c:pt idx="657">
                  <c:v>-1.1627906976744146E-2</c:v>
                </c:pt>
                <c:pt idx="658">
                  <c:v>0</c:v>
                </c:pt>
                <c:pt idx="659">
                  <c:v>0</c:v>
                </c:pt>
                <c:pt idx="660">
                  <c:v>-1.911764705882286E-3</c:v>
                </c:pt>
                <c:pt idx="661">
                  <c:v>9.7244732576984901E-3</c:v>
                </c:pt>
                <c:pt idx="662">
                  <c:v>-4.085801838610844E-3</c:v>
                </c:pt>
                <c:pt idx="663">
                  <c:v>-3.663003663003663E-3</c:v>
                </c:pt>
                <c:pt idx="664">
                  <c:v>1.1764705882352899E-2</c:v>
                </c:pt>
                <c:pt idx="665">
                  <c:v>2.9069767441860881E-3</c:v>
                </c:pt>
                <c:pt idx="666">
                  <c:v>-1.2318840579710062E-2</c:v>
                </c:pt>
                <c:pt idx="667">
                  <c:v>-5.8694057226714967E-4</c:v>
                </c:pt>
                <c:pt idx="668">
                  <c:v>1.6590808985464622E-2</c:v>
                </c:pt>
                <c:pt idx="669">
                  <c:v>-2.7440785673021047E-3</c:v>
                </c:pt>
                <c:pt idx="670">
                  <c:v>6.5170166545981591E-3</c:v>
                </c:pt>
                <c:pt idx="671">
                  <c:v>1.5827338129496321E-3</c:v>
                </c:pt>
                <c:pt idx="672">
                  <c:v>-1.5945984772302822E-2</c:v>
                </c:pt>
                <c:pt idx="673">
                  <c:v>1.6788321167883296E-2</c:v>
                </c:pt>
                <c:pt idx="674">
                  <c:v>-9.3323761665471024E-3</c:v>
                </c:pt>
                <c:pt idx="675">
                  <c:v>1.3043478260869648E-2</c:v>
                </c:pt>
                <c:pt idx="676">
                  <c:v>-1.2875536480686775E-2</c:v>
                </c:pt>
                <c:pt idx="677">
                  <c:v>-7.246376811594203E-3</c:v>
                </c:pt>
                <c:pt idx="678">
                  <c:v>-1.4598540145985401E-2</c:v>
                </c:pt>
                <c:pt idx="679">
                  <c:v>1.7777777777777819E-2</c:v>
                </c:pt>
                <c:pt idx="680">
                  <c:v>1.1644832605531254E-2</c:v>
                </c:pt>
                <c:pt idx="681">
                  <c:v>-7.1942446043165471E-3</c:v>
                </c:pt>
                <c:pt idx="682">
                  <c:v>-1.4492753623188406E-2</c:v>
                </c:pt>
                <c:pt idx="683">
                  <c:v>-3.6764705882352941E-3</c:v>
                </c:pt>
                <c:pt idx="684">
                  <c:v>8.1180811808117658E-3</c:v>
                </c:pt>
                <c:pt idx="685">
                  <c:v>1.0102489019033642E-2</c:v>
                </c:pt>
                <c:pt idx="686">
                  <c:v>-1.4349905783446804E-2</c:v>
                </c:pt>
                <c:pt idx="687">
                  <c:v>1.4705882352941176E-2</c:v>
                </c:pt>
                <c:pt idx="688">
                  <c:v>8.6956521739129603E-3</c:v>
                </c:pt>
                <c:pt idx="689">
                  <c:v>2.0114942528735715E-2</c:v>
                </c:pt>
                <c:pt idx="690">
                  <c:v>-1.4084507042253521E-2</c:v>
                </c:pt>
                <c:pt idx="691">
                  <c:v>-2.8428571428571355E-2</c:v>
                </c:pt>
                <c:pt idx="692">
                  <c:v>1.4556682840758636E-2</c:v>
                </c:pt>
                <c:pt idx="693">
                  <c:v>3.6231884057971016E-2</c:v>
                </c:pt>
                <c:pt idx="694">
                  <c:v>-9.7902097902098292E-3</c:v>
                </c:pt>
                <c:pt idx="695">
                  <c:v>-4.2372881355931804E-3</c:v>
                </c:pt>
                <c:pt idx="696">
                  <c:v>3.5460992907801418E-3</c:v>
                </c:pt>
                <c:pt idx="697">
                  <c:v>1.2720848056537585E-3</c:v>
                </c:pt>
                <c:pt idx="698">
                  <c:v>-1.1857707509881471E-2</c:v>
                </c:pt>
                <c:pt idx="699">
                  <c:v>4.9999999999999186E-3</c:v>
                </c:pt>
                <c:pt idx="700">
                  <c:v>9.2395167022033507E-3</c:v>
                </c:pt>
                <c:pt idx="701">
                  <c:v>4.9295774647886521E-3</c:v>
                </c:pt>
                <c:pt idx="702">
                  <c:v>2.102312543798258E-3</c:v>
                </c:pt>
                <c:pt idx="703">
                  <c:v>1.2587412587413064E-3</c:v>
                </c:pt>
                <c:pt idx="704">
                  <c:v>-5.5873725380648485E-4</c:v>
                </c:pt>
                <c:pt idx="705">
                  <c:v>-4.1928721174003796E-3</c:v>
                </c:pt>
                <c:pt idx="706">
                  <c:v>-1.6842105263157936E-2</c:v>
                </c:pt>
                <c:pt idx="707">
                  <c:v>1.3561741613133517E-2</c:v>
                </c:pt>
                <c:pt idx="708">
                  <c:v>-1.3802816901408508E-2</c:v>
                </c:pt>
                <c:pt idx="709">
                  <c:v>1.2853470437018482E-3</c:v>
                </c:pt>
                <c:pt idx="710">
                  <c:v>1.2551704464413E-2</c:v>
                </c:pt>
                <c:pt idx="711">
                  <c:v>-6.902380616988237E-3</c:v>
                </c:pt>
                <c:pt idx="712">
                  <c:v>2.4822695035460994E-2</c:v>
                </c:pt>
                <c:pt idx="713">
                  <c:v>-1.0380622837370242E-2</c:v>
                </c:pt>
                <c:pt idx="714">
                  <c:v>2.5734265734265783E-2</c:v>
                </c:pt>
                <c:pt idx="715">
                  <c:v>8.9991818925551758E-3</c:v>
                </c:pt>
                <c:pt idx="716">
                  <c:v>6.7567567567567571E-3</c:v>
                </c:pt>
                <c:pt idx="717">
                  <c:v>-2.0134228187919462E-2</c:v>
                </c:pt>
                <c:pt idx="718">
                  <c:v>-3.4246575342465752E-3</c:v>
                </c:pt>
                <c:pt idx="719">
                  <c:v>3.2989690721648779E-3</c:v>
                </c:pt>
                <c:pt idx="720">
                  <c:v>1.5070557610631517E-3</c:v>
                </c:pt>
                <c:pt idx="721">
                  <c:v>1.3679890560876679E-3</c:v>
                </c:pt>
                <c:pt idx="722">
                  <c:v>-1.229508196721358E-3</c:v>
                </c:pt>
                <c:pt idx="723">
                  <c:v>-2.7492819039803107E-2</c:v>
                </c:pt>
                <c:pt idx="724">
                  <c:v>1.1251758087201287E-2</c:v>
                </c:pt>
                <c:pt idx="725">
                  <c:v>-5.56328233657866E-3</c:v>
                </c:pt>
                <c:pt idx="726">
                  <c:v>1.3986013986021142E-4</c:v>
                </c:pt>
                <c:pt idx="727">
                  <c:v>2.6569710529995485E-3</c:v>
                </c:pt>
                <c:pt idx="728">
                  <c:v>-9.762900976290137E-3</c:v>
                </c:pt>
                <c:pt idx="729">
                  <c:v>-1.4225352112676129E-2</c:v>
                </c:pt>
                <c:pt idx="730">
                  <c:v>8.8584083440492161E-3</c:v>
                </c:pt>
                <c:pt idx="731">
                  <c:v>-8.4973799745081827E-4</c:v>
                </c:pt>
                <c:pt idx="732">
                  <c:v>-1.2898653437278479E-2</c:v>
                </c:pt>
                <c:pt idx="733">
                  <c:v>-2.3549684089603683E-2</c:v>
                </c:pt>
                <c:pt idx="734">
                  <c:v>2.1764705882352998E-2</c:v>
                </c:pt>
                <c:pt idx="735">
                  <c:v>7.3402417962002142E-3</c:v>
                </c:pt>
                <c:pt idx="736">
                  <c:v>-1.4144877839691313E-2</c:v>
                </c:pt>
                <c:pt idx="737">
                  <c:v>0</c:v>
                </c:pt>
                <c:pt idx="738">
                  <c:v>-1.4492753623195821E-4</c:v>
                </c:pt>
                <c:pt idx="739">
                  <c:v>2.8989708653442866E-4</c:v>
                </c:pt>
                <c:pt idx="740">
                  <c:v>-2.8981307056963091E-4</c:v>
                </c:pt>
                <c:pt idx="741">
                  <c:v>0</c:v>
                </c:pt>
                <c:pt idx="742">
                  <c:v>4.3484562980143702E-4</c:v>
                </c:pt>
                <c:pt idx="743">
                  <c:v>-4.3465662126921382E-4</c:v>
                </c:pt>
                <c:pt idx="744">
                  <c:v>-4.928250471082609E-3</c:v>
                </c:pt>
                <c:pt idx="745">
                  <c:v>7.283321194464675E-3</c:v>
                </c:pt>
                <c:pt idx="746">
                  <c:v>7.2306579898766667E-4</c:v>
                </c:pt>
                <c:pt idx="747">
                  <c:v>-2.8901734104046653E-3</c:v>
                </c:pt>
                <c:pt idx="748">
                  <c:v>-2.6086956521740117E-3</c:v>
                </c:pt>
                <c:pt idx="749">
                  <c:v>2.615518744551102E-3</c:v>
                </c:pt>
                <c:pt idx="750">
                  <c:v>1.5362318840579743E-2</c:v>
                </c:pt>
                <c:pt idx="751">
                  <c:v>-8.564087924636351E-4</c:v>
                </c:pt>
                <c:pt idx="752">
                  <c:v>3.5714285714285713E-3</c:v>
                </c:pt>
                <c:pt idx="753">
                  <c:v>-3.416370106761493E-3</c:v>
                </c:pt>
                <c:pt idx="754">
                  <c:v>-1.4283673760898607E-4</c:v>
                </c:pt>
                <c:pt idx="755">
                  <c:v>6.857142857142914E-3</c:v>
                </c:pt>
                <c:pt idx="756">
                  <c:v>-1.3904653802497217E-2</c:v>
                </c:pt>
                <c:pt idx="757">
                  <c:v>-3.5971223021582736E-3</c:v>
                </c:pt>
                <c:pt idx="758">
                  <c:v>1.2851985559566795E-2</c:v>
                </c:pt>
                <c:pt idx="759">
                  <c:v>1.6966067864271423E-2</c:v>
                </c:pt>
                <c:pt idx="760">
                  <c:v>9.3929622879574057E-3</c:v>
                </c:pt>
                <c:pt idx="761">
                  <c:v>-9.305555555555579E-3</c:v>
                </c:pt>
                <c:pt idx="762">
                  <c:v>1.051451002383289E-2</c:v>
                </c:pt>
                <c:pt idx="763">
                  <c:v>-1.1098779134294991E-3</c:v>
                </c:pt>
                <c:pt idx="764">
                  <c:v>1.2500000000000473E-3</c:v>
                </c:pt>
                <c:pt idx="765">
                  <c:v>3.34304341794978E-2</c:v>
                </c:pt>
                <c:pt idx="766">
                  <c:v>0</c:v>
                </c:pt>
                <c:pt idx="767">
                  <c:v>1.0067114093959731E-2</c:v>
                </c:pt>
                <c:pt idx="768">
                  <c:v>-3.3222591362126247E-3</c:v>
                </c:pt>
                <c:pt idx="769">
                  <c:v>0</c:v>
                </c:pt>
                <c:pt idx="770">
                  <c:v>-6.6666666666666671E-3</c:v>
                </c:pt>
                <c:pt idx="771">
                  <c:v>-1.0067114093959731E-2</c:v>
                </c:pt>
                <c:pt idx="772">
                  <c:v>4.4067796610169491E-2</c:v>
                </c:pt>
                <c:pt idx="773">
                  <c:v>-1.4285714285714212E-2</c:v>
                </c:pt>
                <c:pt idx="774">
                  <c:v>3.82081686429502E-3</c:v>
                </c:pt>
                <c:pt idx="775">
                  <c:v>1.3125082031769414E-4</c:v>
                </c:pt>
                <c:pt idx="776">
                  <c:v>-1.3123359580059207E-4</c:v>
                </c:pt>
                <c:pt idx="777">
                  <c:v>-2.625016406352577E-3</c:v>
                </c:pt>
                <c:pt idx="778">
                  <c:v>1.3159626266620762E-4</c:v>
                </c:pt>
                <c:pt idx="779">
                  <c:v>-7.8947368421055622E-4</c:v>
                </c:pt>
                <c:pt idx="780">
                  <c:v>9.7445351593364385E-3</c:v>
                </c:pt>
                <c:pt idx="781">
                  <c:v>-2.3474178403756758E-3</c:v>
                </c:pt>
                <c:pt idx="782">
                  <c:v>2.6143790849673574E-3</c:v>
                </c:pt>
                <c:pt idx="783">
                  <c:v>-1.5645371577575003E-2</c:v>
                </c:pt>
                <c:pt idx="784">
                  <c:v>6.6225165562913907E-3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5.2631578947376649E-4</c:v>
                </c:pt>
                <c:pt idx="789">
                  <c:v>7.8905839032072673E-4</c:v>
                </c:pt>
                <c:pt idx="790">
                  <c:v>-7.8843626806832379E-3</c:v>
                </c:pt>
                <c:pt idx="791">
                  <c:v>-7.9470198675495943E-3</c:v>
                </c:pt>
                <c:pt idx="792">
                  <c:v>5.3404539385837173E-4</c:v>
                </c:pt>
                <c:pt idx="793">
                  <c:v>4.8038430744595604E-3</c:v>
                </c:pt>
                <c:pt idx="794">
                  <c:v>-8.2337317397077076E-3</c:v>
                </c:pt>
                <c:pt idx="795">
                  <c:v>-7.7664702731656725E-3</c:v>
                </c:pt>
                <c:pt idx="796">
                  <c:v>1.8893387314440024E-2</c:v>
                </c:pt>
                <c:pt idx="797">
                  <c:v>4.6357615894038985E-3</c:v>
                </c:pt>
                <c:pt idx="798">
                  <c:v>-9.0573500329597767E-2</c:v>
                </c:pt>
                <c:pt idx="799">
                  <c:v>7.3934473760508971E-3</c:v>
                </c:pt>
                <c:pt idx="800">
                  <c:v>-9.9294862570153651E-3</c:v>
                </c:pt>
                <c:pt idx="801">
                  <c:v>-1.3081395348837085E-2</c:v>
                </c:pt>
                <c:pt idx="802">
                  <c:v>-7.3637702503698624E-4</c:v>
                </c:pt>
                <c:pt idx="803">
                  <c:v>2.2107590272661118E-3</c:v>
                </c:pt>
                <c:pt idx="804">
                  <c:v>-4.4117647058823112E-3</c:v>
                </c:pt>
                <c:pt idx="805">
                  <c:v>-7.385524372230428E-3</c:v>
                </c:pt>
                <c:pt idx="806">
                  <c:v>8.9285714285717666E-4</c:v>
                </c:pt>
                <c:pt idx="807">
                  <c:v>1.1002081474873547E-2</c:v>
                </c:pt>
                <c:pt idx="808">
                  <c:v>-7.3529411764705881E-3</c:v>
                </c:pt>
                <c:pt idx="809">
                  <c:v>-4.4444444444444019E-3</c:v>
                </c:pt>
                <c:pt idx="810">
                  <c:v>-2.9761904761905185E-3</c:v>
                </c:pt>
                <c:pt idx="811">
                  <c:v>0</c:v>
                </c:pt>
                <c:pt idx="812">
                  <c:v>0</c:v>
                </c:pt>
                <c:pt idx="813">
                  <c:v>1.4925373134328358E-2</c:v>
                </c:pt>
                <c:pt idx="814">
                  <c:v>5.3382352941176402E-2</c:v>
                </c:pt>
                <c:pt idx="815">
                  <c:v>2.6106380008376444E-2</c:v>
                </c:pt>
                <c:pt idx="816">
                  <c:v>-2.0408163265306121E-2</c:v>
                </c:pt>
                <c:pt idx="817">
                  <c:v>5.5555555555556347E-3</c:v>
                </c:pt>
                <c:pt idx="818">
                  <c:v>-1.2430939226519415E-2</c:v>
                </c:pt>
                <c:pt idx="819">
                  <c:v>-6.993006993006993E-3</c:v>
                </c:pt>
                <c:pt idx="820">
                  <c:v>-2.1126760563380281E-2</c:v>
                </c:pt>
                <c:pt idx="821">
                  <c:v>-7.1942446043165471E-3</c:v>
                </c:pt>
                <c:pt idx="822">
                  <c:v>-2.8260869565217433E-2</c:v>
                </c:pt>
                <c:pt idx="823">
                  <c:v>-6.7114093959731967E-3</c:v>
                </c:pt>
                <c:pt idx="824">
                  <c:v>2.1021021021021109E-2</c:v>
                </c:pt>
                <c:pt idx="825">
                  <c:v>-3.6764705882352941E-3</c:v>
                </c:pt>
                <c:pt idx="826">
                  <c:v>-6.6420664206642485E-3</c:v>
                </c:pt>
                <c:pt idx="827">
                  <c:v>1.4115898959881173E-2</c:v>
                </c:pt>
                <c:pt idx="828">
                  <c:v>-3.9560439560438979E-3</c:v>
                </c:pt>
                <c:pt idx="829">
                  <c:v>-2.9126213592233066E-2</c:v>
                </c:pt>
                <c:pt idx="830">
                  <c:v>3.787878787878788E-3</c:v>
                </c:pt>
                <c:pt idx="831">
                  <c:v>-3.7735849056603774E-3</c:v>
                </c:pt>
                <c:pt idx="832">
                  <c:v>-3.0303030303024275E-4</c:v>
                </c:pt>
                <c:pt idx="833">
                  <c:v>1.3792058199454327E-2</c:v>
                </c:pt>
                <c:pt idx="834">
                  <c:v>1.6444909552997373E-3</c:v>
                </c:pt>
                <c:pt idx="835">
                  <c:v>-1.5074626865671717E-2</c:v>
                </c:pt>
                <c:pt idx="836">
                  <c:v>5.6069101378997512E-3</c:v>
                </c:pt>
                <c:pt idx="837">
                  <c:v>2.8631705846895376E-3</c:v>
                </c:pt>
                <c:pt idx="838">
                  <c:v>-1.9534184823440338E-3</c:v>
                </c:pt>
                <c:pt idx="839">
                  <c:v>-2.4089129780186175E-3</c:v>
                </c:pt>
                <c:pt idx="840">
                  <c:v>-3.9239360096589961E-3</c:v>
                </c:pt>
                <c:pt idx="841">
                  <c:v>7.575757575757576E-3</c:v>
                </c:pt>
                <c:pt idx="842">
                  <c:v>-8.4210526315789819E-3</c:v>
                </c:pt>
                <c:pt idx="843">
                  <c:v>6.0661207158031933E-4</c:v>
                </c:pt>
                <c:pt idx="844">
                  <c:v>-6.0624431645954178E-3</c:v>
                </c:pt>
                <c:pt idx="845">
                  <c:v>-5.0320219579139723E-3</c:v>
                </c:pt>
                <c:pt idx="846">
                  <c:v>-3.8314176245210726E-3</c:v>
                </c:pt>
                <c:pt idx="847">
                  <c:v>-1.5384615384623256E-4</c:v>
                </c:pt>
                <c:pt idx="848">
                  <c:v>-1.5848592091090845E-2</c:v>
                </c:pt>
                <c:pt idx="849">
                  <c:v>4.6904315196999902E-4</c:v>
                </c:pt>
                <c:pt idx="850">
                  <c:v>-2.96921393967815E-3</c:v>
                </c:pt>
                <c:pt idx="851">
                  <c:v>3.1347962382445587E-3</c:v>
                </c:pt>
                <c:pt idx="852">
                  <c:v>-7.8125E-3</c:v>
                </c:pt>
                <c:pt idx="853">
                  <c:v>-1.5748031496062992E-2</c:v>
                </c:pt>
                <c:pt idx="854">
                  <c:v>-7.0399999999999976E-2</c:v>
                </c:pt>
                <c:pt idx="855">
                  <c:v>1.3597246127366595E-2</c:v>
                </c:pt>
                <c:pt idx="856">
                  <c:v>-1.2565800645270877E-2</c:v>
                </c:pt>
                <c:pt idx="857">
                  <c:v>1.4617368873602776E-2</c:v>
                </c:pt>
                <c:pt idx="858">
                  <c:v>8.4745762711864406E-3</c:v>
                </c:pt>
                <c:pt idx="859">
                  <c:v>4.2016806722689074E-3</c:v>
                </c:pt>
                <c:pt idx="860">
                  <c:v>-4.1841004184100415E-3</c:v>
                </c:pt>
                <c:pt idx="861">
                  <c:v>2.5042016806722724E-2</c:v>
                </c:pt>
                <c:pt idx="862">
                  <c:v>3.2792261026397769E-2</c:v>
                </c:pt>
                <c:pt idx="863">
                  <c:v>-4.842038418796641E-2</c:v>
                </c:pt>
                <c:pt idx="864">
                  <c:v>1.768435101768439E-2</c:v>
                </c:pt>
                <c:pt idx="865">
                  <c:v>-3.0163934426229565E-2</c:v>
                </c:pt>
                <c:pt idx="866">
                  <c:v>-3.6342123056118975E-2</c:v>
                </c:pt>
                <c:pt idx="867">
                  <c:v>2.736362041747066E-2</c:v>
                </c:pt>
                <c:pt idx="868">
                  <c:v>2.2707870923681036E-2</c:v>
                </c:pt>
                <c:pt idx="869">
                  <c:v>-1.6694490818030049E-2</c:v>
                </c:pt>
                <c:pt idx="870">
                  <c:v>-1.5280135823429518E-2</c:v>
                </c:pt>
                <c:pt idx="871">
                  <c:v>3.4482758620690145E-3</c:v>
                </c:pt>
                <c:pt idx="872">
                  <c:v>-3.4364261168385365E-3</c:v>
                </c:pt>
                <c:pt idx="873">
                  <c:v>1.7241379310344827E-2</c:v>
                </c:pt>
                <c:pt idx="874">
                  <c:v>1.6949152542372881E-2</c:v>
                </c:pt>
                <c:pt idx="875">
                  <c:v>-1.1666666666666714E-2</c:v>
                </c:pt>
                <c:pt idx="876">
                  <c:v>-3.0354131534569936E-2</c:v>
                </c:pt>
                <c:pt idx="877">
                  <c:v>-1.7391304347826087E-2</c:v>
                </c:pt>
                <c:pt idx="878">
                  <c:v>1.8761061946902694E-2</c:v>
                </c:pt>
                <c:pt idx="879">
                  <c:v>7.8179291174425933E-3</c:v>
                </c:pt>
                <c:pt idx="880">
                  <c:v>-7.4125150836062701E-3</c:v>
                </c:pt>
                <c:pt idx="881">
                  <c:v>-1.0246613407433073E-2</c:v>
                </c:pt>
                <c:pt idx="882">
                  <c:v>-1.7371468678715599E-2</c:v>
                </c:pt>
                <c:pt idx="883">
                  <c:v>8.9285714285714281E-3</c:v>
                </c:pt>
                <c:pt idx="884">
                  <c:v>3.5398230088495575E-2</c:v>
                </c:pt>
                <c:pt idx="885">
                  <c:v>-1.6239316239316289E-2</c:v>
                </c:pt>
                <c:pt idx="886">
                  <c:v>-9.5569070373587688E-3</c:v>
                </c:pt>
                <c:pt idx="887">
                  <c:v>3.5087719298246113E-3</c:v>
                </c:pt>
                <c:pt idx="888">
                  <c:v>2.6223776223775973E-3</c:v>
                </c:pt>
                <c:pt idx="889">
                  <c:v>-5.2310374891020792E-3</c:v>
                </c:pt>
                <c:pt idx="890">
                  <c:v>2.5416301489921172E-2</c:v>
                </c:pt>
                <c:pt idx="891">
                  <c:v>-8.3760683760684095E-3</c:v>
                </c:pt>
                <c:pt idx="892">
                  <c:v>-3.6200655059472654E-3</c:v>
                </c:pt>
                <c:pt idx="893">
                  <c:v>3.6332179930795997E-3</c:v>
                </c:pt>
                <c:pt idx="894">
                  <c:v>3.4304430270643026E-2</c:v>
                </c:pt>
                <c:pt idx="895">
                  <c:v>0</c:v>
                </c:pt>
                <c:pt idx="896">
                  <c:v>6.6666666666666428E-3</c:v>
                </c:pt>
                <c:pt idx="897">
                  <c:v>1.158940397350998E-3</c:v>
                </c:pt>
                <c:pt idx="898">
                  <c:v>-1.1575988093269437E-3</c:v>
                </c:pt>
                <c:pt idx="899">
                  <c:v>-8.6092715231787416E-3</c:v>
                </c:pt>
                <c:pt idx="900">
                  <c:v>-4.6760187040748354E-3</c:v>
                </c:pt>
                <c:pt idx="901">
                  <c:v>-5.033557046980056E-4</c:v>
                </c:pt>
                <c:pt idx="902">
                  <c:v>-1.4268927312405597E-2</c:v>
                </c:pt>
                <c:pt idx="903">
                  <c:v>2.2138964577657111E-3</c:v>
                </c:pt>
                <c:pt idx="904">
                  <c:v>8.4961767204753025E-4</c:v>
                </c:pt>
                <c:pt idx="905">
                  <c:v>-2.8862478777589063E-2</c:v>
                </c:pt>
                <c:pt idx="906">
                  <c:v>-1.748251748251748E-2</c:v>
                </c:pt>
                <c:pt idx="907">
                  <c:v>-3.558718861210015E-3</c:v>
                </c:pt>
                <c:pt idx="908">
                  <c:v>5.357142857142806E-3</c:v>
                </c:pt>
                <c:pt idx="909">
                  <c:v>-5.3285968028418682E-3</c:v>
                </c:pt>
                <c:pt idx="910">
                  <c:v>1.2500000000000051E-2</c:v>
                </c:pt>
                <c:pt idx="911">
                  <c:v>7.0546737213402378E-4</c:v>
                </c:pt>
                <c:pt idx="912">
                  <c:v>-6.1684878392668559E-3</c:v>
                </c:pt>
                <c:pt idx="913">
                  <c:v>1.9507004788082893E-3</c:v>
                </c:pt>
                <c:pt idx="914">
                  <c:v>-4.4247787610619468E-3</c:v>
                </c:pt>
                <c:pt idx="915">
                  <c:v>-4.4444444444444444E-3</c:v>
                </c:pt>
                <c:pt idx="916">
                  <c:v>5.3571428571430602E-4</c:v>
                </c:pt>
                <c:pt idx="917">
                  <c:v>1.2493307156880293E-3</c:v>
                </c:pt>
                <c:pt idx="918">
                  <c:v>-1.9251336898395692E-2</c:v>
                </c:pt>
                <c:pt idx="919">
                  <c:v>1.5085423482370016E-2</c:v>
                </c:pt>
                <c:pt idx="920">
                  <c:v>5.3715308863025455E-3</c:v>
                </c:pt>
                <c:pt idx="921">
                  <c:v>-8.0142475512020618E-3</c:v>
                </c:pt>
                <c:pt idx="922">
                  <c:v>0</c:v>
                </c:pt>
                <c:pt idx="923">
                  <c:v>-1.9030520646319608E-2</c:v>
                </c:pt>
                <c:pt idx="924">
                  <c:v>-2.5622254758418846E-3</c:v>
                </c:pt>
                <c:pt idx="925">
                  <c:v>3.6697247706422541E-3</c:v>
                </c:pt>
                <c:pt idx="926">
                  <c:v>5.4844606946983024E-3</c:v>
                </c:pt>
                <c:pt idx="927">
                  <c:v>-2.1818181818181868E-2</c:v>
                </c:pt>
                <c:pt idx="928">
                  <c:v>3.5315985130112424E-3</c:v>
                </c:pt>
                <c:pt idx="929">
                  <c:v>2.0559362844971278E-2</c:v>
                </c:pt>
                <c:pt idx="930">
                  <c:v>-1.1796733212341171E-2</c:v>
                </c:pt>
                <c:pt idx="931">
                  <c:v>0</c:v>
                </c:pt>
                <c:pt idx="932">
                  <c:v>-2.7548209366392226E-3</c:v>
                </c:pt>
                <c:pt idx="933">
                  <c:v>-5.5248618784529864E-3</c:v>
                </c:pt>
                <c:pt idx="934">
                  <c:v>-9.0740740740741111E-3</c:v>
                </c:pt>
                <c:pt idx="935">
                  <c:v>1.9435619510371878E-2</c:v>
                </c:pt>
                <c:pt idx="936">
                  <c:v>-9.1659028414293607E-4</c:v>
                </c:pt>
                <c:pt idx="937">
                  <c:v>0</c:v>
                </c:pt>
                <c:pt idx="938">
                  <c:v>-5.504587155963251E-3</c:v>
                </c:pt>
                <c:pt idx="939">
                  <c:v>-7.3800738007381121E-3</c:v>
                </c:pt>
                <c:pt idx="940">
                  <c:v>-6.505576208178333E-3</c:v>
                </c:pt>
                <c:pt idx="941">
                  <c:v>7.4836295603367365E-3</c:v>
                </c:pt>
                <c:pt idx="942">
                  <c:v>-2.7855153203342354E-3</c:v>
                </c:pt>
                <c:pt idx="943">
                  <c:v>-5.5865921787710288E-3</c:v>
                </c:pt>
                <c:pt idx="944">
                  <c:v>-2.8089887640449173E-3</c:v>
                </c:pt>
                <c:pt idx="945">
                  <c:v>3.9436619718310022E-3</c:v>
                </c:pt>
                <c:pt idx="946">
                  <c:v>-8.604564160119732E-3</c:v>
                </c:pt>
                <c:pt idx="947">
                  <c:v>3.773584905660967E-4</c:v>
                </c:pt>
                <c:pt idx="948">
                  <c:v>1.4711429649188873E-2</c:v>
                </c:pt>
                <c:pt idx="949">
                  <c:v>-1.4869888475836378E-2</c:v>
                </c:pt>
                <c:pt idx="950">
                  <c:v>9.433962264150943E-3</c:v>
                </c:pt>
                <c:pt idx="951">
                  <c:v>-1.8691588785046994E-3</c:v>
                </c:pt>
                <c:pt idx="952">
                  <c:v>1.8726591760299892E-3</c:v>
                </c:pt>
                <c:pt idx="953">
                  <c:v>-3.364485981308406E-3</c:v>
                </c:pt>
                <c:pt idx="954">
                  <c:v>4.5011252813203671E-3</c:v>
                </c:pt>
                <c:pt idx="955">
                  <c:v>1.6803584764749788E-2</c:v>
                </c:pt>
                <c:pt idx="956">
                  <c:v>2.019831068674259E-2</c:v>
                </c:pt>
                <c:pt idx="957">
                  <c:v>-1.0799136069114879E-3</c:v>
                </c:pt>
                <c:pt idx="958">
                  <c:v>-9.0090090090090089E-3</c:v>
                </c:pt>
                <c:pt idx="959">
                  <c:v>-1.8181818181814565E-4</c:v>
                </c:pt>
                <c:pt idx="960">
                  <c:v>-7.0921985815602939E-3</c:v>
                </c:pt>
                <c:pt idx="961">
                  <c:v>1.007326007326002E-2</c:v>
                </c:pt>
                <c:pt idx="962">
                  <c:v>-2.719854941069784E-3</c:v>
                </c:pt>
                <c:pt idx="963">
                  <c:v>5.4545454545454029E-3</c:v>
                </c:pt>
                <c:pt idx="964">
                  <c:v>6.3291139240506588E-3</c:v>
                </c:pt>
                <c:pt idx="965">
                  <c:v>1.7969451931716339E-3</c:v>
                </c:pt>
                <c:pt idx="966">
                  <c:v>-3.9461883408071548E-3</c:v>
                </c:pt>
                <c:pt idx="967">
                  <c:v>1.0264721772015132E-2</c:v>
                </c:pt>
                <c:pt idx="968">
                  <c:v>-1.5329768270944731E-2</c:v>
                </c:pt>
                <c:pt idx="969">
                  <c:v>1.0137581462708095E-2</c:v>
                </c:pt>
                <c:pt idx="970">
                  <c:v>-1.7921146953404001E-3</c:v>
                </c:pt>
                <c:pt idx="971">
                  <c:v>9.8743267504487822E-3</c:v>
                </c:pt>
                <c:pt idx="972">
                  <c:v>2.1333333333332879E-3</c:v>
                </c:pt>
                <c:pt idx="973">
                  <c:v>-6.563775057654736E-3</c:v>
                </c:pt>
                <c:pt idx="974">
                  <c:v>-1.785714285714311E-3</c:v>
                </c:pt>
                <c:pt idx="975">
                  <c:v>4.8300536672629749E-2</c:v>
                </c:pt>
                <c:pt idx="976">
                  <c:v>-1.87713310580205E-2</c:v>
                </c:pt>
                <c:pt idx="977">
                  <c:v>8.6956521739130436E-3</c:v>
                </c:pt>
                <c:pt idx="978">
                  <c:v>1.7241379310345072E-3</c:v>
                </c:pt>
                <c:pt idx="979">
                  <c:v>-2.2375215146299924E-3</c:v>
                </c:pt>
                <c:pt idx="980">
                  <c:v>-1.3282732447817769E-2</c:v>
                </c:pt>
                <c:pt idx="981">
                  <c:v>-2.9720279720279769E-2</c:v>
                </c:pt>
                <c:pt idx="982">
                  <c:v>-1.1711711711711686E-2</c:v>
                </c:pt>
                <c:pt idx="983">
                  <c:v>-2.7347310847766378E-3</c:v>
                </c:pt>
                <c:pt idx="984">
                  <c:v>-1.2797074954296212E-2</c:v>
                </c:pt>
                <c:pt idx="985">
                  <c:v>-1.8703703703703667E-2</c:v>
                </c:pt>
                <c:pt idx="986">
                  <c:v>5.8501604076239885E-3</c:v>
                </c:pt>
                <c:pt idx="987">
                  <c:v>3.7523452157599032E-3</c:v>
                </c:pt>
                <c:pt idx="988">
                  <c:v>9.3457943925233638E-3</c:v>
                </c:pt>
                <c:pt idx="989">
                  <c:v>9.2592592592592587E-3</c:v>
                </c:pt>
                <c:pt idx="990">
                  <c:v>-1.834862385321127E-3</c:v>
                </c:pt>
                <c:pt idx="991">
                  <c:v>-2.1139705882352915E-2</c:v>
                </c:pt>
                <c:pt idx="992">
                  <c:v>3.2863849765258218E-2</c:v>
                </c:pt>
                <c:pt idx="993">
                  <c:v>1.3636363636363636E-2</c:v>
                </c:pt>
                <c:pt idx="994">
                  <c:v>-4.3049327354260447E-3</c:v>
                </c:pt>
                <c:pt idx="995">
                  <c:v>-1.8014772113129186E-4</c:v>
                </c:pt>
                <c:pt idx="996">
                  <c:v>1.8018018018018018E-2</c:v>
                </c:pt>
                <c:pt idx="997">
                  <c:v>-1.7699115044247787E-2</c:v>
                </c:pt>
                <c:pt idx="998">
                  <c:v>-3.0810810810810826E-2</c:v>
                </c:pt>
                <c:pt idx="999">
                  <c:v>-7.6222346160995831E-3</c:v>
                </c:pt>
                <c:pt idx="1000">
                  <c:v>6.74409891345072E-3</c:v>
                </c:pt>
                <c:pt idx="1001">
                  <c:v>-1.6002977298101961E-2</c:v>
                </c:pt>
                <c:pt idx="1002">
                  <c:v>-1.1913767019667218E-2</c:v>
                </c:pt>
                <c:pt idx="1003">
                  <c:v>4.7846889952153108E-3</c:v>
                </c:pt>
                <c:pt idx="1004">
                  <c:v>-1.9047619047619049E-2</c:v>
                </c:pt>
                <c:pt idx="1005">
                  <c:v>-1.0873786407767035E-2</c:v>
                </c:pt>
                <c:pt idx="1006">
                  <c:v>-1.8453082057322295E-2</c:v>
                </c:pt>
                <c:pt idx="1007">
                  <c:v>-2.7399999999999949E-2</c:v>
                </c:pt>
                <c:pt idx="1008">
                  <c:v>-2.6732469668929171E-3</c:v>
                </c:pt>
                <c:pt idx="1009">
                  <c:v>2.5567010309278392E-2</c:v>
                </c:pt>
                <c:pt idx="1010">
                  <c:v>2.55327704061117E-2</c:v>
                </c:pt>
                <c:pt idx="1011">
                  <c:v>4.4893158204273656E-2</c:v>
                </c:pt>
                <c:pt idx="1012">
                  <c:v>-5.8161350844276767E-3</c:v>
                </c:pt>
                <c:pt idx="1013">
                  <c:v>1.8871485185880375E-4</c:v>
                </c:pt>
                <c:pt idx="1014">
                  <c:v>2.8301886792452831E-2</c:v>
                </c:pt>
                <c:pt idx="1015">
                  <c:v>3.6697247706422541E-3</c:v>
                </c:pt>
                <c:pt idx="1016">
                  <c:v>-1.462522851919569E-2</c:v>
                </c:pt>
                <c:pt idx="1017">
                  <c:v>-7.6066790352504006E-3</c:v>
                </c:pt>
                <c:pt idx="1018">
                  <c:v>2.6173116470368397E-3</c:v>
                </c:pt>
                <c:pt idx="1019">
                  <c:v>-5.5938840201381944E-4</c:v>
                </c:pt>
                <c:pt idx="1020">
                  <c:v>9.3283582089552231E-3</c:v>
                </c:pt>
                <c:pt idx="1021">
                  <c:v>2.1256931608133061E-2</c:v>
                </c:pt>
                <c:pt idx="1022">
                  <c:v>-1.6108597285067885E-2</c:v>
                </c:pt>
                <c:pt idx="1023">
                  <c:v>1.8211920529801362E-2</c:v>
                </c:pt>
                <c:pt idx="1024">
                  <c:v>-8.1300813008130593E-3</c:v>
                </c:pt>
                <c:pt idx="1025">
                  <c:v>-3.752276867030957E-2</c:v>
                </c:pt>
                <c:pt idx="1026">
                  <c:v>2.8387585162755217E-3</c:v>
                </c:pt>
                <c:pt idx="1027">
                  <c:v>0</c:v>
                </c:pt>
                <c:pt idx="1028">
                  <c:v>-1.698433666729636E-3</c:v>
                </c:pt>
                <c:pt idx="1029">
                  <c:v>-4.725897920604915E-3</c:v>
                </c:pt>
                <c:pt idx="1030">
                  <c:v>4.5584045584045963E-3</c:v>
                </c:pt>
                <c:pt idx="1031">
                  <c:v>-4.5377197958026468E-3</c:v>
                </c:pt>
                <c:pt idx="1032">
                  <c:v>5.5080721747388251E-3</c:v>
                </c:pt>
                <c:pt idx="1033">
                  <c:v>-5.6667925953909556E-3</c:v>
                </c:pt>
                <c:pt idx="1034">
                  <c:v>-2.6595744680851172E-3</c:v>
                </c:pt>
                <c:pt idx="1035">
                  <c:v>-5.7142857142856605E-3</c:v>
                </c:pt>
                <c:pt idx="1036">
                  <c:v>1.9157088122605363E-2</c:v>
                </c:pt>
                <c:pt idx="1037">
                  <c:v>-3.7593984962406546E-3</c:v>
                </c:pt>
                <c:pt idx="1038">
                  <c:v>-7.5471698113205939E-4</c:v>
                </c:pt>
                <c:pt idx="1039">
                  <c:v>5.6646525679760449E-4</c:v>
                </c:pt>
                <c:pt idx="1040">
                  <c:v>1.056803170409502E-2</c:v>
                </c:pt>
                <c:pt idx="1041">
                  <c:v>6.5359477124183277E-3</c:v>
                </c:pt>
                <c:pt idx="1042">
                  <c:v>-0.13580705009276439</c:v>
                </c:pt>
                <c:pt idx="1043">
                  <c:v>-1.9965650493774148E-2</c:v>
                </c:pt>
                <c:pt idx="1044">
                  <c:v>-1.0295728368017501E-2</c:v>
                </c:pt>
                <c:pt idx="1045">
                  <c:v>-1.4608233731739632E-2</c:v>
                </c:pt>
                <c:pt idx="1046">
                  <c:v>-3.5938903863432991E-3</c:v>
                </c:pt>
                <c:pt idx="1047">
                  <c:v>-8.7917042380523131E-3</c:v>
                </c:pt>
                <c:pt idx="1048">
                  <c:v>-1.0689106208778687E-2</c:v>
                </c:pt>
                <c:pt idx="1049">
                  <c:v>-4.5977011494253523E-3</c:v>
                </c:pt>
                <c:pt idx="1050">
                  <c:v>-1.7321016166281757E-2</c:v>
                </c:pt>
                <c:pt idx="1051">
                  <c:v>-4.9353701527613102E-3</c:v>
                </c:pt>
                <c:pt idx="1052">
                  <c:v>-4.487482286254247E-3</c:v>
                </c:pt>
                <c:pt idx="1053">
                  <c:v>-1.0913404507710578E-2</c:v>
                </c:pt>
                <c:pt idx="1054">
                  <c:v>-1.0554089709762479E-2</c:v>
                </c:pt>
                <c:pt idx="1055">
                  <c:v>-6.0606060606060606E-3</c:v>
                </c:pt>
                <c:pt idx="1056">
                  <c:v>4.878048780487805E-2</c:v>
                </c:pt>
                <c:pt idx="1057">
                  <c:v>-3.1395348837209333E-2</c:v>
                </c:pt>
                <c:pt idx="1058">
                  <c:v>-1.800720288115246E-2</c:v>
                </c:pt>
                <c:pt idx="1059">
                  <c:v>-9.779951100244464E-3</c:v>
                </c:pt>
                <c:pt idx="1060">
                  <c:v>1.2345679012344976E-3</c:v>
                </c:pt>
                <c:pt idx="1061">
                  <c:v>-1.2330456226879694E-3</c:v>
                </c:pt>
                <c:pt idx="1062">
                  <c:v>8.888888888888875E-3</c:v>
                </c:pt>
                <c:pt idx="1063">
                  <c:v>-5.1395007342144115E-3</c:v>
                </c:pt>
                <c:pt idx="1064">
                  <c:v>6.1500615006150061E-3</c:v>
                </c:pt>
                <c:pt idx="1065">
                  <c:v>7.0904645476772407E-3</c:v>
                </c:pt>
                <c:pt idx="1066">
                  <c:v>-4.6127700898275729E-3</c:v>
                </c:pt>
                <c:pt idx="1067">
                  <c:v>2.4390243902439025E-2</c:v>
                </c:pt>
                <c:pt idx="1068">
                  <c:v>2.380952380952415E-3</c:v>
                </c:pt>
                <c:pt idx="1069">
                  <c:v>7.2446555819477371E-2</c:v>
                </c:pt>
                <c:pt idx="1070">
                  <c:v>3.2115171650055438E-2</c:v>
                </c:pt>
                <c:pt idx="1071">
                  <c:v>-1.6309012875536436E-2</c:v>
                </c:pt>
                <c:pt idx="1072">
                  <c:v>1.1998254799301857E-2</c:v>
                </c:pt>
                <c:pt idx="1073">
                  <c:v>2.3712006898038247E-3</c:v>
                </c:pt>
                <c:pt idx="1074">
                  <c:v>-8.6021505376343774E-3</c:v>
                </c:pt>
                <c:pt idx="1075">
                  <c:v>1.9956616052060772E-2</c:v>
                </c:pt>
                <c:pt idx="1076">
                  <c:v>6.8056146320714644E-3</c:v>
                </c:pt>
                <c:pt idx="1077">
                  <c:v>1.2674271229404187E-2</c:v>
                </c:pt>
                <c:pt idx="1078">
                  <c:v>-2.1902377972465525E-2</c:v>
                </c:pt>
                <c:pt idx="1079">
                  <c:v>-8.3173384516954697E-3</c:v>
                </c:pt>
                <c:pt idx="1080">
                  <c:v>-3.2258064516128729E-3</c:v>
                </c:pt>
                <c:pt idx="1081">
                  <c:v>-6.040992448759463E-3</c:v>
                </c:pt>
                <c:pt idx="1082">
                  <c:v>-5.6435858476231388E-3</c:v>
                </c:pt>
                <c:pt idx="1083">
                  <c:v>1.9646365422396049E-3</c:v>
                </c:pt>
                <c:pt idx="1084">
                  <c:v>-8.9324618736382703E-3</c:v>
                </c:pt>
                <c:pt idx="1085">
                  <c:v>-2.3961310178061187E-2</c:v>
                </c:pt>
                <c:pt idx="1086">
                  <c:v>-6.7567567567566929E-3</c:v>
                </c:pt>
                <c:pt idx="1087">
                  <c:v>-7.936507936507969E-3</c:v>
                </c:pt>
                <c:pt idx="1088">
                  <c:v>-1.0057142857142804E-2</c:v>
                </c:pt>
                <c:pt idx="1089">
                  <c:v>-1.2699145693835239E-2</c:v>
                </c:pt>
                <c:pt idx="1090">
                  <c:v>5.612722170252619E-3</c:v>
                </c:pt>
                <c:pt idx="1091">
                  <c:v>-1.1395348837209348E-2</c:v>
                </c:pt>
                <c:pt idx="1092">
                  <c:v>-5.8809691837214779E-3</c:v>
                </c:pt>
                <c:pt idx="1093">
                  <c:v>2.3663038334134208E-4</c:v>
                </c:pt>
                <c:pt idx="1094">
                  <c:v>-2.8388928317957069E-3</c:v>
                </c:pt>
                <c:pt idx="1095">
                  <c:v>-3.5587188612099308E-3</c:v>
                </c:pt>
                <c:pt idx="1096">
                  <c:v>9.52380952380949E-3</c:v>
                </c:pt>
                <c:pt idx="1097">
                  <c:v>-9.4339622641509101E-3</c:v>
                </c:pt>
                <c:pt idx="1098">
                  <c:v>2.7380952380952346E-2</c:v>
                </c:pt>
                <c:pt idx="1099">
                  <c:v>7.8794901506373909E-3</c:v>
                </c:pt>
                <c:pt idx="1100">
                  <c:v>-2.8512301678546837E-2</c:v>
                </c:pt>
                <c:pt idx="1101">
                  <c:v>-5.9171597633136093E-3</c:v>
                </c:pt>
                <c:pt idx="1102">
                  <c:v>-9.52380952380949E-3</c:v>
                </c:pt>
                <c:pt idx="1103">
                  <c:v>-1.7067307692307711E-2</c:v>
                </c:pt>
                <c:pt idx="1104">
                  <c:v>-1.4428955734898592E-2</c:v>
                </c:pt>
                <c:pt idx="1105">
                  <c:v>1.1166253101737043E-2</c:v>
                </c:pt>
                <c:pt idx="1106">
                  <c:v>-1.2024539877300662E-2</c:v>
                </c:pt>
                <c:pt idx="1107">
                  <c:v>4.9677098857427437E-3</c:v>
                </c:pt>
                <c:pt idx="1108">
                  <c:v>4.6959960454769582E-3</c:v>
                </c:pt>
                <c:pt idx="1109">
                  <c:v>0.3530135301353014</c:v>
                </c:pt>
                <c:pt idx="1110">
                  <c:v>-0.26454545454545447</c:v>
                </c:pt>
                <c:pt idx="1111">
                  <c:v>-5.9332509270705065E-3</c:v>
                </c:pt>
                <c:pt idx="1112">
                  <c:v>3.3325043521511971E-2</c:v>
                </c:pt>
                <c:pt idx="1113">
                  <c:v>2.888086642599285E-2</c:v>
                </c:pt>
                <c:pt idx="1114">
                  <c:v>5.8479532163742687E-2</c:v>
                </c:pt>
                <c:pt idx="1115">
                  <c:v>-2.7624309392265192E-2</c:v>
                </c:pt>
                <c:pt idx="1116">
                  <c:v>-1.1363636363636364E-2</c:v>
                </c:pt>
                <c:pt idx="1117">
                  <c:v>6.8965517241378659E-3</c:v>
                </c:pt>
                <c:pt idx="1118">
                  <c:v>1.3013698630136994E-2</c:v>
                </c:pt>
                <c:pt idx="1119">
                  <c:v>6.5359477124182818E-3</c:v>
                </c:pt>
                <c:pt idx="1120">
                  <c:v>6.3591580832960223E-2</c:v>
                </c:pt>
                <c:pt idx="1121">
                  <c:v>2.12631578947368E-2</c:v>
                </c:pt>
                <c:pt idx="1122">
                  <c:v>-9.8948670377241171E-3</c:v>
                </c:pt>
                <c:pt idx="1123">
                  <c:v>-8.3281282531749213E-4</c:v>
                </c:pt>
                <c:pt idx="1124">
                  <c:v>-3.9591581579496733E-3</c:v>
                </c:pt>
                <c:pt idx="1125">
                  <c:v>-1.8828451882845161E-2</c:v>
                </c:pt>
                <c:pt idx="1126">
                  <c:v>6.6098081023454186E-2</c:v>
                </c:pt>
                <c:pt idx="1127">
                  <c:v>4.0000000000000565E-3</c:v>
                </c:pt>
                <c:pt idx="1128">
                  <c:v>2.5896414342629424E-2</c:v>
                </c:pt>
                <c:pt idx="1129">
                  <c:v>1.6893203883495096E-2</c:v>
                </c:pt>
                <c:pt idx="1130">
                  <c:v>7.2560626312774979E-3</c:v>
                </c:pt>
                <c:pt idx="1131">
                  <c:v>1.0426540284360136E-2</c:v>
                </c:pt>
                <c:pt idx="1132">
                  <c:v>-3.3771106941838597E-3</c:v>
                </c:pt>
                <c:pt idx="1133">
                  <c:v>5.7981927710843477E-2</c:v>
                </c:pt>
                <c:pt idx="1134">
                  <c:v>1.7793594306046281E-4</c:v>
                </c:pt>
                <c:pt idx="1135">
                  <c:v>1.4054438711972943E-2</c:v>
                </c:pt>
                <c:pt idx="1136">
                  <c:v>-1.7368421052631613E-2</c:v>
                </c:pt>
                <c:pt idx="1137">
                  <c:v>-9.1055168719871103E-3</c:v>
                </c:pt>
                <c:pt idx="1138">
                  <c:v>1.8018018018014432E-4</c:v>
                </c:pt>
                <c:pt idx="1139">
                  <c:v>-3.0264817150063048E-2</c:v>
                </c:pt>
                <c:pt idx="1140">
                  <c:v>-5.5731005015792565E-4</c:v>
                </c:pt>
                <c:pt idx="1141">
                  <c:v>-7.4349442379181892E-3</c:v>
                </c:pt>
                <c:pt idx="1142">
                  <c:v>2.9962546816479429E-2</c:v>
                </c:pt>
                <c:pt idx="1143">
                  <c:v>1.4545454545454493E-2</c:v>
                </c:pt>
                <c:pt idx="1144">
                  <c:v>-1.4336917562723964E-2</c:v>
                </c:pt>
                <c:pt idx="1145">
                  <c:v>0</c:v>
                </c:pt>
                <c:pt idx="1146">
                  <c:v>-6.3636363636363899E-3</c:v>
                </c:pt>
                <c:pt idx="1147">
                  <c:v>-3.0192131747483964E-2</c:v>
                </c:pt>
                <c:pt idx="1148">
                  <c:v>-1.0754716981132081E-2</c:v>
                </c:pt>
                <c:pt idx="1149">
                  <c:v>6.0461567804692001E-2</c:v>
                </c:pt>
                <c:pt idx="1150">
                  <c:v>-8.9928057553964505E-4</c:v>
                </c:pt>
                <c:pt idx="1151">
                  <c:v>-9.9009900990098508E-3</c:v>
                </c:pt>
                <c:pt idx="1152">
                  <c:v>7.2727272727272467E-3</c:v>
                </c:pt>
                <c:pt idx="1153">
                  <c:v>-1.5884476534295946E-2</c:v>
                </c:pt>
                <c:pt idx="1154">
                  <c:v>-1.5040352164343365E-2</c:v>
                </c:pt>
                <c:pt idx="1155">
                  <c:v>-5.0279329608938599E-2</c:v>
                </c:pt>
                <c:pt idx="1156">
                  <c:v>2.3529411764705938E-2</c:v>
                </c:pt>
                <c:pt idx="1157">
                  <c:v>1.168582375478926E-2</c:v>
                </c:pt>
                <c:pt idx="1158">
                  <c:v>-0.11759136527172885</c:v>
                </c:pt>
                <c:pt idx="1159">
                  <c:v>3.218884120171643E-3</c:v>
                </c:pt>
                <c:pt idx="1160">
                  <c:v>-2.0320855614973325E-2</c:v>
                </c:pt>
                <c:pt idx="1161">
                  <c:v>-2.1834061135369938E-3</c:v>
                </c:pt>
                <c:pt idx="1162">
                  <c:v>-2.1881838074398561E-3</c:v>
                </c:pt>
                <c:pt idx="1163">
                  <c:v>-3.3333333333333402E-2</c:v>
                </c:pt>
                <c:pt idx="1164">
                  <c:v>8.8475499092559116E-3</c:v>
                </c:pt>
                <c:pt idx="1165">
                  <c:v>9.6694400719586175E-3</c:v>
                </c:pt>
                <c:pt idx="1166">
                  <c:v>-5.5679287305122494E-3</c:v>
                </c:pt>
                <c:pt idx="1167">
                  <c:v>3.3594624860022078E-3</c:v>
                </c:pt>
                <c:pt idx="1168">
                  <c:v>4.4642857142864124E-4</c:v>
                </c:pt>
                <c:pt idx="1169">
                  <c:v>-3.7929495760821441E-3</c:v>
                </c:pt>
                <c:pt idx="1170">
                  <c:v>3.3594624860022078E-3</c:v>
                </c:pt>
                <c:pt idx="1171">
                  <c:v>2.2321428571428891E-3</c:v>
                </c:pt>
                <c:pt idx="1172">
                  <c:v>2.2271714922049313E-3</c:v>
                </c:pt>
                <c:pt idx="1173">
                  <c:v>2.2222222222222539E-3</c:v>
                </c:pt>
                <c:pt idx="1174">
                  <c:v>1.5521064301552169E-3</c:v>
                </c:pt>
                <c:pt idx="1175">
                  <c:v>-4.8704892627850086E-3</c:v>
                </c:pt>
                <c:pt idx="1176">
                  <c:v>8.8987764182424586E-3</c:v>
                </c:pt>
                <c:pt idx="1177">
                  <c:v>1.65380374862183E-2</c:v>
                </c:pt>
                <c:pt idx="1178">
                  <c:v>9.9783080260303861E-3</c:v>
                </c:pt>
                <c:pt idx="1179">
                  <c:v>2.7491408934707928E-2</c:v>
                </c:pt>
                <c:pt idx="1180">
                  <c:v>-7.1070234113713082E-3</c:v>
                </c:pt>
                <c:pt idx="1181">
                  <c:v>4.2105263157894736E-2</c:v>
                </c:pt>
                <c:pt idx="1182">
                  <c:v>2.1212121212121154E-2</c:v>
                </c:pt>
                <c:pt idx="1183">
                  <c:v>-1.0089020771513314E-2</c:v>
                </c:pt>
                <c:pt idx="1184">
                  <c:v>7.1942446043165359E-3</c:v>
                </c:pt>
                <c:pt idx="1185">
                  <c:v>2.1825396825396855E-2</c:v>
                </c:pt>
                <c:pt idx="1186">
                  <c:v>-8.7378640776699587E-3</c:v>
                </c:pt>
                <c:pt idx="1187">
                  <c:v>0</c:v>
                </c:pt>
                <c:pt idx="1188">
                  <c:v>1.175318315377126E-3</c:v>
                </c:pt>
                <c:pt idx="1189">
                  <c:v>1.7609078458227324E-2</c:v>
                </c:pt>
                <c:pt idx="1190">
                  <c:v>2.8840607575466259E-2</c:v>
                </c:pt>
                <c:pt idx="1191">
                  <c:v>3.5507381797795709E-3</c:v>
                </c:pt>
                <c:pt idx="1192">
                  <c:v>1.024208566108002E-2</c:v>
                </c:pt>
                <c:pt idx="1193">
                  <c:v>7.8525345622119783E-2</c:v>
                </c:pt>
                <c:pt idx="1194">
                  <c:v>7.502990941719366E-2</c:v>
                </c:pt>
                <c:pt idx="1195">
                  <c:v>7.4721780604133481E-2</c:v>
                </c:pt>
                <c:pt idx="1196">
                  <c:v>7.3964497041420123E-3</c:v>
                </c:pt>
                <c:pt idx="1197">
                  <c:v>5.8737151248165302E-3</c:v>
                </c:pt>
                <c:pt idx="1198">
                  <c:v>2.9197080291971217E-3</c:v>
                </c:pt>
                <c:pt idx="1199">
                  <c:v>-6.2590975254730674E-2</c:v>
                </c:pt>
                <c:pt idx="1200">
                  <c:v>0</c:v>
                </c:pt>
                <c:pt idx="1201">
                  <c:v>2.9503105590061977E-2</c:v>
                </c:pt>
                <c:pt idx="1202">
                  <c:v>-3.484162895927595E-2</c:v>
                </c:pt>
                <c:pt idx="1203">
                  <c:v>6.0947022972338404E-3</c:v>
                </c:pt>
                <c:pt idx="1204">
                  <c:v>1.1960236098167293E-2</c:v>
                </c:pt>
                <c:pt idx="1205">
                  <c:v>5.9094397544128839E-2</c:v>
                </c:pt>
                <c:pt idx="1206">
                  <c:v>0</c:v>
                </c:pt>
                <c:pt idx="1207">
                  <c:v>-2.9565217391304438E-2</c:v>
                </c:pt>
                <c:pt idx="1208">
                  <c:v>-1.8817204301075134E-2</c:v>
                </c:pt>
                <c:pt idx="1209">
                  <c:v>1.6590563165905684E-2</c:v>
                </c:pt>
                <c:pt idx="1210">
                  <c:v>3.1441832609671169E-3</c:v>
                </c:pt>
                <c:pt idx="1211">
                  <c:v>1.3582089552238755E-2</c:v>
                </c:pt>
                <c:pt idx="1212">
                  <c:v>4.5648652628478996E-2</c:v>
                </c:pt>
                <c:pt idx="1213">
                  <c:v>7.041261794113505E-3</c:v>
                </c:pt>
                <c:pt idx="1214">
                  <c:v>1.7200391553628718E-2</c:v>
                </c:pt>
                <c:pt idx="1215">
                  <c:v>1.7321968655485361E-2</c:v>
                </c:pt>
                <c:pt idx="1216">
                  <c:v>1.3513513513513514E-2</c:v>
                </c:pt>
                <c:pt idx="1217">
                  <c:v>-1.466666666666659E-2</c:v>
                </c:pt>
                <c:pt idx="1218">
                  <c:v>-5.4127198917456789E-3</c:v>
                </c:pt>
                <c:pt idx="1219">
                  <c:v>1.8095238095238071E-2</c:v>
                </c:pt>
                <c:pt idx="1220">
                  <c:v>1.135908058265413E-2</c:v>
                </c:pt>
                <c:pt idx="1221">
                  <c:v>4.2283298097250677E-3</c:v>
                </c:pt>
                <c:pt idx="1222">
                  <c:v>1.1710526315789482E-2</c:v>
                </c:pt>
                <c:pt idx="1223">
                  <c:v>7.5042268175315327E-2</c:v>
                </c:pt>
                <c:pt idx="1224">
                  <c:v>5.250423421243653E-2</c:v>
                </c:pt>
                <c:pt idx="1225">
                  <c:v>-1.4367816091954023E-2</c:v>
                </c:pt>
                <c:pt idx="1226">
                  <c:v>-2.9154518950437317E-3</c:v>
                </c:pt>
                <c:pt idx="1227">
                  <c:v>-2.2222222222222289E-2</c:v>
                </c:pt>
                <c:pt idx="1228">
                  <c:v>-8.3732057416266593E-3</c:v>
                </c:pt>
                <c:pt idx="1229">
                  <c:v>-6.0313630880579009E-3</c:v>
                </c:pt>
                <c:pt idx="1230">
                  <c:v>-2.6699029126213625E-2</c:v>
                </c:pt>
                <c:pt idx="1231">
                  <c:v>-8.7281795511222303E-3</c:v>
                </c:pt>
                <c:pt idx="1232">
                  <c:v>-3.7735849056603414E-3</c:v>
                </c:pt>
                <c:pt idx="1233">
                  <c:v>-6.313131313131313E-3</c:v>
                </c:pt>
                <c:pt idx="1234">
                  <c:v>-1.1435832274460047E-2</c:v>
                </c:pt>
                <c:pt idx="1235">
                  <c:v>-2.3136246786632356E-2</c:v>
                </c:pt>
                <c:pt idx="1236">
                  <c:v>3.2894736842105261E-2</c:v>
                </c:pt>
                <c:pt idx="1237">
                  <c:v>5.2229299363057251E-2</c:v>
                </c:pt>
                <c:pt idx="1238">
                  <c:v>-3.1476997578692427E-2</c:v>
                </c:pt>
                <c:pt idx="1239">
                  <c:v>4.4999999999999929E-2</c:v>
                </c:pt>
                <c:pt idx="1240">
                  <c:v>-4.7846889952152093E-3</c:v>
                </c:pt>
                <c:pt idx="1241">
                  <c:v>5.4086538461538798E-3</c:v>
                </c:pt>
                <c:pt idx="1242">
                  <c:v>-7.770472205618717E-3</c:v>
                </c:pt>
                <c:pt idx="1243">
                  <c:v>-1.2048192771084338E-2</c:v>
                </c:pt>
                <c:pt idx="1244">
                  <c:v>6.0975609756097563E-3</c:v>
                </c:pt>
                <c:pt idx="1245">
                  <c:v>1.6606060606060662E-2</c:v>
                </c:pt>
                <c:pt idx="1246">
                  <c:v>-2.3011803982353723E-2</c:v>
                </c:pt>
                <c:pt idx="1247">
                  <c:v>-2.8069319013913105E-3</c:v>
                </c:pt>
                <c:pt idx="1248">
                  <c:v>8.4444988373517556E-3</c:v>
                </c:pt>
                <c:pt idx="1249">
                  <c:v>-4.8543689320389039E-3</c:v>
                </c:pt>
                <c:pt idx="1250">
                  <c:v>6.0975609756097563E-3</c:v>
                </c:pt>
                <c:pt idx="1251">
                  <c:v>-1.4545454545455098E-3</c:v>
                </c:pt>
                <c:pt idx="1252">
                  <c:v>-1.0682204418548136E-2</c:v>
                </c:pt>
                <c:pt idx="1253">
                  <c:v>-1.2269938650306749E-2</c:v>
                </c:pt>
                <c:pt idx="1254">
                  <c:v>7.1304347826086897E-2</c:v>
                </c:pt>
                <c:pt idx="1255">
                  <c:v>1.6929499072356309E-2</c:v>
                </c:pt>
                <c:pt idx="1256">
                  <c:v>1.3568985176738857E-2</c:v>
                </c:pt>
                <c:pt idx="1257">
                  <c:v>-1.451231859601762E-2</c:v>
                </c:pt>
                <c:pt idx="1258">
                  <c:v>-1.2557077625570711E-2</c:v>
                </c:pt>
                <c:pt idx="1259">
                  <c:v>1.0982658959537605E-2</c:v>
                </c:pt>
                <c:pt idx="1260">
                  <c:v>-5.1457975986278198E-3</c:v>
                </c:pt>
                <c:pt idx="1261">
                  <c:v>-1.4942528735632151E-2</c:v>
                </c:pt>
                <c:pt idx="1262">
                  <c:v>-1.1668611435245176E-4</c:v>
                </c:pt>
                <c:pt idx="1263">
                  <c:v>-2.217294900221703E-3</c:v>
                </c:pt>
                <c:pt idx="1264">
                  <c:v>2.7719298245614088E-2</c:v>
                </c:pt>
                <c:pt idx="1265">
                  <c:v>1.5932627745533238E-3</c:v>
                </c:pt>
                <c:pt idx="1266">
                  <c:v>-7.9536416316336087E-4</c:v>
                </c:pt>
                <c:pt idx="1267">
                  <c:v>-3.2294746418012318E-2</c:v>
                </c:pt>
                <c:pt idx="1268">
                  <c:v>-2.5851938895417024E-3</c:v>
                </c:pt>
                <c:pt idx="1269">
                  <c:v>1.4137606032045777E-3</c:v>
                </c:pt>
                <c:pt idx="1270">
                  <c:v>-7.0588235294116982E-3</c:v>
                </c:pt>
                <c:pt idx="1271">
                  <c:v>-1.6587677725118551E-2</c:v>
                </c:pt>
                <c:pt idx="1272">
                  <c:v>1.1927710843373433E-2</c:v>
                </c:pt>
                <c:pt idx="1273">
                  <c:v>-1.0715561376353042E-3</c:v>
                </c:pt>
                <c:pt idx="1274">
                  <c:v>4.1716328963050569E-3</c:v>
                </c:pt>
                <c:pt idx="1275">
                  <c:v>-6.2314540059347182E-2</c:v>
                </c:pt>
                <c:pt idx="1276">
                  <c:v>1.2658227848100546E-3</c:v>
                </c:pt>
                <c:pt idx="1277">
                  <c:v>5.8154235145386601E-3</c:v>
                </c:pt>
                <c:pt idx="1278">
                  <c:v>1.7973856209150232E-2</c:v>
                </c:pt>
                <c:pt idx="1279">
                  <c:v>-1.3581923694283176E-3</c:v>
                </c:pt>
                <c:pt idx="1280">
                  <c:v>2.0029673590504508E-2</c:v>
                </c:pt>
                <c:pt idx="1281">
                  <c:v>4.2424242424242427E-2</c:v>
                </c:pt>
                <c:pt idx="1282">
                  <c:v>3.4883720930232228E-3</c:v>
                </c:pt>
                <c:pt idx="1283">
                  <c:v>-3.4762456546928986E-3</c:v>
                </c:pt>
                <c:pt idx="1284">
                  <c:v>-2.9069767441860465E-3</c:v>
                </c:pt>
                <c:pt idx="1285">
                  <c:v>-2.0991253644314836E-2</c:v>
                </c:pt>
                <c:pt idx="1286">
                  <c:v>5.9559261465154444E-4</c:v>
                </c:pt>
                <c:pt idx="1287">
                  <c:v>0</c:v>
                </c:pt>
                <c:pt idx="1288">
                  <c:v>-2.976190476190476E-3</c:v>
                </c:pt>
                <c:pt idx="1289">
                  <c:v>-5.970149253731004E-4</c:v>
                </c:pt>
                <c:pt idx="1290">
                  <c:v>-2.0430107526881815E-2</c:v>
                </c:pt>
                <c:pt idx="1291">
                  <c:v>-1.6831320892791751E-2</c:v>
                </c:pt>
                <c:pt idx="1292">
                  <c:v>-1.3645949634040371E-3</c:v>
                </c:pt>
                <c:pt idx="1293">
                  <c:v>1.8633540372670808E-2</c:v>
                </c:pt>
                <c:pt idx="1294">
                  <c:v>-1.2439024390243855E-2</c:v>
                </c:pt>
                <c:pt idx="1295">
                  <c:v>6.4213386021239318E-3</c:v>
                </c:pt>
                <c:pt idx="1296">
                  <c:v>-4.4171779141104223E-3</c:v>
                </c:pt>
                <c:pt idx="1297">
                  <c:v>-1.7254128666502411E-3</c:v>
                </c:pt>
                <c:pt idx="1298">
                  <c:v>8.5185185185184913E-3</c:v>
                </c:pt>
                <c:pt idx="1299">
                  <c:v>1.6036234545232002E-2</c:v>
                </c:pt>
                <c:pt idx="1300">
                  <c:v>2.8313253012048123E-2</c:v>
                </c:pt>
                <c:pt idx="1301">
                  <c:v>5.1552431165789335E-3</c:v>
                </c:pt>
                <c:pt idx="1302">
                  <c:v>-3.4969110618954581E-3</c:v>
                </c:pt>
                <c:pt idx="1303">
                  <c:v>4.678909814013402E-3</c:v>
                </c:pt>
                <c:pt idx="1304">
                  <c:v>1.2807078821748682E-3</c:v>
                </c:pt>
                <c:pt idx="1305">
                  <c:v>-3.2558139534883852E-3</c:v>
                </c:pt>
                <c:pt idx="1306">
                  <c:v>3.4531031264582457E-2</c:v>
                </c:pt>
                <c:pt idx="1307">
                  <c:v>3.3829499323409689E-3</c:v>
                </c:pt>
                <c:pt idx="1308">
                  <c:v>-2.7871431782423059E-2</c:v>
                </c:pt>
                <c:pt idx="1309">
                  <c:v>4.046242774566474E-2</c:v>
                </c:pt>
                <c:pt idx="1310">
                  <c:v>8.3333333333333332E-3</c:v>
                </c:pt>
                <c:pt idx="1311">
                  <c:v>-8.2644628099173556E-3</c:v>
                </c:pt>
                <c:pt idx="1312">
                  <c:v>2.2222222222222223E-2</c:v>
                </c:pt>
                <c:pt idx="1313">
                  <c:v>-2.1739130434782608E-2</c:v>
                </c:pt>
                <c:pt idx="1314">
                  <c:v>5.3333333333333774E-3</c:v>
                </c:pt>
                <c:pt idx="1315">
                  <c:v>1.3262599469494954E-3</c:v>
                </c:pt>
                <c:pt idx="1316">
                  <c:v>9.3818984547462316E-3</c:v>
                </c:pt>
                <c:pt idx="1317">
                  <c:v>5.795516675779111E-2</c:v>
                </c:pt>
                <c:pt idx="1318">
                  <c:v>-7.7519379844961239E-3</c:v>
                </c:pt>
                <c:pt idx="1319">
                  <c:v>1.0416666666671996E-4</c:v>
                </c:pt>
                <c:pt idx="1320">
                  <c:v>1.7081554004791173E-2</c:v>
                </c:pt>
                <c:pt idx="1321">
                  <c:v>3.4306195596518117E-2</c:v>
                </c:pt>
                <c:pt idx="1322">
                  <c:v>-1.8712871287128719E-2</c:v>
                </c:pt>
                <c:pt idx="1323">
                  <c:v>1.4024820906063976E-2</c:v>
                </c:pt>
                <c:pt idx="1324">
                  <c:v>-3.0845771144278552E-2</c:v>
                </c:pt>
                <c:pt idx="1325">
                  <c:v>-1.7453798767967175E-2</c:v>
                </c:pt>
                <c:pt idx="1326">
                  <c:v>0</c:v>
                </c:pt>
                <c:pt idx="1327">
                  <c:v>1.8704284221525518E-2</c:v>
                </c:pt>
                <c:pt idx="1328">
                  <c:v>2.6669401989948215E-3</c:v>
                </c:pt>
                <c:pt idx="1329">
                  <c:v>4.3478260869565216E-2</c:v>
                </c:pt>
                <c:pt idx="1330">
                  <c:v>7.1568627450980778E-3</c:v>
                </c:pt>
                <c:pt idx="1331">
                  <c:v>-7.1060060352380406E-3</c:v>
                </c:pt>
                <c:pt idx="1332">
                  <c:v>-9.8039215686274508E-3</c:v>
                </c:pt>
                <c:pt idx="1333">
                  <c:v>1.9801980198019802E-2</c:v>
                </c:pt>
                <c:pt idx="1334">
                  <c:v>-1.9417475728155338E-2</c:v>
                </c:pt>
                <c:pt idx="1335">
                  <c:v>1.4851485148514851E-2</c:v>
                </c:pt>
                <c:pt idx="1336">
                  <c:v>9.7560975609756097E-3</c:v>
                </c:pt>
                <c:pt idx="1337">
                  <c:v>-7.8260869565217606E-3</c:v>
                </c:pt>
                <c:pt idx="1338">
                  <c:v>-1.6944200993280697E-2</c:v>
                </c:pt>
                <c:pt idx="1339">
                  <c:v>-1.9217434373452181E-2</c:v>
                </c:pt>
                <c:pt idx="1340">
                  <c:v>9.9989900010099466E-3</c:v>
                </c:pt>
                <c:pt idx="1341">
                  <c:v>4.0000000000000565E-3</c:v>
                </c:pt>
                <c:pt idx="1342">
                  <c:v>-6.9721115537848882E-3</c:v>
                </c:pt>
                <c:pt idx="1343">
                  <c:v>-1.705115346038117E-2</c:v>
                </c:pt>
                <c:pt idx="1344">
                  <c:v>-6.938775510204151E-3</c:v>
                </c:pt>
                <c:pt idx="1345">
                  <c:v>1.9625976161118074E-2</c:v>
                </c:pt>
                <c:pt idx="1346">
                  <c:v>-1.3907084551043128E-2</c:v>
                </c:pt>
                <c:pt idx="1347">
                  <c:v>-3.5769034236075047E-3</c:v>
                </c:pt>
                <c:pt idx="1348">
                  <c:v>-1.5384615384615385E-2</c:v>
                </c:pt>
                <c:pt idx="1349">
                  <c:v>7.2916666666666671E-2</c:v>
                </c:pt>
                <c:pt idx="1350">
                  <c:v>2.9223300970873837E-2</c:v>
                </c:pt>
                <c:pt idx="1351">
                  <c:v>8.6218281294217533E-2</c:v>
                </c:pt>
                <c:pt idx="1352">
                  <c:v>-1.8671298306556713E-2</c:v>
                </c:pt>
                <c:pt idx="1353">
                  <c:v>-2.6548672566371681E-2</c:v>
                </c:pt>
                <c:pt idx="1354">
                  <c:v>-1.1363636363636364E-2</c:v>
                </c:pt>
                <c:pt idx="1355">
                  <c:v>3.4482758620689655E-2</c:v>
                </c:pt>
                <c:pt idx="1356">
                  <c:v>8.8888888888888889E-3</c:v>
                </c:pt>
                <c:pt idx="1357">
                  <c:v>-1.3215859030837005E-2</c:v>
                </c:pt>
                <c:pt idx="1358">
                  <c:v>6.2500000000000255E-3</c:v>
                </c:pt>
                <c:pt idx="1359">
                  <c:v>1.1535048802129522E-2</c:v>
                </c:pt>
                <c:pt idx="1360">
                  <c:v>7.8947368421053137E-3</c:v>
                </c:pt>
                <c:pt idx="1361">
                  <c:v>-3.5683202785031401E-3</c:v>
                </c:pt>
                <c:pt idx="1362">
                  <c:v>1.537252161760857E-2</c:v>
                </c:pt>
                <c:pt idx="1363">
                  <c:v>-1.118279569892434E-3</c:v>
                </c:pt>
                <c:pt idx="1364">
                  <c:v>-1.1195315191182369E-3</c:v>
                </c:pt>
                <c:pt idx="1365">
                  <c:v>-1.3708078282610477E-2</c:v>
                </c:pt>
                <c:pt idx="1366">
                  <c:v>5.1573426573425628E-3</c:v>
                </c:pt>
                <c:pt idx="1367">
                  <c:v>-8.6094442995042608E-3</c:v>
                </c:pt>
                <c:pt idx="1368">
                  <c:v>2.3684210526315815E-2</c:v>
                </c:pt>
                <c:pt idx="1369">
                  <c:v>-5.9982862039417552E-3</c:v>
                </c:pt>
                <c:pt idx="1370">
                  <c:v>-1.8965517241379334E-2</c:v>
                </c:pt>
                <c:pt idx="1371">
                  <c:v>-1.1423550087873437E-2</c:v>
                </c:pt>
                <c:pt idx="1372">
                  <c:v>-1.0222222222222273E-2</c:v>
                </c:pt>
                <c:pt idx="1373">
                  <c:v>1.4818140996856809E-2</c:v>
                </c:pt>
                <c:pt idx="1374">
                  <c:v>-3.6725663716814211E-2</c:v>
                </c:pt>
                <c:pt idx="1375">
                  <c:v>8.2682590721176452E-3</c:v>
                </c:pt>
                <c:pt idx="1376">
                  <c:v>1.5945330296127564E-2</c:v>
                </c:pt>
                <c:pt idx="1377">
                  <c:v>-4.4843049327351713E-4</c:v>
                </c:pt>
                <c:pt idx="1378">
                  <c:v>-1.7496635262449555E-2</c:v>
                </c:pt>
                <c:pt idx="1379">
                  <c:v>-9.1324200913242004E-3</c:v>
                </c:pt>
                <c:pt idx="1380">
                  <c:v>-1.3824884792626729E-2</c:v>
                </c:pt>
                <c:pt idx="1381">
                  <c:v>-1.0747663551401922E-2</c:v>
                </c:pt>
                <c:pt idx="1382">
                  <c:v>-2.6924893717524746E-2</c:v>
                </c:pt>
                <c:pt idx="1383">
                  <c:v>-2.9126213592233011E-2</c:v>
                </c:pt>
                <c:pt idx="1384">
                  <c:v>-5.4999999999999719E-3</c:v>
                </c:pt>
                <c:pt idx="1385">
                  <c:v>1.3071895424836572E-2</c:v>
                </c:pt>
                <c:pt idx="1386">
                  <c:v>-7.2456575682382533E-3</c:v>
                </c:pt>
                <c:pt idx="1387">
                  <c:v>-3.999200159967211E-4</c:v>
                </c:pt>
                <c:pt idx="1388">
                  <c:v>-9.901980396079306E-3</c:v>
                </c:pt>
                <c:pt idx="1389">
                  <c:v>2.0305081321345644E-2</c:v>
                </c:pt>
                <c:pt idx="1390">
                  <c:v>2.9504950495049545E-2</c:v>
                </c:pt>
                <c:pt idx="1391">
                  <c:v>-6.1742642815926153E-2</c:v>
                </c:pt>
                <c:pt idx="1392">
                  <c:v>9.6350963509634867E-3</c:v>
                </c:pt>
                <c:pt idx="1393">
                  <c:v>0</c:v>
                </c:pt>
                <c:pt idx="1394">
                  <c:v>0</c:v>
                </c:pt>
                <c:pt idx="1395">
                  <c:v>-7.6142131979695434E-3</c:v>
                </c:pt>
                <c:pt idx="1396">
                  <c:v>-6.138107416880028E-4</c:v>
                </c:pt>
                <c:pt idx="1397">
                  <c:v>-1.2079025488790999E-2</c:v>
                </c:pt>
                <c:pt idx="1398">
                  <c:v>7.1495181846440541E-3</c:v>
                </c:pt>
                <c:pt idx="1399">
                  <c:v>-1.2242798353909441E-2</c:v>
                </c:pt>
                <c:pt idx="1400">
                  <c:v>9.269867722112286E-3</c:v>
                </c:pt>
                <c:pt idx="1401">
                  <c:v>1.0319917440659888E-3</c:v>
                </c:pt>
                <c:pt idx="1402">
                  <c:v>-1.0309278350514879E-3</c:v>
                </c:pt>
                <c:pt idx="1403">
                  <c:v>-1.4447884416924722E-2</c:v>
                </c:pt>
                <c:pt idx="1404">
                  <c:v>5.235602094240838E-3</c:v>
                </c:pt>
                <c:pt idx="1405">
                  <c:v>-9.1666666666666199E-3</c:v>
                </c:pt>
                <c:pt idx="1406">
                  <c:v>1.7661900756938527E-2</c:v>
                </c:pt>
                <c:pt idx="1407">
                  <c:v>-2.8615702479338801E-2</c:v>
                </c:pt>
                <c:pt idx="1408">
                  <c:v>4.9984047644368694E-3</c:v>
                </c:pt>
                <c:pt idx="1409">
                  <c:v>5.2910052910052907E-3</c:v>
                </c:pt>
                <c:pt idx="1410">
                  <c:v>4.2105263157895334E-3</c:v>
                </c:pt>
                <c:pt idx="1411">
                  <c:v>-6.2893081761007177E-3</c:v>
                </c:pt>
                <c:pt idx="1412">
                  <c:v>2.1097046413502412E-3</c:v>
                </c:pt>
                <c:pt idx="1413">
                  <c:v>7.3684210526316091E-3</c:v>
                </c:pt>
                <c:pt idx="1414">
                  <c:v>2.9153605015673899E-2</c:v>
                </c:pt>
                <c:pt idx="1415">
                  <c:v>-6.4981216367143929E-3</c:v>
                </c:pt>
                <c:pt idx="1416">
                  <c:v>2.1461420541645463E-2</c:v>
                </c:pt>
                <c:pt idx="1417">
                  <c:v>5.0025012506250282E-4</c:v>
                </c:pt>
                <c:pt idx="1418">
                  <c:v>-3.9000000000000059E-3</c:v>
                </c:pt>
                <c:pt idx="1419">
                  <c:v>-6.1238831442626184E-3</c:v>
                </c:pt>
                <c:pt idx="1420">
                  <c:v>1.2626262626262626E-2</c:v>
                </c:pt>
                <c:pt idx="1421">
                  <c:v>-1.2468827930174564E-2</c:v>
                </c:pt>
                <c:pt idx="1422">
                  <c:v>1.0101010101010102E-2</c:v>
                </c:pt>
                <c:pt idx="1423">
                  <c:v>5.0000000000000001E-3</c:v>
                </c:pt>
                <c:pt idx="1424">
                  <c:v>5.970149253731287E-3</c:v>
                </c:pt>
                <c:pt idx="1425">
                  <c:v>6.3303659742828935E-2</c:v>
                </c:pt>
                <c:pt idx="1426">
                  <c:v>2.3255813953488372E-2</c:v>
                </c:pt>
                <c:pt idx="1427">
                  <c:v>-9.9999999999999482E-3</c:v>
                </c:pt>
                <c:pt idx="1428">
                  <c:v>-5.9687786960514752E-3</c:v>
                </c:pt>
                <c:pt idx="1429">
                  <c:v>-4.1570438799076476E-3</c:v>
                </c:pt>
                <c:pt idx="1430">
                  <c:v>1.8552875695733103E-3</c:v>
                </c:pt>
                <c:pt idx="1431">
                  <c:v>-9.2592592592587327E-4</c:v>
                </c:pt>
                <c:pt idx="1432">
                  <c:v>-8.2483781278962047E-3</c:v>
                </c:pt>
                <c:pt idx="1433">
                  <c:v>-4.7659097280628457E-3</c:v>
                </c:pt>
                <c:pt idx="1434">
                  <c:v>6.5727699530516697E-3</c:v>
                </c:pt>
                <c:pt idx="1435">
                  <c:v>-1.1007462686567228E-2</c:v>
                </c:pt>
                <c:pt idx="1436">
                  <c:v>2.3297491039426514E-2</c:v>
                </c:pt>
                <c:pt idx="1437">
                  <c:v>9.3096137892893834E-3</c:v>
                </c:pt>
                <c:pt idx="1438">
                  <c:v>4.5662100456621002E-3</c:v>
                </c:pt>
                <c:pt idx="1439">
                  <c:v>4.5454545454545452E-3</c:v>
                </c:pt>
                <c:pt idx="1440">
                  <c:v>2.2533936651583663E-2</c:v>
                </c:pt>
                <c:pt idx="1441">
                  <c:v>-3.5312859545092445E-2</c:v>
                </c:pt>
                <c:pt idx="1442">
                  <c:v>-9.7247706422018566E-3</c:v>
                </c:pt>
                <c:pt idx="1443">
                  <c:v>5.1880674448768049E-3</c:v>
                </c:pt>
                <c:pt idx="1444">
                  <c:v>-5.5299539170506392E-3</c:v>
                </c:pt>
                <c:pt idx="1445">
                  <c:v>-3.7998146431882369E-3</c:v>
                </c:pt>
                <c:pt idx="1446">
                  <c:v>-1.3861754581821518E-2</c:v>
                </c:pt>
                <c:pt idx="1447">
                  <c:v>2.3584905660377358E-3</c:v>
                </c:pt>
                <c:pt idx="1448">
                  <c:v>-2.352941176470588E-3</c:v>
                </c:pt>
                <c:pt idx="1449">
                  <c:v>-9.5283018867925017E-3</c:v>
                </c:pt>
                <c:pt idx="1450">
                  <c:v>9.5247166396848426E-5</c:v>
                </c:pt>
                <c:pt idx="1451">
                  <c:v>-1.4285714285714285E-2</c:v>
                </c:pt>
                <c:pt idx="1452">
                  <c:v>9.5652173913042988E-3</c:v>
                </c:pt>
                <c:pt idx="1453">
                  <c:v>1.4451143650110108E-2</c:v>
                </c:pt>
                <c:pt idx="1454">
                  <c:v>-9.433962264150943E-3</c:v>
                </c:pt>
                <c:pt idx="1455">
                  <c:v>0</c:v>
                </c:pt>
                <c:pt idx="1456">
                  <c:v>9.5238095238095247E-3</c:v>
                </c:pt>
                <c:pt idx="1457">
                  <c:v>3.3962264150943344E-3</c:v>
                </c:pt>
                <c:pt idx="1458">
                  <c:v>9.5242572395637409E-2</c:v>
                </c:pt>
                <c:pt idx="1459">
                  <c:v>6.4383208859129543E-2</c:v>
                </c:pt>
                <c:pt idx="1460">
                  <c:v>3.2341317848213605E-2</c:v>
                </c:pt>
                <c:pt idx="1461">
                  <c:v>5.4609375000000071E-2</c:v>
                </c:pt>
                <c:pt idx="1462">
                  <c:v>3.7780576338987395E-3</c:v>
                </c:pt>
                <c:pt idx="1463">
                  <c:v>3.6900369003690036E-3</c:v>
                </c:pt>
                <c:pt idx="1464">
                  <c:v>0</c:v>
                </c:pt>
                <c:pt idx="1465">
                  <c:v>3.6029411764706551E-3</c:v>
                </c:pt>
                <c:pt idx="1466">
                  <c:v>-1.3847168290717375E-2</c:v>
                </c:pt>
                <c:pt idx="1467">
                  <c:v>2.5260029717682063E-2</c:v>
                </c:pt>
                <c:pt idx="1468">
                  <c:v>-6.8115942028985346E-3</c:v>
                </c:pt>
                <c:pt idx="1469">
                  <c:v>-3.6991098788851547E-2</c:v>
                </c:pt>
                <c:pt idx="1470">
                  <c:v>-4.5382225926206596E-2</c:v>
                </c:pt>
                <c:pt idx="1471">
                  <c:v>3.1666666666666739E-2</c:v>
                </c:pt>
                <c:pt idx="1472">
                  <c:v>7.7698284483421094E-3</c:v>
                </c:pt>
                <c:pt idx="1473">
                  <c:v>-4.5801526717557252E-2</c:v>
                </c:pt>
                <c:pt idx="1474">
                  <c:v>-1.6E-2</c:v>
                </c:pt>
                <c:pt idx="1475">
                  <c:v>3.739837398373979E-2</c:v>
                </c:pt>
                <c:pt idx="1476">
                  <c:v>-2.1316614420062687E-2</c:v>
                </c:pt>
                <c:pt idx="1477">
                  <c:v>-1.553491351697628E-2</c:v>
                </c:pt>
                <c:pt idx="1478">
                  <c:v>-1.5698714820237453E-2</c:v>
                </c:pt>
                <c:pt idx="1479">
                  <c:v>5.5284687215932549E-2</c:v>
                </c:pt>
                <c:pt idx="1480">
                  <c:v>2.4275646045418017E-3</c:v>
                </c:pt>
                <c:pt idx="1481">
                  <c:v>-2.3513787985313579E-2</c:v>
                </c:pt>
                <c:pt idx="1482">
                  <c:v>8.0000000000000002E-3</c:v>
                </c:pt>
                <c:pt idx="1483">
                  <c:v>7.0238095238095197E-2</c:v>
                </c:pt>
                <c:pt idx="1484">
                  <c:v>-2.1505376344086065E-2</c:v>
                </c:pt>
                <c:pt idx="1485">
                  <c:v>2.3114816218264583E-2</c:v>
                </c:pt>
                <c:pt idx="1486">
                  <c:v>2.2222222222223064E-4</c:v>
                </c:pt>
                <c:pt idx="1487">
                  <c:v>4.7396874768568936E-3</c:v>
                </c:pt>
                <c:pt idx="1488">
                  <c:v>-6.2652023291810601E-3</c:v>
                </c:pt>
                <c:pt idx="1489">
                  <c:v>-9.5683133066310055E-3</c:v>
                </c:pt>
                <c:pt idx="1490">
                  <c:v>-2.1343518310491982E-2</c:v>
                </c:pt>
                <c:pt idx="1491">
                  <c:v>-1.5993265993266018E-2</c:v>
                </c:pt>
                <c:pt idx="1492">
                  <c:v>4.0982969126681777E-2</c:v>
                </c:pt>
                <c:pt idx="1493">
                  <c:v>-4.4822949350068928E-4</c:v>
                </c:pt>
                <c:pt idx="1494">
                  <c:v>-1.4200298953662011E-3</c:v>
                </c:pt>
                <c:pt idx="1495">
                  <c:v>3.4428560736470288E-3</c:v>
                </c:pt>
                <c:pt idx="1496">
                  <c:v>-7.4587901842321181E-3</c:v>
                </c:pt>
                <c:pt idx="1497">
                  <c:v>1.8937401367701289E-2</c:v>
                </c:pt>
                <c:pt idx="1498">
                  <c:v>2.2863042997271353E-3</c:v>
                </c:pt>
                <c:pt idx="1499">
                  <c:v>-2.5754231052243877E-3</c:v>
                </c:pt>
                <c:pt idx="1500">
                  <c:v>-1.1287347842124684E-2</c:v>
                </c:pt>
                <c:pt idx="1501">
                  <c:v>-5.9692583196547155E-4</c:v>
                </c:pt>
                <c:pt idx="1502">
                  <c:v>-4.8529192175601442E-3</c:v>
                </c:pt>
                <c:pt idx="1503">
                  <c:v>8.4777552704628674E-3</c:v>
                </c:pt>
                <c:pt idx="1504">
                  <c:v>-1.0340723106680452E-2</c:v>
                </c:pt>
                <c:pt idx="1505">
                  <c:v>-6.9157332932420316E-3</c:v>
                </c:pt>
                <c:pt idx="1506">
                  <c:v>5.820906820074178E-2</c:v>
                </c:pt>
                <c:pt idx="1507">
                  <c:v>2.37482117310443E-2</c:v>
                </c:pt>
                <c:pt idx="1508">
                  <c:v>-4.1922861934040965E-3</c:v>
                </c:pt>
                <c:pt idx="1509">
                  <c:v>-1.9295537468425484E-2</c:v>
                </c:pt>
                <c:pt idx="1510">
                  <c:v>2.0032911211275749E-3</c:v>
                </c:pt>
                <c:pt idx="1511">
                  <c:v>2.1420921099606065E-3</c:v>
                </c:pt>
                <c:pt idx="1512">
                  <c:v>-7.1250445315279175E-4</c:v>
                </c:pt>
                <c:pt idx="1513">
                  <c:v>1.4688057040998233E-2</c:v>
                </c:pt>
                <c:pt idx="1514">
                  <c:v>-5.7620687232098457E-3</c:v>
                </c:pt>
                <c:pt idx="1515">
                  <c:v>-4.5656936885999061E-2</c:v>
                </c:pt>
                <c:pt idx="1516">
                  <c:v>-2.9623046730356639E-3</c:v>
                </c:pt>
                <c:pt idx="1517">
                  <c:v>1.6415360617990107E-2</c:v>
                </c:pt>
                <c:pt idx="1518">
                  <c:v>7.9655071616486651E-3</c:v>
                </c:pt>
                <c:pt idx="1519">
                  <c:v>2.8420213151598546E-2</c:v>
                </c:pt>
                <c:pt idx="1520">
                  <c:v>-1.268946069792022E-2</c:v>
                </c:pt>
                <c:pt idx="1521">
                  <c:v>-1.4709032488397016E-2</c:v>
                </c:pt>
                <c:pt idx="1522">
                  <c:v>1.6885281542140619E-2</c:v>
                </c:pt>
                <c:pt idx="1523">
                  <c:v>2.7294754846066225E-2</c:v>
                </c:pt>
                <c:pt idx="1524">
                  <c:v>-9.2958723551855946E-3</c:v>
                </c:pt>
                <c:pt idx="1525">
                  <c:v>-6.37210279392197E-3</c:v>
                </c:pt>
                <c:pt idx="1526">
                  <c:v>2.1564482029598323E-2</c:v>
                </c:pt>
                <c:pt idx="1527">
                  <c:v>-1.3314017660044197E-2</c:v>
                </c:pt>
                <c:pt idx="1528">
                  <c:v>-7.690694259945426E-3</c:v>
                </c:pt>
                <c:pt idx="1529">
                  <c:v>-9.511731135066542E-3</c:v>
                </c:pt>
                <c:pt idx="1530">
                  <c:v>1.7214397496087545E-2</c:v>
                </c:pt>
                <c:pt idx="1531">
                  <c:v>-6.6433566433565638E-3</c:v>
                </c:pt>
                <c:pt idx="1532">
                  <c:v>-2.815909890884932E-4</c:v>
                </c:pt>
                <c:pt idx="1533">
                  <c:v>-7.0417576226962223E-5</c:v>
                </c:pt>
                <c:pt idx="1534">
                  <c:v>8.0985915492958142E-3</c:v>
                </c:pt>
                <c:pt idx="1535">
                  <c:v>1.3971358714634204E-3</c:v>
                </c:pt>
                <c:pt idx="1536">
                  <c:v>-3.7670038367631116E-3</c:v>
                </c:pt>
                <c:pt idx="1537">
                  <c:v>6.722218332049632E-3</c:v>
                </c:pt>
                <c:pt idx="1538">
                  <c:v>-6.2599986088894349E-4</c:v>
                </c:pt>
                <c:pt idx="1539">
                  <c:v>-1.3223830734966433E-3</c:v>
                </c:pt>
                <c:pt idx="1540">
                  <c:v>-7.2478918391526963E-3</c:v>
                </c:pt>
                <c:pt idx="1541">
                  <c:v>1.2636012636013116E-3</c:v>
                </c:pt>
                <c:pt idx="1542">
                  <c:v>1.2620065904789092E-3</c:v>
                </c:pt>
                <c:pt idx="1543">
                  <c:v>-3.501155381276617E-4</c:v>
                </c:pt>
                <c:pt idx="1544">
                  <c:v>-2.3115718688707207E-3</c:v>
                </c:pt>
                <c:pt idx="1545">
                  <c:v>-1.193568770624278E-3</c:v>
                </c:pt>
                <c:pt idx="1546">
                  <c:v>-8.3649655560241662E-3</c:v>
                </c:pt>
                <c:pt idx="1547">
                  <c:v>2.2542000425320813E-2</c:v>
                </c:pt>
                <c:pt idx="1548">
                  <c:v>-3.8128249566725227E-3</c:v>
                </c:pt>
                <c:pt idx="1549">
                  <c:v>1.2108559498956223E-2</c:v>
                </c:pt>
                <c:pt idx="1550">
                  <c:v>-8.8008800880088091E-3</c:v>
                </c:pt>
                <c:pt idx="1551">
                  <c:v>-1.6440066592674836E-2</c:v>
                </c:pt>
                <c:pt idx="1552">
                  <c:v>-1.0296917977290215E-2</c:v>
                </c:pt>
                <c:pt idx="1553">
                  <c:v>8.9075750017815133E-3</c:v>
                </c:pt>
                <c:pt idx="1554">
                  <c:v>1.0029665206950046E-2</c:v>
                </c:pt>
                <c:pt idx="1555">
                  <c:v>-1.5454545454545511E-2</c:v>
                </c:pt>
                <c:pt idx="1556">
                  <c:v>-2.6990553306342458E-3</c:v>
                </c:pt>
                <c:pt idx="1557">
                  <c:v>4.2019799159604262E-3</c:v>
                </c:pt>
                <c:pt idx="1558">
                  <c:v>1.4113475177305029E-2</c:v>
                </c:pt>
                <c:pt idx="1559">
                  <c:v>2.0980488146024991E-4</c:v>
                </c:pt>
                <c:pt idx="1560">
                  <c:v>0</c:v>
                </c:pt>
                <c:pt idx="1561">
                  <c:v>-3.5449587470284025E-2</c:v>
                </c:pt>
                <c:pt idx="1562">
                  <c:v>1.0438564697354099E-2</c:v>
                </c:pt>
                <c:pt idx="1563">
                  <c:v>1.5783054738505438E-3</c:v>
                </c:pt>
                <c:pt idx="1564">
                  <c:v>7.8790917556048577E-3</c:v>
                </c:pt>
                <c:pt idx="1565">
                  <c:v>-1.6274607348447306E-2</c:v>
                </c:pt>
                <c:pt idx="1566">
                  <c:v>7.9468284929925075E-3</c:v>
                </c:pt>
                <c:pt idx="1567">
                  <c:v>-1.1611238532110123E-2</c:v>
                </c:pt>
                <c:pt idx="1568">
                  <c:v>-1.6171138506164019E-2</c:v>
                </c:pt>
                <c:pt idx="1569">
                  <c:v>-3.899167096631527E-2</c:v>
                </c:pt>
                <c:pt idx="1570">
                  <c:v>-9.9708544255250396E-4</c:v>
                </c:pt>
                <c:pt idx="1571">
                  <c:v>2.6333973128598902E-2</c:v>
                </c:pt>
                <c:pt idx="1572">
                  <c:v>7.5104727707959243E-2</c:v>
                </c:pt>
                <c:pt idx="1573">
                  <c:v>-2.5814082939048206E-2</c:v>
                </c:pt>
                <c:pt idx="1574">
                  <c:v>-1.3999000071423325E-2</c:v>
                </c:pt>
                <c:pt idx="1575">
                  <c:v>-7.9681274900408286E-4</c:v>
                </c:pt>
                <c:pt idx="1576">
                  <c:v>1.0076845005074777E-2</c:v>
                </c:pt>
                <c:pt idx="1577">
                  <c:v>4.5934113256297015E-3</c:v>
                </c:pt>
                <c:pt idx="1578">
                  <c:v>-8.7875973422875606E-3</c:v>
                </c:pt>
                <c:pt idx="1579">
                  <c:v>2.8542597664696405E-2</c:v>
                </c:pt>
                <c:pt idx="1580">
                  <c:v>-3.5038542396636303E-3</c:v>
                </c:pt>
                <c:pt idx="1581">
                  <c:v>-2.6019690576650923E-3</c:v>
                </c:pt>
                <c:pt idx="1582">
                  <c:v>-1.2056687583727053E-2</c:v>
                </c:pt>
                <c:pt idx="1583">
                  <c:v>-9.2777619183553699E-4</c:v>
                </c:pt>
                <c:pt idx="1584">
                  <c:v>4.2860204300308784E-4</c:v>
                </c:pt>
                <c:pt idx="1585">
                  <c:v>1.2138521956443233E-3</c:v>
                </c:pt>
                <c:pt idx="1586">
                  <c:v>6.2758522322064999E-3</c:v>
                </c:pt>
                <c:pt idx="1587">
                  <c:v>2.9411764705882394E-2</c:v>
                </c:pt>
                <c:pt idx="1588">
                  <c:v>3.4148020654044806E-2</c:v>
                </c:pt>
                <c:pt idx="1589">
                  <c:v>-1.3381266227281934E-2</c:v>
                </c:pt>
                <c:pt idx="1590">
                  <c:v>2.6180836707152658E-2</c:v>
                </c:pt>
                <c:pt idx="1591">
                  <c:v>1.3808521830614119E-3</c:v>
                </c:pt>
                <c:pt idx="1592">
                  <c:v>1.4840107689277165E-2</c:v>
                </c:pt>
                <c:pt idx="1593">
                  <c:v>-2.9246198641216498E-2</c:v>
                </c:pt>
                <c:pt idx="1594">
                  <c:v>3.1726987935746125E-2</c:v>
                </c:pt>
                <c:pt idx="1595">
                  <c:v>-5.8789327475934922E-3</c:v>
                </c:pt>
                <c:pt idx="1596">
                  <c:v>-1.0267741096958567E-2</c:v>
                </c:pt>
                <c:pt idx="1597">
                  <c:v>9.4550229809586186E-3</c:v>
                </c:pt>
                <c:pt idx="1598">
                  <c:v>-3.122154286457774E-3</c:v>
                </c:pt>
                <c:pt idx="1599">
                  <c:v>-2.1336291269737583E-2</c:v>
                </c:pt>
                <c:pt idx="1600">
                  <c:v>2.0668044536302381E-2</c:v>
                </c:pt>
                <c:pt idx="1601">
                  <c:v>2.710823698478023E-2</c:v>
                </c:pt>
                <c:pt idx="1602">
                  <c:v>-2.8427880946324081E-2</c:v>
                </c:pt>
                <c:pt idx="1603">
                  <c:v>5.6948353734370362E-3</c:v>
                </c:pt>
                <c:pt idx="1604">
                  <c:v>2.6946107784431236E-2</c:v>
                </c:pt>
                <c:pt idx="1605">
                  <c:v>4.1133223475725754E-2</c:v>
                </c:pt>
                <c:pt idx="1606">
                  <c:v>4.6447921105497017E-2</c:v>
                </c:pt>
                <c:pt idx="1607">
                  <c:v>-4.1419429901105316E-2</c:v>
                </c:pt>
                <c:pt idx="1608">
                  <c:v>3.1557227818909996E-2</c:v>
                </c:pt>
                <c:pt idx="1609">
                  <c:v>1.0883633368631738E-2</c:v>
                </c:pt>
                <c:pt idx="1610">
                  <c:v>-4.8303555840075217E-3</c:v>
                </c:pt>
                <c:pt idx="1611">
                  <c:v>-1.672514619883049E-2</c:v>
                </c:pt>
                <c:pt idx="1612">
                  <c:v>2.0994409420720835E-2</c:v>
                </c:pt>
                <c:pt idx="1613">
                  <c:v>-3.2970233587697309E-2</c:v>
                </c:pt>
                <c:pt idx="1614">
                  <c:v>4.0419251852298103E-2</c:v>
                </c:pt>
                <c:pt idx="1615">
                  <c:v>-1.6211208893006088E-3</c:v>
                </c:pt>
                <c:pt idx="1616">
                  <c:v>-1.4787752261656295E-2</c:v>
                </c:pt>
                <c:pt idx="1617">
                  <c:v>-8.5937959856376457E-3</c:v>
                </c:pt>
                <c:pt idx="1618">
                  <c:v>-1.4427358546577253E-2</c:v>
                </c:pt>
                <c:pt idx="1619">
                  <c:v>-8.2530120481927993E-3</c:v>
                </c:pt>
                <c:pt idx="1620">
                  <c:v>-1.1905485027030359E-2</c:v>
                </c:pt>
                <c:pt idx="1621">
                  <c:v>1.9487305588000346E-2</c:v>
                </c:pt>
                <c:pt idx="1622">
                  <c:v>-4.5224312590448623E-3</c:v>
                </c:pt>
                <c:pt idx="1623">
                  <c:v>1.8777636440729436E-3</c:v>
                </c:pt>
                <c:pt idx="1624">
                  <c:v>-7.617896009673635E-3</c:v>
                </c:pt>
                <c:pt idx="1625">
                  <c:v>6.76251980017067E-3</c:v>
                </c:pt>
                <c:pt idx="1626">
                  <c:v>4.5385779122541605E-3</c:v>
                </c:pt>
                <c:pt idx="1627">
                  <c:v>-6.0240963855366898E-5</c:v>
                </c:pt>
                <c:pt idx="1628">
                  <c:v>5.301524188204081E-3</c:v>
                </c:pt>
                <c:pt idx="1629">
                  <c:v>3.3918619284472921E-2</c:v>
                </c:pt>
                <c:pt idx="1630">
                  <c:v>-1.1360343128731281E-2</c:v>
                </c:pt>
                <c:pt idx="1631">
                  <c:v>1.5946532215512687E-2</c:v>
                </c:pt>
                <c:pt idx="1632">
                  <c:v>1.0387212187662366E-2</c:v>
                </c:pt>
                <c:pt idx="1633">
                  <c:v>1.427837112342224E-3</c:v>
                </c:pt>
                <c:pt idx="1634">
                  <c:v>4.2203718489791292E-2</c:v>
                </c:pt>
                <c:pt idx="1635">
                  <c:v>-1.31334135930831E-2</c:v>
                </c:pt>
                <c:pt idx="1636">
                  <c:v>-2.0516801596983728E-3</c:v>
                </c:pt>
                <c:pt idx="1637">
                  <c:v>1.6669444907485212E-4</c:v>
                </c:pt>
                <c:pt idx="1638">
                  <c:v>3.9333333333333401E-2</c:v>
                </c:pt>
                <c:pt idx="1639">
                  <c:v>9.680350652127423E-2</c:v>
                </c:pt>
                <c:pt idx="1640">
                  <c:v>1.7154832106827868E-2</c:v>
                </c:pt>
                <c:pt idx="1641">
                  <c:v>-1.8254994969095883E-2</c:v>
                </c:pt>
                <c:pt idx="1642">
                  <c:v>4.685212298682323E-3</c:v>
                </c:pt>
                <c:pt idx="1643">
                  <c:v>-2.0207908287185584E-2</c:v>
                </c:pt>
                <c:pt idx="1644">
                  <c:v>-5.0768468021814485E-2</c:v>
                </c:pt>
                <c:pt idx="1645">
                  <c:v>-3.6038859291757951E-3</c:v>
                </c:pt>
                <c:pt idx="1646">
                  <c:v>-2.2068459401373423E-2</c:v>
                </c:pt>
                <c:pt idx="1647">
                  <c:v>9.9699828473412584E-3</c:v>
                </c:pt>
                <c:pt idx="1648">
                  <c:v>1.7991720624137644E-2</c:v>
                </c:pt>
                <c:pt idx="1649">
                  <c:v>1.9654866795266204E-2</c:v>
                </c:pt>
                <c:pt idx="1650">
                  <c:v>-2.5564986194907453E-2</c:v>
                </c:pt>
                <c:pt idx="1651">
                  <c:v>-2.2930003148284209E-2</c:v>
                </c:pt>
                <c:pt idx="1652">
                  <c:v>1.3318296546909348E-2</c:v>
                </c:pt>
                <c:pt idx="1653">
                  <c:v>1.9608882293709197E-2</c:v>
                </c:pt>
                <c:pt idx="1654">
                  <c:v>-9.5119288944330999E-3</c:v>
                </c:pt>
                <c:pt idx="1655">
                  <c:v>1.5375734676742268E-2</c:v>
                </c:pt>
                <c:pt idx="1656">
                  <c:v>-1.2713835340327707E-2</c:v>
                </c:pt>
                <c:pt idx="1657">
                  <c:v>-4.658954090980552E-3</c:v>
                </c:pt>
                <c:pt idx="1658">
                  <c:v>-5.048911328494686E-3</c:v>
                </c:pt>
                <c:pt idx="1659">
                  <c:v>-2.5901258061106305E-3</c:v>
                </c:pt>
                <c:pt idx="1660">
                  <c:v>-1.5899093751656757E-4</c:v>
                </c:pt>
                <c:pt idx="1661">
                  <c:v>1.1449167815117125E-2</c:v>
                </c:pt>
                <c:pt idx="1662">
                  <c:v>-5.4501624567654967E-3</c:v>
                </c:pt>
                <c:pt idx="1663">
                  <c:v>-1.2751607124038293E-2</c:v>
                </c:pt>
                <c:pt idx="1664">
                  <c:v>1.6545687446626784E-2</c:v>
                </c:pt>
                <c:pt idx="1665">
                  <c:v>1.6801428121389959E-3</c:v>
                </c:pt>
                <c:pt idx="1666">
                  <c:v>8.8059545025684395E-3</c:v>
                </c:pt>
                <c:pt idx="1667">
                  <c:v>4.4165021303127624E-3</c:v>
                </c:pt>
                <c:pt idx="1668">
                  <c:v>1.4794889038332136E-2</c:v>
                </c:pt>
                <c:pt idx="1669">
                  <c:v>3.9047764693888085E-2</c:v>
                </c:pt>
                <c:pt idx="1670">
                  <c:v>-1.0842368640533817E-2</c:v>
                </c:pt>
                <c:pt idx="1671">
                  <c:v>6.2692193234798063E-2</c:v>
                </c:pt>
                <c:pt idx="1672">
                  <c:v>-1.0921310557266889E-2</c:v>
                </c:pt>
                <c:pt idx="1673">
                  <c:v>-1.0192525481313688E-2</c:v>
                </c:pt>
                <c:pt idx="1674">
                  <c:v>-5.5778032036612676E-3</c:v>
                </c:pt>
                <c:pt idx="1675">
                  <c:v>-3.4517474471451115E-3</c:v>
                </c:pt>
                <c:pt idx="1676">
                  <c:v>-4.8106989945639099E-3</c:v>
                </c:pt>
                <c:pt idx="1677">
                  <c:v>-4.5439164692802131E-3</c:v>
                </c:pt>
                <c:pt idx="1678">
                  <c:v>-5.1862283300150566E-2</c:v>
                </c:pt>
                <c:pt idx="1679">
                  <c:v>4.778489116517292E-2</c:v>
                </c:pt>
                <c:pt idx="1680">
                  <c:v>8.358588327304621E-3</c:v>
                </c:pt>
                <c:pt idx="1681">
                  <c:v>-1.6530127490426084E-2</c:v>
                </c:pt>
                <c:pt idx="1682">
                  <c:v>4.8304416403786386E-3</c:v>
                </c:pt>
                <c:pt idx="1683">
                  <c:v>1.2753850681840449E-2</c:v>
                </c:pt>
                <c:pt idx="1684">
                  <c:v>5.1680712971035492E-2</c:v>
                </c:pt>
                <c:pt idx="1685">
                  <c:v>-3.1778197393266604E-3</c:v>
                </c:pt>
                <c:pt idx="1686">
                  <c:v>-9.9842912585473967E-2</c:v>
                </c:pt>
                <c:pt idx="1687">
                  <c:v>-3.2438536159729102E-2</c:v>
                </c:pt>
                <c:pt idx="1688">
                  <c:v>3.8194260251445487E-3</c:v>
                </c:pt>
                <c:pt idx="1689">
                  <c:v>2.2195212175660094E-3</c:v>
                </c:pt>
                <c:pt idx="1690">
                  <c:v>-1.4605852886896968E-2</c:v>
                </c:pt>
                <c:pt idx="1691">
                  <c:v>-2.4293664383561602E-2</c:v>
                </c:pt>
                <c:pt idx="1692">
                  <c:v>6.8059668750685517E-2</c:v>
                </c:pt>
                <c:pt idx="1693">
                  <c:v>-2.3979460847239988E-2</c:v>
                </c:pt>
                <c:pt idx="1694">
                  <c:v>-2.3200757575757704E-2</c:v>
                </c:pt>
                <c:pt idx="1695">
                  <c:v>-2.2620778801098053E-3</c:v>
                </c:pt>
                <c:pt idx="1696">
                  <c:v>-2.0512820512820266E-3</c:v>
                </c:pt>
                <c:pt idx="1697">
                  <c:v>-1.5686698761291288E-3</c:v>
                </c:pt>
                <c:pt idx="1698">
                  <c:v>1.8961967710477532E-3</c:v>
                </c:pt>
                <c:pt idx="1699">
                  <c:v>8.6519223489967326E-4</c:v>
                </c:pt>
                <c:pt idx="1700">
                  <c:v>-8.2662488519098885E-3</c:v>
                </c:pt>
                <c:pt idx="1701">
                  <c:v>5.0119851819567848E-3</c:v>
                </c:pt>
                <c:pt idx="1702">
                  <c:v>2.1140503035560212E-3</c:v>
                </c:pt>
                <c:pt idx="1703">
                  <c:v>-6.2205874398226085E-3</c:v>
                </c:pt>
                <c:pt idx="1704">
                  <c:v>-1.409753973437842E-2</c:v>
                </c:pt>
                <c:pt idx="1705">
                  <c:v>3.6437917517804703E-3</c:v>
                </c:pt>
                <c:pt idx="1706">
                  <c:v>-1.6502557896474579E-4</c:v>
                </c:pt>
                <c:pt idx="1707">
                  <c:v>-3.6861795774647201E-3</c:v>
                </c:pt>
                <c:pt idx="1708">
                  <c:v>9.5532608095421599E-3</c:v>
                </c:pt>
                <c:pt idx="1709">
                  <c:v>-8.3141888196038832E-3</c:v>
                </c:pt>
                <c:pt idx="1710">
                  <c:v>4.0264754550468273E-3</c:v>
                </c:pt>
                <c:pt idx="1711">
                  <c:v>7.5262319397901697E-3</c:v>
                </c:pt>
                <c:pt idx="1712">
                  <c:v>2.2900763358777942E-3</c:v>
                </c:pt>
                <c:pt idx="1713">
                  <c:v>1.9584376020020328E-3</c:v>
                </c:pt>
                <c:pt idx="1714">
                  <c:v>1.1944836572917736E-3</c:v>
                </c:pt>
                <c:pt idx="1715">
                  <c:v>-6.6702819956617034E-3</c:v>
                </c:pt>
                <c:pt idx="1716">
                  <c:v>-4.9134683627217882E-4</c:v>
                </c:pt>
                <c:pt idx="1717">
                  <c:v>7.6469303036916291E-4</c:v>
                </c:pt>
                <c:pt idx="1718">
                  <c:v>-8.7326711057742932E-4</c:v>
                </c:pt>
                <c:pt idx="1719">
                  <c:v>6.2820933027423016E-3</c:v>
                </c:pt>
                <c:pt idx="1720">
                  <c:v>4.2885836816676185E-3</c:v>
                </c:pt>
                <c:pt idx="1721">
                  <c:v>-8.1081081081081086E-3</c:v>
                </c:pt>
                <c:pt idx="1722">
                  <c:v>5.9400544959128249E-3</c:v>
                </c:pt>
                <c:pt idx="1723">
                  <c:v>-3.5213175144916068E-3</c:v>
                </c:pt>
                <c:pt idx="1724">
                  <c:v>-7.8286397738392827E-3</c:v>
                </c:pt>
                <c:pt idx="1725">
                  <c:v>7.0136986301369926E-3</c:v>
                </c:pt>
                <c:pt idx="1726">
                  <c:v>2.301665034280112E-2</c:v>
                </c:pt>
                <c:pt idx="1727">
                  <c:v>-9.2548268709110194E-3</c:v>
                </c:pt>
                <c:pt idx="1728">
                  <c:v>-6.227519192569907E-3</c:v>
                </c:pt>
                <c:pt idx="1729">
                  <c:v>-3.943601102047529E-3</c:v>
                </c:pt>
                <c:pt idx="1730">
                  <c:v>-2.0609610586831296E-3</c:v>
                </c:pt>
                <c:pt idx="1731">
                  <c:v>9.1847826086956397E-3</c:v>
                </c:pt>
                <c:pt idx="1732">
                  <c:v>-8.9396305670741381E-3</c:v>
                </c:pt>
                <c:pt idx="1733">
                  <c:v>1.9562027930227965E-3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DE-4F57-A71C-DC975A700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81760"/>
        <c:axId val="589579680"/>
      </c:scatterChart>
      <c:valAx>
        <c:axId val="58958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</a:t>
                </a:r>
                <a:r>
                  <a:rPr lang="en-US" baseline="0"/>
                  <a:t> 100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79680"/>
        <c:crosses val="autoZero"/>
        <c:crossBetween val="midCat"/>
      </c:valAx>
      <c:valAx>
        <c:axId val="5895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Bank</a:t>
                </a:r>
                <a:r>
                  <a:rPr lang="en-US" baseline="0"/>
                  <a:t> AL Habib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8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169904310550531E-2"/>
          <c:y val="0.13891454965357969"/>
          <c:w val="0.88004817383720457"/>
          <c:h val="0.7563701332945390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699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34F-427E-AC7E-43DFD1479F30}"/>
              </c:ext>
            </c:extLst>
          </c:dPt>
          <c:xVal>
            <c:numRef>
              <c:f>[1]Cnergyico!$G$4:$G$1733</c:f>
              <c:numCache>
                <c:formatCode>General</c:formatCode>
                <c:ptCount val="1730"/>
                <c:pt idx="0">
                  <c:v>-5.277167768193136E-3</c:v>
                </c:pt>
                <c:pt idx="1">
                  <c:v>-6.700312870003452E-3</c:v>
                </c:pt>
                <c:pt idx="2">
                  <c:v>1.4596980822273301E-4</c:v>
                </c:pt>
                <c:pt idx="3">
                  <c:v>2.7030035829292545E-2</c:v>
                </c:pt>
                <c:pt idx="4">
                  <c:v>1.2709271207186236E-2</c:v>
                </c:pt>
                <c:pt idx="5">
                  <c:v>-3.3495934959348996E-3</c:v>
                </c:pt>
                <c:pt idx="6">
                  <c:v>4.3315179787927118E-3</c:v>
                </c:pt>
                <c:pt idx="7">
                  <c:v>-1.0539704499429804E-3</c:v>
                </c:pt>
                <c:pt idx="8">
                  <c:v>9.3080297922512167E-3</c:v>
                </c:pt>
                <c:pt idx="9">
                  <c:v>5.1156294124586037E-3</c:v>
                </c:pt>
                <c:pt idx="10">
                  <c:v>-8.6390804098633381E-3</c:v>
                </c:pt>
                <c:pt idx="11">
                  <c:v>-7.1425042918691847E-4</c:v>
                </c:pt>
                <c:pt idx="12">
                  <c:v>1.5954075908377224E-3</c:v>
                </c:pt>
                <c:pt idx="13">
                  <c:v>6.0364061923599607E-3</c:v>
                </c:pt>
                <c:pt idx="14">
                  <c:v>9.0643861220111883E-3</c:v>
                </c:pt>
                <c:pt idx="15">
                  <c:v>3.9005358349825593E-3</c:v>
                </c:pt>
                <c:pt idx="16">
                  <c:v>5.7743987757706656E-3</c:v>
                </c:pt>
                <c:pt idx="17">
                  <c:v>-6.0512554741783283E-4</c:v>
                </c:pt>
                <c:pt idx="18">
                  <c:v>3.8572171510684442E-3</c:v>
                </c:pt>
                <c:pt idx="19">
                  <c:v>5.0544172464732987E-3</c:v>
                </c:pt>
                <c:pt idx="20">
                  <c:v>-4.2511407555896342E-4</c:v>
                </c:pt>
                <c:pt idx="21">
                  <c:v>4.7380853406987292E-3</c:v>
                </c:pt>
                <c:pt idx="22">
                  <c:v>7.6763157997937811E-3</c:v>
                </c:pt>
                <c:pt idx="23">
                  <c:v>1.2202552446676474E-2</c:v>
                </c:pt>
                <c:pt idx="24">
                  <c:v>-2.6123175180508265E-3</c:v>
                </c:pt>
                <c:pt idx="25">
                  <c:v>-4.1664177047575244E-3</c:v>
                </c:pt>
                <c:pt idx="26">
                  <c:v>-1.0775958531672861E-2</c:v>
                </c:pt>
                <c:pt idx="27">
                  <c:v>-1.3716222743709233E-2</c:v>
                </c:pt>
                <c:pt idx="28">
                  <c:v>6.6891448383979485E-3</c:v>
                </c:pt>
                <c:pt idx="29">
                  <c:v>-1.2850931169062351E-3</c:v>
                </c:pt>
                <c:pt idx="30">
                  <c:v>-9.1579270083860223E-4</c:v>
                </c:pt>
                <c:pt idx="31">
                  <c:v>-5.0139506820811989E-4</c:v>
                </c:pt>
                <c:pt idx="32">
                  <c:v>-6.5997030627610795E-3</c:v>
                </c:pt>
                <c:pt idx="33">
                  <c:v>-6.5242033273934606E-3</c:v>
                </c:pt>
                <c:pt idx="34">
                  <c:v>8.0664072716041917E-3</c:v>
                </c:pt>
                <c:pt idx="35">
                  <c:v>-5.1805663344370806E-3</c:v>
                </c:pt>
                <c:pt idx="36">
                  <c:v>-1.3620921615814081E-3</c:v>
                </c:pt>
                <c:pt idx="37">
                  <c:v>-1.0229375004529338E-2</c:v>
                </c:pt>
                <c:pt idx="38">
                  <c:v>-1.9822863705945434E-2</c:v>
                </c:pt>
                <c:pt idx="39">
                  <c:v>-3.3223712426589565E-3</c:v>
                </c:pt>
                <c:pt idx="40">
                  <c:v>9.353446348651288E-3</c:v>
                </c:pt>
                <c:pt idx="41">
                  <c:v>1.2403404464518994E-2</c:v>
                </c:pt>
                <c:pt idx="42">
                  <c:v>5.3296731506427683E-3</c:v>
                </c:pt>
                <c:pt idx="43">
                  <c:v>-1.5403874339805978E-3</c:v>
                </c:pt>
                <c:pt idx="44">
                  <c:v>-3.0338755473562368E-3</c:v>
                </c:pt>
                <c:pt idx="45">
                  <c:v>-6.9247702063025517E-3</c:v>
                </c:pt>
                <c:pt idx="46">
                  <c:v>-8.7511865649040274E-3</c:v>
                </c:pt>
                <c:pt idx="47">
                  <c:v>-6.7059937771876102E-4</c:v>
                </c:pt>
                <c:pt idx="48">
                  <c:v>-7.095859096072491E-4</c:v>
                </c:pt>
                <c:pt idx="49">
                  <c:v>8.3400841566944289E-4</c:v>
                </c:pt>
                <c:pt idx="50">
                  <c:v>-3.0907605218021585E-3</c:v>
                </c:pt>
                <c:pt idx="51">
                  <c:v>-1.2926512956789833E-2</c:v>
                </c:pt>
                <c:pt idx="52">
                  <c:v>1.4227183317909675E-2</c:v>
                </c:pt>
                <c:pt idx="53">
                  <c:v>-6.1664858520613375E-3</c:v>
                </c:pt>
                <c:pt idx="54">
                  <c:v>-1.6732979612492209E-3</c:v>
                </c:pt>
                <c:pt idx="55">
                  <c:v>-4.2298177637300561E-3</c:v>
                </c:pt>
                <c:pt idx="56">
                  <c:v>3.8338182052177414E-3</c:v>
                </c:pt>
                <c:pt idx="57">
                  <c:v>-1.046432472651857E-2</c:v>
                </c:pt>
                <c:pt idx="58">
                  <c:v>5.2577247666189654E-3</c:v>
                </c:pt>
                <c:pt idx="59">
                  <c:v>1.658999304184584E-2</c:v>
                </c:pt>
                <c:pt idx="60">
                  <c:v>-1.0575128814287611E-2</c:v>
                </c:pt>
                <c:pt idx="61">
                  <c:v>2.5001977799364102E-3</c:v>
                </c:pt>
                <c:pt idx="62">
                  <c:v>-7.6195350295761325E-3</c:v>
                </c:pt>
                <c:pt idx="63">
                  <c:v>-8.3123777045145449E-3</c:v>
                </c:pt>
                <c:pt idx="64">
                  <c:v>-3.4782809877886638E-4</c:v>
                </c:pt>
                <c:pt idx="65">
                  <c:v>-1.3325951797342707E-2</c:v>
                </c:pt>
                <c:pt idx="66">
                  <c:v>1.5193472884041256E-4</c:v>
                </c:pt>
                <c:pt idx="67">
                  <c:v>-1.5988034692356105E-2</c:v>
                </c:pt>
                <c:pt idx="68">
                  <c:v>5.6351364271241024E-3</c:v>
                </c:pt>
                <c:pt idx="69">
                  <c:v>-1.483033786453373E-2</c:v>
                </c:pt>
                <c:pt idx="70">
                  <c:v>5.6950211212236784E-3</c:v>
                </c:pt>
                <c:pt idx="71">
                  <c:v>1.4956925750061793E-2</c:v>
                </c:pt>
                <c:pt idx="72">
                  <c:v>4.4515126331523226E-3</c:v>
                </c:pt>
                <c:pt idx="73">
                  <c:v>-3.2564456987081046E-3</c:v>
                </c:pt>
                <c:pt idx="74">
                  <c:v>-1.6836467867513531E-2</c:v>
                </c:pt>
                <c:pt idx="75">
                  <c:v>1.6132205176400147E-3</c:v>
                </c:pt>
                <c:pt idx="76">
                  <c:v>1.3055846675500792E-2</c:v>
                </c:pt>
                <c:pt idx="77">
                  <c:v>-1.0478791026713941E-2</c:v>
                </c:pt>
                <c:pt idx="78">
                  <c:v>-1.3486103210991243E-2</c:v>
                </c:pt>
                <c:pt idx="79">
                  <c:v>2.7529919077640902E-3</c:v>
                </c:pt>
                <c:pt idx="80">
                  <c:v>7.9930419060793966E-3</c:v>
                </c:pt>
                <c:pt idx="81">
                  <c:v>9.0933723013052921E-3</c:v>
                </c:pt>
                <c:pt idx="82">
                  <c:v>-2.8106175413668065E-3</c:v>
                </c:pt>
                <c:pt idx="83">
                  <c:v>-6.5313087167568999E-3</c:v>
                </c:pt>
                <c:pt idx="84">
                  <c:v>-6.437776407633362E-3</c:v>
                </c:pt>
                <c:pt idx="85">
                  <c:v>-1.1619905312601674E-2</c:v>
                </c:pt>
                <c:pt idx="86">
                  <c:v>-1.4326902979961462E-2</c:v>
                </c:pt>
                <c:pt idx="87">
                  <c:v>7.2011508360242404E-4</c:v>
                </c:pt>
                <c:pt idx="88">
                  <c:v>-1.6727821176243392E-2</c:v>
                </c:pt>
                <c:pt idx="89">
                  <c:v>-4.2069323188819712E-3</c:v>
                </c:pt>
                <c:pt idx="90">
                  <c:v>-4.9046023176116411E-3</c:v>
                </c:pt>
                <c:pt idx="91">
                  <c:v>-2.3508973967156323E-2</c:v>
                </c:pt>
                <c:pt idx="92">
                  <c:v>-4.5102739261332391E-4</c:v>
                </c:pt>
                <c:pt idx="93">
                  <c:v>1.1998197437280084E-2</c:v>
                </c:pt>
                <c:pt idx="94">
                  <c:v>-9.3471734372653058E-3</c:v>
                </c:pt>
                <c:pt idx="95">
                  <c:v>-2.3681880373682115E-2</c:v>
                </c:pt>
                <c:pt idx="96">
                  <c:v>2.5302548164388848E-3</c:v>
                </c:pt>
                <c:pt idx="97">
                  <c:v>5.7611094436360328E-3</c:v>
                </c:pt>
                <c:pt idx="98">
                  <c:v>3.573459800670415E-2</c:v>
                </c:pt>
                <c:pt idx="99">
                  <c:v>2.7259756434855682E-2</c:v>
                </c:pt>
                <c:pt idx="100">
                  <c:v>3.4419726744411867E-3</c:v>
                </c:pt>
                <c:pt idx="101">
                  <c:v>-1.8037290698093712E-4</c:v>
                </c:pt>
                <c:pt idx="102">
                  <c:v>-2.0956445810994023E-2</c:v>
                </c:pt>
                <c:pt idx="103">
                  <c:v>2.8903313601882544E-2</c:v>
                </c:pt>
                <c:pt idx="104">
                  <c:v>4.271480387759367E-4</c:v>
                </c:pt>
                <c:pt idx="105">
                  <c:v>-1.3050805855989708E-2</c:v>
                </c:pt>
                <c:pt idx="106">
                  <c:v>-2.6411275615549061E-2</c:v>
                </c:pt>
                <c:pt idx="107">
                  <c:v>2.6701342733284721E-3</c:v>
                </c:pt>
                <c:pt idx="108">
                  <c:v>8.0231160838838533E-3</c:v>
                </c:pt>
                <c:pt idx="109">
                  <c:v>1.3313324515791274E-2</c:v>
                </c:pt>
                <c:pt idx="110">
                  <c:v>4.798453919391662E-3</c:v>
                </c:pt>
                <c:pt idx="111">
                  <c:v>-1.1360598432235657E-2</c:v>
                </c:pt>
                <c:pt idx="112">
                  <c:v>-1.3850336747152692E-2</c:v>
                </c:pt>
                <c:pt idx="113">
                  <c:v>-7.381410149207866E-4</c:v>
                </c:pt>
                <c:pt idx="114">
                  <c:v>9.8046174817031113E-3</c:v>
                </c:pt>
                <c:pt idx="115">
                  <c:v>3.6958604591221232E-3</c:v>
                </c:pt>
                <c:pt idx="116">
                  <c:v>-1.8599155877894191E-2</c:v>
                </c:pt>
                <c:pt idx="117">
                  <c:v>-8.1611281056045426E-3</c:v>
                </c:pt>
                <c:pt idx="118">
                  <c:v>-2.9850292273145367E-3</c:v>
                </c:pt>
                <c:pt idx="119">
                  <c:v>-9.2154083364037499E-3</c:v>
                </c:pt>
                <c:pt idx="120">
                  <c:v>3.7649795318469865E-3</c:v>
                </c:pt>
                <c:pt idx="121">
                  <c:v>2.7948549890595069E-3</c:v>
                </c:pt>
                <c:pt idx="122">
                  <c:v>9.141574987653044E-3</c:v>
                </c:pt>
                <c:pt idx="123">
                  <c:v>1.7181278166537559E-2</c:v>
                </c:pt>
                <c:pt idx="124">
                  <c:v>-9.3398917658049363E-3</c:v>
                </c:pt>
                <c:pt idx="125">
                  <c:v>-1.1009348400462757E-2</c:v>
                </c:pt>
                <c:pt idx="126">
                  <c:v>-1.3083935019634283E-2</c:v>
                </c:pt>
                <c:pt idx="127">
                  <c:v>3.345910876077462E-3</c:v>
                </c:pt>
                <c:pt idx="128">
                  <c:v>-4.5871315747651747E-4</c:v>
                </c:pt>
                <c:pt idx="129">
                  <c:v>1.0446202059393689E-3</c:v>
                </c:pt>
                <c:pt idx="130">
                  <c:v>-5.9898923702746973E-3</c:v>
                </c:pt>
                <c:pt idx="131">
                  <c:v>-2.1208410782808145E-2</c:v>
                </c:pt>
                <c:pt idx="132">
                  <c:v>4.14765909094304E-4</c:v>
                </c:pt>
                <c:pt idx="133">
                  <c:v>3.023775916671519E-4</c:v>
                </c:pt>
                <c:pt idx="134">
                  <c:v>-2.0388399850948872E-2</c:v>
                </c:pt>
                <c:pt idx="135">
                  <c:v>4.6187596604594051E-3</c:v>
                </c:pt>
                <c:pt idx="136">
                  <c:v>3.8750698193430878E-3</c:v>
                </c:pt>
                <c:pt idx="137">
                  <c:v>4.0304377381305484E-3</c:v>
                </c:pt>
                <c:pt idx="138">
                  <c:v>-9.6124573143072899E-3</c:v>
                </c:pt>
                <c:pt idx="139">
                  <c:v>1.3888288777645409E-3</c:v>
                </c:pt>
                <c:pt idx="140">
                  <c:v>-1.0575287242960729E-2</c:v>
                </c:pt>
                <c:pt idx="141">
                  <c:v>-1.1495402181771541E-2</c:v>
                </c:pt>
                <c:pt idx="142">
                  <c:v>-2.3983566010582448E-3</c:v>
                </c:pt>
                <c:pt idx="143">
                  <c:v>8.8558638352498695E-3</c:v>
                </c:pt>
                <c:pt idx="144">
                  <c:v>-3.1112939626431499E-3</c:v>
                </c:pt>
                <c:pt idx="145">
                  <c:v>-5.4241465920373006E-3</c:v>
                </c:pt>
                <c:pt idx="146">
                  <c:v>-1.5335176927223533E-2</c:v>
                </c:pt>
                <c:pt idx="147">
                  <c:v>-5.7769524835796712E-3</c:v>
                </c:pt>
                <c:pt idx="148">
                  <c:v>-2.3329173208191875E-2</c:v>
                </c:pt>
                <c:pt idx="149">
                  <c:v>-1.7817550685411129E-2</c:v>
                </c:pt>
                <c:pt idx="150">
                  <c:v>-1.0387726402398545E-2</c:v>
                </c:pt>
                <c:pt idx="151">
                  <c:v>-2.2577675747143852E-2</c:v>
                </c:pt>
                <c:pt idx="152">
                  <c:v>2.7735103841071387E-2</c:v>
                </c:pt>
                <c:pt idx="153">
                  <c:v>2.8982742278879842E-2</c:v>
                </c:pt>
                <c:pt idx="154">
                  <c:v>1.8196719048022888E-2</c:v>
                </c:pt>
                <c:pt idx="155">
                  <c:v>2.9435552219289559E-2</c:v>
                </c:pt>
                <c:pt idx="156">
                  <c:v>-1.6761775724530369E-2</c:v>
                </c:pt>
                <c:pt idx="157">
                  <c:v>-2.6456450891084241E-2</c:v>
                </c:pt>
                <c:pt idx="158">
                  <c:v>2.1051355477939493E-3</c:v>
                </c:pt>
                <c:pt idx="159">
                  <c:v>1.7283066616315132E-3</c:v>
                </c:pt>
                <c:pt idx="160">
                  <c:v>-1.5626167882651806E-2</c:v>
                </c:pt>
                <c:pt idx="161">
                  <c:v>-1.6142466451097789E-2</c:v>
                </c:pt>
                <c:pt idx="162">
                  <c:v>1.2980872280106777E-2</c:v>
                </c:pt>
                <c:pt idx="163">
                  <c:v>-8.2379349568773696E-3</c:v>
                </c:pt>
                <c:pt idx="164">
                  <c:v>1.4594252605193992E-2</c:v>
                </c:pt>
                <c:pt idx="165">
                  <c:v>-9.9058579792245228E-4</c:v>
                </c:pt>
                <c:pt idx="166">
                  <c:v>8.354523301021332E-3</c:v>
                </c:pt>
                <c:pt idx="167">
                  <c:v>1.6005080873857821E-2</c:v>
                </c:pt>
                <c:pt idx="168">
                  <c:v>1.9117533515771168E-2</c:v>
                </c:pt>
                <c:pt idx="169">
                  <c:v>-2.0699529997042243E-3</c:v>
                </c:pt>
                <c:pt idx="170">
                  <c:v>1.4206524442597781E-2</c:v>
                </c:pt>
                <c:pt idx="171">
                  <c:v>-6.1481025602481228E-4</c:v>
                </c:pt>
                <c:pt idx="172">
                  <c:v>-1.1076839955723889E-2</c:v>
                </c:pt>
                <c:pt idx="173">
                  <c:v>1.9919208935883309E-2</c:v>
                </c:pt>
                <c:pt idx="174">
                  <c:v>-2.2660306990765389E-3</c:v>
                </c:pt>
                <c:pt idx="175">
                  <c:v>-1.1207650936903421E-2</c:v>
                </c:pt>
                <c:pt idx="176">
                  <c:v>2.4575441376880592E-3</c:v>
                </c:pt>
                <c:pt idx="177">
                  <c:v>-8.295202775812506E-3</c:v>
                </c:pt>
                <c:pt idx="178">
                  <c:v>-4.1602764562630725E-3</c:v>
                </c:pt>
                <c:pt idx="179">
                  <c:v>2.0262207445530984E-2</c:v>
                </c:pt>
                <c:pt idx="180">
                  <c:v>2.5069525839843877E-4</c:v>
                </c:pt>
                <c:pt idx="181">
                  <c:v>5.4699591787112437E-3</c:v>
                </c:pt>
                <c:pt idx="182">
                  <c:v>3.3803223878227425E-3</c:v>
                </c:pt>
                <c:pt idx="183">
                  <c:v>1.2016679361067427E-2</c:v>
                </c:pt>
                <c:pt idx="184">
                  <c:v>8.5817004938591908E-3</c:v>
                </c:pt>
                <c:pt idx="185">
                  <c:v>1.8269432197550835E-2</c:v>
                </c:pt>
                <c:pt idx="186">
                  <c:v>-4.7626380852885944E-3</c:v>
                </c:pt>
                <c:pt idx="187">
                  <c:v>1.4075495076861207E-3</c:v>
                </c:pt>
                <c:pt idx="188">
                  <c:v>1.5032928903517304E-2</c:v>
                </c:pt>
                <c:pt idx="189">
                  <c:v>1.3165450500621708E-2</c:v>
                </c:pt>
                <c:pt idx="190">
                  <c:v>-8.3951909301887874E-3</c:v>
                </c:pt>
                <c:pt idx="191">
                  <c:v>-3.0050084449133423E-3</c:v>
                </c:pt>
                <c:pt idx="192">
                  <c:v>5.7963479721730021E-3</c:v>
                </c:pt>
                <c:pt idx="193">
                  <c:v>-1.1158630020223945E-2</c:v>
                </c:pt>
                <c:pt idx="194">
                  <c:v>-8.3808869757288267E-4</c:v>
                </c:pt>
                <c:pt idx="195">
                  <c:v>-2.318915032853407E-2</c:v>
                </c:pt>
                <c:pt idx="196">
                  <c:v>3.4526502105350692E-3</c:v>
                </c:pt>
                <c:pt idx="197">
                  <c:v>7.2511307583130076E-3</c:v>
                </c:pt>
                <c:pt idx="198">
                  <c:v>9.65290049040529E-3</c:v>
                </c:pt>
                <c:pt idx="199">
                  <c:v>-3.110553490146579E-3</c:v>
                </c:pt>
                <c:pt idx="200">
                  <c:v>6.0649258737883781E-3</c:v>
                </c:pt>
                <c:pt idx="201">
                  <c:v>-1.8924096594399281E-3</c:v>
                </c:pt>
                <c:pt idx="202">
                  <c:v>-1.0681260246686382E-3</c:v>
                </c:pt>
                <c:pt idx="203">
                  <c:v>1.3099867570696744E-2</c:v>
                </c:pt>
                <c:pt idx="204">
                  <c:v>5.0851253432379288E-3</c:v>
                </c:pt>
                <c:pt idx="205">
                  <c:v>2.6175467113624201E-2</c:v>
                </c:pt>
                <c:pt idx="206">
                  <c:v>2.2918316681529382E-3</c:v>
                </c:pt>
                <c:pt idx="207">
                  <c:v>8.3437245728091667E-3</c:v>
                </c:pt>
                <c:pt idx="208">
                  <c:v>2.9503555488363934E-3</c:v>
                </c:pt>
                <c:pt idx="209">
                  <c:v>6.14231237758181E-3</c:v>
                </c:pt>
                <c:pt idx="210">
                  <c:v>2.2928910205524546E-2</c:v>
                </c:pt>
                <c:pt idx="211">
                  <c:v>-1.0200227698210444E-3</c:v>
                </c:pt>
                <c:pt idx="212">
                  <c:v>1.0917826357058113E-2</c:v>
                </c:pt>
                <c:pt idx="213">
                  <c:v>2.0512842589223861E-3</c:v>
                </c:pt>
                <c:pt idx="214">
                  <c:v>9.1477101860205981E-3</c:v>
                </c:pt>
                <c:pt idx="215">
                  <c:v>2.2021935462241887E-2</c:v>
                </c:pt>
                <c:pt idx="216">
                  <c:v>3.9782294705032794E-3</c:v>
                </c:pt>
                <c:pt idx="217">
                  <c:v>-1.3657425234743944E-2</c:v>
                </c:pt>
                <c:pt idx="218">
                  <c:v>-2.4616906183552799E-2</c:v>
                </c:pt>
                <c:pt idx="219">
                  <c:v>2.2222395920791026E-2</c:v>
                </c:pt>
                <c:pt idx="220">
                  <c:v>7.5539626201589459E-3</c:v>
                </c:pt>
                <c:pt idx="221">
                  <c:v>-1.0918741305151013E-2</c:v>
                </c:pt>
                <c:pt idx="222">
                  <c:v>8.6696538303295857E-3</c:v>
                </c:pt>
                <c:pt idx="223">
                  <c:v>1.5307144925650521E-2</c:v>
                </c:pt>
                <c:pt idx="224">
                  <c:v>1.5020305495724716E-2</c:v>
                </c:pt>
                <c:pt idx="225">
                  <c:v>2.1293459904066538E-2</c:v>
                </c:pt>
                <c:pt idx="226">
                  <c:v>-8.3612840324372145E-3</c:v>
                </c:pt>
                <c:pt idx="227">
                  <c:v>1.2108705153444041E-2</c:v>
                </c:pt>
                <c:pt idx="228">
                  <c:v>9.2022650812555139E-3</c:v>
                </c:pt>
                <c:pt idx="229">
                  <c:v>2.2428034674258682E-3</c:v>
                </c:pt>
                <c:pt idx="230">
                  <c:v>-7.1061628071122287E-3</c:v>
                </c:pt>
                <c:pt idx="231">
                  <c:v>5.4842889216373649E-3</c:v>
                </c:pt>
                <c:pt idx="232">
                  <c:v>-3.2750844715059364E-3</c:v>
                </c:pt>
                <c:pt idx="233">
                  <c:v>-4.2559574769401122E-4</c:v>
                </c:pt>
                <c:pt idx="234">
                  <c:v>9.9328210352081329E-3</c:v>
                </c:pt>
                <c:pt idx="235">
                  <c:v>1.7799381620022609E-2</c:v>
                </c:pt>
                <c:pt idx="236">
                  <c:v>2.9722741427038839E-3</c:v>
                </c:pt>
                <c:pt idx="237">
                  <c:v>-3.9491331539006601E-3</c:v>
                </c:pt>
                <c:pt idx="238">
                  <c:v>-2.2794601731432041E-2</c:v>
                </c:pt>
                <c:pt idx="239">
                  <c:v>4.3689185463075438E-3</c:v>
                </c:pt>
                <c:pt idx="240">
                  <c:v>-2.0196904512748078E-2</c:v>
                </c:pt>
                <c:pt idx="241">
                  <c:v>7.9990921881439771E-3</c:v>
                </c:pt>
                <c:pt idx="242">
                  <c:v>1.9824034326250167E-2</c:v>
                </c:pt>
                <c:pt idx="243">
                  <c:v>-6.7900560667130917E-3</c:v>
                </c:pt>
                <c:pt idx="244">
                  <c:v>9.5694998081947589E-4</c:v>
                </c:pt>
                <c:pt idx="245">
                  <c:v>-3.7307135998622776E-3</c:v>
                </c:pt>
                <c:pt idx="246">
                  <c:v>1.6323031647415404E-2</c:v>
                </c:pt>
                <c:pt idx="247">
                  <c:v>2.6105314009661883E-2</c:v>
                </c:pt>
                <c:pt idx="248">
                  <c:v>-3.7066191847791594E-3</c:v>
                </c:pt>
                <c:pt idx="249">
                  <c:v>-2.4267011315280352E-2</c:v>
                </c:pt>
                <c:pt idx="250">
                  <c:v>1.4728459540142232E-2</c:v>
                </c:pt>
                <c:pt idx="251">
                  <c:v>-1.305135227816993E-2</c:v>
                </c:pt>
                <c:pt idx="252">
                  <c:v>2.8181304699793751E-2</c:v>
                </c:pt>
                <c:pt idx="253">
                  <c:v>1.6084915788065236E-2</c:v>
                </c:pt>
                <c:pt idx="254">
                  <c:v>2.6893759236039816E-4</c:v>
                </c:pt>
                <c:pt idx="255">
                  <c:v>-2.6909666586216979E-4</c:v>
                </c:pt>
                <c:pt idx="256">
                  <c:v>-4.9531280087689884E-3</c:v>
                </c:pt>
                <c:pt idx="257">
                  <c:v>1.676318231117921E-3</c:v>
                </c:pt>
                <c:pt idx="258">
                  <c:v>2.3840650549980902E-3</c:v>
                </c:pt>
                <c:pt idx="259">
                  <c:v>-9.7327242060453768E-3</c:v>
                </c:pt>
                <c:pt idx="260">
                  <c:v>-2.8340752458088131E-3</c:v>
                </c:pt>
                <c:pt idx="261">
                  <c:v>-1.5298002556159082E-3</c:v>
                </c:pt>
                <c:pt idx="262">
                  <c:v>-1.2762777050590764E-3</c:v>
                </c:pt>
                <c:pt idx="263">
                  <c:v>2.9661031901842346E-3</c:v>
                </c:pt>
                <c:pt idx="264">
                  <c:v>-2.2001720262433996E-3</c:v>
                </c:pt>
                <c:pt idx="265">
                  <c:v>-5.6427913716350971E-3</c:v>
                </c:pt>
                <c:pt idx="266">
                  <c:v>-9.4680300024658909E-3</c:v>
                </c:pt>
                <c:pt idx="267">
                  <c:v>1.1480069787379914E-4</c:v>
                </c:pt>
                <c:pt idx="268">
                  <c:v>-6.5047056917188961E-3</c:v>
                </c:pt>
                <c:pt idx="269">
                  <c:v>-2.9342599518531288E-2</c:v>
                </c:pt>
                <c:pt idx="270">
                  <c:v>1.1751479483228959E-2</c:v>
                </c:pt>
                <c:pt idx="271">
                  <c:v>-3.9095739802001142E-3</c:v>
                </c:pt>
                <c:pt idx="272">
                  <c:v>-1.4261225638382632E-2</c:v>
                </c:pt>
                <c:pt idx="273">
                  <c:v>-2.109749417279903E-2</c:v>
                </c:pt>
                <c:pt idx="274">
                  <c:v>1.0630918117806382E-2</c:v>
                </c:pt>
                <c:pt idx="275">
                  <c:v>2.0563542850639244E-2</c:v>
                </c:pt>
                <c:pt idx="276">
                  <c:v>-1.867453485752681E-3</c:v>
                </c:pt>
                <c:pt idx="277">
                  <c:v>-5.2447829018792101E-3</c:v>
                </c:pt>
                <c:pt idx="278">
                  <c:v>8.3666184101383067E-4</c:v>
                </c:pt>
                <c:pt idx="279">
                  <c:v>-2.5220392914753371E-3</c:v>
                </c:pt>
                <c:pt idx="280">
                  <c:v>9.9356943996753797E-3</c:v>
                </c:pt>
                <c:pt idx="281">
                  <c:v>-2.2888748899554537E-3</c:v>
                </c:pt>
                <c:pt idx="282">
                  <c:v>-5.7416137929160562E-3</c:v>
                </c:pt>
                <c:pt idx="283">
                  <c:v>-2.7466122324854941E-2</c:v>
                </c:pt>
                <c:pt idx="284">
                  <c:v>-7.2880126651191923E-3</c:v>
                </c:pt>
                <c:pt idx="285">
                  <c:v>-1.3384990909313043E-2</c:v>
                </c:pt>
                <c:pt idx="286">
                  <c:v>-6.5472335388631177E-3</c:v>
                </c:pt>
                <c:pt idx="287">
                  <c:v>-2.7226909113058383E-3</c:v>
                </c:pt>
                <c:pt idx="288">
                  <c:v>3.4559107320471301E-2</c:v>
                </c:pt>
                <c:pt idx="289">
                  <c:v>-2.4587556589297874E-3</c:v>
                </c:pt>
                <c:pt idx="290">
                  <c:v>-7.4816937281120361E-3</c:v>
                </c:pt>
                <c:pt idx="291">
                  <c:v>1.2227037196965001E-2</c:v>
                </c:pt>
                <c:pt idx="292">
                  <c:v>-2.9516955795410717E-2</c:v>
                </c:pt>
                <c:pt idx="293">
                  <c:v>-3.0369702302505523E-2</c:v>
                </c:pt>
                <c:pt idx="294">
                  <c:v>1.7183433421616181E-2</c:v>
                </c:pt>
                <c:pt idx="295">
                  <c:v>-5.9688426414118299E-4</c:v>
                </c:pt>
                <c:pt idx="296">
                  <c:v>-4.55644256866609E-2</c:v>
                </c:pt>
                <c:pt idx="297">
                  <c:v>2.8976527038499663E-3</c:v>
                </c:pt>
                <c:pt idx="298">
                  <c:v>-6.5887743172102123E-2</c:v>
                </c:pt>
                <c:pt idx="299">
                  <c:v>-3.1704997875903577E-2</c:v>
                </c:pt>
                <c:pt idx="300">
                  <c:v>-6.7476614138731045E-2</c:v>
                </c:pt>
                <c:pt idx="301">
                  <c:v>-9.4101633841342826E-3</c:v>
                </c:pt>
                <c:pt idx="302">
                  <c:v>1.7842118591442371E-2</c:v>
                </c:pt>
                <c:pt idx="303">
                  <c:v>-6.8560729451883878E-2</c:v>
                </c:pt>
                <c:pt idx="304">
                  <c:v>-4.6771851959210062E-2</c:v>
                </c:pt>
                <c:pt idx="305">
                  <c:v>1.4102714772594258E-3</c:v>
                </c:pt>
                <c:pt idx="306">
                  <c:v>3.089316101396546E-2</c:v>
                </c:pt>
                <c:pt idx="307">
                  <c:v>-3.0658597765814378E-3</c:v>
                </c:pt>
                <c:pt idx="308">
                  <c:v>4.3115411804210753E-2</c:v>
                </c:pt>
                <c:pt idx="309">
                  <c:v>9.3713556171858593E-3</c:v>
                </c:pt>
                <c:pt idx="310">
                  <c:v>4.3283014020742527E-2</c:v>
                </c:pt>
                <c:pt idx="311">
                  <c:v>2.7259827448310219E-2</c:v>
                </c:pt>
                <c:pt idx="312">
                  <c:v>-3.2972200498453737E-2</c:v>
                </c:pt>
                <c:pt idx="313">
                  <c:v>2.1334798383866059E-2</c:v>
                </c:pt>
                <c:pt idx="314">
                  <c:v>-8.3338803229426276E-3</c:v>
                </c:pt>
                <c:pt idx="315">
                  <c:v>2.7962366412484823E-2</c:v>
                </c:pt>
                <c:pt idx="316">
                  <c:v>6.1531599727364271E-3</c:v>
                </c:pt>
                <c:pt idx="317">
                  <c:v>-3.1224167426295191E-2</c:v>
                </c:pt>
                <c:pt idx="318">
                  <c:v>6.1144607722298109E-3</c:v>
                </c:pt>
                <c:pt idx="319">
                  <c:v>6.2294340599182158E-4</c:v>
                </c:pt>
                <c:pt idx="320">
                  <c:v>2.7933381110607303E-3</c:v>
                </c:pt>
                <c:pt idx="321">
                  <c:v>4.7953906642502063E-2</c:v>
                </c:pt>
                <c:pt idx="322">
                  <c:v>2.0340626763722877E-2</c:v>
                </c:pt>
                <c:pt idx="323">
                  <c:v>-3.2144216432111967E-2</c:v>
                </c:pt>
                <c:pt idx="324">
                  <c:v>1.2768780516690806E-3</c:v>
                </c:pt>
                <c:pt idx="325">
                  <c:v>1.190849128409952E-2</c:v>
                </c:pt>
                <c:pt idx="326">
                  <c:v>-1.3530860559688861E-3</c:v>
                </c:pt>
                <c:pt idx="327">
                  <c:v>-1.4991291328089162E-2</c:v>
                </c:pt>
                <c:pt idx="328">
                  <c:v>7.3904743278341541E-3</c:v>
                </c:pt>
                <c:pt idx="329">
                  <c:v>1.859867743420876E-2</c:v>
                </c:pt>
                <c:pt idx="330">
                  <c:v>2.873441893624756E-2</c:v>
                </c:pt>
                <c:pt idx="331">
                  <c:v>-5.7165237438012361E-3</c:v>
                </c:pt>
                <c:pt idx="332">
                  <c:v>2.2440312483783943E-3</c:v>
                </c:pt>
                <c:pt idx="333">
                  <c:v>-7.7831302262982459E-3</c:v>
                </c:pt>
                <c:pt idx="334">
                  <c:v>-1.2571683381670662E-2</c:v>
                </c:pt>
                <c:pt idx="335">
                  <c:v>-1.0950583951074328E-3</c:v>
                </c:pt>
                <c:pt idx="336">
                  <c:v>4.8395304873883769E-4</c:v>
                </c:pt>
                <c:pt idx="337">
                  <c:v>9.5911553341730595E-3</c:v>
                </c:pt>
                <c:pt idx="338">
                  <c:v>2.6789258822571328E-3</c:v>
                </c:pt>
                <c:pt idx="339">
                  <c:v>3.3199735019458195E-3</c:v>
                </c:pt>
                <c:pt idx="340">
                  <c:v>6.017766655129886E-3</c:v>
                </c:pt>
                <c:pt idx="341">
                  <c:v>-5.9797114412851373E-3</c:v>
                </c:pt>
                <c:pt idx="342">
                  <c:v>1.0459408779241683E-2</c:v>
                </c:pt>
                <c:pt idx="343">
                  <c:v>-6.6085943343615356E-3</c:v>
                </c:pt>
                <c:pt idx="344">
                  <c:v>-2.8350142531666871E-3</c:v>
                </c:pt>
                <c:pt idx="345">
                  <c:v>-4.1726993336508094E-3</c:v>
                </c:pt>
                <c:pt idx="346">
                  <c:v>6.9982804784746696E-3</c:v>
                </c:pt>
                <c:pt idx="347">
                  <c:v>2.6742325580298137E-3</c:v>
                </c:pt>
                <c:pt idx="348">
                  <c:v>1.1347961332045197E-2</c:v>
                </c:pt>
                <c:pt idx="349">
                  <c:v>-1.9268746703183284E-4</c:v>
                </c:pt>
                <c:pt idx="350">
                  <c:v>-8.1982080972238594E-3</c:v>
                </c:pt>
                <c:pt idx="351">
                  <c:v>6.7712230494155626E-3</c:v>
                </c:pt>
                <c:pt idx="352">
                  <c:v>1.1619945258311296E-2</c:v>
                </c:pt>
                <c:pt idx="353">
                  <c:v>1.554839383623994E-3</c:v>
                </c:pt>
                <c:pt idx="354">
                  <c:v>7.5130158949075158E-3</c:v>
                </c:pt>
                <c:pt idx="355">
                  <c:v>1.8109184407963704E-3</c:v>
                </c:pt>
                <c:pt idx="356">
                  <c:v>-1.4788243646626342E-2</c:v>
                </c:pt>
                <c:pt idx="357">
                  <c:v>-2.2669766815596553E-2</c:v>
                </c:pt>
                <c:pt idx="358">
                  <c:v>5.7535201544678862E-3</c:v>
                </c:pt>
                <c:pt idx="359">
                  <c:v>-5.0101237186618089E-3</c:v>
                </c:pt>
                <c:pt idx="360">
                  <c:v>-9.1238417569016496E-3</c:v>
                </c:pt>
                <c:pt idx="361">
                  <c:v>-3.0086598479121471E-3</c:v>
                </c:pt>
                <c:pt idx="362">
                  <c:v>8.9410728928607155E-3</c:v>
                </c:pt>
                <c:pt idx="363">
                  <c:v>9.3274866974609686E-3</c:v>
                </c:pt>
                <c:pt idx="364">
                  <c:v>-5.2741919048199617E-4</c:v>
                </c:pt>
                <c:pt idx="365">
                  <c:v>-9.5496795177856704E-3</c:v>
                </c:pt>
                <c:pt idx="366">
                  <c:v>6.8188229891577154E-3</c:v>
                </c:pt>
                <c:pt idx="367">
                  <c:v>7.1394708641763609E-3</c:v>
                </c:pt>
                <c:pt idx="368">
                  <c:v>7.0247909706333579E-3</c:v>
                </c:pt>
                <c:pt idx="369">
                  <c:v>1.3581171532558476E-2</c:v>
                </c:pt>
                <c:pt idx="370">
                  <c:v>2.5443250545078518E-3</c:v>
                </c:pt>
                <c:pt idx="371">
                  <c:v>2.0927332411233828E-3</c:v>
                </c:pt>
                <c:pt idx="372">
                  <c:v>4.3190881500243198E-3</c:v>
                </c:pt>
                <c:pt idx="373">
                  <c:v>4.8456414083324056E-3</c:v>
                </c:pt>
                <c:pt idx="374">
                  <c:v>9.0898939455833529E-3</c:v>
                </c:pt>
                <c:pt idx="375">
                  <c:v>1.2530645142764099E-2</c:v>
                </c:pt>
                <c:pt idx="376">
                  <c:v>1.3344522478866987E-3</c:v>
                </c:pt>
                <c:pt idx="377">
                  <c:v>1.1831038065343247E-2</c:v>
                </c:pt>
                <c:pt idx="378">
                  <c:v>3.4586276853520348E-3</c:v>
                </c:pt>
                <c:pt idx="379">
                  <c:v>-1.801322729868057E-3</c:v>
                </c:pt>
                <c:pt idx="380">
                  <c:v>8.790036159625909E-3</c:v>
                </c:pt>
                <c:pt idx="381">
                  <c:v>8.9026264923742476E-3</c:v>
                </c:pt>
                <c:pt idx="382">
                  <c:v>8.5644982635005949E-3</c:v>
                </c:pt>
                <c:pt idx="383">
                  <c:v>1.3210955371989843E-3</c:v>
                </c:pt>
                <c:pt idx="384">
                  <c:v>2.7665555004720895E-3</c:v>
                </c:pt>
                <c:pt idx="385">
                  <c:v>-5.9886876230174427E-3</c:v>
                </c:pt>
                <c:pt idx="386">
                  <c:v>7.8263440435304111E-4</c:v>
                </c:pt>
                <c:pt idx="387">
                  <c:v>1.6314246953144092E-2</c:v>
                </c:pt>
                <c:pt idx="388">
                  <c:v>1.0625266213793439E-2</c:v>
                </c:pt>
                <c:pt idx="389">
                  <c:v>5.4106852490481468E-3</c:v>
                </c:pt>
                <c:pt idx="390">
                  <c:v>1.0870508419063046E-2</c:v>
                </c:pt>
                <c:pt idx="391">
                  <c:v>1.5618807064162464E-2</c:v>
                </c:pt>
                <c:pt idx="392">
                  <c:v>-7.3734168246528788E-3</c:v>
                </c:pt>
                <c:pt idx="393">
                  <c:v>7.7104181605664058E-3</c:v>
                </c:pt>
                <c:pt idx="394">
                  <c:v>7.1043192074374904E-3</c:v>
                </c:pt>
                <c:pt idx="395">
                  <c:v>-3.3966437385537932E-3</c:v>
                </c:pt>
                <c:pt idx="396">
                  <c:v>-2.8711189119875842E-3</c:v>
                </c:pt>
                <c:pt idx="397">
                  <c:v>1.6144153190448832E-2</c:v>
                </c:pt>
                <c:pt idx="398">
                  <c:v>-2.1196203569355167E-3</c:v>
                </c:pt>
                <c:pt idx="399">
                  <c:v>-4.507676441534921E-3</c:v>
                </c:pt>
                <c:pt idx="400">
                  <c:v>-4.1756492931129575E-3</c:v>
                </c:pt>
                <c:pt idx="401">
                  <c:v>1.5330550190043501E-3</c:v>
                </c:pt>
                <c:pt idx="402">
                  <c:v>-7.4407705950703905E-4</c:v>
                </c:pt>
                <c:pt idx="403">
                  <c:v>-7.1116007800944327E-3</c:v>
                </c:pt>
                <c:pt idx="404">
                  <c:v>-6.1943562030725065E-3</c:v>
                </c:pt>
                <c:pt idx="405">
                  <c:v>4.568468857509304E-3</c:v>
                </c:pt>
                <c:pt idx="406">
                  <c:v>1.2316280845974916E-2</c:v>
                </c:pt>
                <c:pt idx="407">
                  <c:v>1.4140732765787969E-2</c:v>
                </c:pt>
                <c:pt idx="408">
                  <c:v>5.367990624187205E-3</c:v>
                </c:pt>
                <c:pt idx="409">
                  <c:v>-6.2606585764939928E-4</c:v>
                </c:pt>
                <c:pt idx="410">
                  <c:v>1.3325630075052971E-3</c:v>
                </c:pt>
                <c:pt idx="411">
                  <c:v>6.4783258369489997E-3</c:v>
                </c:pt>
                <c:pt idx="412">
                  <c:v>1.1058972972110684E-2</c:v>
                </c:pt>
                <c:pt idx="413">
                  <c:v>8.4441560086865874E-3</c:v>
                </c:pt>
                <c:pt idx="414">
                  <c:v>-3.9136619298660354E-3</c:v>
                </c:pt>
                <c:pt idx="415">
                  <c:v>6.49049330128739E-3</c:v>
                </c:pt>
                <c:pt idx="416">
                  <c:v>-7.3425817014711329E-3</c:v>
                </c:pt>
                <c:pt idx="417">
                  <c:v>8.8269220646608167E-4</c:v>
                </c:pt>
                <c:pt idx="418">
                  <c:v>1.4875452885078704E-2</c:v>
                </c:pt>
                <c:pt idx="419">
                  <c:v>-2.735926147814584E-3</c:v>
                </c:pt>
                <c:pt idx="420">
                  <c:v>1.5047964210284436E-5</c:v>
                </c:pt>
                <c:pt idx="421">
                  <c:v>-4.3471503699274586E-3</c:v>
                </c:pt>
                <c:pt idx="422">
                  <c:v>-1.5146498806746691E-3</c:v>
                </c:pt>
                <c:pt idx="423">
                  <c:v>1.2411818851775071E-3</c:v>
                </c:pt>
                <c:pt idx="424">
                  <c:v>4.0156127021860992E-3</c:v>
                </c:pt>
                <c:pt idx="425">
                  <c:v>-7.7786582020461861E-3</c:v>
                </c:pt>
                <c:pt idx="426">
                  <c:v>-8.1855867566205612E-3</c:v>
                </c:pt>
                <c:pt idx="427">
                  <c:v>1.1319922034783727E-3</c:v>
                </c:pt>
                <c:pt idx="428">
                  <c:v>-1.6689647069723851E-3</c:v>
                </c:pt>
                <c:pt idx="429">
                  <c:v>-2.5149277490487554E-3</c:v>
                </c:pt>
                <c:pt idx="430">
                  <c:v>-2.3027618130208774E-2</c:v>
                </c:pt>
                <c:pt idx="431">
                  <c:v>1.1374550667080751E-2</c:v>
                </c:pt>
                <c:pt idx="432">
                  <c:v>-1.5359539621535133E-2</c:v>
                </c:pt>
                <c:pt idx="433">
                  <c:v>2.5988699450943138E-3</c:v>
                </c:pt>
                <c:pt idx="434">
                  <c:v>-1.490009568079384E-2</c:v>
                </c:pt>
                <c:pt idx="435">
                  <c:v>-2.4914881972746772E-2</c:v>
                </c:pt>
                <c:pt idx="436">
                  <c:v>1.4078966597197986E-3</c:v>
                </c:pt>
                <c:pt idx="437">
                  <c:v>1.8464772073233337E-2</c:v>
                </c:pt>
                <c:pt idx="438">
                  <c:v>1.2638908545955969E-2</c:v>
                </c:pt>
                <c:pt idx="439">
                  <c:v>1.1022802910866426E-2</c:v>
                </c:pt>
                <c:pt idx="440">
                  <c:v>-1.4427270853314713E-2</c:v>
                </c:pt>
                <c:pt idx="441">
                  <c:v>-5.0522484308559816E-3</c:v>
                </c:pt>
                <c:pt idx="442">
                  <c:v>3.439926392274154E-3</c:v>
                </c:pt>
                <c:pt idx="443">
                  <c:v>-1.8881888308400251E-3</c:v>
                </c:pt>
                <c:pt idx="444">
                  <c:v>2.3841677088405088E-3</c:v>
                </c:pt>
                <c:pt idx="445">
                  <c:v>4.3857661658370222E-3</c:v>
                </c:pt>
                <c:pt idx="446">
                  <c:v>1.5280302487570169E-2</c:v>
                </c:pt>
                <c:pt idx="447">
                  <c:v>1.4145224039702448E-2</c:v>
                </c:pt>
                <c:pt idx="448">
                  <c:v>-8.1110518317639643E-3</c:v>
                </c:pt>
                <c:pt idx="449">
                  <c:v>1.6257668264925526E-3</c:v>
                </c:pt>
                <c:pt idx="450">
                  <c:v>1.4163475985072485E-2</c:v>
                </c:pt>
                <c:pt idx="451">
                  <c:v>-1.119796265131549E-2</c:v>
                </c:pt>
                <c:pt idx="452">
                  <c:v>-4.7114881096365522E-3</c:v>
                </c:pt>
                <c:pt idx="453">
                  <c:v>-3.153578592784205E-2</c:v>
                </c:pt>
                <c:pt idx="454">
                  <c:v>-1.9449959887685511E-2</c:v>
                </c:pt>
                <c:pt idx="455">
                  <c:v>3.4994214078581075E-2</c:v>
                </c:pt>
                <c:pt idx="456">
                  <c:v>-4.9139247961012275E-3</c:v>
                </c:pt>
                <c:pt idx="457">
                  <c:v>1.9595372221212767E-2</c:v>
                </c:pt>
                <c:pt idx="458">
                  <c:v>-8.2707389344871558E-3</c:v>
                </c:pt>
                <c:pt idx="459">
                  <c:v>1.2872066682362983E-3</c:v>
                </c:pt>
                <c:pt idx="460">
                  <c:v>9.0479020714966454E-3</c:v>
                </c:pt>
                <c:pt idx="461">
                  <c:v>1.0757404372214647E-3</c:v>
                </c:pt>
                <c:pt idx="462">
                  <c:v>-1.5359494258364302E-2</c:v>
                </c:pt>
                <c:pt idx="463">
                  <c:v>1.1832992107630022E-4</c:v>
                </c:pt>
                <c:pt idx="464">
                  <c:v>-1.5923351002665447E-3</c:v>
                </c:pt>
                <c:pt idx="465">
                  <c:v>3.6519173677160891E-3</c:v>
                </c:pt>
                <c:pt idx="466">
                  <c:v>-3.3946109812713408E-3</c:v>
                </c:pt>
                <c:pt idx="467">
                  <c:v>6.4248332764400742E-4</c:v>
                </c:pt>
                <c:pt idx="468">
                  <c:v>-8.7201257008388319E-3</c:v>
                </c:pt>
                <c:pt idx="469">
                  <c:v>-1.380191394370054E-2</c:v>
                </c:pt>
                <c:pt idx="470">
                  <c:v>5.824509771268741E-3</c:v>
                </c:pt>
                <c:pt idx="471">
                  <c:v>1.2898310629108992E-2</c:v>
                </c:pt>
                <c:pt idx="472">
                  <c:v>1.6184744336763542E-2</c:v>
                </c:pt>
                <c:pt idx="473">
                  <c:v>-5.4578205811553438E-3</c:v>
                </c:pt>
                <c:pt idx="474">
                  <c:v>6.4138364191125424E-3</c:v>
                </c:pt>
                <c:pt idx="475">
                  <c:v>1.4523183281136325E-2</c:v>
                </c:pt>
                <c:pt idx="476">
                  <c:v>8.6909313200178619E-3</c:v>
                </c:pt>
                <c:pt idx="477">
                  <c:v>4.8397021180011186E-4</c:v>
                </c:pt>
                <c:pt idx="478">
                  <c:v>3.7880769753984005E-3</c:v>
                </c:pt>
                <c:pt idx="479">
                  <c:v>-2.1723884663681931E-3</c:v>
                </c:pt>
                <c:pt idx="480">
                  <c:v>-3.2126084314703697E-4</c:v>
                </c:pt>
                <c:pt idx="481">
                  <c:v>2.428638409112394E-3</c:v>
                </c:pt>
                <c:pt idx="482">
                  <c:v>2.4123288700154386E-3</c:v>
                </c:pt>
                <c:pt idx="483">
                  <c:v>3.8895339272309194E-3</c:v>
                </c:pt>
                <c:pt idx="484">
                  <c:v>1.8738466964866623E-2</c:v>
                </c:pt>
                <c:pt idx="485">
                  <c:v>-3.5547362353366337E-4</c:v>
                </c:pt>
                <c:pt idx="486">
                  <c:v>2.5282745953605947E-3</c:v>
                </c:pt>
                <c:pt idx="487">
                  <c:v>9.3749589196910794E-3</c:v>
                </c:pt>
                <c:pt idx="488">
                  <c:v>-5.9725786894095523E-4</c:v>
                </c:pt>
                <c:pt idx="489">
                  <c:v>-9.3000659571038959E-3</c:v>
                </c:pt>
                <c:pt idx="490">
                  <c:v>-9.8495953270613876E-3</c:v>
                </c:pt>
                <c:pt idx="491">
                  <c:v>4.2128382960890422E-3</c:v>
                </c:pt>
                <c:pt idx="492">
                  <c:v>7.6372143326285625E-3</c:v>
                </c:pt>
                <c:pt idx="493">
                  <c:v>5.9311183213307224E-3</c:v>
                </c:pt>
                <c:pt idx="494">
                  <c:v>-9.5875650382787284E-3</c:v>
                </c:pt>
                <c:pt idx="495">
                  <c:v>1.0153841530162005E-2</c:v>
                </c:pt>
                <c:pt idx="496">
                  <c:v>1.3873517099074429E-3</c:v>
                </c:pt>
                <c:pt idx="497">
                  <c:v>1.552769053771229E-2</c:v>
                </c:pt>
                <c:pt idx="498">
                  <c:v>5.6635789966421862E-3</c:v>
                </c:pt>
                <c:pt idx="499">
                  <c:v>-8.0628449870495081E-4</c:v>
                </c:pt>
                <c:pt idx="500">
                  <c:v>1.1265065084479544E-2</c:v>
                </c:pt>
                <c:pt idx="501">
                  <c:v>4.2326804924190152E-3</c:v>
                </c:pt>
                <c:pt idx="502">
                  <c:v>6.8321345855530922E-3</c:v>
                </c:pt>
                <c:pt idx="503">
                  <c:v>-1.0715301108284176E-3</c:v>
                </c:pt>
                <c:pt idx="504">
                  <c:v>6.9425958581239384E-3</c:v>
                </c:pt>
                <c:pt idx="505">
                  <c:v>3.7001840510569269E-3</c:v>
                </c:pt>
                <c:pt idx="506">
                  <c:v>-2.2262017063279711E-3</c:v>
                </c:pt>
                <c:pt idx="507">
                  <c:v>-1.268772009171657E-3</c:v>
                </c:pt>
                <c:pt idx="508">
                  <c:v>-4.4484117480568615E-3</c:v>
                </c:pt>
                <c:pt idx="509">
                  <c:v>3.8609844405936076E-3</c:v>
                </c:pt>
                <c:pt idx="510">
                  <c:v>-4.9297184533637576E-3</c:v>
                </c:pt>
                <c:pt idx="511">
                  <c:v>6.7325000317446128E-3</c:v>
                </c:pt>
                <c:pt idx="512">
                  <c:v>-2.5317248479159752E-3</c:v>
                </c:pt>
                <c:pt idx="513">
                  <c:v>4.7876473466055783E-3</c:v>
                </c:pt>
                <c:pt idx="514">
                  <c:v>4.3339168592706843E-3</c:v>
                </c:pt>
                <c:pt idx="515">
                  <c:v>3.6889104546422805E-3</c:v>
                </c:pt>
                <c:pt idx="516">
                  <c:v>-6.2869512828001147E-3</c:v>
                </c:pt>
                <c:pt idx="517">
                  <c:v>4.7543595347663047E-3</c:v>
                </c:pt>
                <c:pt idx="518">
                  <c:v>-2.9554468914235726E-3</c:v>
                </c:pt>
                <c:pt idx="519">
                  <c:v>7.1762405010329959E-3</c:v>
                </c:pt>
                <c:pt idx="520">
                  <c:v>7.5845302975461517E-3</c:v>
                </c:pt>
                <c:pt idx="521">
                  <c:v>-5.9317806868969031E-4</c:v>
                </c:pt>
                <c:pt idx="522">
                  <c:v>-3.9210511111740839E-3</c:v>
                </c:pt>
                <c:pt idx="523">
                  <c:v>-1.0080932120226742E-3</c:v>
                </c:pt>
                <c:pt idx="524">
                  <c:v>-6.5302946324097429E-4</c:v>
                </c:pt>
                <c:pt idx="525">
                  <c:v>-1.2622552513930517E-2</c:v>
                </c:pt>
                <c:pt idx="526">
                  <c:v>-5.3665662661065653E-3</c:v>
                </c:pt>
                <c:pt idx="527">
                  <c:v>1.238267425421901E-2</c:v>
                </c:pt>
                <c:pt idx="528">
                  <c:v>1.0616792152940816E-2</c:v>
                </c:pt>
                <c:pt idx="529">
                  <c:v>-2.1296002918838497E-3</c:v>
                </c:pt>
                <c:pt idx="530">
                  <c:v>-1.3372351348589049E-2</c:v>
                </c:pt>
                <c:pt idx="531">
                  <c:v>1.8401594703739634E-3</c:v>
                </c:pt>
                <c:pt idx="532">
                  <c:v>-7.3032049000976811E-3</c:v>
                </c:pt>
                <c:pt idx="533">
                  <c:v>-3.5147060233549779E-3</c:v>
                </c:pt>
                <c:pt idx="534">
                  <c:v>-8.0074351474728311E-3</c:v>
                </c:pt>
                <c:pt idx="535">
                  <c:v>1.329377650036662E-2</c:v>
                </c:pt>
                <c:pt idx="536">
                  <c:v>-2.1885922565605732E-3</c:v>
                </c:pt>
                <c:pt idx="537">
                  <c:v>-5.9215061936089101E-3</c:v>
                </c:pt>
                <c:pt idx="538">
                  <c:v>8.133628024914916E-3</c:v>
                </c:pt>
                <c:pt idx="539">
                  <c:v>4.275277296909144E-3</c:v>
                </c:pt>
                <c:pt idx="540">
                  <c:v>-1.9112545325273966E-2</c:v>
                </c:pt>
                <c:pt idx="541">
                  <c:v>1.2341831768831711E-2</c:v>
                </c:pt>
                <c:pt idx="542">
                  <c:v>-1.7154133037795501E-2</c:v>
                </c:pt>
                <c:pt idx="543">
                  <c:v>-1.8382257461257826E-2</c:v>
                </c:pt>
                <c:pt idx="544">
                  <c:v>-1.2012551865085385E-2</c:v>
                </c:pt>
                <c:pt idx="545">
                  <c:v>-2.0871708297781139E-2</c:v>
                </c:pt>
                <c:pt idx="546">
                  <c:v>2.3570024703270884E-2</c:v>
                </c:pt>
                <c:pt idx="547">
                  <c:v>2.2346492470096763E-2</c:v>
                </c:pt>
                <c:pt idx="548">
                  <c:v>2.0209267670376761E-3</c:v>
                </c:pt>
                <c:pt idx="549">
                  <c:v>1.3225342900314912E-2</c:v>
                </c:pt>
                <c:pt idx="550">
                  <c:v>-1.5978328860683264E-2</c:v>
                </c:pt>
                <c:pt idx="551">
                  <c:v>3.9625177393212739E-3</c:v>
                </c:pt>
                <c:pt idx="552">
                  <c:v>1.1269604383480217E-2</c:v>
                </c:pt>
                <c:pt idx="553">
                  <c:v>3.014050815143735E-3</c:v>
                </c:pt>
                <c:pt idx="554">
                  <c:v>3.9954602332372396E-3</c:v>
                </c:pt>
                <c:pt idx="555">
                  <c:v>-4.4729319059375657E-3</c:v>
                </c:pt>
                <c:pt idx="556">
                  <c:v>-2.3940926544150431E-2</c:v>
                </c:pt>
                <c:pt idx="557">
                  <c:v>1.3330542539351528E-3</c:v>
                </c:pt>
                <c:pt idx="558">
                  <c:v>2.1761689940646397E-3</c:v>
                </c:pt>
                <c:pt idx="559">
                  <c:v>-3.5828146008385696E-3</c:v>
                </c:pt>
                <c:pt idx="560">
                  <c:v>-2.8619274738285335E-3</c:v>
                </c:pt>
                <c:pt idx="561">
                  <c:v>-1.69915092114277E-2</c:v>
                </c:pt>
                <c:pt idx="562">
                  <c:v>1.9667628129835829E-2</c:v>
                </c:pt>
                <c:pt idx="563">
                  <c:v>-1.015928494055799E-2</c:v>
                </c:pt>
                <c:pt idx="564">
                  <c:v>1.7922999673746685E-2</c:v>
                </c:pt>
                <c:pt idx="565">
                  <c:v>9.948736471131021E-3</c:v>
                </c:pt>
                <c:pt idx="566">
                  <c:v>-4.6126629027089579E-3</c:v>
                </c:pt>
                <c:pt idx="567">
                  <c:v>1.5678758861266062E-3</c:v>
                </c:pt>
                <c:pt idx="568">
                  <c:v>5.8303737499326054E-3</c:v>
                </c:pt>
                <c:pt idx="569">
                  <c:v>-1.7885194881091455E-3</c:v>
                </c:pt>
                <c:pt idx="570">
                  <c:v>1.6681339760309839E-3</c:v>
                </c:pt>
                <c:pt idx="571">
                  <c:v>-8.653670636519074E-3</c:v>
                </c:pt>
                <c:pt idx="572">
                  <c:v>1.0825458764466934E-2</c:v>
                </c:pt>
                <c:pt idx="573">
                  <c:v>-2.0537544455060787E-3</c:v>
                </c:pt>
                <c:pt idx="574">
                  <c:v>-8.3195494513595668E-3</c:v>
                </c:pt>
                <c:pt idx="575">
                  <c:v>-4.9599807343085897E-3</c:v>
                </c:pt>
                <c:pt idx="576">
                  <c:v>2.1831374047235692E-2</c:v>
                </c:pt>
                <c:pt idx="577">
                  <c:v>-8.5349465454917506E-3</c:v>
                </c:pt>
                <c:pt idx="578">
                  <c:v>-5.1608564438508754E-3</c:v>
                </c:pt>
                <c:pt idx="579">
                  <c:v>-4.3500627619891827E-3</c:v>
                </c:pt>
                <c:pt idx="580">
                  <c:v>-1.3390957514982845E-2</c:v>
                </c:pt>
                <c:pt idx="581">
                  <c:v>-4.2056058930445735E-3</c:v>
                </c:pt>
                <c:pt idx="582">
                  <c:v>1.1057895190601718E-2</c:v>
                </c:pt>
                <c:pt idx="583">
                  <c:v>8.5275894513885467E-3</c:v>
                </c:pt>
                <c:pt idx="584">
                  <c:v>5.1411090475375178E-3</c:v>
                </c:pt>
                <c:pt idx="585">
                  <c:v>1.376080887807259E-2</c:v>
                </c:pt>
                <c:pt idx="586">
                  <c:v>4.0507630418259036E-3</c:v>
                </c:pt>
                <c:pt idx="587">
                  <c:v>-6.5180108138390156E-3</c:v>
                </c:pt>
                <c:pt idx="588">
                  <c:v>-2.3650396183539E-3</c:v>
                </c:pt>
                <c:pt idx="589">
                  <c:v>7.4803501201451501E-3</c:v>
                </c:pt>
                <c:pt idx="590">
                  <c:v>3.966679284189983E-3</c:v>
                </c:pt>
                <c:pt idx="591">
                  <c:v>4.4156781195177509E-3</c:v>
                </c:pt>
                <c:pt idx="592">
                  <c:v>1.1050598414795689E-2</c:v>
                </c:pt>
                <c:pt idx="593">
                  <c:v>-4.6056261696971742E-4</c:v>
                </c:pt>
                <c:pt idx="594">
                  <c:v>7.171075479662131E-3</c:v>
                </c:pt>
                <c:pt idx="595">
                  <c:v>1.6340136259399916E-2</c:v>
                </c:pt>
                <c:pt idx="596">
                  <c:v>6.157464223780054E-3</c:v>
                </c:pt>
                <c:pt idx="597">
                  <c:v>-1.3355118749748519E-3</c:v>
                </c:pt>
                <c:pt idx="598">
                  <c:v>-6.9337522258866905E-4</c:v>
                </c:pt>
                <c:pt idx="599">
                  <c:v>2.4570872630891986E-3</c:v>
                </c:pt>
                <c:pt idx="600">
                  <c:v>1.8866789596717478E-3</c:v>
                </c:pt>
                <c:pt idx="601">
                  <c:v>-3.2023081130521649E-3</c:v>
                </c:pt>
                <c:pt idx="602">
                  <c:v>-7.6921191709392704E-3</c:v>
                </c:pt>
                <c:pt idx="603">
                  <c:v>9.9182420555899466E-3</c:v>
                </c:pt>
                <c:pt idx="604">
                  <c:v>1.1031783681706658E-3</c:v>
                </c:pt>
                <c:pt idx="605">
                  <c:v>8.7229570940479638E-3</c:v>
                </c:pt>
                <c:pt idx="606">
                  <c:v>-1.9193007112413736E-3</c:v>
                </c:pt>
                <c:pt idx="607">
                  <c:v>-3.1184868738145027E-3</c:v>
                </c:pt>
                <c:pt idx="608">
                  <c:v>-7.2121185869074515E-3</c:v>
                </c:pt>
                <c:pt idx="609">
                  <c:v>2.2318140501233243E-3</c:v>
                </c:pt>
                <c:pt idx="610">
                  <c:v>-4.6881474966038962E-3</c:v>
                </c:pt>
                <c:pt idx="611">
                  <c:v>-5.2861212033855718E-4</c:v>
                </c:pt>
                <c:pt idx="612">
                  <c:v>-1.8013159358945402E-3</c:v>
                </c:pt>
                <c:pt idx="613">
                  <c:v>1.2910040980612764E-3</c:v>
                </c:pt>
                <c:pt idx="614">
                  <c:v>-5.3917077786121946E-3</c:v>
                </c:pt>
                <c:pt idx="615">
                  <c:v>-1.4707170938081923E-2</c:v>
                </c:pt>
                <c:pt idx="616">
                  <c:v>2.8811325391176878E-3</c:v>
                </c:pt>
                <c:pt idx="617">
                  <c:v>4.6300450785007443E-3</c:v>
                </c:pt>
                <c:pt idx="618">
                  <c:v>9.3874020663054659E-3</c:v>
                </c:pt>
                <c:pt idx="619">
                  <c:v>-2.3930676977282784E-3</c:v>
                </c:pt>
                <c:pt idx="620">
                  <c:v>-5.3906603548448976E-3</c:v>
                </c:pt>
                <c:pt idx="621">
                  <c:v>-1.7491363955308285E-3</c:v>
                </c:pt>
                <c:pt idx="622">
                  <c:v>-2.0749306807564803E-3</c:v>
                </c:pt>
                <c:pt idx="623">
                  <c:v>1.7043078298473246E-2</c:v>
                </c:pt>
                <c:pt idx="624">
                  <c:v>-1.0191211110526135E-2</c:v>
                </c:pt>
                <c:pt idx="625">
                  <c:v>-2.4466265588386745E-3</c:v>
                </c:pt>
                <c:pt idx="626">
                  <c:v>7.0415292152849478E-4</c:v>
                </c:pt>
                <c:pt idx="627">
                  <c:v>2.3125287881408136E-4</c:v>
                </c:pt>
                <c:pt idx="628">
                  <c:v>2.8803067161324099E-3</c:v>
                </c:pt>
                <c:pt idx="629">
                  <c:v>4.3266329695856977E-3</c:v>
                </c:pt>
                <c:pt idx="630">
                  <c:v>8.1385063823409445E-4</c:v>
                </c:pt>
                <c:pt idx="631">
                  <c:v>-1.6750478241925101E-3</c:v>
                </c:pt>
                <c:pt idx="632">
                  <c:v>-2.5189844469082948E-3</c:v>
                </c:pt>
                <c:pt idx="633">
                  <c:v>3.0017192236722737E-4</c:v>
                </c:pt>
                <c:pt idx="634">
                  <c:v>-7.7371207534801239E-3</c:v>
                </c:pt>
                <c:pt idx="635">
                  <c:v>-1.2046148159585447E-4</c:v>
                </c:pt>
                <c:pt idx="636">
                  <c:v>-5.4328332593216368E-3</c:v>
                </c:pt>
                <c:pt idx="637">
                  <c:v>8.4572850363901515E-3</c:v>
                </c:pt>
                <c:pt idx="638">
                  <c:v>6.428853661234999E-3</c:v>
                </c:pt>
                <c:pt idx="639">
                  <c:v>6.6082726528063948E-4</c:v>
                </c:pt>
                <c:pt idx="640">
                  <c:v>-3.1178149013975347E-3</c:v>
                </c:pt>
                <c:pt idx="641">
                  <c:v>-3.1680774998278853E-3</c:v>
                </c:pt>
                <c:pt idx="642">
                  <c:v>-7.7138426130159013E-3</c:v>
                </c:pt>
                <c:pt idx="643">
                  <c:v>2.5167845763972676E-4</c:v>
                </c:pt>
                <c:pt idx="644">
                  <c:v>5.1320152038335908E-3</c:v>
                </c:pt>
                <c:pt idx="645">
                  <c:v>-2.2504410332524795E-3</c:v>
                </c:pt>
                <c:pt idx="646">
                  <c:v>-2.1349349999874243E-3</c:v>
                </c:pt>
                <c:pt idx="647">
                  <c:v>-5.4494566867302422E-3</c:v>
                </c:pt>
                <c:pt idx="648">
                  <c:v>7.3681399038512995E-3</c:v>
                </c:pt>
                <c:pt idx="649">
                  <c:v>7.2234700884181062E-3</c:v>
                </c:pt>
                <c:pt idx="650">
                  <c:v>1.0764536504549794E-2</c:v>
                </c:pt>
                <c:pt idx="651">
                  <c:v>-5.8924751118271225E-3</c:v>
                </c:pt>
                <c:pt idx="652">
                  <c:v>-4.0312607218550879E-3</c:v>
                </c:pt>
                <c:pt idx="653">
                  <c:v>-5.7232045579070547E-3</c:v>
                </c:pt>
                <c:pt idx="654">
                  <c:v>-4.7872539206013009E-3</c:v>
                </c:pt>
                <c:pt idx="655">
                  <c:v>4.8618343352809009E-3</c:v>
                </c:pt>
                <c:pt idx="656">
                  <c:v>1.1409099833846197E-3</c:v>
                </c:pt>
                <c:pt idx="657">
                  <c:v>-1.3243429845880293E-4</c:v>
                </c:pt>
                <c:pt idx="658">
                  <c:v>-1.0764875628144445E-2</c:v>
                </c:pt>
                <c:pt idx="659">
                  <c:v>1.1600522439261637E-3</c:v>
                </c:pt>
                <c:pt idx="660">
                  <c:v>-8.2947398997442509E-4</c:v>
                </c:pt>
                <c:pt idx="661">
                  <c:v>-4.018882096025145E-3</c:v>
                </c:pt>
                <c:pt idx="662">
                  <c:v>-7.1313992136950262E-3</c:v>
                </c:pt>
                <c:pt idx="663">
                  <c:v>4.9229783749753699E-3</c:v>
                </c:pt>
                <c:pt idx="664">
                  <c:v>1.2293158709296582E-2</c:v>
                </c:pt>
                <c:pt idx="665">
                  <c:v>1.5290808205127399E-3</c:v>
                </c:pt>
                <c:pt idx="666">
                  <c:v>-8.0202308164549832E-3</c:v>
                </c:pt>
                <c:pt idx="667">
                  <c:v>-3.7239285548247365E-3</c:v>
                </c:pt>
                <c:pt idx="668">
                  <c:v>4.3611794663666022E-3</c:v>
                </c:pt>
                <c:pt idx="669">
                  <c:v>-6.0608953961661374E-3</c:v>
                </c:pt>
                <c:pt idx="670">
                  <c:v>-2.3130160167836281E-3</c:v>
                </c:pt>
                <c:pt idx="671">
                  <c:v>-1.1162260486702595E-2</c:v>
                </c:pt>
                <c:pt idx="672">
                  <c:v>-8.9463222836476154E-3</c:v>
                </c:pt>
                <c:pt idx="673">
                  <c:v>-6.5872408066804172E-3</c:v>
                </c:pt>
                <c:pt idx="674">
                  <c:v>-4.9310239469031996E-3</c:v>
                </c:pt>
                <c:pt idx="675">
                  <c:v>-5.6742850347608698E-3</c:v>
                </c:pt>
                <c:pt idx="676">
                  <c:v>1.0200643673400862E-2</c:v>
                </c:pt>
                <c:pt idx="677">
                  <c:v>-2.0059445702069606E-2</c:v>
                </c:pt>
                <c:pt idx="678">
                  <c:v>1.2010348292437096E-2</c:v>
                </c:pt>
                <c:pt idx="679">
                  <c:v>-6.2138638206134255E-4</c:v>
                </c:pt>
                <c:pt idx="680">
                  <c:v>3.8509795706425857E-3</c:v>
                </c:pt>
                <c:pt idx="681">
                  <c:v>-8.3901475207850077E-3</c:v>
                </c:pt>
                <c:pt idx="682">
                  <c:v>-6.5673276457090058E-3</c:v>
                </c:pt>
                <c:pt idx="683">
                  <c:v>4.7959096058591555E-3</c:v>
                </c:pt>
                <c:pt idx="684">
                  <c:v>-2.4404499704391257E-3</c:v>
                </c:pt>
                <c:pt idx="685">
                  <c:v>-1.4566554616823138E-2</c:v>
                </c:pt>
                <c:pt idx="686">
                  <c:v>1.2258908699308386E-3</c:v>
                </c:pt>
                <c:pt idx="687">
                  <c:v>-1.5069589463638443E-2</c:v>
                </c:pt>
                <c:pt idx="688">
                  <c:v>2.5725456008521663E-2</c:v>
                </c:pt>
                <c:pt idx="689">
                  <c:v>1.1004049291644604E-2</c:v>
                </c:pt>
                <c:pt idx="690">
                  <c:v>-4.2854405014733261E-3</c:v>
                </c:pt>
                <c:pt idx="691">
                  <c:v>1.9494078461643648E-2</c:v>
                </c:pt>
                <c:pt idx="692">
                  <c:v>7.0756883708070891E-3</c:v>
                </c:pt>
                <c:pt idx="693">
                  <c:v>-5.3040718965374446E-3</c:v>
                </c:pt>
                <c:pt idx="694">
                  <c:v>-3.2721668791944121E-3</c:v>
                </c:pt>
                <c:pt idx="695">
                  <c:v>-3.8134046765495415E-3</c:v>
                </c:pt>
                <c:pt idx="696">
                  <c:v>1.3148759567243878E-2</c:v>
                </c:pt>
                <c:pt idx="697">
                  <c:v>3.0466048316461812E-3</c:v>
                </c:pt>
                <c:pt idx="698">
                  <c:v>4.9618694897862478E-3</c:v>
                </c:pt>
                <c:pt idx="699">
                  <c:v>1.5735543856164536E-2</c:v>
                </c:pt>
                <c:pt idx="700">
                  <c:v>3.5510853804811746E-3</c:v>
                </c:pt>
                <c:pt idx="701">
                  <c:v>-1.7082362969647377E-3</c:v>
                </c:pt>
                <c:pt idx="702">
                  <c:v>3.9704510333718164E-3</c:v>
                </c:pt>
                <c:pt idx="703">
                  <c:v>1.6226457130344622E-3</c:v>
                </c:pt>
                <c:pt idx="704">
                  <c:v>-3.8219038476989928E-3</c:v>
                </c:pt>
                <c:pt idx="705">
                  <c:v>-1.5178380406766022E-2</c:v>
                </c:pt>
                <c:pt idx="706">
                  <c:v>4.9562596134344631E-3</c:v>
                </c:pt>
                <c:pt idx="707">
                  <c:v>-6.0411907557985801E-3</c:v>
                </c:pt>
                <c:pt idx="708">
                  <c:v>-1.2924563596671948E-2</c:v>
                </c:pt>
                <c:pt idx="709">
                  <c:v>-2.8175386865109884E-4</c:v>
                </c:pt>
                <c:pt idx="710">
                  <c:v>1.7636990868951711E-2</c:v>
                </c:pt>
                <c:pt idx="711">
                  <c:v>-7.4874991701207594E-3</c:v>
                </c:pt>
                <c:pt idx="712">
                  <c:v>-1.8166696323927924E-3</c:v>
                </c:pt>
                <c:pt idx="713">
                  <c:v>8.2174342069594453E-3</c:v>
                </c:pt>
                <c:pt idx="714">
                  <c:v>-1.601246391382475E-2</c:v>
                </c:pt>
                <c:pt idx="715">
                  <c:v>-1.7411301781615547E-2</c:v>
                </c:pt>
                <c:pt idx="716">
                  <c:v>-1.3010884451812869E-2</c:v>
                </c:pt>
                <c:pt idx="717">
                  <c:v>-9.6464000973768439E-3</c:v>
                </c:pt>
                <c:pt idx="718">
                  <c:v>4.060702275481891E-3</c:v>
                </c:pt>
                <c:pt idx="719">
                  <c:v>2.7562351861624462E-2</c:v>
                </c:pt>
                <c:pt idx="720">
                  <c:v>-5.6843087532443826E-3</c:v>
                </c:pt>
                <c:pt idx="721">
                  <c:v>6.5840765453255862E-3</c:v>
                </c:pt>
                <c:pt idx="722">
                  <c:v>-4.7058198590495613E-2</c:v>
                </c:pt>
                <c:pt idx="723">
                  <c:v>-3.0531420185194089E-5</c:v>
                </c:pt>
                <c:pt idx="724">
                  <c:v>1.1088795251200316E-3</c:v>
                </c:pt>
                <c:pt idx="725">
                  <c:v>1.3232666609212388E-2</c:v>
                </c:pt>
                <c:pt idx="726">
                  <c:v>-1.5095719861738129E-4</c:v>
                </c:pt>
                <c:pt idx="727">
                  <c:v>-7.4812637709374945E-3</c:v>
                </c:pt>
                <c:pt idx="728">
                  <c:v>-2.8277408129444093E-3</c:v>
                </c:pt>
                <c:pt idx="729">
                  <c:v>-1.1969136169461552E-2</c:v>
                </c:pt>
                <c:pt idx="730">
                  <c:v>8.6373916448616445E-3</c:v>
                </c:pt>
                <c:pt idx="731">
                  <c:v>2.5901392267758668E-2</c:v>
                </c:pt>
                <c:pt idx="732">
                  <c:v>-1.4327360556956329E-2</c:v>
                </c:pt>
                <c:pt idx="733">
                  <c:v>3.8754939265330749E-3</c:v>
                </c:pt>
                <c:pt idx="734">
                  <c:v>1.0005995351324782E-2</c:v>
                </c:pt>
                <c:pt idx="735">
                  <c:v>-3.6734367088821118E-3</c:v>
                </c:pt>
                <c:pt idx="736">
                  <c:v>-4.7535972847419367E-5</c:v>
                </c:pt>
                <c:pt idx="737">
                  <c:v>2.081042726231626E-3</c:v>
                </c:pt>
                <c:pt idx="738">
                  <c:v>-3.3548768944742465E-3</c:v>
                </c:pt>
                <c:pt idx="739">
                  <c:v>-4.6454551038693183E-3</c:v>
                </c:pt>
                <c:pt idx="740">
                  <c:v>2.9672009298291283E-3</c:v>
                </c:pt>
                <c:pt idx="741">
                  <c:v>4.9126164126843596E-3</c:v>
                </c:pt>
                <c:pt idx="742">
                  <c:v>3.5266518768253515E-3</c:v>
                </c:pt>
                <c:pt idx="743">
                  <c:v>4.0496485516546355E-3</c:v>
                </c:pt>
                <c:pt idx="744">
                  <c:v>6.5212024288238786E-3</c:v>
                </c:pt>
                <c:pt idx="745">
                  <c:v>1.1227108850713362E-2</c:v>
                </c:pt>
                <c:pt idx="746">
                  <c:v>3.7562644797943621E-4</c:v>
                </c:pt>
                <c:pt idx="747">
                  <c:v>-7.1703397801570722E-3</c:v>
                </c:pt>
                <c:pt idx="748">
                  <c:v>5.8415386970052221E-3</c:v>
                </c:pt>
                <c:pt idx="749">
                  <c:v>1.1952193870856321E-2</c:v>
                </c:pt>
                <c:pt idx="750">
                  <c:v>-1.4165037505750461E-4</c:v>
                </c:pt>
                <c:pt idx="751">
                  <c:v>7.6545629979040666E-4</c:v>
                </c:pt>
                <c:pt idx="752">
                  <c:v>-3.3332425884083066E-3</c:v>
                </c:pt>
                <c:pt idx="753">
                  <c:v>5.4629046919795826E-6</c:v>
                </c:pt>
                <c:pt idx="754">
                  <c:v>-3.3050392835330378E-3</c:v>
                </c:pt>
                <c:pt idx="755">
                  <c:v>-2.2974116574073079E-3</c:v>
                </c:pt>
                <c:pt idx="756">
                  <c:v>-1.4810335283858236E-2</c:v>
                </c:pt>
                <c:pt idx="757">
                  <c:v>-1.6639369327751919E-4</c:v>
                </c:pt>
                <c:pt idx="758">
                  <c:v>4.2901469839915938E-3</c:v>
                </c:pt>
                <c:pt idx="759">
                  <c:v>-2.0962595638926084E-3</c:v>
                </c:pt>
                <c:pt idx="760">
                  <c:v>-8.0447138283392273E-4</c:v>
                </c:pt>
                <c:pt idx="761">
                  <c:v>1.4988492411185969E-3</c:v>
                </c:pt>
                <c:pt idx="762">
                  <c:v>2.8470661249403117E-3</c:v>
                </c:pt>
                <c:pt idx="763">
                  <c:v>-1.1379001948398733E-4</c:v>
                </c:pt>
                <c:pt idx="764">
                  <c:v>6.5834906720386279E-3</c:v>
                </c:pt>
                <c:pt idx="765">
                  <c:v>6.607649905189408E-3</c:v>
                </c:pt>
                <c:pt idx="766">
                  <c:v>9.7351914087729797E-3</c:v>
                </c:pt>
                <c:pt idx="767">
                  <c:v>-5.5556097629726733E-3</c:v>
                </c:pt>
                <c:pt idx="768">
                  <c:v>1.0186876416312949E-3</c:v>
                </c:pt>
                <c:pt idx="769">
                  <c:v>-1.4898828459812142E-3</c:v>
                </c:pt>
                <c:pt idx="770">
                  <c:v>2.3275979603522394E-3</c:v>
                </c:pt>
                <c:pt idx="771">
                  <c:v>8.5272574728579836E-3</c:v>
                </c:pt>
                <c:pt idx="772">
                  <c:v>-8.6258539103353394E-3</c:v>
                </c:pt>
                <c:pt idx="773">
                  <c:v>3.032866318792969E-3</c:v>
                </c:pt>
                <c:pt idx="774">
                  <c:v>-9.446309704321176E-3</c:v>
                </c:pt>
                <c:pt idx="775">
                  <c:v>1.9194160733624131E-3</c:v>
                </c:pt>
                <c:pt idx="776">
                  <c:v>-1.0255468307540324E-3</c:v>
                </c:pt>
                <c:pt idx="777">
                  <c:v>-5.3343781739222749E-3</c:v>
                </c:pt>
                <c:pt idx="778">
                  <c:v>5.1664682413058681E-3</c:v>
                </c:pt>
                <c:pt idx="779">
                  <c:v>-6.853071435749424E-3</c:v>
                </c:pt>
                <c:pt idx="780">
                  <c:v>-7.730334403592329E-3</c:v>
                </c:pt>
                <c:pt idx="781">
                  <c:v>2.6823850788830483E-3</c:v>
                </c:pt>
                <c:pt idx="782">
                  <c:v>-2.885720666865774E-2</c:v>
                </c:pt>
                <c:pt idx="783">
                  <c:v>3.5073742012127151E-3</c:v>
                </c:pt>
                <c:pt idx="784">
                  <c:v>1.0839564353050186E-2</c:v>
                </c:pt>
                <c:pt idx="785">
                  <c:v>7.7049531713292091E-3</c:v>
                </c:pt>
                <c:pt idx="786">
                  <c:v>-6.4606444395737825E-3</c:v>
                </c:pt>
                <c:pt idx="787">
                  <c:v>2.605914707512705E-4</c:v>
                </c:pt>
                <c:pt idx="788">
                  <c:v>5.7562235939132218E-4</c:v>
                </c:pt>
                <c:pt idx="789">
                  <c:v>-2.8829204951140591E-2</c:v>
                </c:pt>
                <c:pt idx="790">
                  <c:v>-8.9819092947808141E-3</c:v>
                </c:pt>
                <c:pt idx="791">
                  <c:v>3.8390003346677423E-3</c:v>
                </c:pt>
                <c:pt idx="792">
                  <c:v>1.8833741917377512E-2</c:v>
                </c:pt>
                <c:pt idx="793">
                  <c:v>-4.567239831056156E-3</c:v>
                </c:pt>
                <c:pt idx="794">
                  <c:v>-6.5616987295127847E-3</c:v>
                </c:pt>
                <c:pt idx="795">
                  <c:v>8.1382363365231011E-3</c:v>
                </c:pt>
                <c:pt idx="796">
                  <c:v>5.8524943606813257E-3</c:v>
                </c:pt>
                <c:pt idx="797">
                  <c:v>-3.8307528545885039E-3</c:v>
                </c:pt>
                <c:pt idx="798">
                  <c:v>-1.7742733334200816E-2</c:v>
                </c:pt>
                <c:pt idx="799">
                  <c:v>4.6537332003717411E-3</c:v>
                </c:pt>
                <c:pt idx="800">
                  <c:v>-6.1137787408901208E-4</c:v>
                </c:pt>
                <c:pt idx="801">
                  <c:v>7.3780564158839315E-3</c:v>
                </c:pt>
                <c:pt idx="802">
                  <c:v>6.5690084795115415E-4</c:v>
                </c:pt>
                <c:pt idx="803">
                  <c:v>8.7809412107237202E-3</c:v>
                </c:pt>
                <c:pt idx="804">
                  <c:v>1.1497816247988997E-2</c:v>
                </c:pt>
                <c:pt idx="805">
                  <c:v>-2.2759441657834146E-3</c:v>
                </c:pt>
                <c:pt idx="806">
                  <c:v>1.3335645894812526E-2</c:v>
                </c:pt>
                <c:pt idx="807">
                  <c:v>4.9696375356313265E-3</c:v>
                </c:pt>
                <c:pt idx="808">
                  <c:v>-2.7685749348147843E-2</c:v>
                </c:pt>
                <c:pt idx="809">
                  <c:v>5.9313872430531408E-4</c:v>
                </c:pt>
                <c:pt idx="810">
                  <c:v>4.1663555520750463E-3</c:v>
                </c:pt>
                <c:pt idx="811">
                  <c:v>-7.3512109197004108E-3</c:v>
                </c:pt>
                <c:pt idx="812">
                  <c:v>1.5021640068486346E-2</c:v>
                </c:pt>
                <c:pt idx="813">
                  <c:v>3.8258433311778341E-2</c:v>
                </c:pt>
                <c:pt idx="814">
                  <c:v>5.6842610763993056E-3</c:v>
                </c:pt>
                <c:pt idx="815">
                  <c:v>-5.20952971582468E-3</c:v>
                </c:pt>
                <c:pt idx="816">
                  <c:v>6.9084056275790428E-3</c:v>
                </c:pt>
                <c:pt idx="817">
                  <c:v>2.5193381956065846E-3</c:v>
                </c:pt>
                <c:pt idx="818">
                  <c:v>-1.3293552101498012E-3</c:v>
                </c:pt>
                <c:pt idx="819">
                  <c:v>-4.4312809803437447E-3</c:v>
                </c:pt>
                <c:pt idx="820">
                  <c:v>-8.4215778868615854E-3</c:v>
                </c:pt>
                <c:pt idx="821">
                  <c:v>-6.32390109866193E-3</c:v>
                </c:pt>
                <c:pt idx="822">
                  <c:v>-2.181692967457417E-3</c:v>
                </c:pt>
                <c:pt idx="823">
                  <c:v>1.1420318565048009E-2</c:v>
                </c:pt>
                <c:pt idx="824">
                  <c:v>-5.5472535581926989E-3</c:v>
                </c:pt>
                <c:pt idx="825">
                  <c:v>-6.206557426425118E-3</c:v>
                </c:pt>
                <c:pt idx="826">
                  <c:v>-6.234777624288145E-3</c:v>
                </c:pt>
                <c:pt idx="827">
                  <c:v>-9.0299519927443429E-3</c:v>
                </c:pt>
                <c:pt idx="828">
                  <c:v>-3.2284653198726747E-2</c:v>
                </c:pt>
                <c:pt idx="829">
                  <c:v>2.563077942734754E-3</c:v>
                </c:pt>
                <c:pt idx="830">
                  <c:v>-1.4738982483594728E-2</c:v>
                </c:pt>
                <c:pt idx="831">
                  <c:v>8.2331793160327397E-4</c:v>
                </c:pt>
                <c:pt idx="832">
                  <c:v>1.3707258352518105E-2</c:v>
                </c:pt>
                <c:pt idx="833">
                  <c:v>-1.8836667781189809E-2</c:v>
                </c:pt>
                <c:pt idx="834">
                  <c:v>1.3766976693168908E-3</c:v>
                </c:pt>
                <c:pt idx="835">
                  <c:v>7.040667920234155E-3</c:v>
                </c:pt>
                <c:pt idx="836">
                  <c:v>-1.0093690269896468E-3</c:v>
                </c:pt>
                <c:pt idx="837">
                  <c:v>2.7277940695779423E-3</c:v>
                </c:pt>
                <c:pt idx="838">
                  <c:v>-1.5323417021069197E-2</c:v>
                </c:pt>
                <c:pt idx="839">
                  <c:v>-1.1543994203615678E-2</c:v>
                </c:pt>
                <c:pt idx="840">
                  <c:v>1.4860434914442556E-3</c:v>
                </c:pt>
                <c:pt idx="841">
                  <c:v>1.2592632792115414E-2</c:v>
                </c:pt>
                <c:pt idx="842">
                  <c:v>7.5159179073901348E-3</c:v>
                </c:pt>
                <c:pt idx="843">
                  <c:v>4.1690143473914754E-3</c:v>
                </c:pt>
                <c:pt idx="844">
                  <c:v>8.8289675637672187E-4</c:v>
                </c:pt>
                <c:pt idx="845">
                  <c:v>-7.4771102002082392E-3</c:v>
                </c:pt>
                <c:pt idx="846">
                  <c:v>-1.21182878489214E-2</c:v>
                </c:pt>
                <c:pt idx="847">
                  <c:v>-2.1853117258879666E-2</c:v>
                </c:pt>
                <c:pt idx="848">
                  <c:v>6.3495283055403223E-3</c:v>
                </c:pt>
                <c:pt idx="849">
                  <c:v>-2.1165441355963121E-4</c:v>
                </c:pt>
                <c:pt idx="850">
                  <c:v>-3.6686512666710125E-4</c:v>
                </c:pt>
                <c:pt idx="851">
                  <c:v>4.399184081306828E-3</c:v>
                </c:pt>
                <c:pt idx="852">
                  <c:v>6.6793719372935014E-3</c:v>
                </c:pt>
                <c:pt idx="853">
                  <c:v>-2.7009574975252793E-2</c:v>
                </c:pt>
                <c:pt idx="854">
                  <c:v>4.2747137776410083E-3</c:v>
                </c:pt>
                <c:pt idx="855">
                  <c:v>9.3560587976815445E-3</c:v>
                </c:pt>
                <c:pt idx="856">
                  <c:v>7.0313346504567971E-3</c:v>
                </c:pt>
                <c:pt idx="857">
                  <c:v>9.8394063190747061E-3</c:v>
                </c:pt>
                <c:pt idx="858">
                  <c:v>-8.6324973730895881E-3</c:v>
                </c:pt>
                <c:pt idx="859">
                  <c:v>1.7927815749247403E-2</c:v>
                </c:pt>
                <c:pt idx="860">
                  <c:v>-1.5945557947558532E-3</c:v>
                </c:pt>
                <c:pt idx="861">
                  <c:v>6.0961219686025284E-3</c:v>
                </c:pt>
                <c:pt idx="862">
                  <c:v>-3.8981697437809854E-2</c:v>
                </c:pt>
                <c:pt idx="863">
                  <c:v>2.0139925688989417E-2</c:v>
                </c:pt>
                <c:pt idx="864">
                  <c:v>-2.6970834964039386E-3</c:v>
                </c:pt>
                <c:pt idx="865">
                  <c:v>-1.120275480167658E-2</c:v>
                </c:pt>
                <c:pt idx="866">
                  <c:v>5.8865220921343261E-3</c:v>
                </c:pt>
                <c:pt idx="867">
                  <c:v>2.1549882368743427E-3</c:v>
                </c:pt>
                <c:pt idx="868">
                  <c:v>-6.7777474847075803E-3</c:v>
                </c:pt>
                <c:pt idx="869">
                  <c:v>-5.9402842059108904E-3</c:v>
                </c:pt>
                <c:pt idx="870">
                  <c:v>1.392127061641186E-3</c:v>
                </c:pt>
                <c:pt idx="871">
                  <c:v>4.4757274028852231E-3</c:v>
                </c:pt>
                <c:pt idx="872">
                  <c:v>1.2547404085863823E-2</c:v>
                </c:pt>
                <c:pt idx="873">
                  <c:v>1.1612705036002317E-2</c:v>
                </c:pt>
                <c:pt idx="874">
                  <c:v>-6.4700602683752662E-3</c:v>
                </c:pt>
                <c:pt idx="875">
                  <c:v>-1.682237704132945E-2</c:v>
                </c:pt>
                <c:pt idx="876">
                  <c:v>-2.3642937589790556E-2</c:v>
                </c:pt>
                <c:pt idx="877">
                  <c:v>1.7487404389355185E-3</c:v>
                </c:pt>
                <c:pt idx="878">
                  <c:v>-1.5520382009752844E-2</c:v>
                </c:pt>
                <c:pt idx="879">
                  <c:v>6.1646801860325727E-3</c:v>
                </c:pt>
                <c:pt idx="880">
                  <c:v>-5.8207513979236652E-3</c:v>
                </c:pt>
                <c:pt idx="881">
                  <c:v>1.2556463931100857E-3</c:v>
                </c:pt>
                <c:pt idx="882">
                  <c:v>1.9699679526144001E-3</c:v>
                </c:pt>
                <c:pt idx="883">
                  <c:v>7.6052019581393671E-3</c:v>
                </c:pt>
                <c:pt idx="884">
                  <c:v>-3.1353161534824862E-3</c:v>
                </c:pt>
                <c:pt idx="885">
                  <c:v>-1.8530344435268189E-3</c:v>
                </c:pt>
                <c:pt idx="886">
                  <c:v>2.885769922916418E-3</c:v>
                </c:pt>
                <c:pt idx="887">
                  <c:v>2.1826943483975934E-2</c:v>
                </c:pt>
                <c:pt idx="888">
                  <c:v>8.6805407599478621E-3</c:v>
                </c:pt>
                <c:pt idx="889">
                  <c:v>1.6194665249821435E-2</c:v>
                </c:pt>
                <c:pt idx="890">
                  <c:v>9.4690167102810269E-3</c:v>
                </c:pt>
                <c:pt idx="891">
                  <c:v>-5.9188348705783598E-3</c:v>
                </c:pt>
                <c:pt idx="892">
                  <c:v>1.454052036143926E-2</c:v>
                </c:pt>
                <c:pt idx="893">
                  <c:v>1.7832322271188032E-2</c:v>
                </c:pt>
                <c:pt idx="894">
                  <c:v>-4.2487910866625123E-3</c:v>
                </c:pt>
                <c:pt idx="895">
                  <c:v>5.5271513713817154E-3</c:v>
                </c:pt>
                <c:pt idx="896">
                  <c:v>-4.4660110594789901E-3</c:v>
                </c:pt>
                <c:pt idx="897">
                  <c:v>-4.8491887354391765E-3</c:v>
                </c:pt>
                <c:pt idx="898">
                  <c:v>-1.0260765669108229E-2</c:v>
                </c:pt>
                <c:pt idx="899">
                  <c:v>1.2611770331844588E-2</c:v>
                </c:pt>
                <c:pt idx="900">
                  <c:v>-6.6433339067363713E-4</c:v>
                </c:pt>
                <c:pt idx="901">
                  <c:v>-7.0469382852958147E-3</c:v>
                </c:pt>
                <c:pt idx="902">
                  <c:v>-1.0249445942921783E-2</c:v>
                </c:pt>
                <c:pt idx="903">
                  <c:v>-2.0466520205554002E-3</c:v>
                </c:pt>
                <c:pt idx="904">
                  <c:v>-7.2719632865725367E-3</c:v>
                </c:pt>
                <c:pt idx="905">
                  <c:v>3.694728672066203E-3</c:v>
                </c:pt>
                <c:pt idx="906">
                  <c:v>2.5720671103382146E-3</c:v>
                </c:pt>
                <c:pt idx="907">
                  <c:v>-3.5555750248233435E-3</c:v>
                </c:pt>
                <c:pt idx="908">
                  <c:v>-1.0631516474820616E-2</c:v>
                </c:pt>
                <c:pt idx="909">
                  <c:v>2.5322927043635981E-5</c:v>
                </c:pt>
                <c:pt idx="910">
                  <c:v>-2.2529667685609409E-3</c:v>
                </c:pt>
                <c:pt idx="911">
                  <c:v>1.406405441740312E-3</c:v>
                </c:pt>
                <c:pt idx="912">
                  <c:v>2.9496860593921123E-3</c:v>
                </c:pt>
                <c:pt idx="913">
                  <c:v>-2.0470504546564764E-3</c:v>
                </c:pt>
                <c:pt idx="914">
                  <c:v>3.3216051964666919E-3</c:v>
                </c:pt>
                <c:pt idx="915">
                  <c:v>-1.5170944546053506E-3</c:v>
                </c:pt>
                <c:pt idx="916">
                  <c:v>-3.9470527893572908E-3</c:v>
                </c:pt>
                <c:pt idx="917">
                  <c:v>-2.2167911636692956E-3</c:v>
                </c:pt>
                <c:pt idx="918">
                  <c:v>-3.8124266875626707E-3</c:v>
                </c:pt>
                <c:pt idx="919">
                  <c:v>-7.2176238343432267E-3</c:v>
                </c:pt>
                <c:pt idx="920">
                  <c:v>-6.1941863971465387E-3</c:v>
                </c:pt>
                <c:pt idx="921">
                  <c:v>-9.1857603383144225E-4</c:v>
                </c:pt>
                <c:pt idx="922">
                  <c:v>-7.5190670434262643E-3</c:v>
                </c:pt>
                <c:pt idx="923">
                  <c:v>1.3080434591549422E-2</c:v>
                </c:pt>
                <c:pt idx="924">
                  <c:v>8.9107236327000718E-3</c:v>
                </c:pt>
                <c:pt idx="925">
                  <c:v>-2.001530412062504E-3</c:v>
                </c:pt>
                <c:pt idx="926">
                  <c:v>-1.0166976669314102E-2</c:v>
                </c:pt>
                <c:pt idx="927">
                  <c:v>2.7992976032979503E-3</c:v>
                </c:pt>
                <c:pt idx="928">
                  <c:v>2.018786408604967E-3</c:v>
                </c:pt>
                <c:pt idx="929">
                  <c:v>3.3662770523905398E-3</c:v>
                </c:pt>
                <c:pt idx="930">
                  <c:v>6.3116635062802967E-3</c:v>
                </c:pt>
                <c:pt idx="931">
                  <c:v>1.3197098296573428E-2</c:v>
                </c:pt>
                <c:pt idx="932">
                  <c:v>-1.7865033608416515E-3</c:v>
                </c:pt>
                <c:pt idx="933">
                  <c:v>3.0031899537248659E-3</c:v>
                </c:pt>
                <c:pt idx="934">
                  <c:v>-1.3304387131131655E-3</c:v>
                </c:pt>
                <c:pt idx="935">
                  <c:v>-3.5188782099030485E-3</c:v>
                </c:pt>
                <c:pt idx="936">
                  <c:v>1.8706343731089939E-3</c:v>
                </c:pt>
                <c:pt idx="937">
                  <c:v>-3.260488355670312E-3</c:v>
                </c:pt>
                <c:pt idx="938">
                  <c:v>-4.6020715877803237E-3</c:v>
                </c:pt>
                <c:pt idx="939">
                  <c:v>2.0071631367882506E-3</c:v>
                </c:pt>
                <c:pt idx="940">
                  <c:v>9.2446663731624527E-3</c:v>
                </c:pt>
                <c:pt idx="941">
                  <c:v>-2.1079404775014958E-3</c:v>
                </c:pt>
                <c:pt idx="942">
                  <c:v>1.8140809131349123E-3</c:v>
                </c:pt>
                <c:pt idx="943">
                  <c:v>3.1684191874254385E-3</c:v>
                </c:pt>
                <c:pt idx="944">
                  <c:v>-3.7124033850621727E-3</c:v>
                </c:pt>
                <c:pt idx="945">
                  <c:v>-1.5406250103697462E-2</c:v>
                </c:pt>
                <c:pt idx="946">
                  <c:v>1.512276230903052E-3</c:v>
                </c:pt>
                <c:pt idx="947">
                  <c:v>-1.1117507574601183E-2</c:v>
                </c:pt>
                <c:pt idx="948">
                  <c:v>3.0220953502317978E-3</c:v>
                </c:pt>
                <c:pt idx="949">
                  <c:v>1.3183920575136177E-2</c:v>
                </c:pt>
                <c:pt idx="950">
                  <c:v>3.2505204061642249E-3</c:v>
                </c:pt>
                <c:pt idx="951">
                  <c:v>3.4836435402039365E-3</c:v>
                </c:pt>
                <c:pt idx="952">
                  <c:v>-5.5689248292557069E-3</c:v>
                </c:pt>
                <c:pt idx="953">
                  <c:v>4.5644252921483745E-3</c:v>
                </c:pt>
                <c:pt idx="954">
                  <c:v>5.1846299030426646E-3</c:v>
                </c:pt>
                <c:pt idx="955">
                  <c:v>1.5045654408243446E-2</c:v>
                </c:pt>
                <c:pt idx="956">
                  <c:v>4.4679330005848381E-3</c:v>
                </c:pt>
                <c:pt idx="957">
                  <c:v>-5.6185524546357437E-3</c:v>
                </c:pt>
                <c:pt idx="958">
                  <c:v>-1.259718889925894E-3</c:v>
                </c:pt>
                <c:pt idx="959">
                  <c:v>4.3671438435305748E-3</c:v>
                </c:pt>
                <c:pt idx="960">
                  <c:v>-3.8160932910692724E-3</c:v>
                </c:pt>
                <c:pt idx="961">
                  <c:v>-2.0896913851842841E-3</c:v>
                </c:pt>
                <c:pt idx="962">
                  <c:v>7.2431140101259363E-4</c:v>
                </c:pt>
                <c:pt idx="963">
                  <c:v>3.9154663375832221E-3</c:v>
                </c:pt>
                <c:pt idx="964">
                  <c:v>-1.1253564638230846E-3</c:v>
                </c:pt>
                <c:pt idx="965">
                  <c:v>5.4430576644627301E-4</c:v>
                </c:pt>
                <c:pt idx="966">
                  <c:v>7.7102997064356401E-4</c:v>
                </c:pt>
                <c:pt idx="967">
                  <c:v>-2.0155004817553796E-2</c:v>
                </c:pt>
                <c:pt idx="968">
                  <c:v>7.1842256510013715E-3</c:v>
                </c:pt>
                <c:pt idx="969">
                  <c:v>-5.8904614879218709E-4</c:v>
                </c:pt>
                <c:pt idx="970">
                  <c:v>1.0600106780313653E-3</c:v>
                </c:pt>
                <c:pt idx="971">
                  <c:v>-5.7419152738436979E-3</c:v>
                </c:pt>
                <c:pt idx="972">
                  <c:v>-1.2750384933843581E-2</c:v>
                </c:pt>
                <c:pt idx="973">
                  <c:v>-1.7477849895235257E-3</c:v>
                </c:pt>
                <c:pt idx="974">
                  <c:v>6.7248532376310254E-3</c:v>
                </c:pt>
                <c:pt idx="975">
                  <c:v>-4.0096328751635978E-3</c:v>
                </c:pt>
                <c:pt idx="976">
                  <c:v>1.1204848984228521E-3</c:v>
                </c:pt>
                <c:pt idx="977">
                  <c:v>-3.7826500277708319E-3</c:v>
                </c:pt>
                <c:pt idx="978">
                  <c:v>4.1826600755165734E-3</c:v>
                </c:pt>
                <c:pt idx="979">
                  <c:v>5.5904090443803945E-4</c:v>
                </c:pt>
                <c:pt idx="980">
                  <c:v>-1.3365879511098154E-2</c:v>
                </c:pt>
                <c:pt idx="981">
                  <c:v>2.9558210149840882E-3</c:v>
                </c:pt>
                <c:pt idx="982">
                  <c:v>-8.0060085013903496E-3</c:v>
                </c:pt>
                <c:pt idx="983">
                  <c:v>-2.7784896665480521E-2</c:v>
                </c:pt>
                <c:pt idx="984">
                  <c:v>-1.2290481755453097E-2</c:v>
                </c:pt>
                <c:pt idx="985">
                  <c:v>1.2592872562234302E-2</c:v>
                </c:pt>
                <c:pt idx="986">
                  <c:v>-4.245408881346298E-3</c:v>
                </c:pt>
                <c:pt idx="987">
                  <c:v>1.2250310064231355E-2</c:v>
                </c:pt>
                <c:pt idx="988">
                  <c:v>-8.7722225487334628E-3</c:v>
                </c:pt>
                <c:pt idx="989">
                  <c:v>-1.3151802217476138E-2</c:v>
                </c:pt>
                <c:pt idx="990">
                  <c:v>1.1912596491344152E-2</c:v>
                </c:pt>
                <c:pt idx="991">
                  <c:v>1.6934462297486463E-2</c:v>
                </c:pt>
                <c:pt idx="992">
                  <c:v>9.783414088660675E-3</c:v>
                </c:pt>
                <c:pt idx="993">
                  <c:v>-4.5389174316872111E-3</c:v>
                </c:pt>
                <c:pt idx="994">
                  <c:v>-2.248057131268336E-3</c:v>
                </c:pt>
                <c:pt idx="995">
                  <c:v>4.3769872691436472E-3</c:v>
                </c:pt>
                <c:pt idx="996">
                  <c:v>7.1415344155744999E-3</c:v>
                </c:pt>
                <c:pt idx="997">
                  <c:v>-1.2260190326066896E-2</c:v>
                </c:pt>
                <c:pt idx="998">
                  <c:v>7.3260525429603325E-3</c:v>
                </c:pt>
                <c:pt idx="999">
                  <c:v>-1.0612354937931917E-3</c:v>
                </c:pt>
                <c:pt idx="1000">
                  <c:v>1.1210014181196012E-3</c:v>
                </c:pt>
                <c:pt idx="1001">
                  <c:v>-1.1774367590933177E-2</c:v>
                </c:pt>
                <c:pt idx="1002">
                  <c:v>-1.4946637750490028E-2</c:v>
                </c:pt>
                <c:pt idx="1003">
                  <c:v>-3.4705789795006409E-2</c:v>
                </c:pt>
                <c:pt idx="1004">
                  <c:v>1.1707202062687503E-2</c:v>
                </c:pt>
                <c:pt idx="1005">
                  <c:v>1.0437963975749389E-3</c:v>
                </c:pt>
                <c:pt idx="1006">
                  <c:v>-1.0908647034192235E-2</c:v>
                </c:pt>
                <c:pt idx="1007">
                  <c:v>9.2715107641675777E-4</c:v>
                </c:pt>
                <c:pt idx="1008">
                  <c:v>1.5920989689048422E-2</c:v>
                </c:pt>
                <c:pt idx="1009">
                  <c:v>1.8672074334955376E-2</c:v>
                </c:pt>
                <c:pt idx="1010">
                  <c:v>2.668424452493276E-2</c:v>
                </c:pt>
                <c:pt idx="1011">
                  <c:v>-9.6948259742014806E-3</c:v>
                </c:pt>
                <c:pt idx="1012">
                  <c:v>-1.4320207918165771E-2</c:v>
                </c:pt>
                <c:pt idx="1013">
                  <c:v>2.0109467293116093E-2</c:v>
                </c:pt>
                <c:pt idx="1014">
                  <c:v>-1.3060241840666855E-3</c:v>
                </c:pt>
                <c:pt idx="1015">
                  <c:v>2.7959174730440199E-3</c:v>
                </c:pt>
                <c:pt idx="1016">
                  <c:v>-6.4406430970470885E-3</c:v>
                </c:pt>
                <c:pt idx="1017">
                  <c:v>1.7780809840884058E-2</c:v>
                </c:pt>
                <c:pt idx="1018">
                  <c:v>8.0598153421265317E-3</c:v>
                </c:pt>
                <c:pt idx="1019">
                  <c:v>4.8301220824434037E-3</c:v>
                </c:pt>
                <c:pt idx="1020">
                  <c:v>1.7814258309261987E-2</c:v>
                </c:pt>
                <c:pt idx="1021">
                  <c:v>-1.7067770216539584E-2</c:v>
                </c:pt>
                <c:pt idx="1022">
                  <c:v>-5.9484765623319725E-4</c:v>
                </c:pt>
                <c:pt idx="1023">
                  <c:v>-1.3586563734884588E-2</c:v>
                </c:pt>
                <c:pt idx="1024">
                  <c:v>4.2937864640136278E-3</c:v>
                </c:pt>
                <c:pt idx="1025">
                  <c:v>-6.005780745447502E-3</c:v>
                </c:pt>
                <c:pt idx="1026">
                  <c:v>9.7276809242755361E-4</c:v>
                </c:pt>
                <c:pt idx="1027">
                  <c:v>-1.0821620672488715E-2</c:v>
                </c:pt>
                <c:pt idx="1028">
                  <c:v>6.7906388511084102E-3</c:v>
                </c:pt>
                <c:pt idx="1029">
                  <c:v>5.3177252951416183E-3</c:v>
                </c:pt>
                <c:pt idx="1030">
                  <c:v>-7.993907830429671E-3</c:v>
                </c:pt>
                <c:pt idx="1031">
                  <c:v>-3.201634927425119E-3</c:v>
                </c:pt>
                <c:pt idx="1032">
                  <c:v>1.8760550813897729E-3</c:v>
                </c:pt>
                <c:pt idx="1033">
                  <c:v>-6.7124148535225537E-3</c:v>
                </c:pt>
                <c:pt idx="1034">
                  <c:v>-2.4092596537628715E-3</c:v>
                </c:pt>
                <c:pt idx="1035">
                  <c:v>6.3868425747604183E-3</c:v>
                </c:pt>
                <c:pt idx="1036">
                  <c:v>1.6378303100400154E-2</c:v>
                </c:pt>
                <c:pt idx="1037">
                  <c:v>2.3545491932167729E-3</c:v>
                </c:pt>
                <c:pt idx="1038">
                  <c:v>-2.4047691853590829E-3</c:v>
                </c:pt>
                <c:pt idx="1039">
                  <c:v>5.8643236467959383E-4</c:v>
                </c:pt>
                <c:pt idx="1040">
                  <c:v>5.4791069304742793E-3</c:v>
                </c:pt>
                <c:pt idx="1041">
                  <c:v>5.009674035734578E-3</c:v>
                </c:pt>
                <c:pt idx="1042">
                  <c:v>1.5069195554275284E-3</c:v>
                </c:pt>
                <c:pt idx="1043">
                  <c:v>-9.6567228542038534E-4</c:v>
                </c:pt>
                <c:pt idx="1044">
                  <c:v>1.3776881479361242E-3</c:v>
                </c:pt>
                <c:pt idx="1045">
                  <c:v>-4.2974119526084506E-3</c:v>
                </c:pt>
                <c:pt idx="1046">
                  <c:v>-8.7336118860010959E-3</c:v>
                </c:pt>
                <c:pt idx="1047">
                  <c:v>-9.9564601457296717E-3</c:v>
                </c:pt>
                <c:pt idx="1048">
                  <c:v>-9.8904039620254175E-4</c:v>
                </c:pt>
                <c:pt idx="1049">
                  <c:v>-1.2277514691283782E-2</c:v>
                </c:pt>
                <c:pt idx="1050">
                  <c:v>-1.0750171512354974E-2</c:v>
                </c:pt>
                <c:pt idx="1051">
                  <c:v>1.4601153421018628E-3</c:v>
                </c:pt>
                <c:pt idx="1052">
                  <c:v>2.0499810376754012E-3</c:v>
                </c:pt>
                <c:pt idx="1053">
                  <c:v>-5.0515974978526269E-3</c:v>
                </c:pt>
                <c:pt idx="1054">
                  <c:v>-7.9087479930363077E-4</c:v>
                </c:pt>
                <c:pt idx="1055">
                  <c:v>3.8265072455949422E-3</c:v>
                </c:pt>
                <c:pt idx="1056">
                  <c:v>-2.7731924562565398E-3</c:v>
                </c:pt>
                <c:pt idx="1057">
                  <c:v>-5.0799826522503044E-3</c:v>
                </c:pt>
                <c:pt idx="1058">
                  <c:v>7.5313841267952021E-4</c:v>
                </c:pt>
                <c:pt idx="1059">
                  <c:v>1.5956331207047786E-2</c:v>
                </c:pt>
                <c:pt idx="1060">
                  <c:v>-7.4655106739900398E-3</c:v>
                </c:pt>
                <c:pt idx="1061">
                  <c:v>-5.337125293229778E-3</c:v>
                </c:pt>
                <c:pt idx="1062">
                  <c:v>-7.8296210202361005E-4</c:v>
                </c:pt>
                <c:pt idx="1063">
                  <c:v>8.0729139842999429E-3</c:v>
                </c:pt>
                <c:pt idx="1064">
                  <c:v>1.9810073505864135E-3</c:v>
                </c:pt>
                <c:pt idx="1065">
                  <c:v>1.0227446267355846E-3</c:v>
                </c:pt>
                <c:pt idx="1066">
                  <c:v>5.0038934907890341E-3</c:v>
                </c:pt>
                <c:pt idx="1067">
                  <c:v>1.2680462964220424E-3</c:v>
                </c:pt>
                <c:pt idx="1068">
                  <c:v>1.255526633273538E-2</c:v>
                </c:pt>
                <c:pt idx="1069">
                  <c:v>2.2376219950244135E-3</c:v>
                </c:pt>
                <c:pt idx="1070">
                  <c:v>8.8645674724656971E-3</c:v>
                </c:pt>
                <c:pt idx="1071">
                  <c:v>2.8202839529604187E-3</c:v>
                </c:pt>
                <c:pt idx="1072">
                  <c:v>8.3401373468796544E-3</c:v>
                </c:pt>
                <c:pt idx="1073">
                  <c:v>3.8230150802668807E-3</c:v>
                </c:pt>
                <c:pt idx="1074">
                  <c:v>1.3946991453375396E-4</c:v>
                </c:pt>
                <c:pt idx="1075">
                  <c:v>3.520233383538675E-3</c:v>
                </c:pt>
                <c:pt idx="1076">
                  <c:v>-9.7649305264574538E-3</c:v>
                </c:pt>
                <c:pt idx="1077">
                  <c:v>-1.0893749840124761E-2</c:v>
                </c:pt>
                <c:pt idx="1078">
                  <c:v>-7.2234101717971004E-3</c:v>
                </c:pt>
                <c:pt idx="1079">
                  <c:v>6.102989778441612E-3</c:v>
                </c:pt>
                <c:pt idx="1080">
                  <c:v>3.9188755259146535E-3</c:v>
                </c:pt>
                <c:pt idx="1081">
                  <c:v>5.5120110645161821E-3</c:v>
                </c:pt>
                <c:pt idx="1082">
                  <c:v>6.3253513138520883E-3</c:v>
                </c:pt>
                <c:pt idx="1083">
                  <c:v>-3.44353388138621E-3</c:v>
                </c:pt>
                <c:pt idx="1084">
                  <c:v>-8.685671068901479E-3</c:v>
                </c:pt>
                <c:pt idx="1085">
                  <c:v>3.440135801814361E-3</c:v>
                </c:pt>
                <c:pt idx="1086">
                  <c:v>-9.8851684506043782E-3</c:v>
                </c:pt>
                <c:pt idx="1087">
                  <c:v>-2.1083160411130759E-3</c:v>
                </c:pt>
                <c:pt idx="1088">
                  <c:v>-4.4142722786362065E-4</c:v>
                </c:pt>
                <c:pt idx="1089">
                  <c:v>-6.8567012697307267E-4</c:v>
                </c:pt>
                <c:pt idx="1090">
                  <c:v>-1.648393121063259E-3</c:v>
                </c:pt>
                <c:pt idx="1091">
                  <c:v>8.4787306170828556E-3</c:v>
                </c:pt>
                <c:pt idx="1092">
                  <c:v>7.6323601429253403E-3</c:v>
                </c:pt>
                <c:pt idx="1093">
                  <c:v>-7.8728743083364156E-3</c:v>
                </c:pt>
                <c:pt idx="1094">
                  <c:v>-1.5506381323446314E-3</c:v>
                </c:pt>
                <c:pt idx="1095">
                  <c:v>1.9993351701760053E-3</c:v>
                </c:pt>
                <c:pt idx="1096">
                  <c:v>6.8258139521388036E-3</c:v>
                </c:pt>
                <c:pt idx="1097">
                  <c:v>6.5888493181675374E-3</c:v>
                </c:pt>
                <c:pt idx="1098">
                  <c:v>4.9230689945430565E-3</c:v>
                </c:pt>
                <c:pt idx="1099">
                  <c:v>-1.0711261984433744E-2</c:v>
                </c:pt>
                <c:pt idx="1100">
                  <c:v>5.6827686043534262E-3</c:v>
                </c:pt>
                <c:pt idx="1101">
                  <c:v>-3.162640323819214E-3</c:v>
                </c:pt>
                <c:pt idx="1102">
                  <c:v>-5.6537425611642503E-3</c:v>
                </c:pt>
                <c:pt idx="1103">
                  <c:v>1.7093539701289834E-5</c:v>
                </c:pt>
                <c:pt idx="1104">
                  <c:v>-3.1868072871163045E-3</c:v>
                </c:pt>
                <c:pt idx="1105">
                  <c:v>-1.6657609680107515E-3</c:v>
                </c:pt>
                <c:pt idx="1106">
                  <c:v>-1.6573635320510025E-2</c:v>
                </c:pt>
                <c:pt idx="1107">
                  <c:v>-7.3061921823593299E-5</c:v>
                </c:pt>
                <c:pt idx="1108">
                  <c:v>-1.0276651836719056E-2</c:v>
                </c:pt>
                <c:pt idx="1109">
                  <c:v>-1.1911579885141132E-3</c:v>
                </c:pt>
                <c:pt idx="1110">
                  <c:v>-2.276650347520072E-3</c:v>
                </c:pt>
                <c:pt idx="1111">
                  <c:v>3.2332211534144346E-2</c:v>
                </c:pt>
                <c:pt idx="1112">
                  <c:v>1.597378086659527E-3</c:v>
                </c:pt>
                <c:pt idx="1113">
                  <c:v>5.9118252426622372E-2</c:v>
                </c:pt>
                <c:pt idx="1114">
                  <c:v>-9.1200454453413734E-3</c:v>
                </c:pt>
                <c:pt idx="1115">
                  <c:v>1.17049694859349E-3</c:v>
                </c:pt>
                <c:pt idx="1116">
                  <c:v>1.5105681913935968E-2</c:v>
                </c:pt>
                <c:pt idx="1117">
                  <c:v>1.6556695826354887E-3</c:v>
                </c:pt>
                <c:pt idx="1118">
                  <c:v>6.2526927902320124E-3</c:v>
                </c:pt>
                <c:pt idx="1119">
                  <c:v>1.3855134283115085E-2</c:v>
                </c:pt>
                <c:pt idx="1120">
                  <c:v>8.895680603675498E-3</c:v>
                </c:pt>
                <c:pt idx="1121">
                  <c:v>-6.2440312471410998E-3</c:v>
                </c:pt>
                <c:pt idx="1122">
                  <c:v>-4.9579967732619303E-3</c:v>
                </c:pt>
                <c:pt idx="1123">
                  <c:v>-5.455722562641808E-4</c:v>
                </c:pt>
                <c:pt idx="1124">
                  <c:v>-6.1624046697535009E-4</c:v>
                </c:pt>
                <c:pt idx="1125">
                  <c:v>1.482465744357184E-3</c:v>
                </c:pt>
                <c:pt idx="1126">
                  <c:v>7.5466333143549271E-3</c:v>
                </c:pt>
                <c:pt idx="1127">
                  <c:v>1.0163212815052339E-2</c:v>
                </c:pt>
                <c:pt idx="1128">
                  <c:v>3.863515417668939E-3</c:v>
                </c:pt>
                <c:pt idx="1129">
                  <c:v>7.2433738444455395E-3</c:v>
                </c:pt>
                <c:pt idx="1130">
                  <c:v>7.012186842796077E-3</c:v>
                </c:pt>
                <c:pt idx="1131">
                  <c:v>8.8707057398909935E-3</c:v>
                </c:pt>
                <c:pt idx="1132">
                  <c:v>1.8997621081116148E-2</c:v>
                </c:pt>
                <c:pt idx="1133">
                  <c:v>4.0785192503985882E-3</c:v>
                </c:pt>
                <c:pt idx="1134">
                  <c:v>1.1072868827816483E-2</c:v>
                </c:pt>
                <c:pt idx="1135">
                  <c:v>-3.1451125869100117E-3</c:v>
                </c:pt>
                <c:pt idx="1136">
                  <c:v>-5.2395354319728844E-4</c:v>
                </c:pt>
                <c:pt idx="1137">
                  <c:v>-4.1053223262559942E-3</c:v>
                </c:pt>
                <c:pt idx="1138">
                  <c:v>-1.9766565914903517E-2</c:v>
                </c:pt>
                <c:pt idx="1139">
                  <c:v>1.6820219853248417E-2</c:v>
                </c:pt>
                <c:pt idx="1140">
                  <c:v>-8.6933623070607289E-3</c:v>
                </c:pt>
                <c:pt idx="1141">
                  <c:v>1.288603620205188E-2</c:v>
                </c:pt>
                <c:pt idx="1142">
                  <c:v>2.9189829920453023E-3</c:v>
                </c:pt>
                <c:pt idx="1143">
                  <c:v>-8.6340682476848344E-3</c:v>
                </c:pt>
                <c:pt idx="1144">
                  <c:v>3.7263406653410486E-3</c:v>
                </c:pt>
                <c:pt idx="1145">
                  <c:v>-2.2213788730831899E-3</c:v>
                </c:pt>
                <c:pt idx="1146">
                  <c:v>-1.5980176898944803E-2</c:v>
                </c:pt>
                <c:pt idx="1147">
                  <c:v>-6.3332557044078056E-4</c:v>
                </c:pt>
                <c:pt idx="1148">
                  <c:v>1.5395030146757352E-5</c:v>
                </c:pt>
                <c:pt idx="1149">
                  <c:v>7.0042091051556038E-3</c:v>
                </c:pt>
                <c:pt idx="1150">
                  <c:v>-1.6659420708697182E-3</c:v>
                </c:pt>
                <c:pt idx="1151">
                  <c:v>-4.0401743526123747E-3</c:v>
                </c:pt>
                <c:pt idx="1152">
                  <c:v>-1.4916190680392646E-2</c:v>
                </c:pt>
                <c:pt idx="1153">
                  <c:v>-1.1243433615399149E-2</c:v>
                </c:pt>
                <c:pt idx="1154">
                  <c:v>-2.6860246234421122E-2</c:v>
                </c:pt>
                <c:pt idx="1155">
                  <c:v>6.8938530180938738E-3</c:v>
                </c:pt>
                <c:pt idx="1156">
                  <c:v>8.7121366770647225E-3</c:v>
                </c:pt>
                <c:pt idx="1157">
                  <c:v>-4.724397045381145E-3</c:v>
                </c:pt>
                <c:pt idx="1158">
                  <c:v>6.9483340616747682E-3</c:v>
                </c:pt>
                <c:pt idx="1159">
                  <c:v>-1.0989449997019381E-3</c:v>
                </c:pt>
                <c:pt idx="1160">
                  <c:v>5.6002078797164944E-3</c:v>
                </c:pt>
                <c:pt idx="1161">
                  <c:v>-3.2110155545722685E-3</c:v>
                </c:pt>
                <c:pt idx="1162">
                  <c:v>-7.7910021272964312E-3</c:v>
                </c:pt>
                <c:pt idx="1163">
                  <c:v>1.8135117502508622E-3</c:v>
                </c:pt>
                <c:pt idx="1164">
                  <c:v>1.2969687823804533E-3</c:v>
                </c:pt>
                <c:pt idx="1165">
                  <c:v>2.2663721069308604E-3</c:v>
                </c:pt>
                <c:pt idx="1166">
                  <c:v>1.833957657019018E-3</c:v>
                </c:pt>
                <c:pt idx="1167">
                  <c:v>1.674614321661255E-3</c:v>
                </c:pt>
                <c:pt idx="1168">
                  <c:v>3.9944086990111787E-4</c:v>
                </c:pt>
                <c:pt idx="1169">
                  <c:v>8.103409087940449E-3</c:v>
                </c:pt>
                <c:pt idx="1170">
                  <c:v>2.8437699561146405E-3</c:v>
                </c:pt>
                <c:pt idx="1171">
                  <c:v>-9.0640081780662594E-4</c:v>
                </c:pt>
                <c:pt idx="1172">
                  <c:v>-1.8489332314817598E-3</c:v>
                </c:pt>
                <c:pt idx="1173">
                  <c:v>2.1481998784672529E-3</c:v>
                </c:pt>
                <c:pt idx="1174">
                  <c:v>-3.7801655834487293E-3</c:v>
                </c:pt>
                <c:pt idx="1175">
                  <c:v>8.532725508131932E-3</c:v>
                </c:pt>
                <c:pt idx="1176">
                  <c:v>2.7820742795817617E-3</c:v>
                </c:pt>
                <c:pt idx="1177">
                  <c:v>6.9087277144714524E-3</c:v>
                </c:pt>
                <c:pt idx="1178">
                  <c:v>8.5966750517152656E-3</c:v>
                </c:pt>
                <c:pt idx="1179">
                  <c:v>5.0774399088884012E-4</c:v>
                </c:pt>
                <c:pt idx="1180">
                  <c:v>4.7978611061939291E-3</c:v>
                </c:pt>
                <c:pt idx="1181">
                  <c:v>8.5236467357024184E-3</c:v>
                </c:pt>
                <c:pt idx="1182">
                  <c:v>7.4423338560761663E-3</c:v>
                </c:pt>
                <c:pt idx="1183">
                  <c:v>5.5649481050187048E-3</c:v>
                </c:pt>
                <c:pt idx="1184">
                  <c:v>1.4798742959801943E-2</c:v>
                </c:pt>
                <c:pt idx="1185">
                  <c:v>4.5743408170815557E-3</c:v>
                </c:pt>
                <c:pt idx="1186">
                  <c:v>-3.8614340705236203E-3</c:v>
                </c:pt>
                <c:pt idx="1187">
                  <c:v>-2.4569999765787485E-3</c:v>
                </c:pt>
                <c:pt idx="1188">
                  <c:v>1.8576214842715027E-2</c:v>
                </c:pt>
                <c:pt idx="1189">
                  <c:v>6.965865371909164E-3</c:v>
                </c:pt>
                <c:pt idx="1190">
                  <c:v>7.858189875306296E-3</c:v>
                </c:pt>
                <c:pt idx="1191">
                  <c:v>-8.9676036507187803E-5</c:v>
                </c:pt>
                <c:pt idx="1192">
                  <c:v>1.1194844536173379E-3</c:v>
                </c:pt>
                <c:pt idx="1193">
                  <c:v>6.4703751487524665E-4</c:v>
                </c:pt>
                <c:pt idx="1194">
                  <c:v>-3.9084490523551233E-3</c:v>
                </c:pt>
                <c:pt idx="1195">
                  <c:v>1.0292306771497233E-2</c:v>
                </c:pt>
                <c:pt idx="1196">
                  <c:v>9.583370643434579E-3</c:v>
                </c:pt>
                <c:pt idx="1197">
                  <c:v>7.3252602964697811E-3</c:v>
                </c:pt>
                <c:pt idx="1198">
                  <c:v>6.577528718672984E-3</c:v>
                </c:pt>
                <c:pt idx="1199">
                  <c:v>8.9995660459308378E-3</c:v>
                </c:pt>
                <c:pt idx="1200">
                  <c:v>1.4392282793726154E-2</c:v>
                </c:pt>
                <c:pt idx="1201">
                  <c:v>-2.4141173399697367E-3</c:v>
                </c:pt>
                <c:pt idx="1202">
                  <c:v>9.2276980726181627E-3</c:v>
                </c:pt>
                <c:pt idx="1203">
                  <c:v>2.0113108036717682E-2</c:v>
                </c:pt>
                <c:pt idx="1204">
                  <c:v>2.0343987670682375E-2</c:v>
                </c:pt>
                <c:pt idx="1205">
                  <c:v>2.0852089215877348E-3</c:v>
                </c:pt>
                <c:pt idx="1206">
                  <c:v>2.1308305225318483E-3</c:v>
                </c:pt>
                <c:pt idx="1207">
                  <c:v>1.0197782870092506E-2</c:v>
                </c:pt>
                <c:pt idx="1208">
                  <c:v>-5.705899258093664E-3</c:v>
                </c:pt>
                <c:pt idx="1209">
                  <c:v>8.599195748071949E-4</c:v>
                </c:pt>
                <c:pt idx="1210">
                  <c:v>5.9963911955264832E-3</c:v>
                </c:pt>
                <c:pt idx="1211">
                  <c:v>1.341429043735573E-2</c:v>
                </c:pt>
                <c:pt idx="1212">
                  <c:v>1.25911272370252E-2</c:v>
                </c:pt>
                <c:pt idx="1213">
                  <c:v>4.4565682353659023E-3</c:v>
                </c:pt>
                <c:pt idx="1214">
                  <c:v>1.0151869068063443E-2</c:v>
                </c:pt>
                <c:pt idx="1215">
                  <c:v>1.7925334166693733E-2</c:v>
                </c:pt>
                <c:pt idx="1216">
                  <c:v>-5.6958991071324339E-3</c:v>
                </c:pt>
                <c:pt idx="1217">
                  <c:v>4.5967732337874357E-4</c:v>
                </c:pt>
                <c:pt idx="1218">
                  <c:v>1.9239090405782488E-2</c:v>
                </c:pt>
                <c:pt idx="1219">
                  <c:v>1.433104370554979E-2</c:v>
                </c:pt>
                <c:pt idx="1220">
                  <c:v>7.2357565718769263E-3</c:v>
                </c:pt>
                <c:pt idx="1221">
                  <c:v>1.190928558407179E-2</c:v>
                </c:pt>
                <c:pt idx="1222">
                  <c:v>1.4727946220332034E-2</c:v>
                </c:pt>
                <c:pt idx="1223">
                  <c:v>2.3263205583354804E-2</c:v>
                </c:pt>
                <c:pt idx="1224">
                  <c:v>-3.190703982853294E-3</c:v>
                </c:pt>
                <c:pt idx="1225">
                  <c:v>6.2783725404026349E-3</c:v>
                </c:pt>
                <c:pt idx="1226">
                  <c:v>-1.726141173785626E-2</c:v>
                </c:pt>
                <c:pt idx="1227">
                  <c:v>2.6046198416180173E-3</c:v>
                </c:pt>
                <c:pt idx="1228">
                  <c:v>1.0386982833816094E-2</c:v>
                </c:pt>
                <c:pt idx="1229">
                  <c:v>-1.3992737337747724E-2</c:v>
                </c:pt>
                <c:pt idx="1230">
                  <c:v>-3.6372389221141818E-2</c:v>
                </c:pt>
                <c:pt idx="1231">
                  <c:v>-6.1276688391439472E-3</c:v>
                </c:pt>
                <c:pt idx="1232">
                  <c:v>3.932230987024209E-3</c:v>
                </c:pt>
                <c:pt idx="1233">
                  <c:v>-1.5766848179167389E-2</c:v>
                </c:pt>
                <c:pt idx="1234">
                  <c:v>-4.1068086927674739E-2</c:v>
                </c:pt>
                <c:pt idx="1235">
                  <c:v>2.8605914588536462E-2</c:v>
                </c:pt>
                <c:pt idx="1236">
                  <c:v>1.9529236019809458E-2</c:v>
                </c:pt>
                <c:pt idx="1237">
                  <c:v>6.426842931052979E-3</c:v>
                </c:pt>
                <c:pt idx="1238">
                  <c:v>3.5399570607631159E-2</c:v>
                </c:pt>
                <c:pt idx="1239">
                  <c:v>-4.8278906024548087E-3</c:v>
                </c:pt>
                <c:pt idx="1240">
                  <c:v>4.6192983328567699E-3</c:v>
                </c:pt>
                <c:pt idx="1241">
                  <c:v>-1.1895397842269272E-4</c:v>
                </c:pt>
                <c:pt idx="1242">
                  <c:v>-1.9223640901274402E-3</c:v>
                </c:pt>
                <c:pt idx="1243">
                  <c:v>-4.3070670496273356E-3</c:v>
                </c:pt>
                <c:pt idx="1244">
                  <c:v>-1.034450067196399E-3</c:v>
                </c:pt>
                <c:pt idx="1245">
                  <c:v>-3.9072422284480391E-3</c:v>
                </c:pt>
                <c:pt idx="1246">
                  <c:v>1.0915545014576868E-2</c:v>
                </c:pt>
                <c:pt idx="1247">
                  <c:v>3.1059663803513054E-4</c:v>
                </c:pt>
                <c:pt idx="1248">
                  <c:v>-5.6972995920024621E-3</c:v>
                </c:pt>
                <c:pt idx="1249">
                  <c:v>-8.2764140559625481E-3</c:v>
                </c:pt>
                <c:pt idx="1250">
                  <c:v>-2.6690740421724153E-3</c:v>
                </c:pt>
                <c:pt idx="1251">
                  <c:v>-5.7409984435402685E-3</c:v>
                </c:pt>
                <c:pt idx="1252">
                  <c:v>1.2630849461413133E-3</c:v>
                </c:pt>
                <c:pt idx="1253">
                  <c:v>1.038490584165571E-2</c:v>
                </c:pt>
                <c:pt idx="1254">
                  <c:v>8.0515287832652448E-3</c:v>
                </c:pt>
                <c:pt idx="1255">
                  <c:v>5.7127368851876432E-3</c:v>
                </c:pt>
                <c:pt idx="1256">
                  <c:v>-8.0901009110580738E-3</c:v>
                </c:pt>
                <c:pt idx="1257">
                  <c:v>-7.5422240906056716E-3</c:v>
                </c:pt>
                <c:pt idx="1258">
                  <c:v>-1.6287261573101126E-2</c:v>
                </c:pt>
                <c:pt idx="1259">
                  <c:v>-1.4846658761022976E-2</c:v>
                </c:pt>
                <c:pt idx="1260">
                  <c:v>2.2224471691773603E-3</c:v>
                </c:pt>
                <c:pt idx="1261">
                  <c:v>6.6886977207507052E-3</c:v>
                </c:pt>
                <c:pt idx="1262">
                  <c:v>9.7634794772680777E-3</c:v>
                </c:pt>
                <c:pt idx="1263">
                  <c:v>1.2635922271539137E-2</c:v>
                </c:pt>
                <c:pt idx="1264">
                  <c:v>5.4052554412278722E-3</c:v>
                </c:pt>
                <c:pt idx="1265">
                  <c:v>-1.8709815918497005E-2</c:v>
                </c:pt>
                <c:pt idx="1266">
                  <c:v>-2.9842994737364716E-2</c:v>
                </c:pt>
                <c:pt idx="1267">
                  <c:v>2.6465103269744691E-3</c:v>
                </c:pt>
                <c:pt idx="1268">
                  <c:v>1.5138926612848238E-2</c:v>
                </c:pt>
                <c:pt idx="1269">
                  <c:v>-1.8241511707080351E-2</c:v>
                </c:pt>
                <c:pt idx="1270">
                  <c:v>-1.8798736022219556E-2</c:v>
                </c:pt>
                <c:pt idx="1271">
                  <c:v>9.8005844374489063E-3</c:v>
                </c:pt>
                <c:pt idx="1272">
                  <c:v>7.4264283262798192E-5</c:v>
                </c:pt>
                <c:pt idx="1273">
                  <c:v>1.8108554742439591E-2</c:v>
                </c:pt>
                <c:pt idx="1274">
                  <c:v>5.769734349851314E-3</c:v>
                </c:pt>
                <c:pt idx="1275">
                  <c:v>1.4560116444752592E-2</c:v>
                </c:pt>
                <c:pt idx="1276">
                  <c:v>7.8023338706714419E-3</c:v>
                </c:pt>
                <c:pt idx="1277">
                  <c:v>-1.3715934668363887E-3</c:v>
                </c:pt>
                <c:pt idx="1278">
                  <c:v>7.6614504160925825E-3</c:v>
                </c:pt>
                <c:pt idx="1279">
                  <c:v>1.3736618660370823E-2</c:v>
                </c:pt>
                <c:pt idx="1280">
                  <c:v>1.1569946167858997E-2</c:v>
                </c:pt>
                <c:pt idx="1281">
                  <c:v>9.5833660539979531E-3</c:v>
                </c:pt>
                <c:pt idx="1282">
                  <c:v>-3.4220482161726818E-3</c:v>
                </c:pt>
                <c:pt idx="1283">
                  <c:v>-1.05620238188697E-3</c:v>
                </c:pt>
                <c:pt idx="1284">
                  <c:v>-8.1530240210353261E-4</c:v>
                </c:pt>
                <c:pt idx="1285">
                  <c:v>2.9064179751288888E-3</c:v>
                </c:pt>
                <c:pt idx="1286">
                  <c:v>-5.8440192504573523E-4</c:v>
                </c:pt>
                <c:pt idx="1287">
                  <c:v>-1.4502402923809509E-2</c:v>
                </c:pt>
                <c:pt idx="1288">
                  <c:v>-1.162407776339193E-2</c:v>
                </c:pt>
                <c:pt idx="1289">
                  <c:v>1.5860339455574475E-2</c:v>
                </c:pt>
                <c:pt idx="1290">
                  <c:v>-3.8085419232398313E-3</c:v>
                </c:pt>
                <c:pt idx="1291">
                  <c:v>1.1423022574355078E-3</c:v>
                </c:pt>
                <c:pt idx="1292">
                  <c:v>9.4326581806799866E-3</c:v>
                </c:pt>
                <c:pt idx="1293">
                  <c:v>3.4989450800425488E-3</c:v>
                </c:pt>
                <c:pt idx="1294">
                  <c:v>-4.7829216274194297E-3</c:v>
                </c:pt>
                <c:pt idx="1295">
                  <c:v>-4.0596232806562127E-3</c:v>
                </c:pt>
                <c:pt idx="1296">
                  <c:v>5.7376745979353105E-3</c:v>
                </c:pt>
                <c:pt idx="1297">
                  <c:v>5.8088702668343982E-3</c:v>
                </c:pt>
                <c:pt idx="1298">
                  <c:v>9.7336702966696765E-3</c:v>
                </c:pt>
                <c:pt idx="1299">
                  <c:v>8.9308750899166119E-3</c:v>
                </c:pt>
                <c:pt idx="1300">
                  <c:v>-2.0405968712336573E-3</c:v>
                </c:pt>
                <c:pt idx="1301">
                  <c:v>-3.1160310012175729E-3</c:v>
                </c:pt>
                <c:pt idx="1302">
                  <c:v>1.3464813630449666E-3</c:v>
                </c:pt>
                <c:pt idx="1303">
                  <c:v>1.3003866563925071E-2</c:v>
                </c:pt>
                <c:pt idx="1304">
                  <c:v>9.7517505450437376E-3</c:v>
                </c:pt>
                <c:pt idx="1305">
                  <c:v>1.7586475130808646E-2</c:v>
                </c:pt>
                <c:pt idx="1306">
                  <c:v>9.9788868111011769E-3</c:v>
                </c:pt>
                <c:pt idx="1307">
                  <c:v>3.2690167862433439E-3</c:v>
                </c:pt>
                <c:pt idx="1308">
                  <c:v>-8.6356740659591783E-4</c:v>
                </c:pt>
                <c:pt idx="1309">
                  <c:v>-2.1329766360032453E-3</c:v>
                </c:pt>
                <c:pt idx="1310">
                  <c:v>-6.1421812591829362E-4</c:v>
                </c:pt>
                <c:pt idx="1311">
                  <c:v>8.8174554261679864E-3</c:v>
                </c:pt>
                <c:pt idx="1312">
                  <c:v>7.3834542144328545E-3</c:v>
                </c:pt>
                <c:pt idx="1313">
                  <c:v>-1.036629053107646E-3</c:v>
                </c:pt>
                <c:pt idx="1314">
                  <c:v>9.7041161074621542E-3</c:v>
                </c:pt>
                <c:pt idx="1315">
                  <c:v>-1.1171115705640093E-3</c:v>
                </c:pt>
                <c:pt idx="1316">
                  <c:v>1.0717451654407248E-2</c:v>
                </c:pt>
                <c:pt idx="1317">
                  <c:v>-1.4403084843506758E-2</c:v>
                </c:pt>
                <c:pt idx="1318">
                  <c:v>-8.2638922112173736E-3</c:v>
                </c:pt>
                <c:pt idx="1319">
                  <c:v>-6.2573001952813713E-3</c:v>
                </c:pt>
                <c:pt idx="1320">
                  <c:v>1.7612391243183288E-2</c:v>
                </c:pt>
                <c:pt idx="1321">
                  <c:v>1.1990611121318015E-2</c:v>
                </c:pt>
                <c:pt idx="1322">
                  <c:v>-4.177876385444483E-5</c:v>
                </c:pt>
                <c:pt idx="1323">
                  <c:v>-2.1904531536037081E-3</c:v>
                </c:pt>
                <c:pt idx="1324">
                  <c:v>7.744984905336522E-4</c:v>
                </c:pt>
                <c:pt idx="1325">
                  <c:v>5.8830370482004001E-3</c:v>
                </c:pt>
                <c:pt idx="1326">
                  <c:v>9.764043483317492E-3</c:v>
                </c:pt>
                <c:pt idx="1327">
                  <c:v>9.9199028280964607E-3</c:v>
                </c:pt>
                <c:pt idx="1328">
                  <c:v>1.7816701974031756E-3</c:v>
                </c:pt>
                <c:pt idx="1329">
                  <c:v>3.5722713951225368E-3</c:v>
                </c:pt>
                <c:pt idx="1330">
                  <c:v>5.4937428850926088E-3</c:v>
                </c:pt>
                <c:pt idx="1331">
                  <c:v>-3.429014359122138E-3</c:v>
                </c:pt>
                <c:pt idx="1332">
                  <c:v>1.635102019072027E-3</c:v>
                </c:pt>
                <c:pt idx="1333">
                  <c:v>-3.3254984890323811E-3</c:v>
                </c:pt>
                <c:pt idx="1334">
                  <c:v>2.1052162536036208E-3</c:v>
                </c:pt>
                <c:pt idx="1335">
                  <c:v>1.1563284677372981E-2</c:v>
                </c:pt>
                <c:pt idx="1336">
                  <c:v>-6.1270251887788167E-3</c:v>
                </c:pt>
                <c:pt idx="1337">
                  <c:v>-9.0202945039619606E-3</c:v>
                </c:pt>
                <c:pt idx="1338">
                  <c:v>5.5881971716924045E-4</c:v>
                </c:pt>
                <c:pt idx="1339">
                  <c:v>1.3359843970441574E-2</c:v>
                </c:pt>
                <c:pt idx="1340">
                  <c:v>-3.996126437957128E-3</c:v>
                </c:pt>
                <c:pt idx="1341">
                  <c:v>-1.2022452850310953E-2</c:v>
                </c:pt>
                <c:pt idx="1342">
                  <c:v>-5.9895541062102032E-3</c:v>
                </c:pt>
                <c:pt idx="1343">
                  <c:v>-4.8034585008996204E-3</c:v>
                </c:pt>
                <c:pt idx="1344">
                  <c:v>-1.4744879467953539E-3</c:v>
                </c:pt>
                <c:pt idx="1345">
                  <c:v>-6.7990870192567998E-3</c:v>
                </c:pt>
                <c:pt idx="1346">
                  <c:v>-9.0518338198691279E-3</c:v>
                </c:pt>
                <c:pt idx="1347">
                  <c:v>2.8646020243424737E-3</c:v>
                </c:pt>
                <c:pt idx="1348">
                  <c:v>4.6852340803789513E-2</c:v>
                </c:pt>
                <c:pt idx="1349">
                  <c:v>6.5427376805843439E-3</c:v>
                </c:pt>
                <c:pt idx="1350">
                  <c:v>2.7308671711766701E-2</c:v>
                </c:pt>
                <c:pt idx="1351">
                  <c:v>1.1370337606397239E-4</c:v>
                </c:pt>
                <c:pt idx="1352">
                  <c:v>-7.3389976385123271E-3</c:v>
                </c:pt>
                <c:pt idx="1353">
                  <c:v>-3.7263476245684834E-3</c:v>
                </c:pt>
                <c:pt idx="1354">
                  <c:v>4.2990442206100139E-3</c:v>
                </c:pt>
                <c:pt idx="1355">
                  <c:v>3.2270572010581304E-3</c:v>
                </c:pt>
                <c:pt idx="1356">
                  <c:v>-1.0606374139242069E-3</c:v>
                </c:pt>
                <c:pt idx="1357">
                  <c:v>4.8361296888926363E-3</c:v>
                </c:pt>
                <c:pt idx="1358">
                  <c:v>9.2428314963158929E-3</c:v>
                </c:pt>
                <c:pt idx="1359">
                  <c:v>8.5575772294381614E-3</c:v>
                </c:pt>
                <c:pt idx="1360">
                  <c:v>6.123364417956284E-4</c:v>
                </c:pt>
                <c:pt idx="1361">
                  <c:v>-8.7204233036228566E-4</c:v>
                </c:pt>
                <c:pt idx="1362">
                  <c:v>4.4060305095984425E-3</c:v>
                </c:pt>
                <c:pt idx="1363">
                  <c:v>1.3138262306243681E-3</c:v>
                </c:pt>
                <c:pt idx="1364">
                  <c:v>-1.0294766242488415E-2</c:v>
                </c:pt>
                <c:pt idx="1365">
                  <c:v>1.888615402805358E-3</c:v>
                </c:pt>
                <c:pt idx="1366">
                  <c:v>-6.0318267934371221E-4</c:v>
                </c:pt>
                <c:pt idx="1367">
                  <c:v>1.5154464181846999E-2</c:v>
                </c:pt>
                <c:pt idx="1368">
                  <c:v>8.4313333360441743E-3</c:v>
                </c:pt>
                <c:pt idx="1369">
                  <c:v>-2.1040725142980464E-2</c:v>
                </c:pt>
                <c:pt idx="1370">
                  <c:v>-1.9704712642831673E-2</c:v>
                </c:pt>
                <c:pt idx="1371">
                  <c:v>5.7028854002695237E-3</c:v>
                </c:pt>
                <c:pt idx="1372">
                  <c:v>5.1897088498892453E-3</c:v>
                </c:pt>
                <c:pt idx="1373">
                  <c:v>-1.1684067195981222E-2</c:v>
                </c:pt>
                <c:pt idx="1374">
                  <c:v>-5.6049924218800765E-3</c:v>
                </c:pt>
                <c:pt idx="1375">
                  <c:v>1.0229847656354762E-2</c:v>
                </c:pt>
                <c:pt idx="1376">
                  <c:v>-2.5236040003177506E-3</c:v>
                </c:pt>
                <c:pt idx="1377">
                  <c:v>-9.4344553860091791E-3</c:v>
                </c:pt>
                <c:pt idx="1378">
                  <c:v>-1.8832413474960011E-3</c:v>
                </c:pt>
                <c:pt idx="1379">
                  <c:v>6.2473380926831691E-3</c:v>
                </c:pt>
                <c:pt idx="1380">
                  <c:v>-1.4592210925321623E-2</c:v>
                </c:pt>
                <c:pt idx="1381">
                  <c:v>1.3861413625489546E-3</c:v>
                </c:pt>
                <c:pt idx="1382">
                  <c:v>-9.9557800136636145E-4</c:v>
                </c:pt>
                <c:pt idx="1383">
                  <c:v>9.8519746418603803E-3</c:v>
                </c:pt>
                <c:pt idx="1384">
                  <c:v>8.9293992286535312E-3</c:v>
                </c:pt>
                <c:pt idx="1385">
                  <c:v>-7.5003573265432968E-3</c:v>
                </c:pt>
                <c:pt idx="1386">
                  <c:v>-1.3191795003583001E-3</c:v>
                </c:pt>
                <c:pt idx="1387">
                  <c:v>2.9348686692496706E-3</c:v>
                </c:pt>
                <c:pt idx="1388">
                  <c:v>-7.7676510812614162E-4</c:v>
                </c:pt>
                <c:pt idx="1389">
                  <c:v>-2.7544256022559352E-3</c:v>
                </c:pt>
                <c:pt idx="1390">
                  <c:v>-1.0898063660006168E-3</c:v>
                </c:pt>
                <c:pt idx="1391">
                  <c:v>6.6285491434104043E-3</c:v>
                </c:pt>
                <c:pt idx="1392">
                  <c:v>6.8048063872541515E-3</c:v>
                </c:pt>
                <c:pt idx="1393">
                  <c:v>1.0178516198232216E-4</c:v>
                </c:pt>
                <c:pt idx="1394">
                  <c:v>-2.9234241053746786E-3</c:v>
                </c:pt>
                <c:pt idx="1395">
                  <c:v>-6.1959199735881435E-3</c:v>
                </c:pt>
                <c:pt idx="1396">
                  <c:v>-1.1711710327207082E-3</c:v>
                </c:pt>
                <c:pt idx="1397">
                  <c:v>4.5756793672852318E-3</c:v>
                </c:pt>
                <c:pt idx="1398">
                  <c:v>1.7684824669309052E-3</c:v>
                </c:pt>
                <c:pt idx="1399">
                  <c:v>-2.6108376518157532E-3</c:v>
                </c:pt>
                <c:pt idx="1400">
                  <c:v>9.3276599223594391E-4</c:v>
                </c:pt>
                <c:pt idx="1401">
                  <c:v>6.2750522229730512E-3</c:v>
                </c:pt>
                <c:pt idx="1402">
                  <c:v>1.9442469125094909E-4</c:v>
                </c:pt>
                <c:pt idx="1403">
                  <c:v>4.3607080298652606E-4</c:v>
                </c:pt>
                <c:pt idx="1404">
                  <c:v>-3.5834998041134507E-3</c:v>
                </c:pt>
                <c:pt idx="1405">
                  <c:v>8.5446797684920854E-3</c:v>
                </c:pt>
                <c:pt idx="1406">
                  <c:v>-8.0081486513381966E-3</c:v>
                </c:pt>
                <c:pt idx="1407">
                  <c:v>4.6511332226343511E-3</c:v>
                </c:pt>
                <c:pt idx="1408">
                  <c:v>3.9920210201218713E-3</c:v>
                </c:pt>
                <c:pt idx="1409">
                  <c:v>1.9926119073183581E-3</c:v>
                </c:pt>
                <c:pt idx="1410">
                  <c:v>1.2205133804849158E-2</c:v>
                </c:pt>
                <c:pt idx="1411">
                  <c:v>1.2402850859804188E-2</c:v>
                </c:pt>
                <c:pt idx="1412">
                  <c:v>7.5517476275573179E-3</c:v>
                </c:pt>
                <c:pt idx="1413">
                  <c:v>-2.7286201735131589E-3</c:v>
                </c:pt>
                <c:pt idx="1414">
                  <c:v>-4.4820740252044956E-3</c:v>
                </c:pt>
                <c:pt idx="1415">
                  <c:v>9.3795515271531665E-3</c:v>
                </c:pt>
                <c:pt idx="1416">
                  <c:v>-7.1728257687245717E-3</c:v>
                </c:pt>
                <c:pt idx="1417">
                  <c:v>-4.4801505597064986E-3</c:v>
                </c:pt>
                <c:pt idx="1418">
                  <c:v>-2.1887727631199668E-3</c:v>
                </c:pt>
                <c:pt idx="1419">
                  <c:v>8.5113334040155669E-3</c:v>
                </c:pt>
                <c:pt idx="1420">
                  <c:v>1.9854631628860712E-3</c:v>
                </c:pt>
                <c:pt idx="1421">
                  <c:v>9.2080948176590724E-3</c:v>
                </c:pt>
                <c:pt idx="1422">
                  <c:v>9.7941569673860012E-3</c:v>
                </c:pt>
                <c:pt idx="1423">
                  <c:v>1.6500750132045224E-2</c:v>
                </c:pt>
                <c:pt idx="1424">
                  <c:v>8.8761905210556664E-3</c:v>
                </c:pt>
                <c:pt idx="1425">
                  <c:v>6.1869644627799341E-5</c:v>
                </c:pt>
                <c:pt idx="1426">
                  <c:v>-2.522024230856121E-3</c:v>
                </c:pt>
                <c:pt idx="1427">
                  <c:v>3.5317569074627046E-4</c:v>
                </c:pt>
                <c:pt idx="1428">
                  <c:v>-2.5971124218268668E-3</c:v>
                </c:pt>
                <c:pt idx="1429">
                  <c:v>6.7902951148227477E-3</c:v>
                </c:pt>
                <c:pt idx="1430">
                  <c:v>4.2558079336592449E-3</c:v>
                </c:pt>
                <c:pt idx="1431">
                  <c:v>-7.1947712017982396E-3</c:v>
                </c:pt>
                <c:pt idx="1432">
                  <c:v>-3.9181902807521856E-3</c:v>
                </c:pt>
                <c:pt idx="1433">
                  <c:v>9.4713096490573519E-3</c:v>
                </c:pt>
                <c:pt idx="1434">
                  <c:v>4.7533324223147221E-3</c:v>
                </c:pt>
                <c:pt idx="1435">
                  <c:v>8.4189752850175395E-3</c:v>
                </c:pt>
                <c:pt idx="1436">
                  <c:v>2.0086693501680401E-2</c:v>
                </c:pt>
                <c:pt idx="1437">
                  <c:v>1.1782206257977407E-2</c:v>
                </c:pt>
                <c:pt idx="1438">
                  <c:v>2.239594497275794E-3</c:v>
                </c:pt>
                <c:pt idx="1439">
                  <c:v>7.4124524144879083E-3</c:v>
                </c:pt>
                <c:pt idx="1440">
                  <c:v>-6.3558662173361282E-3</c:v>
                </c:pt>
                <c:pt idx="1441">
                  <c:v>-1.4617899428453233E-2</c:v>
                </c:pt>
                <c:pt idx="1442">
                  <c:v>2.1278506570486955E-2</c:v>
                </c:pt>
                <c:pt idx="1443">
                  <c:v>1.1866187320361951E-2</c:v>
                </c:pt>
                <c:pt idx="1444">
                  <c:v>3.9843150836091868E-3</c:v>
                </c:pt>
                <c:pt idx="1445">
                  <c:v>-3.0646452950414955E-3</c:v>
                </c:pt>
                <c:pt idx="1446">
                  <c:v>5.423192682053257E-3</c:v>
                </c:pt>
                <c:pt idx="1447">
                  <c:v>8.3353427981195053E-3</c:v>
                </c:pt>
                <c:pt idx="1448">
                  <c:v>3.8229561307075695E-3</c:v>
                </c:pt>
                <c:pt idx="1449">
                  <c:v>-4.5251207362694461E-3</c:v>
                </c:pt>
                <c:pt idx="1450">
                  <c:v>1.4038146170922701E-3</c:v>
                </c:pt>
                <c:pt idx="1451">
                  <c:v>8.9599501603710302E-3</c:v>
                </c:pt>
                <c:pt idx="1452">
                  <c:v>6.0700555005319462E-3</c:v>
                </c:pt>
                <c:pt idx="1453">
                  <c:v>2.4485129528582783E-3</c:v>
                </c:pt>
                <c:pt idx="1454">
                  <c:v>9.0635710027625466E-3</c:v>
                </c:pt>
                <c:pt idx="1455">
                  <c:v>-3.2361858595754667E-3</c:v>
                </c:pt>
                <c:pt idx="1456">
                  <c:v>1.8649984520619473E-2</c:v>
                </c:pt>
                <c:pt idx="1457">
                  <c:v>4.8272652175521411E-3</c:v>
                </c:pt>
                <c:pt idx="1458">
                  <c:v>2.8788864583745833E-3</c:v>
                </c:pt>
                <c:pt idx="1459">
                  <c:v>-3.5742535311559583E-2</c:v>
                </c:pt>
                <c:pt idx="1460">
                  <c:v>4.9644532925272572E-2</c:v>
                </c:pt>
                <c:pt idx="1461">
                  <c:v>8.1950855879338678E-3</c:v>
                </c:pt>
                <c:pt idx="1462">
                  <c:v>1.2734959274208766E-2</c:v>
                </c:pt>
                <c:pt idx="1463">
                  <c:v>1.8919501817924841E-2</c:v>
                </c:pt>
                <c:pt idx="1464">
                  <c:v>1.2433992947951172E-2</c:v>
                </c:pt>
                <c:pt idx="1465">
                  <c:v>5.2149469194780473E-3</c:v>
                </c:pt>
                <c:pt idx="1466">
                  <c:v>2.9823982530122018E-2</c:v>
                </c:pt>
                <c:pt idx="1467">
                  <c:v>7.5294508068581576E-3</c:v>
                </c:pt>
                <c:pt idx="1468">
                  <c:v>8.403547051711582E-3</c:v>
                </c:pt>
                <c:pt idx="1469">
                  <c:v>-9.7639009918943209E-3</c:v>
                </c:pt>
                <c:pt idx="1470">
                  <c:v>1.7572349562635831E-2</c:v>
                </c:pt>
                <c:pt idx="1471">
                  <c:v>3.0414974358863232E-2</c:v>
                </c:pt>
                <c:pt idx="1472">
                  <c:v>1.0622653550943866E-3</c:v>
                </c:pt>
                <c:pt idx="1473">
                  <c:v>1.6339287745249859E-2</c:v>
                </c:pt>
                <c:pt idx="1474">
                  <c:v>-1.1265616309835792E-2</c:v>
                </c:pt>
                <c:pt idx="1475">
                  <c:v>-3.2999975883829434E-2</c:v>
                </c:pt>
                <c:pt idx="1476">
                  <c:v>-4.3173651567849497E-2</c:v>
                </c:pt>
                <c:pt idx="1477">
                  <c:v>3.0469730504771662E-2</c:v>
                </c:pt>
                <c:pt idx="1478">
                  <c:v>4.02807334096408E-2</c:v>
                </c:pt>
                <c:pt idx="1479">
                  <c:v>-1.3250978148495298E-2</c:v>
                </c:pt>
                <c:pt idx="1480">
                  <c:v>-1.7715548333889376E-2</c:v>
                </c:pt>
                <c:pt idx="1481">
                  <c:v>8.4027540559366079E-3</c:v>
                </c:pt>
                <c:pt idx="1482">
                  <c:v>3.5094554004726372E-2</c:v>
                </c:pt>
                <c:pt idx="1483">
                  <c:v>-1.1461144032136824E-3</c:v>
                </c:pt>
                <c:pt idx="1484">
                  <c:v>1.6340056059878341E-2</c:v>
                </c:pt>
                <c:pt idx="1485">
                  <c:v>9.5360935757600452E-4</c:v>
                </c:pt>
                <c:pt idx="1486">
                  <c:v>3.9901072117182754E-3</c:v>
                </c:pt>
                <c:pt idx="1487">
                  <c:v>-1.1326509108406315E-2</c:v>
                </c:pt>
                <c:pt idx="1488">
                  <c:v>-1.7414285287884641E-3</c:v>
                </c:pt>
                <c:pt idx="1489">
                  <c:v>-1.6408238051891493E-2</c:v>
                </c:pt>
                <c:pt idx="1490">
                  <c:v>-1.3230139066265209E-2</c:v>
                </c:pt>
                <c:pt idx="1491">
                  <c:v>5.4069549724933509E-3</c:v>
                </c:pt>
                <c:pt idx="1492">
                  <c:v>8.6780884558032619E-3</c:v>
                </c:pt>
                <c:pt idx="1493">
                  <c:v>5.0259099925186118E-3</c:v>
                </c:pt>
                <c:pt idx="1494">
                  <c:v>-2.6868362011588241E-3</c:v>
                </c:pt>
                <c:pt idx="1495">
                  <c:v>-5.7554121460096728E-3</c:v>
                </c:pt>
                <c:pt idx="1496">
                  <c:v>1.2608758824260045E-2</c:v>
                </c:pt>
                <c:pt idx="1497">
                  <c:v>4.9685925681223521E-3</c:v>
                </c:pt>
                <c:pt idx="1498">
                  <c:v>-6.9279748546374961E-3</c:v>
                </c:pt>
                <c:pt idx="1499">
                  <c:v>-1.3897676723117003E-2</c:v>
                </c:pt>
                <c:pt idx="1500">
                  <c:v>5.2392633050675624E-3</c:v>
                </c:pt>
                <c:pt idx="1501">
                  <c:v>7.3896556571292002E-3</c:v>
                </c:pt>
                <c:pt idx="1502">
                  <c:v>-1.1839869415598751E-2</c:v>
                </c:pt>
                <c:pt idx="1503">
                  <c:v>-1.3125051092174567E-2</c:v>
                </c:pt>
                <c:pt idx="1504">
                  <c:v>-4.8469004294907202E-3</c:v>
                </c:pt>
                <c:pt idx="1505">
                  <c:v>1.5419147067434313E-2</c:v>
                </c:pt>
                <c:pt idx="1506">
                  <c:v>9.2691755943127042E-3</c:v>
                </c:pt>
                <c:pt idx="1507">
                  <c:v>-1.3222269027557753E-2</c:v>
                </c:pt>
                <c:pt idx="1508">
                  <c:v>-7.1810716944367657E-3</c:v>
                </c:pt>
                <c:pt idx="1509">
                  <c:v>-1.4599673490186937E-2</c:v>
                </c:pt>
                <c:pt idx="1510">
                  <c:v>1.9745939208616514E-4</c:v>
                </c:pt>
                <c:pt idx="1511">
                  <c:v>9.563106276899427E-3</c:v>
                </c:pt>
                <c:pt idx="1512">
                  <c:v>1.4656489070504729E-2</c:v>
                </c:pt>
                <c:pt idx="1513">
                  <c:v>-7.5603674635907185E-4</c:v>
                </c:pt>
                <c:pt idx="1514">
                  <c:v>-3.1955739803802472E-3</c:v>
                </c:pt>
                <c:pt idx="1515">
                  <c:v>-4.2533994858750578E-3</c:v>
                </c:pt>
                <c:pt idx="1516">
                  <c:v>-3.0491955680183223E-3</c:v>
                </c:pt>
                <c:pt idx="1517">
                  <c:v>1.2036043608072854E-2</c:v>
                </c:pt>
                <c:pt idx="1518">
                  <c:v>2.2456752447287858E-3</c:v>
                </c:pt>
                <c:pt idx="1519">
                  <c:v>3.5001893377273434E-3</c:v>
                </c:pt>
                <c:pt idx="1520">
                  <c:v>-8.2489619230528034E-3</c:v>
                </c:pt>
                <c:pt idx="1521">
                  <c:v>1.3556359863345213E-2</c:v>
                </c:pt>
                <c:pt idx="1522">
                  <c:v>1.7317399355024677E-3</c:v>
                </c:pt>
                <c:pt idx="1523">
                  <c:v>-5.8130717101804001E-3</c:v>
                </c:pt>
                <c:pt idx="1524">
                  <c:v>-6.8521345031323413E-4</c:v>
                </c:pt>
                <c:pt idx="1525">
                  <c:v>-4.6811374960220743E-3</c:v>
                </c:pt>
                <c:pt idx="1526">
                  <c:v>-1.1167870637139381E-2</c:v>
                </c:pt>
                <c:pt idx="1527">
                  <c:v>6.7589161552749927E-3</c:v>
                </c:pt>
                <c:pt idx="1528">
                  <c:v>-4.3464917804793531E-3</c:v>
                </c:pt>
                <c:pt idx="1529">
                  <c:v>1.3001078983902173E-2</c:v>
                </c:pt>
                <c:pt idx="1530">
                  <c:v>6.0285008298950407E-3</c:v>
                </c:pt>
                <c:pt idx="1531">
                  <c:v>-3.7028392805163506E-4</c:v>
                </c:pt>
                <c:pt idx="1532">
                  <c:v>-1.5624844236882102E-3</c:v>
                </c:pt>
                <c:pt idx="1533">
                  <c:v>-8.1557110208783305E-4</c:v>
                </c:pt>
                <c:pt idx="1534">
                  <c:v>8.8504542333256702E-3</c:v>
                </c:pt>
                <c:pt idx="1535">
                  <c:v>3.8397229956945978E-3</c:v>
                </c:pt>
                <c:pt idx="1536">
                  <c:v>5.7420979075210668E-3</c:v>
                </c:pt>
                <c:pt idx="1537">
                  <c:v>6.8976146989847388E-3</c:v>
                </c:pt>
                <c:pt idx="1538">
                  <c:v>8.3156490251501281E-3</c:v>
                </c:pt>
                <c:pt idx="1539">
                  <c:v>6.7450438032845474E-3</c:v>
                </c:pt>
                <c:pt idx="1540">
                  <c:v>-2.7581934359223819E-3</c:v>
                </c:pt>
                <c:pt idx="1541">
                  <c:v>-1.6907490220122577E-2</c:v>
                </c:pt>
                <c:pt idx="1542">
                  <c:v>1.6622348990833439E-3</c:v>
                </c:pt>
                <c:pt idx="1543">
                  <c:v>9.7668613482768188E-3</c:v>
                </c:pt>
                <c:pt idx="1544">
                  <c:v>2.9242867020271853E-4</c:v>
                </c:pt>
                <c:pt idx="1545">
                  <c:v>9.6035244160457747E-3</c:v>
                </c:pt>
                <c:pt idx="1546">
                  <c:v>-1.2313126549597694E-3</c:v>
                </c:pt>
                <c:pt idx="1547">
                  <c:v>-3.2680492889820702E-2</c:v>
                </c:pt>
                <c:pt idx="1548">
                  <c:v>5.4211362351359125E-3</c:v>
                </c:pt>
                <c:pt idx="1549">
                  <c:v>-1.1938379552823303E-2</c:v>
                </c:pt>
                <c:pt idx="1550">
                  <c:v>1.7836124729267266E-2</c:v>
                </c:pt>
                <c:pt idx="1551">
                  <c:v>-1.1497453162819547E-2</c:v>
                </c:pt>
                <c:pt idx="1552">
                  <c:v>1.3379760081836476E-2</c:v>
                </c:pt>
                <c:pt idx="1553">
                  <c:v>3.3117954079232761E-3</c:v>
                </c:pt>
                <c:pt idx="1554">
                  <c:v>-6.4687370210360856E-3</c:v>
                </c:pt>
                <c:pt idx="1555">
                  <c:v>7.5936835433098974E-3</c:v>
                </c:pt>
                <c:pt idx="1556">
                  <c:v>3.5453891677522009E-3</c:v>
                </c:pt>
                <c:pt idx="1557">
                  <c:v>9.1018593521969941E-3</c:v>
                </c:pt>
                <c:pt idx="1558">
                  <c:v>3.9676177517486969E-4</c:v>
                </c:pt>
                <c:pt idx="1559">
                  <c:v>-1.0168001698888939E-2</c:v>
                </c:pt>
                <c:pt idx="1560">
                  <c:v>-1.8821141869796009E-2</c:v>
                </c:pt>
                <c:pt idx="1561">
                  <c:v>3.9082829376710796E-3</c:v>
                </c:pt>
                <c:pt idx="1562">
                  <c:v>-1.2171628228616612E-2</c:v>
                </c:pt>
                <c:pt idx="1563">
                  <c:v>7.0862034350920745E-3</c:v>
                </c:pt>
                <c:pt idx="1564">
                  <c:v>-3.0865610803242276E-2</c:v>
                </c:pt>
                <c:pt idx="1565">
                  <c:v>2.5037686417744984E-2</c:v>
                </c:pt>
                <c:pt idx="1566">
                  <c:v>-1.0252910380622287E-4</c:v>
                </c:pt>
                <c:pt idx="1567">
                  <c:v>-4.6776469944850374E-3</c:v>
                </c:pt>
                <c:pt idx="1568">
                  <c:v>-3.1342138767163505E-2</c:v>
                </c:pt>
                <c:pt idx="1569">
                  <c:v>-5.8924344665160597E-2</c:v>
                </c:pt>
                <c:pt idx="1570">
                  <c:v>3.5235507088887619E-2</c:v>
                </c:pt>
                <c:pt idx="1571">
                  <c:v>9.4454154452956379E-2</c:v>
                </c:pt>
                <c:pt idx="1572">
                  <c:v>1.0896715563037781E-2</c:v>
                </c:pt>
                <c:pt idx="1573">
                  <c:v>-3.3193931751219059E-4</c:v>
                </c:pt>
                <c:pt idx="1574">
                  <c:v>1.2024816316117948E-2</c:v>
                </c:pt>
                <c:pt idx="1575">
                  <c:v>-2.6072442494455453E-3</c:v>
                </c:pt>
                <c:pt idx="1576">
                  <c:v>3.3840610973054412E-4</c:v>
                </c:pt>
                <c:pt idx="1577">
                  <c:v>-6.0030263273434794E-3</c:v>
                </c:pt>
                <c:pt idx="1578">
                  <c:v>8.0719582977820063E-3</c:v>
                </c:pt>
                <c:pt idx="1579">
                  <c:v>-6.4905405137235285E-3</c:v>
                </c:pt>
                <c:pt idx="1580">
                  <c:v>-4.2273365413081652E-4</c:v>
                </c:pt>
                <c:pt idx="1581">
                  <c:v>-7.4015972941664778E-3</c:v>
                </c:pt>
                <c:pt idx="1582">
                  <c:v>9.4560092139211798E-4</c:v>
                </c:pt>
                <c:pt idx="1583">
                  <c:v>5.395793951150191E-3</c:v>
                </c:pt>
                <c:pt idx="1584">
                  <c:v>6.0491844217026008E-3</c:v>
                </c:pt>
                <c:pt idx="1585">
                  <c:v>-6.7948249113613957E-3</c:v>
                </c:pt>
                <c:pt idx="1586">
                  <c:v>1.3232578897609214E-2</c:v>
                </c:pt>
                <c:pt idx="1587">
                  <c:v>1.1191284878224624E-2</c:v>
                </c:pt>
                <c:pt idx="1588">
                  <c:v>-1.2961532401737008E-3</c:v>
                </c:pt>
                <c:pt idx="1589">
                  <c:v>3.152226634111873E-3</c:v>
                </c:pt>
                <c:pt idx="1590">
                  <c:v>1.9080112148025352E-2</c:v>
                </c:pt>
                <c:pt idx="1591">
                  <c:v>-2.0872891521115404E-3</c:v>
                </c:pt>
                <c:pt idx="1592">
                  <c:v>-1.5710379431188356E-2</c:v>
                </c:pt>
                <c:pt idx="1593">
                  <c:v>6.696218229088407E-4</c:v>
                </c:pt>
                <c:pt idx="1594">
                  <c:v>-2.080746581560545E-3</c:v>
                </c:pt>
                <c:pt idx="1595">
                  <c:v>-1.2339896421314441E-2</c:v>
                </c:pt>
                <c:pt idx="1596">
                  <c:v>-3.8462327066249896E-3</c:v>
                </c:pt>
                <c:pt idx="1597">
                  <c:v>1.7207961928162327E-4</c:v>
                </c:pt>
                <c:pt idx="1598">
                  <c:v>-3.2125195087218145E-2</c:v>
                </c:pt>
                <c:pt idx="1599">
                  <c:v>5.2331087179569274E-2</c:v>
                </c:pt>
                <c:pt idx="1600">
                  <c:v>4.2127947238468069E-3</c:v>
                </c:pt>
                <c:pt idx="1601">
                  <c:v>-5.825761206839474E-3</c:v>
                </c:pt>
                <c:pt idx="1602">
                  <c:v>1.9112475691634156E-2</c:v>
                </c:pt>
                <c:pt idx="1603">
                  <c:v>1.0035772095739184E-2</c:v>
                </c:pt>
                <c:pt idx="1604">
                  <c:v>2.0474210583670025E-2</c:v>
                </c:pt>
                <c:pt idx="1605">
                  <c:v>1.6728623520401033E-2</c:v>
                </c:pt>
                <c:pt idx="1606">
                  <c:v>2.6286589420321336E-3</c:v>
                </c:pt>
                <c:pt idx="1607">
                  <c:v>9.6597464500201794E-3</c:v>
                </c:pt>
                <c:pt idx="1608">
                  <c:v>1.0770065357040103E-2</c:v>
                </c:pt>
                <c:pt idx="1609">
                  <c:v>2.4765659724783139E-4</c:v>
                </c:pt>
                <c:pt idx="1610">
                  <c:v>-6.193330159496125E-3</c:v>
                </c:pt>
                <c:pt idx="1611">
                  <c:v>9.0917744543584107E-3</c:v>
                </c:pt>
                <c:pt idx="1612">
                  <c:v>3.8677003257679078E-3</c:v>
                </c:pt>
                <c:pt idx="1613">
                  <c:v>1.640196405399651E-2</c:v>
                </c:pt>
                <c:pt idx="1614">
                  <c:v>-4.1220475368407682E-3</c:v>
                </c:pt>
                <c:pt idx="1615">
                  <c:v>3.23738699784049E-3</c:v>
                </c:pt>
                <c:pt idx="1616">
                  <c:v>1.675854599469408E-2</c:v>
                </c:pt>
                <c:pt idx="1617">
                  <c:v>-4.9139836513057659E-4</c:v>
                </c:pt>
                <c:pt idx="1618">
                  <c:v>-2.7401676337846471E-3</c:v>
                </c:pt>
                <c:pt idx="1619">
                  <c:v>8.6967952991219896E-3</c:v>
                </c:pt>
                <c:pt idx="1620">
                  <c:v>-1.185414134293848E-3</c:v>
                </c:pt>
                <c:pt idx="1621">
                  <c:v>-4.0335541379097452E-3</c:v>
                </c:pt>
                <c:pt idx="1622">
                  <c:v>3.7105782158492985E-3</c:v>
                </c:pt>
                <c:pt idx="1623">
                  <c:v>1.2410268714356885E-3</c:v>
                </c:pt>
                <c:pt idx="1624">
                  <c:v>-1.0153891453339883E-2</c:v>
                </c:pt>
                <c:pt idx="1625">
                  <c:v>3.2431458427696334E-3</c:v>
                </c:pt>
                <c:pt idx="1626">
                  <c:v>7.0670767941422297E-3</c:v>
                </c:pt>
                <c:pt idx="1627">
                  <c:v>1.1798228314399207E-2</c:v>
                </c:pt>
                <c:pt idx="1628">
                  <c:v>7.2157985203386635E-3</c:v>
                </c:pt>
                <c:pt idx="1629">
                  <c:v>6.9305988356712879E-3</c:v>
                </c:pt>
                <c:pt idx="1630">
                  <c:v>1.4341237316146475E-2</c:v>
                </c:pt>
                <c:pt idx="1631">
                  <c:v>3.8503396203008093E-3</c:v>
                </c:pt>
                <c:pt idx="1632">
                  <c:v>-1.8149343680900674E-3</c:v>
                </c:pt>
                <c:pt idx="1633">
                  <c:v>1.0641148746619327E-2</c:v>
                </c:pt>
                <c:pt idx="1634">
                  <c:v>5.1364651319297128E-4</c:v>
                </c:pt>
                <c:pt idx="1635">
                  <c:v>-3.2379782743902244E-3</c:v>
                </c:pt>
                <c:pt idx="1636">
                  <c:v>-2.5714991765123996E-4</c:v>
                </c:pt>
                <c:pt idx="1637">
                  <c:v>1.1637456692918279E-2</c:v>
                </c:pt>
                <c:pt idx="1638">
                  <c:v>1.0623266068100613E-2</c:v>
                </c:pt>
                <c:pt idx="1639">
                  <c:v>5.4767035619438372E-3</c:v>
                </c:pt>
                <c:pt idx="1640">
                  <c:v>-9.0027292467678051E-3</c:v>
                </c:pt>
                <c:pt idx="1641">
                  <c:v>1.7274066646578129E-3</c:v>
                </c:pt>
                <c:pt idx="1642">
                  <c:v>-4.5336552746997084E-3</c:v>
                </c:pt>
                <c:pt idx="1643">
                  <c:v>-2.55518064639989E-3</c:v>
                </c:pt>
                <c:pt idx="1644">
                  <c:v>-6.3396747372217784E-3</c:v>
                </c:pt>
                <c:pt idx="1645">
                  <c:v>-1.0204480818648003E-3</c:v>
                </c:pt>
                <c:pt idx="1646">
                  <c:v>8.6482255887466875E-3</c:v>
                </c:pt>
                <c:pt idx="1647">
                  <c:v>9.1062455649654154E-3</c:v>
                </c:pt>
                <c:pt idx="1648">
                  <c:v>6.6969556073892744E-3</c:v>
                </c:pt>
                <c:pt idx="1649">
                  <c:v>8.1231733788824124E-3</c:v>
                </c:pt>
                <c:pt idx="1650">
                  <c:v>3.0475313445536712E-3</c:v>
                </c:pt>
                <c:pt idx="1651">
                  <c:v>1.0555545802947781E-2</c:v>
                </c:pt>
                <c:pt idx="1652">
                  <c:v>1.1732907502398736E-2</c:v>
                </c:pt>
                <c:pt idx="1653">
                  <c:v>3.0509847341209299E-3</c:v>
                </c:pt>
                <c:pt idx="1654">
                  <c:v>2.9206674121360801E-3</c:v>
                </c:pt>
                <c:pt idx="1655">
                  <c:v>-5.6014871915057649E-3</c:v>
                </c:pt>
                <c:pt idx="1656">
                  <c:v>-1.0897568707820628E-2</c:v>
                </c:pt>
                <c:pt idx="1657">
                  <c:v>6.1177926477318572E-3</c:v>
                </c:pt>
                <c:pt idx="1658">
                  <c:v>5.1254783938581069E-3</c:v>
                </c:pt>
                <c:pt idx="1659">
                  <c:v>-2.0040857738496492E-5</c:v>
                </c:pt>
                <c:pt idx="1660">
                  <c:v>1.1369476880230319E-2</c:v>
                </c:pt>
                <c:pt idx="1661">
                  <c:v>5.3123239394489718E-4</c:v>
                </c:pt>
                <c:pt idx="1662">
                  <c:v>-3.0544672405984023E-3</c:v>
                </c:pt>
                <c:pt idx="1663">
                  <c:v>2.4776798096609477E-3</c:v>
                </c:pt>
                <c:pt idx="1664">
                  <c:v>1.8465918174190318E-3</c:v>
                </c:pt>
                <c:pt idx="1665">
                  <c:v>6.5939195265016862E-3</c:v>
                </c:pt>
                <c:pt idx="1666">
                  <c:v>1.8689906566476656E-2</c:v>
                </c:pt>
                <c:pt idx="1667">
                  <c:v>9.8033971041746795E-3</c:v>
                </c:pt>
                <c:pt idx="1668">
                  <c:v>1.0045304880404442E-2</c:v>
                </c:pt>
                <c:pt idx="1669">
                  <c:v>8.8674129312198743E-4</c:v>
                </c:pt>
                <c:pt idx="1670">
                  <c:v>1.7201667178418062E-2</c:v>
                </c:pt>
                <c:pt idx="1671">
                  <c:v>2.970093767788516E-3</c:v>
                </c:pt>
                <c:pt idx="1672">
                  <c:v>-7.3238035420544511E-3</c:v>
                </c:pt>
                <c:pt idx="1673">
                  <c:v>-9.4106546666006367E-3</c:v>
                </c:pt>
                <c:pt idx="1674">
                  <c:v>-5.4581424563145504E-3</c:v>
                </c:pt>
                <c:pt idx="1675">
                  <c:v>-4.4530433375134584E-3</c:v>
                </c:pt>
                <c:pt idx="1676">
                  <c:v>-8.7073053369152893E-3</c:v>
                </c:pt>
                <c:pt idx="1677">
                  <c:v>-2.8539679073078552E-2</c:v>
                </c:pt>
                <c:pt idx="1678">
                  <c:v>4.4385560473259013E-2</c:v>
                </c:pt>
                <c:pt idx="1679">
                  <c:v>1.2712415974230897E-3</c:v>
                </c:pt>
                <c:pt idx="1680">
                  <c:v>-7.494037832198419E-3</c:v>
                </c:pt>
                <c:pt idx="1681">
                  <c:v>-3.8827637640174765E-3</c:v>
                </c:pt>
                <c:pt idx="1682">
                  <c:v>1.4875442458778441E-2</c:v>
                </c:pt>
                <c:pt idx="1683">
                  <c:v>6.6404034914931635E-3</c:v>
                </c:pt>
                <c:pt idx="1684">
                  <c:v>-4.7419482042174834E-3</c:v>
                </c:pt>
                <c:pt idx="1685">
                  <c:v>-1.1785237732934443E-2</c:v>
                </c:pt>
                <c:pt idx="1686">
                  <c:v>-7.8150361251302473E-3</c:v>
                </c:pt>
                <c:pt idx="1687">
                  <c:v>-6.9827995164605267E-3</c:v>
                </c:pt>
                <c:pt idx="1688">
                  <c:v>-1.2720347406736427E-2</c:v>
                </c:pt>
                <c:pt idx="1689">
                  <c:v>-1.0218360244153339E-2</c:v>
                </c:pt>
                <c:pt idx="1690">
                  <c:v>-1.0930990087026081E-2</c:v>
                </c:pt>
                <c:pt idx="1691">
                  <c:v>3.1256045317357824E-2</c:v>
                </c:pt>
                <c:pt idx="1692">
                  <c:v>7.2475249754487747E-3</c:v>
                </c:pt>
                <c:pt idx="1693">
                  <c:v>-9.3449660313719585E-3</c:v>
                </c:pt>
                <c:pt idx="1694">
                  <c:v>-1.0562756100704918E-2</c:v>
                </c:pt>
                <c:pt idx="1695">
                  <c:v>-3.0166403065482444E-3</c:v>
                </c:pt>
                <c:pt idx="1696">
                  <c:v>3.1182902484526097E-3</c:v>
                </c:pt>
                <c:pt idx="1697">
                  <c:v>1.2190391164620031E-2</c:v>
                </c:pt>
                <c:pt idx="1698">
                  <c:v>-2.2706116768142038E-2</c:v>
                </c:pt>
                <c:pt idx="1699">
                  <c:v>1.985488105757641E-3</c:v>
                </c:pt>
                <c:pt idx="1700">
                  <c:v>1.5637174315093209E-2</c:v>
                </c:pt>
                <c:pt idx="1701">
                  <c:v>7.952881129110077E-3</c:v>
                </c:pt>
                <c:pt idx="1702">
                  <c:v>-1.5314768828196021E-3</c:v>
                </c:pt>
                <c:pt idx="1703">
                  <c:v>-4.6513270469973386E-3</c:v>
                </c:pt>
                <c:pt idx="1704">
                  <c:v>8.0227977570838278E-3</c:v>
                </c:pt>
                <c:pt idx="1705">
                  <c:v>4.3806712451275069E-3</c:v>
                </c:pt>
                <c:pt idx="1706">
                  <c:v>-5.118667381380732E-3</c:v>
                </c:pt>
                <c:pt idx="1707">
                  <c:v>-7.3305280373738046E-4</c:v>
                </c:pt>
                <c:pt idx="1708">
                  <c:v>-1.8002385295987158E-3</c:v>
                </c:pt>
                <c:pt idx="1709">
                  <c:v>9.2524401876944943E-3</c:v>
                </c:pt>
                <c:pt idx="1710">
                  <c:v>1.3388073291670676E-2</c:v>
                </c:pt>
                <c:pt idx="1711">
                  <c:v>7.8875484804652816E-3</c:v>
                </c:pt>
                <c:pt idx="1712">
                  <c:v>8.3063901169741997E-3</c:v>
                </c:pt>
                <c:pt idx="1713">
                  <c:v>-2.4985393799759688E-3</c:v>
                </c:pt>
                <c:pt idx="1714">
                  <c:v>-8.9293703235246054E-3</c:v>
                </c:pt>
                <c:pt idx="1715">
                  <c:v>8.3186203115893508E-4</c:v>
                </c:pt>
                <c:pt idx="1716">
                  <c:v>4.8232672444147298E-3</c:v>
                </c:pt>
                <c:pt idx="1717">
                  <c:v>7.2877025055065369E-3</c:v>
                </c:pt>
                <c:pt idx="1718">
                  <c:v>6.8515610958196829E-3</c:v>
                </c:pt>
                <c:pt idx="1719">
                  <c:v>-2.6732541629312057E-5</c:v>
                </c:pt>
                <c:pt idx="1720">
                  <c:v>-5.1765144389679984E-3</c:v>
                </c:pt>
                <c:pt idx="1721">
                  <c:v>7.6514451843274723E-3</c:v>
                </c:pt>
                <c:pt idx="1722">
                  <c:v>5.1618192450183552E-3</c:v>
                </c:pt>
                <c:pt idx="1723">
                  <c:v>-1.7221371227378686E-3</c:v>
                </c:pt>
                <c:pt idx="1724">
                  <c:v>-7.8288127767352331E-4</c:v>
                </c:pt>
                <c:pt idx="1725">
                  <c:v>9.6692071919456096E-3</c:v>
                </c:pt>
                <c:pt idx="1726">
                  <c:v>-3.2343444134256814E-3</c:v>
                </c:pt>
                <c:pt idx="1727">
                  <c:v>-1.1685225497023656E-3</c:v>
                </c:pt>
                <c:pt idx="1728">
                  <c:v>-7.6201406052031704E-4</c:v>
                </c:pt>
                <c:pt idx="1729">
                  <c:v>-1.4234213517178196E-3</c:v>
                </c:pt>
              </c:numCache>
            </c:numRef>
          </c:xVal>
          <c:yVal>
            <c:numRef>
              <c:f>[1]Cnergyico!$C$4:$C$1733</c:f>
              <c:numCache>
                <c:formatCode>General</c:formatCode>
                <c:ptCount val="1730"/>
                <c:pt idx="0">
                  <c:v>6.7643742953777345E-3</c:v>
                </c:pt>
                <c:pt idx="1">
                  <c:v>4.4792833146697561E-3</c:v>
                </c:pt>
                <c:pt idx="2">
                  <c:v>-1.0033444816053495E-2</c:v>
                </c:pt>
                <c:pt idx="3">
                  <c:v>2.3648648648648542E-2</c:v>
                </c:pt>
                <c:pt idx="4">
                  <c:v>4.7304730473047271E-2</c:v>
                </c:pt>
                <c:pt idx="5">
                  <c:v>9.4537815126050275E-3</c:v>
                </c:pt>
                <c:pt idx="6">
                  <c:v>-2.3933402705514948E-2</c:v>
                </c:pt>
                <c:pt idx="7">
                  <c:v>2.1321961620468627E-3</c:v>
                </c:pt>
                <c:pt idx="8">
                  <c:v>5.319148936170099E-3</c:v>
                </c:pt>
                <c:pt idx="9">
                  <c:v>-8.4656084656084731E-3</c:v>
                </c:pt>
                <c:pt idx="10">
                  <c:v>-9.6051227321237841E-3</c:v>
                </c:pt>
                <c:pt idx="11">
                  <c:v>3.2327586206897779E-3</c:v>
                </c:pt>
                <c:pt idx="12">
                  <c:v>-8.592910848549953E-3</c:v>
                </c:pt>
                <c:pt idx="13">
                  <c:v>-1.4084507042253605E-2</c:v>
                </c:pt>
                <c:pt idx="14">
                  <c:v>-9.8901098901098741E-3</c:v>
                </c:pt>
                <c:pt idx="15">
                  <c:v>7.7691453940066909E-3</c:v>
                </c:pt>
                <c:pt idx="16">
                  <c:v>1.4317180616740173E-2</c:v>
                </c:pt>
                <c:pt idx="17">
                  <c:v>-1.7372421281216084E-2</c:v>
                </c:pt>
                <c:pt idx="18">
                  <c:v>7.4033149171270698E-2</c:v>
                </c:pt>
                <c:pt idx="19">
                  <c:v>2.0576131687242358E-3</c:v>
                </c:pt>
                <c:pt idx="20">
                  <c:v>-1.437371663244359E-2</c:v>
                </c:pt>
                <c:pt idx="21">
                  <c:v>9.4791666666666691E-2</c:v>
                </c:pt>
                <c:pt idx="22">
                  <c:v>-2.7592768791626941E-2</c:v>
                </c:pt>
                <c:pt idx="23">
                  <c:v>9.7847358121328637E-4</c:v>
                </c:pt>
                <c:pt idx="24">
                  <c:v>-1.2707722385141815E-2</c:v>
                </c:pt>
                <c:pt idx="25">
                  <c:v>-3.9603960396038763E-3</c:v>
                </c:pt>
                <c:pt idx="26">
                  <c:v>0</c:v>
                </c:pt>
                <c:pt idx="27">
                  <c:v>-2.2862823061630261E-2</c:v>
                </c:pt>
                <c:pt idx="28">
                  <c:v>-6.1037639877925222E-3</c:v>
                </c:pt>
                <c:pt idx="29">
                  <c:v>-3.0706243602865264E-3</c:v>
                </c:pt>
                <c:pt idx="30">
                  <c:v>-2.0533880903490323E-3</c:v>
                </c:pt>
                <c:pt idx="31">
                  <c:v>5.1440329218105894E-3</c:v>
                </c:pt>
                <c:pt idx="32">
                  <c:v>-4.094165813715368E-3</c:v>
                </c:pt>
                <c:pt idx="33">
                  <c:v>-1.1305241521068984E-2</c:v>
                </c:pt>
                <c:pt idx="34">
                  <c:v>-2.0790020790020349E-3</c:v>
                </c:pt>
                <c:pt idx="35">
                  <c:v>-1.9791666666666617E-2</c:v>
                </c:pt>
                <c:pt idx="36">
                  <c:v>-1.2752391073326354E-2</c:v>
                </c:pt>
                <c:pt idx="37">
                  <c:v>-1.3993541442411089E-2</c:v>
                </c:pt>
                <c:pt idx="38">
                  <c:v>-4.9126637554585073E-2</c:v>
                </c:pt>
                <c:pt idx="39">
                  <c:v>-5.5109070034443215E-2</c:v>
                </c:pt>
                <c:pt idx="40">
                  <c:v>2.5516403402187006E-2</c:v>
                </c:pt>
                <c:pt idx="41">
                  <c:v>4.0284360189573445E-2</c:v>
                </c:pt>
                <c:pt idx="42">
                  <c:v>2.0501138952164179E-2</c:v>
                </c:pt>
                <c:pt idx="43">
                  <c:v>0</c:v>
                </c:pt>
                <c:pt idx="44">
                  <c:v>-1.1160714285714444E-2</c:v>
                </c:pt>
                <c:pt idx="45">
                  <c:v>-1.241534988713312E-2</c:v>
                </c:pt>
                <c:pt idx="46">
                  <c:v>-9.1428571428571505E-3</c:v>
                </c:pt>
                <c:pt idx="47">
                  <c:v>1.1534025374855578E-3</c:v>
                </c:pt>
                <c:pt idx="48">
                  <c:v>-1.958525345622119E-2</c:v>
                </c:pt>
                <c:pt idx="49">
                  <c:v>0</c:v>
                </c:pt>
                <c:pt idx="50">
                  <c:v>-2.2326674500587486E-2</c:v>
                </c:pt>
                <c:pt idx="51">
                  <c:v>-2.2836538461538401E-2</c:v>
                </c:pt>
                <c:pt idx="52">
                  <c:v>1.2300123001229748E-3</c:v>
                </c:pt>
                <c:pt idx="53">
                  <c:v>-2.2113022113022185E-2</c:v>
                </c:pt>
                <c:pt idx="54">
                  <c:v>-5.0251256281407079E-3</c:v>
                </c:pt>
                <c:pt idx="55">
                  <c:v>-5.0505050505050553E-3</c:v>
                </c:pt>
                <c:pt idx="56">
                  <c:v>1.1421319796954297E-2</c:v>
                </c:pt>
                <c:pt idx="57">
                  <c:v>-1.0037641154328742E-2</c:v>
                </c:pt>
                <c:pt idx="58">
                  <c:v>2.5348542458809207E-3</c:v>
                </c:pt>
                <c:pt idx="59">
                  <c:v>4.4247787610619427E-2</c:v>
                </c:pt>
                <c:pt idx="60">
                  <c:v>-2.9055690072639251E-2</c:v>
                </c:pt>
                <c:pt idx="61">
                  <c:v>-8.7281795511221193E-3</c:v>
                </c:pt>
                <c:pt idx="62">
                  <c:v>-6.2893081761006067E-3</c:v>
                </c:pt>
                <c:pt idx="63">
                  <c:v>-1.2658227848101333E-2</c:v>
                </c:pt>
                <c:pt idx="64">
                  <c:v>7.6923076923077561E-3</c:v>
                </c:pt>
                <c:pt idx="65">
                  <c:v>-1.2722646310433427E-3</c:v>
                </c:pt>
                <c:pt idx="66">
                  <c:v>1.2738853503185574E-3</c:v>
                </c:pt>
                <c:pt idx="67">
                  <c:v>-4.0712468193384262E-2</c:v>
                </c:pt>
                <c:pt idx="68">
                  <c:v>2.3872679045092802E-2</c:v>
                </c:pt>
                <c:pt idx="69">
                  <c:v>-4.015544041450772E-2</c:v>
                </c:pt>
                <c:pt idx="70">
                  <c:v>1.3495276653171101E-3</c:v>
                </c:pt>
                <c:pt idx="71">
                  <c:v>5.6603773584905655E-2</c:v>
                </c:pt>
                <c:pt idx="72">
                  <c:v>1.7857142857142929E-2</c:v>
                </c:pt>
                <c:pt idx="73">
                  <c:v>-3.7593984962406325E-3</c:v>
                </c:pt>
                <c:pt idx="74">
                  <c:v>-3.2704402515723242E-2</c:v>
                </c:pt>
                <c:pt idx="75">
                  <c:v>3.9011703511052484E-3</c:v>
                </c:pt>
                <c:pt idx="76">
                  <c:v>2.3316062176165882E-2</c:v>
                </c:pt>
                <c:pt idx="77">
                  <c:v>-2.9113924050632962E-2</c:v>
                </c:pt>
                <c:pt idx="78">
                  <c:v>-2.6075619295958301E-2</c:v>
                </c:pt>
                <c:pt idx="79">
                  <c:v>-5.3547523427041549E-3</c:v>
                </c:pt>
                <c:pt idx="80">
                  <c:v>6.729475100942222E-3</c:v>
                </c:pt>
                <c:pt idx="81">
                  <c:v>3.0748663101604214E-2</c:v>
                </c:pt>
                <c:pt idx="82">
                  <c:v>1.4267185473411196E-2</c:v>
                </c:pt>
                <c:pt idx="83">
                  <c:v>-1.9181585677749406E-2</c:v>
                </c:pt>
                <c:pt idx="84">
                  <c:v>-1.8252933507170752E-2</c:v>
                </c:pt>
                <c:pt idx="85">
                  <c:v>2.6560424966798903E-3</c:v>
                </c:pt>
                <c:pt idx="86">
                  <c:v>-1.5894039735099352E-2</c:v>
                </c:pt>
                <c:pt idx="87">
                  <c:v>0</c:v>
                </c:pt>
                <c:pt idx="88">
                  <c:v>-4.8452220726783235E-2</c:v>
                </c:pt>
                <c:pt idx="89">
                  <c:v>4.243281471004153E-3</c:v>
                </c:pt>
                <c:pt idx="90">
                  <c:v>-1.1267605633802828E-2</c:v>
                </c:pt>
                <c:pt idx="91">
                  <c:v>-7.8347578347578328E-2</c:v>
                </c:pt>
                <c:pt idx="92">
                  <c:v>-2.4729520865533254E-2</c:v>
                </c:pt>
                <c:pt idx="93">
                  <c:v>5.5467511885895493E-2</c:v>
                </c:pt>
                <c:pt idx="94">
                  <c:v>-3.0030030030030724E-3</c:v>
                </c:pt>
                <c:pt idx="95">
                  <c:v>-5.8734939759036098E-2</c:v>
                </c:pt>
                <c:pt idx="96">
                  <c:v>1.2800000000000011E-2</c:v>
                </c:pt>
                <c:pt idx="97">
                  <c:v>1.2638230647709331E-2</c:v>
                </c:pt>
                <c:pt idx="98">
                  <c:v>0.1076443057722308</c:v>
                </c:pt>
                <c:pt idx="99">
                  <c:v>2.957746478873239E-2</c:v>
                </c:pt>
                <c:pt idx="100">
                  <c:v>-2.4623803009575885E-2</c:v>
                </c:pt>
                <c:pt idx="101">
                  <c:v>-5.6100981767180976E-3</c:v>
                </c:pt>
                <c:pt idx="102">
                  <c:v>-3.8081805359661436E-2</c:v>
                </c:pt>
                <c:pt idx="103">
                  <c:v>3.0791788856304979E-2</c:v>
                </c:pt>
                <c:pt idx="104">
                  <c:v>-9.9573257467994707E-3</c:v>
                </c:pt>
                <c:pt idx="105">
                  <c:v>-1.29310344827586E-2</c:v>
                </c:pt>
                <c:pt idx="106">
                  <c:v>-3.4934497816593919E-2</c:v>
                </c:pt>
                <c:pt idx="107">
                  <c:v>1.8099547511312233E-2</c:v>
                </c:pt>
                <c:pt idx="108">
                  <c:v>1.48148148148145E-3</c:v>
                </c:pt>
                <c:pt idx="109">
                  <c:v>1.6272189349112474E-2</c:v>
                </c:pt>
                <c:pt idx="110">
                  <c:v>-4.366812227074272E-3</c:v>
                </c:pt>
                <c:pt idx="111">
                  <c:v>-1.6081871345029156E-2</c:v>
                </c:pt>
                <c:pt idx="112">
                  <c:v>-2.5260029717682139E-2</c:v>
                </c:pt>
                <c:pt idx="113">
                  <c:v>3.0487804878049488E-3</c:v>
                </c:pt>
                <c:pt idx="114">
                  <c:v>2.5835866261398166E-2</c:v>
                </c:pt>
                <c:pt idx="115">
                  <c:v>-2.9629629629628999E-3</c:v>
                </c:pt>
                <c:pt idx="116">
                  <c:v>-3.2689450222882707E-2</c:v>
                </c:pt>
                <c:pt idx="117">
                  <c:v>-1.5360983102918259E-3</c:v>
                </c:pt>
                <c:pt idx="118">
                  <c:v>6.153846153846159E-3</c:v>
                </c:pt>
                <c:pt idx="119">
                  <c:v>-1.5290519877675516E-3</c:v>
                </c:pt>
                <c:pt idx="120">
                  <c:v>-1.8376722817764181E-2</c:v>
                </c:pt>
                <c:pt idx="121">
                  <c:v>1.248049921996881E-2</c:v>
                </c:pt>
                <c:pt idx="122">
                  <c:v>2.0030816640986115E-2</c:v>
                </c:pt>
                <c:pt idx="123">
                  <c:v>2.7190332326283945E-2</c:v>
                </c:pt>
                <c:pt idx="124">
                  <c:v>-1.7647058823529429E-2</c:v>
                </c:pt>
                <c:pt idx="125">
                  <c:v>-8.982035928143655E-3</c:v>
                </c:pt>
                <c:pt idx="126">
                  <c:v>-1.2084592145015116E-2</c:v>
                </c:pt>
                <c:pt idx="127">
                  <c:v>-1.0703363914373131E-2</c:v>
                </c:pt>
                <c:pt idx="128">
                  <c:v>1.5455950540959314E-3</c:v>
                </c:pt>
                <c:pt idx="129">
                  <c:v>-6.1728395061728444E-3</c:v>
                </c:pt>
                <c:pt idx="130">
                  <c:v>-5.7453416149068334E-2</c:v>
                </c:pt>
                <c:pt idx="131">
                  <c:v>-8.4019769357495985E-2</c:v>
                </c:pt>
                <c:pt idx="132">
                  <c:v>-4.4964028776978422E-2</c:v>
                </c:pt>
                <c:pt idx="133">
                  <c:v>2.4482109227872088E-2</c:v>
                </c:pt>
                <c:pt idx="134">
                  <c:v>-4.7794117647058945E-2</c:v>
                </c:pt>
                <c:pt idx="135">
                  <c:v>3.4749034749034867E-2</c:v>
                </c:pt>
                <c:pt idx="136">
                  <c:v>3.1716417910447749E-2</c:v>
                </c:pt>
                <c:pt idx="137">
                  <c:v>1.4466546112115744E-2</c:v>
                </c:pt>
                <c:pt idx="138">
                  <c:v>-7.1301247771836064E-3</c:v>
                </c:pt>
                <c:pt idx="139">
                  <c:v>-2.6929982046678697E-2</c:v>
                </c:pt>
                <c:pt idx="140">
                  <c:v>-2.2140221402214041E-2</c:v>
                </c:pt>
                <c:pt idx="141">
                  <c:v>-1.886792452830182E-2</c:v>
                </c:pt>
                <c:pt idx="142">
                  <c:v>0</c:v>
                </c:pt>
                <c:pt idx="143">
                  <c:v>2.4999999999999977E-2</c:v>
                </c:pt>
                <c:pt idx="144">
                  <c:v>-1.8761726078798848E-3</c:v>
                </c:pt>
                <c:pt idx="145">
                  <c:v>-1.8796992481204275E-3</c:v>
                </c:pt>
                <c:pt idx="146">
                  <c:v>-3.7664783427495158E-2</c:v>
                </c:pt>
                <c:pt idx="147">
                  <c:v>1.174168297455961E-2</c:v>
                </c:pt>
                <c:pt idx="148">
                  <c:v>-2.9013539651837592E-2</c:v>
                </c:pt>
                <c:pt idx="149">
                  <c:v>-2.5896414342629463E-2</c:v>
                </c:pt>
                <c:pt idx="150">
                  <c:v>-2.0449897750510811E-3</c:v>
                </c:pt>
                <c:pt idx="151">
                  <c:v>-3.2786885245901669E-2</c:v>
                </c:pt>
                <c:pt idx="152">
                  <c:v>5.0847457627118689E-2</c:v>
                </c:pt>
                <c:pt idx="153">
                  <c:v>2.2177419354838773E-2</c:v>
                </c:pt>
                <c:pt idx="154">
                  <c:v>1.7751479289940801E-2</c:v>
                </c:pt>
                <c:pt idx="155">
                  <c:v>0.13953488372093018</c:v>
                </c:pt>
                <c:pt idx="156">
                  <c:v>-3.4013605442176902E-2</c:v>
                </c:pt>
                <c:pt idx="157">
                  <c:v>-4.2253521126760445E-2</c:v>
                </c:pt>
                <c:pt idx="158">
                  <c:v>-9.1911764705883657E-3</c:v>
                </c:pt>
                <c:pt idx="159">
                  <c:v>-1.2987012987012875E-2</c:v>
                </c:pt>
                <c:pt idx="160">
                  <c:v>-3.7593984962406048E-2</c:v>
                </c:pt>
                <c:pt idx="161">
                  <c:v>-1.9531250000000104E-2</c:v>
                </c:pt>
                <c:pt idx="162">
                  <c:v>3.9840637450199244E-2</c:v>
                </c:pt>
                <c:pt idx="163">
                  <c:v>-2.8735632183907945E-2</c:v>
                </c:pt>
                <c:pt idx="164">
                  <c:v>2.169625246548312E-2</c:v>
                </c:pt>
                <c:pt idx="165">
                  <c:v>-2.3166023166023189E-2</c:v>
                </c:pt>
                <c:pt idx="166">
                  <c:v>5.9288537549407614E-3</c:v>
                </c:pt>
                <c:pt idx="167">
                  <c:v>-7.858546168958749E-3</c:v>
                </c:pt>
                <c:pt idx="168">
                  <c:v>2.7722772277227838E-2</c:v>
                </c:pt>
                <c:pt idx="169">
                  <c:v>-3.8535645472062546E-3</c:v>
                </c:pt>
                <c:pt idx="170">
                  <c:v>0.10831721470019352</c:v>
                </c:pt>
                <c:pt idx="171">
                  <c:v>1.5706806282722488E-2</c:v>
                </c:pt>
                <c:pt idx="172">
                  <c:v>-5.1546391752577442E-2</c:v>
                </c:pt>
                <c:pt idx="173">
                  <c:v>2.3550724637681302E-2</c:v>
                </c:pt>
                <c:pt idx="174">
                  <c:v>-8.8495575221240186E-3</c:v>
                </c:pt>
                <c:pt idx="175">
                  <c:v>-2.8571428571428439E-2</c:v>
                </c:pt>
                <c:pt idx="176">
                  <c:v>-3.6764705882353786E-3</c:v>
                </c:pt>
                <c:pt idx="177">
                  <c:v>-3.3210332103320979E-2</c:v>
                </c:pt>
                <c:pt idx="178">
                  <c:v>-9.5419847328243931E-3</c:v>
                </c:pt>
                <c:pt idx="179">
                  <c:v>1.7341040462427716E-2</c:v>
                </c:pt>
                <c:pt idx="180">
                  <c:v>-1.8939393939395217E-3</c:v>
                </c:pt>
                <c:pt idx="181">
                  <c:v>4.1745730550284757E-2</c:v>
                </c:pt>
                <c:pt idx="182">
                  <c:v>1.4571948998178519E-2</c:v>
                </c:pt>
                <c:pt idx="183">
                  <c:v>6.8222621184919188E-2</c:v>
                </c:pt>
                <c:pt idx="184">
                  <c:v>1.8487394957983096E-2</c:v>
                </c:pt>
                <c:pt idx="185">
                  <c:v>0.10066006600660071</c:v>
                </c:pt>
                <c:pt idx="186">
                  <c:v>-2.3988005997001519E-2</c:v>
                </c:pt>
                <c:pt idx="187">
                  <c:v>-7.6804915514592665E-3</c:v>
                </c:pt>
                <c:pt idx="188">
                  <c:v>4.489164086687307E-2</c:v>
                </c:pt>
                <c:pt idx="189">
                  <c:v>-1.3333333333333312E-2</c:v>
                </c:pt>
                <c:pt idx="190">
                  <c:v>-2.8528528528528586E-2</c:v>
                </c:pt>
                <c:pt idx="191">
                  <c:v>-6.1823802163833135E-3</c:v>
                </c:pt>
                <c:pt idx="192">
                  <c:v>7.7760497667186176E-3</c:v>
                </c:pt>
                <c:pt idx="193">
                  <c:v>-2.6234567901234691E-2</c:v>
                </c:pt>
                <c:pt idx="194">
                  <c:v>-7.9239302694136017E-3</c:v>
                </c:pt>
                <c:pt idx="195">
                  <c:v>-5.2715654952076689E-2</c:v>
                </c:pt>
                <c:pt idx="196">
                  <c:v>-6.7453625632377806E-3</c:v>
                </c:pt>
                <c:pt idx="197">
                  <c:v>3.5653650254668927E-2</c:v>
                </c:pt>
                <c:pt idx="198">
                  <c:v>1.9672131147541003E-2</c:v>
                </c:pt>
                <c:pt idx="199">
                  <c:v>-1.1254019292604405E-2</c:v>
                </c:pt>
                <c:pt idx="200">
                  <c:v>6.5040650406503975E-2</c:v>
                </c:pt>
                <c:pt idx="201">
                  <c:v>2.5954198473282432E-2</c:v>
                </c:pt>
                <c:pt idx="202">
                  <c:v>-5.9523809523809581E-3</c:v>
                </c:pt>
                <c:pt idx="203">
                  <c:v>1.4970059880239601E-2</c:v>
                </c:pt>
                <c:pt idx="204">
                  <c:v>-2.8023598820059052E-2</c:v>
                </c:pt>
                <c:pt idx="205">
                  <c:v>6.0698027314112345E-3</c:v>
                </c:pt>
                <c:pt idx="206">
                  <c:v>3.4690799396681814E-2</c:v>
                </c:pt>
                <c:pt idx="207">
                  <c:v>7.2886297376093284E-2</c:v>
                </c:pt>
                <c:pt idx="208">
                  <c:v>5.298913043478256E-2</c:v>
                </c:pt>
                <c:pt idx="209">
                  <c:v>-2.0645161290322598E-2</c:v>
                </c:pt>
                <c:pt idx="210">
                  <c:v>1.0540184453227941E-2</c:v>
                </c:pt>
                <c:pt idx="211">
                  <c:v>6.5189048239895466E-3</c:v>
                </c:pt>
                <c:pt idx="212">
                  <c:v>-1.0362694300518144E-2</c:v>
                </c:pt>
                <c:pt idx="213">
                  <c:v>-6.5445026178010245E-3</c:v>
                </c:pt>
                <c:pt idx="214">
                  <c:v>3.8208168642951255E-2</c:v>
                </c:pt>
                <c:pt idx="215">
                  <c:v>6.3451776649745967E-3</c:v>
                </c:pt>
                <c:pt idx="216">
                  <c:v>-5.1702395964691068E-2</c:v>
                </c:pt>
                <c:pt idx="217">
                  <c:v>-2.2606382978723395E-2</c:v>
                </c:pt>
                <c:pt idx="218">
                  <c:v>-2.8571428571428567E-2</c:v>
                </c:pt>
                <c:pt idx="219">
                  <c:v>2.8011204481792742E-2</c:v>
                </c:pt>
                <c:pt idx="220">
                  <c:v>2.1798365122615824E-2</c:v>
                </c:pt>
                <c:pt idx="221">
                  <c:v>-4.5333333333333316E-2</c:v>
                </c:pt>
                <c:pt idx="222">
                  <c:v>1.3966480446927076E-3</c:v>
                </c:pt>
                <c:pt idx="223">
                  <c:v>2.3709902370990226E-2</c:v>
                </c:pt>
                <c:pt idx="224">
                  <c:v>5.1771117166212521E-2</c:v>
                </c:pt>
                <c:pt idx="225">
                  <c:v>3.7564766839378247E-2</c:v>
                </c:pt>
                <c:pt idx="226">
                  <c:v>-1.1235955056179758E-2</c:v>
                </c:pt>
                <c:pt idx="227">
                  <c:v>5.8080808080808191E-2</c:v>
                </c:pt>
                <c:pt idx="228">
                  <c:v>1.4319809069212316E-2</c:v>
                </c:pt>
                <c:pt idx="229">
                  <c:v>-5.0588235294117614E-2</c:v>
                </c:pt>
                <c:pt idx="230">
                  <c:v>-3.3457249070632029E-2</c:v>
                </c:pt>
                <c:pt idx="231">
                  <c:v>-7.6923076923076424E-3</c:v>
                </c:pt>
                <c:pt idx="232">
                  <c:v>-2.9715762273901863E-2</c:v>
                </c:pt>
                <c:pt idx="233">
                  <c:v>-1.8641810918774926E-2</c:v>
                </c:pt>
                <c:pt idx="234">
                  <c:v>1.4925373134328401E-2</c:v>
                </c:pt>
                <c:pt idx="235">
                  <c:v>1.7379679144385013E-2</c:v>
                </c:pt>
                <c:pt idx="236">
                  <c:v>-2.6281208935611061E-2</c:v>
                </c:pt>
                <c:pt idx="237">
                  <c:v>-1.6194331983805682E-2</c:v>
                </c:pt>
                <c:pt idx="238">
                  <c:v>-5.7613168724279823E-2</c:v>
                </c:pt>
                <c:pt idx="239">
                  <c:v>8.7336244541484139E-3</c:v>
                </c:pt>
                <c:pt idx="240">
                  <c:v>-4.040404040404031E-2</c:v>
                </c:pt>
                <c:pt idx="241">
                  <c:v>1.2030075187969934E-2</c:v>
                </c:pt>
                <c:pt idx="242">
                  <c:v>2.9717682020802268E-2</c:v>
                </c:pt>
                <c:pt idx="243">
                  <c:v>-2.5974025974025934E-2</c:v>
                </c:pt>
                <c:pt idx="244">
                  <c:v>5.9259259259259308E-3</c:v>
                </c:pt>
                <c:pt idx="245">
                  <c:v>4.4182621502209495E-3</c:v>
                </c:pt>
                <c:pt idx="246">
                  <c:v>5.5718475073313768E-2</c:v>
                </c:pt>
                <c:pt idx="247">
                  <c:v>1.111111111111112E-2</c:v>
                </c:pt>
                <c:pt idx="248">
                  <c:v>-2.6098901098901152E-2</c:v>
                </c:pt>
                <c:pt idx="249">
                  <c:v>-4.9365303244005593E-2</c:v>
                </c:pt>
                <c:pt idx="250">
                  <c:v>3.7091988130563795E-2</c:v>
                </c:pt>
                <c:pt idx="251">
                  <c:v>-5.007153075822611E-2</c:v>
                </c:pt>
                <c:pt idx="252">
                  <c:v>5.2710843373494055E-2</c:v>
                </c:pt>
                <c:pt idx="253">
                  <c:v>8.583690987124408E-3</c:v>
                </c:pt>
                <c:pt idx="254">
                  <c:v>0.1418439716312058</c:v>
                </c:pt>
                <c:pt idx="255">
                  <c:v>6.58385093167701E-2</c:v>
                </c:pt>
                <c:pt idx="256">
                  <c:v>-6.9930069930070511E-3</c:v>
                </c:pt>
                <c:pt idx="257">
                  <c:v>1.9953051643192481E-2</c:v>
                </c:pt>
                <c:pt idx="258">
                  <c:v>1.1507479861910202E-2</c:v>
                </c:pt>
                <c:pt idx="259">
                  <c:v>-2.5028441410693842E-2</c:v>
                </c:pt>
                <c:pt idx="260">
                  <c:v>6.0676779463243825E-2</c:v>
                </c:pt>
                <c:pt idx="261">
                  <c:v>-2.6402640264026427E-2</c:v>
                </c:pt>
                <c:pt idx="262">
                  <c:v>-3.1638418079095974E-2</c:v>
                </c:pt>
                <c:pt idx="263">
                  <c:v>2.2170361726954434E-2</c:v>
                </c:pt>
                <c:pt idx="264">
                  <c:v>-2.853881278538813E-2</c:v>
                </c:pt>
                <c:pt idx="265">
                  <c:v>3.5252643948295373E-3</c:v>
                </c:pt>
                <c:pt idx="266">
                  <c:v>-1.8735362997657889E-2</c:v>
                </c:pt>
                <c:pt idx="267">
                  <c:v>-1.4319809069212527E-2</c:v>
                </c:pt>
                <c:pt idx="268">
                  <c:v>1.5738498789346342E-2</c:v>
                </c:pt>
                <c:pt idx="269">
                  <c:v>-5.0059594755661595E-2</c:v>
                </c:pt>
                <c:pt idx="270">
                  <c:v>3.7641154328733059E-3</c:v>
                </c:pt>
                <c:pt idx="271">
                  <c:v>-1.8750000000000044E-2</c:v>
                </c:pt>
                <c:pt idx="272">
                  <c:v>-4.84076433121019E-2</c:v>
                </c:pt>
                <c:pt idx="273">
                  <c:v>-4.6854082998661263E-2</c:v>
                </c:pt>
                <c:pt idx="274">
                  <c:v>4.3539325842696576E-2</c:v>
                </c:pt>
                <c:pt idx="275">
                  <c:v>3.3647375504710635E-2</c:v>
                </c:pt>
                <c:pt idx="276">
                  <c:v>-6.5104166666666435E-3</c:v>
                </c:pt>
                <c:pt idx="277">
                  <c:v>-9.1743119266055415E-3</c:v>
                </c:pt>
                <c:pt idx="278">
                  <c:v>1.4550264550264593E-2</c:v>
                </c:pt>
                <c:pt idx="279">
                  <c:v>-3.1290743155149965E-2</c:v>
                </c:pt>
                <c:pt idx="280">
                  <c:v>1.7496635262449517E-2</c:v>
                </c:pt>
                <c:pt idx="281">
                  <c:v>-2.9100529100529068E-2</c:v>
                </c:pt>
                <c:pt idx="282">
                  <c:v>1.3623978201634586E-3</c:v>
                </c:pt>
                <c:pt idx="283">
                  <c:v>-3.8095238095238008E-2</c:v>
                </c:pt>
                <c:pt idx="284">
                  <c:v>-1.4144271570015099E-3</c:v>
                </c:pt>
                <c:pt idx="285">
                  <c:v>-3.6827195467422066E-2</c:v>
                </c:pt>
                <c:pt idx="286">
                  <c:v>-6.7647058823529407E-2</c:v>
                </c:pt>
                <c:pt idx="287">
                  <c:v>1.8927444794952699E-2</c:v>
                </c:pt>
                <c:pt idx="288">
                  <c:v>6.8111455108359198E-2</c:v>
                </c:pt>
                <c:pt idx="289">
                  <c:v>2.8985507246376192E-3</c:v>
                </c:pt>
                <c:pt idx="290">
                  <c:v>-1.3005780346820789E-2</c:v>
                </c:pt>
                <c:pt idx="291">
                  <c:v>4.5387994143484572E-2</c:v>
                </c:pt>
                <c:pt idx="292">
                  <c:v>-4.6218487394957992E-2</c:v>
                </c:pt>
                <c:pt idx="293">
                  <c:v>-8.8105726872246132E-3</c:v>
                </c:pt>
                <c:pt idx="294">
                  <c:v>2.9629629629628999E-3</c:v>
                </c:pt>
                <c:pt idx="295">
                  <c:v>-5.4652880354505058E-2</c:v>
                </c:pt>
                <c:pt idx="296">
                  <c:v>-4.2187500000000072E-2</c:v>
                </c:pt>
                <c:pt idx="297">
                  <c:v>-1.6313213703099162E-3</c:v>
                </c:pt>
                <c:pt idx="298">
                  <c:v>-0.11111111111111106</c:v>
                </c:pt>
                <c:pt idx="299">
                  <c:v>9.1911764705882026E-3</c:v>
                </c:pt>
                <c:pt idx="300">
                  <c:v>-0.10928961748633889</c:v>
                </c:pt>
                <c:pt idx="301">
                  <c:v>1.8404907975460277E-2</c:v>
                </c:pt>
                <c:pt idx="302">
                  <c:v>4.8192771084337213E-2</c:v>
                </c:pt>
                <c:pt idx="303">
                  <c:v>-9.770114942528732E-2</c:v>
                </c:pt>
                <c:pt idx="304">
                  <c:v>2.7600849256900189E-2</c:v>
                </c:pt>
                <c:pt idx="305">
                  <c:v>-1.0330578512396658E-2</c:v>
                </c:pt>
                <c:pt idx="306">
                  <c:v>3.9665970772442667E-2</c:v>
                </c:pt>
                <c:pt idx="307">
                  <c:v>-4.0160642570282049E-3</c:v>
                </c:pt>
                <c:pt idx="308">
                  <c:v>5.4435483870967832E-2</c:v>
                </c:pt>
                <c:pt idx="309">
                  <c:v>-5.7361376673040624E-3</c:v>
                </c:pt>
                <c:pt idx="310">
                  <c:v>9.2307692307692216E-2</c:v>
                </c:pt>
                <c:pt idx="311">
                  <c:v>5.9859154929577441E-2</c:v>
                </c:pt>
                <c:pt idx="312">
                  <c:v>-7.4750830564783946E-2</c:v>
                </c:pt>
                <c:pt idx="313">
                  <c:v>2.1543985637342927E-2</c:v>
                </c:pt>
                <c:pt idx="314">
                  <c:v>-1.0544815465729437E-2</c:v>
                </c:pt>
                <c:pt idx="315">
                  <c:v>1.9538188277087091E-2</c:v>
                </c:pt>
                <c:pt idx="316">
                  <c:v>5.2264808362368223E-3</c:v>
                </c:pt>
                <c:pt idx="317">
                  <c:v>-2.0797227036395013E-2</c:v>
                </c:pt>
                <c:pt idx="318">
                  <c:v>1.769911504424741E-3</c:v>
                </c:pt>
                <c:pt idx="319">
                  <c:v>-2.1201413427561856E-2</c:v>
                </c:pt>
                <c:pt idx="320">
                  <c:v>1.8050541516245102E-3</c:v>
                </c:pt>
                <c:pt idx="321">
                  <c:v>0.12792792792792793</c:v>
                </c:pt>
                <c:pt idx="322">
                  <c:v>-2.5559105431309927E-2</c:v>
                </c:pt>
                <c:pt idx="323">
                  <c:v>-7.2131147540983528E-2</c:v>
                </c:pt>
                <c:pt idx="324">
                  <c:v>1.413427561837457E-2</c:v>
                </c:pt>
                <c:pt idx="325">
                  <c:v>1.5679442508710777E-2</c:v>
                </c:pt>
                <c:pt idx="326">
                  <c:v>-6.8610634648370557E-3</c:v>
                </c:pt>
                <c:pt idx="327">
                  <c:v>8.6355785837651119E-2</c:v>
                </c:pt>
                <c:pt idx="328">
                  <c:v>-3.8155802861685247E-2</c:v>
                </c:pt>
                <c:pt idx="329">
                  <c:v>-1.6528925619834359E-3</c:v>
                </c:pt>
                <c:pt idx="330">
                  <c:v>1.4900662251655606E-2</c:v>
                </c:pt>
                <c:pt idx="331">
                  <c:v>9.787928221859787E-3</c:v>
                </c:pt>
                <c:pt idx="332">
                  <c:v>1.6155088852988345E-3</c:v>
                </c:pt>
                <c:pt idx="333">
                  <c:v>1.2903225806451623E-2</c:v>
                </c:pt>
                <c:pt idx="334">
                  <c:v>-2.8662420382165699E-2</c:v>
                </c:pt>
                <c:pt idx="335">
                  <c:v>1.1475409836065622E-2</c:v>
                </c:pt>
                <c:pt idx="336">
                  <c:v>-4.862236628849311E-3</c:v>
                </c:pt>
                <c:pt idx="337">
                  <c:v>1.6286644951140152E-2</c:v>
                </c:pt>
                <c:pt idx="338">
                  <c:v>1.6025641025640682E-3</c:v>
                </c:pt>
                <c:pt idx="339">
                  <c:v>2.5600000000000022E-2</c:v>
                </c:pt>
                <c:pt idx="340">
                  <c:v>-2.0280811232449281E-2</c:v>
                </c:pt>
                <c:pt idx="341">
                  <c:v>1.9108280254777087E-2</c:v>
                </c:pt>
                <c:pt idx="342">
                  <c:v>0</c:v>
                </c:pt>
                <c:pt idx="343">
                  <c:v>1.4062499999999978E-2</c:v>
                </c:pt>
                <c:pt idx="344">
                  <c:v>-1.3867488443759608E-2</c:v>
                </c:pt>
                <c:pt idx="345">
                  <c:v>-1.2500000000000011E-2</c:v>
                </c:pt>
                <c:pt idx="346">
                  <c:v>4.7468354430378733E-3</c:v>
                </c:pt>
                <c:pt idx="347">
                  <c:v>-4.724409448818797E-3</c:v>
                </c:pt>
                <c:pt idx="348">
                  <c:v>-1.1075949367088653E-2</c:v>
                </c:pt>
                <c:pt idx="349">
                  <c:v>-1.5999999999999945E-2</c:v>
                </c:pt>
                <c:pt idx="350">
                  <c:v>2.6016260162601505E-2</c:v>
                </c:pt>
                <c:pt idx="351">
                  <c:v>6.3391442155309096E-3</c:v>
                </c:pt>
                <c:pt idx="352">
                  <c:v>1.5748031496064057E-3</c:v>
                </c:pt>
                <c:pt idx="353">
                  <c:v>-1.5723270440252634E-3</c:v>
                </c:pt>
                <c:pt idx="354">
                  <c:v>1.5748031496063079E-2</c:v>
                </c:pt>
                <c:pt idx="355">
                  <c:v>-1.5503875968992331E-2</c:v>
                </c:pt>
                <c:pt idx="356">
                  <c:v>-4.5669291338582683E-2</c:v>
                </c:pt>
                <c:pt idx="357">
                  <c:v>-3.1353135313531275E-2</c:v>
                </c:pt>
                <c:pt idx="358">
                  <c:v>4.7700170357751322E-2</c:v>
                </c:pt>
                <c:pt idx="359">
                  <c:v>-1.6260162601627113E-3</c:v>
                </c:pt>
                <c:pt idx="360">
                  <c:v>-9.7719869706839758E-3</c:v>
                </c:pt>
                <c:pt idx="361">
                  <c:v>-1.1513157894736888E-2</c:v>
                </c:pt>
                <c:pt idx="362">
                  <c:v>-6.6555740432612375E-3</c:v>
                </c:pt>
                <c:pt idx="363">
                  <c:v>1.1725293132328356E-2</c:v>
                </c:pt>
                <c:pt idx="364">
                  <c:v>-6.6225165562913968E-3</c:v>
                </c:pt>
                <c:pt idx="365">
                  <c:v>-1.4999999999999977E-2</c:v>
                </c:pt>
                <c:pt idx="366">
                  <c:v>-1.0152284263959475E-2</c:v>
                </c:pt>
                <c:pt idx="367">
                  <c:v>3.7606837606837716E-2</c:v>
                </c:pt>
                <c:pt idx="368">
                  <c:v>-8.2372322899506925E-3</c:v>
                </c:pt>
                <c:pt idx="369">
                  <c:v>8.3056478405316801E-3</c:v>
                </c:pt>
                <c:pt idx="370">
                  <c:v>4.9423393739702406E-3</c:v>
                </c:pt>
                <c:pt idx="371">
                  <c:v>3.2786885245902398E-3</c:v>
                </c:pt>
                <c:pt idx="372">
                  <c:v>3.9215686274509838E-2</c:v>
                </c:pt>
                <c:pt idx="373">
                  <c:v>-1.1006289308176145E-2</c:v>
                </c:pt>
                <c:pt idx="374">
                  <c:v>0</c:v>
                </c:pt>
                <c:pt idx="375">
                  <c:v>3.1796502384737704E-2</c:v>
                </c:pt>
                <c:pt idx="376">
                  <c:v>-6.1633281972265077E-3</c:v>
                </c:pt>
                <c:pt idx="377">
                  <c:v>-1.2403100775193809E-2</c:v>
                </c:pt>
                <c:pt idx="378">
                  <c:v>4.7095761381476054E-3</c:v>
                </c:pt>
                <c:pt idx="379">
                  <c:v>-9.3750000000000777E-3</c:v>
                </c:pt>
                <c:pt idx="380">
                  <c:v>1.7350157728706676E-2</c:v>
                </c:pt>
                <c:pt idx="381">
                  <c:v>6.8217054263565807E-2</c:v>
                </c:pt>
                <c:pt idx="382">
                  <c:v>3.9187227866473218E-2</c:v>
                </c:pt>
                <c:pt idx="383">
                  <c:v>-3.4916201117318434E-2</c:v>
                </c:pt>
                <c:pt idx="384">
                  <c:v>-4.3415340086831039E-3</c:v>
                </c:pt>
                <c:pt idx="385">
                  <c:v>4.0697674418604689E-2</c:v>
                </c:pt>
                <c:pt idx="386">
                  <c:v>-1.6759776536312863E-2</c:v>
                </c:pt>
                <c:pt idx="387">
                  <c:v>-1.2784090909090889E-2</c:v>
                </c:pt>
                <c:pt idx="388">
                  <c:v>2.4460431654676248E-2</c:v>
                </c:pt>
                <c:pt idx="389">
                  <c:v>-5.6179775280898927E-3</c:v>
                </c:pt>
                <c:pt idx="390">
                  <c:v>2.1186440677966153E-2</c:v>
                </c:pt>
                <c:pt idx="391">
                  <c:v>5.5325034578145426E-3</c:v>
                </c:pt>
                <c:pt idx="392">
                  <c:v>-3.3012379642365794E-2</c:v>
                </c:pt>
                <c:pt idx="393">
                  <c:v>2.2759601706970146E-2</c:v>
                </c:pt>
                <c:pt idx="394">
                  <c:v>2.225312934631422E-2</c:v>
                </c:pt>
                <c:pt idx="395">
                  <c:v>1.7687074829932078E-2</c:v>
                </c:pt>
                <c:pt idx="396">
                  <c:v>1.8716577540106909E-2</c:v>
                </c:pt>
                <c:pt idx="397">
                  <c:v>2.8871391076115454E-2</c:v>
                </c:pt>
                <c:pt idx="398">
                  <c:v>-1.4030612244897886E-2</c:v>
                </c:pt>
                <c:pt idx="399">
                  <c:v>2.5873221216040844E-3</c:v>
                </c:pt>
                <c:pt idx="400">
                  <c:v>1.6774193548387082E-2</c:v>
                </c:pt>
                <c:pt idx="401">
                  <c:v>-1.2690355329949193E-2</c:v>
                </c:pt>
                <c:pt idx="402">
                  <c:v>-2.5706940874036582E-3</c:v>
                </c:pt>
                <c:pt idx="403">
                  <c:v>-6.4432989690721421E-3</c:v>
                </c:pt>
                <c:pt idx="404">
                  <c:v>-1.2970168612191912E-2</c:v>
                </c:pt>
                <c:pt idx="405">
                  <c:v>2.6281208935610943E-2</c:v>
                </c:pt>
                <c:pt idx="406">
                  <c:v>2.1766965428937364E-2</c:v>
                </c:pt>
                <c:pt idx="407">
                  <c:v>3.5087719298245529E-2</c:v>
                </c:pt>
                <c:pt idx="408">
                  <c:v>0</c:v>
                </c:pt>
                <c:pt idx="409">
                  <c:v>-6.0532687651330434E-3</c:v>
                </c:pt>
                <c:pt idx="410">
                  <c:v>0</c:v>
                </c:pt>
                <c:pt idx="411">
                  <c:v>2.8014616321558907E-2</c:v>
                </c:pt>
                <c:pt idx="412">
                  <c:v>1.5402843601895828E-2</c:v>
                </c:pt>
                <c:pt idx="413">
                  <c:v>5.6009334889148242E-2</c:v>
                </c:pt>
                <c:pt idx="414">
                  <c:v>-1.6574585635359153E-2</c:v>
                </c:pt>
                <c:pt idx="415">
                  <c:v>2.247191011235947E-2</c:v>
                </c:pt>
                <c:pt idx="416">
                  <c:v>9.7802197802197871E-2</c:v>
                </c:pt>
                <c:pt idx="417">
                  <c:v>0.10010010010010009</c:v>
                </c:pt>
                <c:pt idx="418">
                  <c:v>9.0991810737033663E-2</c:v>
                </c:pt>
                <c:pt idx="419">
                  <c:v>-5.8381984987489664E-2</c:v>
                </c:pt>
                <c:pt idx="420">
                  <c:v>-2.8343666961913067E-2</c:v>
                </c:pt>
                <c:pt idx="421">
                  <c:v>3.7374658158614411E-2</c:v>
                </c:pt>
                <c:pt idx="422">
                  <c:v>-1.9332161687170529E-2</c:v>
                </c:pt>
                <c:pt idx="423">
                  <c:v>-8.9605734767024773E-3</c:v>
                </c:pt>
                <c:pt idx="424">
                  <c:v>-1.8987341772151976E-2</c:v>
                </c:pt>
                <c:pt idx="425">
                  <c:v>-2.5806451612903167E-2</c:v>
                </c:pt>
                <c:pt idx="426">
                  <c:v>-1.3245033112582835E-2</c:v>
                </c:pt>
                <c:pt idx="427">
                  <c:v>-2.7804410354745845E-2</c:v>
                </c:pt>
                <c:pt idx="428">
                  <c:v>-1.2820512820512896E-2</c:v>
                </c:pt>
                <c:pt idx="429">
                  <c:v>9.9900099900099903E-2</c:v>
                </c:pt>
                <c:pt idx="430">
                  <c:v>-7.811080835603991E-2</c:v>
                </c:pt>
                <c:pt idx="431">
                  <c:v>7.8817733990147673E-2</c:v>
                </c:pt>
                <c:pt idx="432">
                  <c:v>-7.0319634703196313E-2</c:v>
                </c:pt>
                <c:pt idx="433">
                  <c:v>-1.3752455795677855E-2</c:v>
                </c:pt>
                <c:pt idx="434">
                  <c:v>-3.6852589641434189E-2</c:v>
                </c:pt>
                <c:pt idx="435">
                  <c:v>-7.0320579110651468E-2</c:v>
                </c:pt>
                <c:pt idx="436">
                  <c:v>2.0022246941045575E-2</c:v>
                </c:pt>
                <c:pt idx="437">
                  <c:v>9.4874591057797081E-2</c:v>
                </c:pt>
                <c:pt idx="438">
                  <c:v>-6.9721115537847121E-3</c:v>
                </c:pt>
                <c:pt idx="439">
                  <c:v>-2.0060180541626228E-3</c:v>
                </c:pt>
                <c:pt idx="440">
                  <c:v>-4.4221105527638145E-2</c:v>
                </c:pt>
                <c:pt idx="441">
                  <c:v>-2.5236593059936932E-2</c:v>
                </c:pt>
                <c:pt idx="442">
                  <c:v>2.4811218985976314E-2</c:v>
                </c:pt>
                <c:pt idx="443">
                  <c:v>-1.4736842105263218E-2</c:v>
                </c:pt>
                <c:pt idx="444">
                  <c:v>-1.0683760683760646E-2</c:v>
                </c:pt>
                <c:pt idx="445">
                  <c:v>4.3196544276458883E-3</c:v>
                </c:pt>
                <c:pt idx="446">
                  <c:v>9.3548387096774099E-2</c:v>
                </c:pt>
                <c:pt idx="447">
                  <c:v>7.8662733529990241E-3</c:v>
                </c:pt>
                <c:pt idx="448">
                  <c:v>-3.7073170731707392E-2</c:v>
                </c:pt>
                <c:pt idx="449">
                  <c:v>2.1276595744680941E-2</c:v>
                </c:pt>
                <c:pt idx="450">
                  <c:v>3.9682539682538839E-3</c:v>
                </c:pt>
                <c:pt idx="451">
                  <c:v>-1.9762845849802303E-2</c:v>
                </c:pt>
                <c:pt idx="452">
                  <c:v>-2.5201612903225808E-2</c:v>
                </c:pt>
                <c:pt idx="453">
                  <c:v>-6.6184074457083825E-2</c:v>
                </c:pt>
                <c:pt idx="454">
                  <c:v>-7.1982281284606708E-2</c:v>
                </c:pt>
                <c:pt idx="455">
                  <c:v>0.11694510739856785</c:v>
                </c:pt>
                <c:pt idx="456">
                  <c:v>-4.2735042735041829E-3</c:v>
                </c:pt>
                <c:pt idx="457">
                  <c:v>5.472103004291843E-2</c:v>
                </c:pt>
                <c:pt idx="458">
                  <c:v>-2.6449643947100691E-2</c:v>
                </c:pt>
                <c:pt idx="459">
                  <c:v>3.1347962382444472E-3</c:v>
                </c:pt>
                <c:pt idx="460">
                  <c:v>1.0416666666666445E-3</c:v>
                </c:pt>
                <c:pt idx="461">
                  <c:v>-1.8730489073881345E-2</c:v>
                </c:pt>
                <c:pt idx="462">
                  <c:v>-4.2417815482502688E-2</c:v>
                </c:pt>
                <c:pt idx="463">
                  <c:v>3.9867109634551631E-2</c:v>
                </c:pt>
                <c:pt idx="464">
                  <c:v>-1.9169329073482396E-2</c:v>
                </c:pt>
                <c:pt idx="465">
                  <c:v>3.2573289902279434E-3</c:v>
                </c:pt>
                <c:pt idx="466">
                  <c:v>-6.4935064935065468E-3</c:v>
                </c:pt>
                <c:pt idx="467">
                  <c:v>-8.7145969498910753E-3</c:v>
                </c:pt>
                <c:pt idx="468">
                  <c:v>-5.4945054945053778E-3</c:v>
                </c:pt>
                <c:pt idx="469">
                  <c:v>-4.7513812154696293E-2</c:v>
                </c:pt>
                <c:pt idx="470">
                  <c:v>8.1206496519721921E-3</c:v>
                </c:pt>
                <c:pt idx="471">
                  <c:v>2.1864211737629608E-2</c:v>
                </c:pt>
                <c:pt idx="472">
                  <c:v>2.815315315315315E-2</c:v>
                </c:pt>
                <c:pt idx="473">
                  <c:v>-2.1905805038336637E-3</c:v>
                </c:pt>
                <c:pt idx="474">
                  <c:v>2.1953896816685081E-2</c:v>
                </c:pt>
                <c:pt idx="475">
                  <c:v>-6.4446831364125129E-3</c:v>
                </c:pt>
                <c:pt idx="476">
                  <c:v>1.7297297297297311E-2</c:v>
                </c:pt>
                <c:pt idx="477">
                  <c:v>-4.2507970244421807E-3</c:v>
                </c:pt>
                <c:pt idx="478">
                  <c:v>5.3361792956244094E-3</c:v>
                </c:pt>
                <c:pt idx="479">
                  <c:v>1.0615711252653702E-3</c:v>
                </c:pt>
                <c:pt idx="480">
                  <c:v>4.2417815482503635E-3</c:v>
                </c:pt>
                <c:pt idx="481">
                  <c:v>4.2238648363251471E-3</c:v>
                </c:pt>
                <c:pt idx="482">
                  <c:v>1.9978969505783335E-2</c:v>
                </c:pt>
                <c:pt idx="483">
                  <c:v>2.4742268041237137E-2</c:v>
                </c:pt>
                <c:pt idx="484">
                  <c:v>2.3138832997987972E-2</c:v>
                </c:pt>
                <c:pt idx="485">
                  <c:v>-4.4247787610619399E-2</c:v>
                </c:pt>
                <c:pt idx="486">
                  <c:v>-6.8930041152263366E-2</c:v>
                </c:pt>
                <c:pt idx="487">
                  <c:v>-2.2099447513813644E-3</c:v>
                </c:pt>
                <c:pt idx="488">
                  <c:v>-3.2115171650055278E-2</c:v>
                </c:pt>
                <c:pt idx="489">
                  <c:v>-3.0892448512585761E-2</c:v>
                </c:pt>
                <c:pt idx="490">
                  <c:v>-3.4238488783943435E-2</c:v>
                </c:pt>
                <c:pt idx="491">
                  <c:v>8.5574572127139707E-3</c:v>
                </c:pt>
                <c:pt idx="492">
                  <c:v>6.0606060606061465E-3</c:v>
                </c:pt>
                <c:pt idx="493">
                  <c:v>3.1325301204819252E-2</c:v>
                </c:pt>
                <c:pt idx="494">
                  <c:v>1.1682242990654164E-2</c:v>
                </c:pt>
                <c:pt idx="495">
                  <c:v>2.1939953810623501E-2</c:v>
                </c:pt>
                <c:pt idx="496">
                  <c:v>0</c:v>
                </c:pt>
                <c:pt idx="497">
                  <c:v>-2.2598870056496695E-3</c:v>
                </c:pt>
                <c:pt idx="498">
                  <c:v>-2.2650056625141079E-3</c:v>
                </c:pt>
                <c:pt idx="499">
                  <c:v>-2.2701475595915265E-3</c:v>
                </c:pt>
                <c:pt idx="500">
                  <c:v>0.11376564277588169</c:v>
                </c:pt>
                <c:pt idx="501">
                  <c:v>2.0429009193055517E-3</c:v>
                </c:pt>
                <c:pt idx="502">
                  <c:v>6.1162079510703328E-2</c:v>
                </c:pt>
                <c:pt idx="503">
                  <c:v>-4.8991354466858768E-2</c:v>
                </c:pt>
                <c:pt idx="504">
                  <c:v>5.0505050505049425E-3</c:v>
                </c:pt>
                <c:pt idx="505">
                  <c:v>1.0050251256282978E-3</c:v>
                </c:pt>
                <c:pt idx="506">
                  <c:v>-2.0080321285141918E-3</c:v>
                </c:pt>
                <c:pt idx="507">
                  <c:v>-1.0060362173038195E-2</c:v>
                </c:pt>
                <c:pt idx="508">
                  <c:v>-2.3373983739837442E-2</c:v>
                </c:pt>
                <c:pt idx="509">
                  <c:v>0</c:v>
                </c:pt>
                <c:pt idx="510">
                  <c:v>8.3246618106139515E-3</c:v>
                </c:pt>
                <c:pt idx="511">
                  <c:v>-4.127966976264102E-3</c:v>
                </c:pt>
                <c:pt idx="512">
                  <c:v>-1.9689119170984405E-2</c:v>
                </c:pt>
                <c:pt idx="513">
                  <c:v>-1.0570824524314547E-3</c:v>
                </c:pt>
                <c:pt idx="514">
                  <c:v>2.9629629629629752E-2</c:v>
                </c:pt>
                <c:pt idx="515">
                  <c:v>1.13052415210688E-2</c:v>
                </c:pt>
                <c:pt idx="516">
                  <c:v>-2.6422764227642254E-2</c:v>
                </c:pt>
                <c:pt idx="517">
                  <c:v>8.3507306889352897E-3</c:v>
                </c:pt>
                <c:pt idx="518">
                  <c:v>-4.1407867494824974E-3</c:v>
                </c:pt>
                <c:pt idx="519">
                  <c:v>-2.1829521829521734E-2</c:v>
                </c:pt>
                <c:pt idx="520">
                  <c:v>-3.1880977683314943E-3</c:v>
                </c:pt>
                <c:pt idx="521">
                  <c:v>-2.3454157782516059E-2</c:v>
                </c:pt>
                <c:pt idx="522">
                  <c:v>5.4585152838428725E-3</c:v>
                </c:pt>
                <c:pt idx="523">
                  <c:v>3.365906623235599E-2</c:v>
                </c:pt>
                <c:pt idx="524">
                  <c:v>-1.7857142857142849E-2</c:v>
                </c:pt>
                <c:pt idx="525">
                  <c:v>-2.4598930481283469E-2</c:v>
                </c:pt>
                <c:pt idx="526">
                  <c:v>2.0833333333333474E-2</c:v>
                </c:pt>
                <c:pt idx="527">
                  <c:v>-1.5037593984962466E-2</c:v>
                </c:pt>
                <c:pt idx="528">
                  <c:v>1.0905125408942165E-2</c:v>
                </c:pt>
                <c:pt idx="529">
                  <c:v>-1.2944983818770142E-2</c:v>
                </c:pt>
                <c:pt idx="530">
                  <c:v>2.7322404371584699E-2</c:v>
                </c:pt>
                <c:pt idx="531">
                  <c:v>9.5744680851063871E-2</c:v>
                </c:pt>
                <c:pt idx="532">
                  <c:v>6.5048543689320379E-2</c:v>
                </c:pt>
                <c:pt idx="533">
                  <c:v>-5.0136736554238892E-2</c:v>
                </c:pt>
                <c:pt idx="534">
                  <c:v>-3.6468330134357081E-2</c:v>
                </c:pt>
                <c:pt idx="535">
                  <c:v>3.4860557768924445E-2</c:v>
                </c:pt>
                <c:pt idx="536">
                  <c:v>-1.2512030798845117E-2</c:v>
                </c:pt>
                <c:pt idx="537">
                  <c:v>-4.58089668615985E-2</c:v>
                </c:pt>
                <c:pt idx="538">
                  <c:v>1.8386108273748876E-2</c:v>
                </c:pt>
                <c:pt idx="539">
                  <c:v>2.7081243731193538E-2</c:v>
                </c:pt>
                <c:pt idx="540">
                  <c:v>-5.5664062500000028E-2</c:v>
                </c:pt>
                <c:pt idx="541">
                  <c:v>1.5511892450879044E-2</c:v>
                </c:pt>
                <c:pt idx="542">
                  <c:v>-2.6476578411405272E-2</c:v>
                </c:pt>
                <c:pt idx="543">
                  <c:v>-5.7531380753138149E-2</c:v>
                </c:pt>
                <c:pt idx="544">
                  <c:v>-1.997780244173138E-2</c:v>
                </c:pt>
                <c:pt idx="545">
                  <c:v>-5.2095130237825693E-2</c:v>
                </c:pt>
                <c:pt idx="546">
                  <c:v>2.6284348864994107E-2</c:v>
                </c:pt>
                <c:pt idx="547">
                  <c:v>9.0803259604190847E-2</c:v>
                </c:pt>
                <c:pt idx="548">
                  <c:v>-2.8815368196371354E-2</c:v>
                </c:pt>
                <c:pt idx="549">
                  <c:v>0.10989010989010989</c:v>
                </c:pt>
                <c:pt idx="550">
                  <c:v>-5.9405940594059901E-3</c:v>
                </c:pt>
                <c:pt idx="551">
                  <c:v>9.9601593625498017E-2</c:v>
                </c:pt>
                <c:pt idx="552">
                  <c:v>9.0579710144928823E-3</c:v>
                </c:pt>
                <c:pt idx="553">
                  <c:v>-2.244165170556553E-2</c:v>
                </c:pt>
                <c:pt idx="554">
                  <c:v>1.0101010101010048E-2</c:v>
                </c:pt>
                <c:pt idx="555">
                  <c:v>4.9090909090909012E-2</c:v>
                </c:pt>
                <c:pt idx="556">
                  <c:v>-7.8856152512998129E-2</c:v>
                </c:pt>
                <c:pt idx="557">
                  <c:v>0</c:v>
                </c:pt>
                <c:pt idx="558">
                  <c:v>-1.5992474129821254E-2</c:v>
                </c:pt>
                <c:pt idx="559">
                  <c:v>-3.8240917782026797E-2</c:v>
                </c:pt>
                <c:pt idx="560">
                  <c:v>1.689860834990059E-2</c:v>
                </c:pt>
                <c:pt idx="561">
                  <c:v>-3.1280547409579695E-2</c:v>
                </c:pt>
                <c:pt idx="562">
                  <c:v>2.8254288597376321E-2</c:v>
                </c:pt>
                <c:pt idx="563">
                  <c:v>-3.4347399411187404E-2</c:v>
                </c:pt>
                <c:pt idx="564">
                  <c:v>-7.1138211382114113E-3</c:v>
                </c:pt>
                <c:pt idx="565">
                  <c:v>5.6294779938587586E-2</c:v>
                </c:pt>
                <c:pt idx="566">
                  <c:v>-3.0038759689922527E-2</c:v>
                </c:pt>
                <c:pt idx="567">
                  <c:v>1.1988011988012087E-2</c:v>
                </c:pt>
                <c:pt idx="568">
                  <c:v>1.0858835143139133E-2</c:v>
                </c:pt>
                <c:pt idx="569">
                  <c:v>-1.6601562499999993E-2</c:v>
                </c:pt>
                <c:pt idx="570">
                  <c:v>-4.9652432969216195E-3</c:v>
                </c:pt>
                <c:pt idx="571">
                  <c:v>1.6966067864271451E-2</c:v>
                </c:pt>
                <c:pt idx="572">
                  <c:v>0</c:v>
                </c:pt>
                <c:pt idx="573">
                  <c:v>-2.1589793915603422E-2</c:v>
                </c:pt>
                <c:pt idx="574">
                  <c:v>2.0060180541624445E-3</c:v>
                </c:pt>
                <c:pt idx="575">
                  <c:v>-5.0050050050050761E-3</c:v>
                </c:pt>
                <c:pt idx="576">
                  <c:v>-5.030181086519008E-3</c:v>
                </c:pt>
                <c:pt idx="577">
                  <c:v>2.0222446916076412E-3</c:v>
                </c:pt>
                <c:pt idx="578">
                  <c:v>-6.0544904137235615E-3</c:v>
                </c:pt>
                <c:pt idx="579">
                  <c:v>-1.1167512690355272E-2</c:v>
                </c:pt>
                <c:pt idx="580">
                  <c:v>-2.5667351129363448E-2</c:v>
                </c:pt>
                <c:pt idx="581">
                  <c:v>-1.5806111696522691E-2</c:v>
                </c:pt>
                <c:pt idx="582">
                  <c:v>-6.4239828693790687E-3</c:v>
                </c:pt>
                <c:pt idx="583">
                  <c:v>8.6206896551724223E-3</c:v>
                </c:pt>
                <c:pt idx="584">
                  <c:v>4.2735042735043728E-3</c:v>
                </c:pt>
                <c:pt idx="585">
                  <c:v>2.9787234042553123E-2</c:v>
                </c:pt>
                <c:pt idx="586">
                  <c:v>4.1322314049587732E-3</c:v>
                </c:pt>
                <c:pt idx="587">
                  <c:v>-1.4403292181070016E-2</c:v>
                </c:pt>
                <c:pt idx="588">
                  <c:v>7.0981210855949869E-2</c:v>
                </c:pt>
                <c:pt idx="589">
                  <c:v>-1.3645224171540018E-2</c:v>
                </c:pt>
                <c:pt idx="590">
                  <c:v>-5.9288537549405853E-3</c:v>
                </c:pt>
                <c:pt idx="591">
                  <c:v>6.9582504970179208E-3</c:v>
                </c:pt>
                <c:pt idx="592">
                  <c:v>1.3820335636722485E-2</c:v>
                </c:pt>
                <c:pt idx="593">
                  <c:v>2.1421616358325284E-2</c:v>
                </c:pt>
                <c:pt idx="594">
                  <c:v>2.5738798856053343E-2</c:v>
                </c:pt>
                <c:pt idx="595">
                  <c:v>4.5539033457249092E-2</c:v>
                </c:pt>
                <c:pt idx="596">
                  <c:v>2.2222222222222223E-2</c:v>
                </c:pt>
                <c:pt idx="597">
                  <c:v>-7.8260869565217276E-3</c:v>
                </c:pt>
                <c:pt idx="598">
                  <c:v>-2.1034180543383015E-2</c:v>
                </c:pt>
                <c:pt idx="599">
                  <c:v>2.4171888988361645E-2</c:v>
                </c:pt>
                <c:pt idx="600">
                  <c:v>4.3706293706294325E-3</c:v>
                </c:pt>
                <c:pt idx="601">
                  <c:v>-2.0887728459530044E-2</c:v>
                </c:pt>
                <c:pt idx="602">
                  <c:v>-5.3333333333333774E-3</c:v>
                </c:pt>
                <c:pt idx="603">
                  <c:v>1.3404825737265447E-2</c:v>
                </c:pt>
                <c:pt idx="604">
                  <c:v>4.3209876543209895E-2</c:v>
                </c:pt>
                <c:pt idx="605">
                  <c:v>8.453085376162299E-2</c:v>
                </c:pt>
                <c:pt idx="606">
                  <c:v>1.4809041309430983E-2</c:v>
                </c:pt>
                <c:pt idx="607">
                  <c:v>-1.2288786482334882E-2</c:v>
                </c:pt>
                <c:pt idx="608">
                  <c:v>-3.8880248833592534E-2</c:v>
                </c:pt>
                <c:pt idx="609">
                  <c:v>4.0453074433656963E-2</c:v>
                </c:pt>
                <c:pt idx="610">
                  <c:v>-3.1104199066873919E-2</c:v>
                </c:pt>
                <c:pt idx="611">
                  <c:v>4.0128410914926907E-3</c:v>
                </c:pt>
                <c:pt idx="612">
                  <c:v>1.358912869704236E-2</c:v>
                </c:pt>
                <c:pt idx="613">
                  <c:v>-1.4195583596214489E-2</c:v>
                </c:pt>
                <c:pt idx="614">
                  <c:v>-2.7999999999999973E-2</c:v>
                </c:pt>
                <c:pt idx="615">
                  <c:v>-6.1728395061728392E-2</c:v>
                </c:pt>
                <c:pt idx="616">
                  <c:v>1.7543859649122432E-3</c:v>
                </c:pt>
                <c:pt idx="617">
                  <c:v>1.6637478108581391E-2</c:v>
                </c:pt>
                <c:pt idx="618">
                  <c:v>7.7519379844961118E-3</c:v>
                </c:pt>
                <c:pt idx="619">
                  <c:v>-3.0769230769230722E-2</c:v>
                </c:pt>
                <c:pt idx="620">
                  <c:v>-3.880070546737209E-2</c:v>
                </c:pt>
                <c:pt idx="621">
                  <c:v>-9.1743119266054721E-3</c:v>
                </c:pt>
                <c:pt idx="622">
                  <c:v>3.7037037037036245E-3</c:v>
                </c:pt>
                <c:pt idx="623">
                  <c:v>1.8450184501844952E-2</c:v>
                </c:pt>
                <c:pt idx="624">
                  <c:v>-1.0869565217391235E-2</c:v>
                </c:pt>
                <c:pt idx="625">
                  <c:v>-1.6483516483516456E-2</c:v>
                </c:pt>
                <c:pt idx="626">
                  <c:v>-1.1173184357541992E-2</c:v>
                </c:pt>
                <c:pt idx="627">
                  <c:v>-1.0357815442561152E-2</c:v>
                </c:pt>
                <c:pt idx="628">
                  <c:v>1.0466222645099851E-2</c:v>
                </c:pt>
                <c:pt idx="629">
                  <c:v>1.8832391713748918E-3</c:v>
                </c:pt>
                <c:pt idx="630">
                  <c:v>1.2218045112781861E-2</c:v>
                </c:pt>
                <c:pt idx="631">
                  <c:v>-2.9712163416898821E-2</c:v>
                </c:pt>
                <c:pt idx="632">
                  <c:v>-1.7224880382775094E-2</c:v>
                </c:pt>
                <c:pt idx="633">
                  <c:v>-2.0447906523855801E-2</c:v>
                </c:pt>
                <c:pt idx="634">
                  <c:v>-1.5904572564612338E-2</c:v>
                </c:pt>
                <c:pt idx="635">
                  <c:v>9.0909090909090766E-3</c:v>
                </c:pt>
                <c:pt idx="636">
                  <c:v>-2.2022022022022084E-2</c:v>
                </c:pt>
                <c:pt idx="637">
                  <c:v>3.1729785056294833E-2</c:v>
                </c:pt>
                <c:pt idx="638">
                  <c:v>2.3809523809523829E-2</c:v>
                </c:pt>
                <c:pt idx="639">
                  <c:v>-2.5193798449612382E-2</c:v>
                </c:pt>
                <c:pt idx="640">
                  <c:v>-9.9403578528824924E-4</c:v>
                </c:pt>
                <c:pt idx="641">
                  <c:v>-1.5920398009950262E-2</c:v>
                </c:pt>
                <c:pt idx="642">
                  <c:v>3.0333670374114619E-3</c:v>
                </c:pt>
                <c:pt idx="643">
                  <c:v>-1.0080645161290288E-2</c:v>
                </c:pt>
                <c:pt idx="644">
                  <c:v>7.1283095723014547E-3</c:v>
                </c:pt>
                <c:pt idx="645">
                  <c:v>-8.0889787664307454E-3</c:v>
                </c:pt>
                <c:pt idx="646">
                  <c:v>1.0193679918450342E-3</c:v>
                </c:pt>
                <c:pt idx="647">
                  <c:v>-1.2219959266802544E-2</c:v>
                </c:pt>
                <c:pt idx="648">
                  <c:v>5.1546391752578056E-3</c:v>
                </c:pt>
                <c:pt idx="649">
                  <c:v>1.7435897435897428E-2</c:v>
                </c:pt>
                <c:pt idx="650">
                  <c:v>3.0241935483870325E-3</c:v>
                </c:pt>
                <c:pt idx="651">
                  <c:v>-1.1055276381909491E-2</c:v>
                </c:pt>
                <c:pt idx="652">
                  <c:v>-8.1300813008130159E-3</c:v>
                </c:pt>
                <c:pt idx="653">
                  <c:v>-1.2295081967213035E-2</c:v>
                </c:pt>
                <c:pt idx="654">
                  <c:v>-2.0746887966805089E-2</c:v>
                </c:pt>
                <c:pt idx="655">
                  <c:v>6.2499999999999986E-2</c:v>
                </c:pt>
                <c:pt idx="656">
                  <c:v>-9.9700897308075426E-3</c:v>
                </c:pt>
                <c:pt idx="657">
                  <c:v>-1.1077542799597124E-2</c:v>
                </c:pt>
                <c:pt idx="658">
                  <c:v>2.3421588594704727E-2</c:v>
                </c:pt>
                <c:pt idx="659">
                  <c:v>-2.9850746268657844E-3</c:v>
                </c:pt>
                <c:pt idx="660">
                  <c:v>-2.0958083832335238E-2</c:v>
                </c:pt>
                <c:pt idx="661">
                  <c:v>-1.121304791029574E-2</c:v>
                </c:pt>
                <c:pt idx="662">
                  <c:v>-1.0309278350515245E-3</c:v>
                </c:pt>
                <c:pt idx="663">
                  <c:v>-9.2879256965944131E-3</c:v>
                </c:pt>
                <c:pt idx="664">
                  <c:v>1.8749999999999972E-2</c:v>
                </c:pt>
                <c:pt idx="665">
                  <c:v>1.0224948875255406E-3</c:v>
                </c:pt>
                <c:pt idx="666">
                  <c:v>-7.2522982635342098E-2</c:v>
                </c:pt>
                <c:pt idx="667">
                  <c:v>-1.2114537444933859E-2</c:v>
                </c:pt>
                <c:pt idx="668">
                  <c:v>-2.0066889632107187E-2</c:v>
                </c:pt>
                <c:pt idx="669">
                  <c:v>1.59271899886235E-2</c:v>
                </c:pt>
                <c:pt idx="670">
                  <c:v>-1.4557670772676262E-2</c:v>
                </c:pt>
                <c:pt idx="671">
                  <c:v>-2.9545454545454722E-2</c:v>
                </c:pt>
                <c:pt idx="672">
                  <c:v>-4.6838407494145036E-2</c:v>
                </c:pt>
                <c:pt idx="673">
                  <c:v>-3.9312039312039346E-2</c:v>
                </c:pt>
                <c:pt idx="674">
                  <c:v>-3.3248081841432311E-2</c:v>
                </c:pt>
                <c:pt idx="675">
                  <c:v>-7.2751322751322733E-2</c:v>
                </c:pt>
                <c:pt idx="676">
                  <c:v>0.11840228245363768</c:v>
                </c:pt>
                <c:pt idx="677">
                  <c:v>-1.4030612244897886E-2</c:v>
                </c:pt>
                <c:pt idx="678">
                  <c:v>5.8214747736093052E-2</c:v>
                </c:pt>
                <c:pt idx="679">
                  <c:v>2.4449877750610726E-3</c:v>
                </c:pt>
                <c:pt idx="680">
                  <c:v>-1.463414634146332E-2</c:v>
                </c:pt>
                <c:pt idx="681">
                  <c:v>-1.980198019801982E-2</c:v>
                </c:pt>
                <c:pt idx="682">
                  <c:v>-3.1565656565656568E-2</c:v>
                </c:pt>
                <c:pt idx="683">
                  <c:v>5.2151238591916609E-3</c:v>
                </c:pt>
                <c:pt idx="684">
                  <c:v>-2.723735408560311E-2</c:v>
                </c:pt>
                <c:pt idx="685">
                  <c:v>-2.9333333333333302E-2</c:v>
                </c:pt>
                <c:pt idx="686">
                  <c:v>-1.3736263736264663E-3</c:v>
                </c:pt>
                <c:pt idx="687">
                  <c:v>-3.9889958734525333E-2</c:v>
                </c:pt>
                <c:pt idx="688">
                  <c:v>4.8710601719197687E-2</c:v>
                </c:pt>
                <c:pt idx="689">
                  <c:v>2.8688524590163928E-2</c:v>
                </c:pt>
                <c:pt idx="690">
                  <c:v>-3.187250996015939E-2</c:v>
                </c:pt>
                <c:pt idx="691">
                  <c:v>3.2921810699588508E-2</c:v>
                </c:pt>
                <c:pt idx="692">
                  <c:v>-2.5232403718459546E-2</c:v>
                </c:pt>
                <c:pt idx="693">
                  <c:v>-1.6348773841961869E-2</c:v>
                </c:pt>
                <c:pt idx="694">
                  <c:v>-1.3850415512465325E-2</c:v>
                </c:pt>
                <c:pt idx="695">
                  <c:v>-4.2134831460674503E-3</c:v>
                </c:pt>
                <c:pt idx="696">
                  <c:v>1.1283497884344157E-2</c:v>
                </c:pt>
                <c:pt idx="697">
                  <c:v>-9.762900976290137E-3</c:v>
                </c:pt>
                <c:pt idx="698">
                  <c:v>-9.8591549295773805E-3</c:v>
                </c:pt>
                <c:pt idx="699">
                  <c:v>6.258890469416778E-2</c:v>
                </c:pt>
                <c:pt idx="700">
                  <c:v>4.0160642570281459E-3</c:v>
                </c:pt>
                <c:pt idx="701">
                  <c:v>2.0000000000000049E-2</c:v>
                </c:pt>
                <c:pt idx="702">
                  <c:v>4.3137254901960791E-2</c:v>
                </c:pt>
                <c:pt idx="703">
                  <c:v>-2.6315789473684317E-2</c:v>
                </c:pt>
                <c:pt idx="704">
                  <c:v>-1.8018018018017976E-2</c:v>
                </c:pt>
                <c:pt idx="705">
                  <c:v>-4.7182175622542635E-2</c:v>
                </c:pt>
                <c:pt idx="706">
                  <c:v>1.3755158184320048E-3</c:v>
                </c:pt>
                <c:pt idx="707">
                  <c:v>-2.4725274725274807E-2</c:v>
                </c:pt>
                <c:pt idx="708">
                  <c:v>-1.4084507042253471E-2</c:v>
                </c:pt>
                <c:pt idx="709">
                  <c:v>1.7142857142857158E-2</c:v>
                </c:pt>
                <c:pt idx="710">
                  <c:v>1.825842696629212E-2</c:v>
                </c:pt>
                <c:pt idx="711">
                  <c:v>-3.3103448275862098E-2</c:v>
                </c:pt>
                <c:pt idx="712">
                  <c:v>5.7061340941512179E-3</c:v>
                </c:pt>
                <c:pt idx="713">
                  <c:v>-1.4184397163120265E-3</c:v>
                </c:pt>
                <c:pt idx="714">
                  <c:v>-2.9829545454545449E-2</c:v>
                </c:pt>
                <c:pt idx="715">
                  <c:v>-4.5387994143484697E-2</c:v>
                </c:pt>
                <c:pt idx="716">
                  <c:v>-3.0674846625766763E-2</c:v>
                </c:pt>
                <c:pt idx="717">
                  <c:v>1.8987341772151913E-2</c:v>
                </c:pt>
                <c:pt idx="718">
                  <c:v>-1.5527950310560052E-3</c:v>
                </c:pt>
                <c:pt idx="719">
                  <c:v>2.7993779160186721E-2</c:v>
                </c:pt>
                <c:pt idx="720">
                  <c:v>-9.0771558245083955E-3</c:v>
                </c:pt>
                <c:pt idx="721">
                  <c:v>1.5267175572518759E-3</c:v>
                </c:pt>
                <c:pt idx="722">
                  <c:v>-9.2987804878048697E-2</c:v>
                </c:pt>
                <c:pt idx="723">
                  <c:v>-2.6890756302521031E-2</c:v>
                </c:pt>
                <c:pt idx="724">
                  <c:v>8.6355785837650811E-3</c:v>
                </c:pt>
                <c:pt idx="725">
                  <c:v>3.7671232876712285E-2</c:v>
                </c:pt>
                <c:pt idx="726">
                  <c:v>-2.3102310231023052E-2</c:v>
                </c:pt>
                <c:pt idx="727">
                  <c:v>-1.689189189189183E-2</c:v>
                </c:pt>
                <c:pt idx="728">
                  <c:v>-2.4054982817869511E-2</c:v>
                </c:pt>
                <c:pt idx="729">
                  <c:v>-5.2816901408449584E-3</c:v>
                </c:pt>
                <c:pt idx="730">
                  <c:v>6.0176991150442449E-2</c:v>
                </c:pt>
                <c:pt idx="731">
                  <c:v>0.12687813021702835</c:v>
                </c:pt>
                <c:pt idx="732">
                  <c:v>-4.592592592592587E-2</c:v>
                </c:pt>
                <c:pt idx="733">
                  <c:v>-7.7639751552796132E-3</c:v>
                </c:pt>
                <c:pt idx="734">
                  <c:v>-3.4428794992175236E-2</c:v>
                </c:pt>
                <c:pt idx="735">
                  <c:v>2.431118314424641E-2</c:v>
                </c:pt>
                <c:pt idx="736">
                  <c:v>-1.5822784810127649E-3</c:v>
                </c:pt>
                <c:pt idx="737">
                  <c:v>9.1917591125198109E-2</c:v>
                </c:pt>
                <c:pt idx="738">
                  <c:v>-3.3381712626995581E-2</c:v>
                </c:pt>
                <c:pt idx="739">
                  <c:v>2.2522522522522442E-2</c:v>
                </c:pt>
                <c:pt idx="740">
                  <c:v>-2.3494860499265677E-2</c:v>
                </c:pt>
                <c:pt idx="741">
                  <c:v>2.5563909774436077E-2</c:v>
                </c:pt>
                <c:pt idx="742">
                  <c:v>4.3988269794720466E-3</c:v>
                </c:pt>
                <c:pt idx="743">
                  <c:v>-2.7737226277372191E-2</c:v>
                </c:pt>
                <c:pt idx="744">
                  <c:v>9.00900900900895E-3</c:v>
                </c:pt>
                <c:pt idx="745">
                  <c:v>1.0416666666666709E-2</c:v>
                </c:pt>
                <c:pt idx="746">
                  <c:v>-7.3637702503681624E-3</c:v>
                </c:pt>
                <c:pt idx="747">
                  <c:v>2.0771513353115677E-2</c:v>
                </c:pt>
                <c:pt idx="748">
                  <c:v>6.2499999999999958E-2</c:v>
                </c:pt>
                <c:pt idx="749">
                  <c:v>-2.0519835841313196E-2</c:v>
                </c:pt>
                <c:pt idx="750">
                  <c:v>-2.9329608938547479E-2</c:v>
                </c:pt>
                <c:pt idx="751">
                  <c:v>1.4388489208632786E-3</c:v>
                </c:pt>
                <c:pt idx="752">
                  <c:v>-6.4655172413793136E-2</c:v>
                </c:pt>
                <c:pt idx="753">
                  <c:v>-1.689708141321036E-2</c:v>
                </c:pt>
                <c:pt idx="754">
                  <c:v>-4.6875000000000389E-3</c:v>
                </c:pt>
                <c:pt idx="755">
                  <c:v>-2.9827315541601316E-2</c:v>
                </c:pt>
                <c:pt idx="756">
                  <c:v>-3.2362459546924878E-3</c:v>
                </c:pt>
                <c:pt idx="757">
                  <c:v>1.6233766233765888E-3</c:v>
                </c:pt>
                <c:pt idx="758">
                  <c:v>-1.1345218800648345E-2</c:v>
                </c:pt>
                <c:pt idx="759">
                  <c:v>1.6393442622951928E-3</c:v>
                </c:pt>
                <c:pt idx="760">
                  <c:v>1.3093289689034381E-2</c:v>
                </c:pt>
                <c:pt idx="761">
                  <c:v>3.0694668820678433E-2</c:v>
                </c:pt>
                <c:pt idx="762">
                  <c:v>6.269592476489034E-3</c:v>
                </c:pt>
                <c:pt idx="763">
                  <c:v>-1.5576323987538885E-2</c:v>
                </c:pt>
                <c:pt idx="764">
                  <c:v>-1.2658227848101276E-2</c:v>
                </c:pt>
                <c:pt idx="765">
                  <c:v>-1.9230769230769246E-2</c:v>
                </c:pt>
                <c:pt idx="766">
                  <c:v>-3.2679738562092259E-3</c:v>
                </c:pt>
                <c:pt idx="767">
                  <c:v>1.6393442622951928E-3</c:v>
                </c:pt>
                <c:pt idx="768">
                  <c:v>-3.2733224222586681E-3</c:v>
                </c:pt>
                <c:pt idx="769">
                  <c:v>-4.9261083743842773E-3</c:v>
                </c:pt>
                <c:pt idx="770">
                  <c:v>-1.3201320132013068E-2</c:v>
                </c:pt>
                <c:pt idx="771">
                  <c:v>5.0167224080266484E-3</c:v>
                </c:pt>
                <c:pt idx="772">
                  <c:v>0</c:v>
                </c:pt>
                <c:pt idx="773">
                  <c:v>-6.6555740432612375E-3</c:v>
                </c:pt>
                <c:pt idx="774">
                  <c:v>-5.0251256281405969E-3</c:v>
                </c:pt>
                <c:pt idx="775">
                  <c:v>-6.7340067340067398E-3</c:v>
                </c:pt>
                <c:pt idx="776">
                  <c:v>-3.2203389830508536E-2</c:v>
                </c:pt>
                <c:pt idx="777">
                  <c:v>-3.5026269702275962E-3</c:v>
                </c:pt>
                <c:pt idx="778">
                  <c:v>-9.4903339191564143E-2</c:v>
                </c:pt>
                <c:pt idx="779">
                  <c:v>2.5242718446601919E-2</c:v>
                </c:pt>
                <c:pt idx="780">
                  <c:v>4.7348484848484848E-2</c:v>
                </c:pt>
                <c:pt idx="781">
                  <c:v>2.1699819168173616E-2</c:v>
                </c:pt>
                <c:pt idx="782">
                  <c:v>-1.2389380530973501E-2</c:v>
                </c:pt>
                <c:pt idx="783">
                  <c:v>0</c:v>
                </c:pt>
                <c:pt idx="784">
                  <c:v>-1.4336917562724026E-2</c:v>
                </c:pt>
                <c:pt idx="785">
                  <c:v>-5.2727272727272734E-2</c:v>
                </c:pt>
                <c:pt idx="786">
                  <c:v>-3.8387715930901295E-3</c:v>
                </c:pt>
                <c:pt idx="787">
                  <c:v>-5.780346820809296E-3</c:v>
                </c:pt>
                <c:pt idx="788">
                  <c:v>1.937984496124024E-2</c:v>
                </c:pt>
                <c:pt idx="789">
                  <c:v>-2.4714828897338385E-2</c:v>
                </c:pt>
                <c:pt idx="790">
                  <c:v>-1.7543859649122778E-2</c:v>
                </c:pt>
                <c:pt idx="791">
                  <c:v>1.9841269841269771E-2</c:v>
                </c:pt>
                <c:pt idx="792">
                  <c:v>1.3618677042801612E-2</c:v>
                </c:pt>
                <c:pt idx="793">
                  <c:v>-3.8387715930901295E-3</c:v>
                </c:pt>
                <c:pt idx="794">
                  <c:v>-3.2755298651252561E-2</c:v>
                </c:pt>
                <c:pt idx="795">
                  <c:v>0</c:v>
                </c:pt>
                <c:pt idx="796">
                  <c:v>-3.9840637450198361E-3</c:v>
                </c:pt>
                <c:pt idx="797">
                  <c:v>1.7999999999999971E-2</c:v>
                </c:pt>
                <c:pt idx="798">
                  <c:v>3.1434184675834996E-2</c:v>
                </c:pt>
                <c:pt idx="799">
                  <c:v>0</c:v>
                </c:pt>
                <c:pt idx="800">
                  <c:v>1.3333333333333388E-2</c:v>
                </c:pt>
                <c:pt idx="801">
                  <c:v>-2.4436090225563888E-2</c:v>
                </c:pt>
                <c:pt idx="802">
                  <c:v>3.8535645472060833E-3</c:v>
                </c:pt>
                <c:pt idx="803">
                  <c:v>2.1113243761996223E-2</c:v>
                </c:pt>
                <c:pt idx="804">
                  <c:v>-4.3233082706766998E-2</c:v>
                </c:pt>
                <c:pt idx="805">
                  <c:v>-5.8939096267191064E-3</c:v>
                </c:pt>
                <c:pt idx="806">
                  <c:v>1.1857707509881523E-2</c:v>
                </c:pt>
                <c:pt idx="807">
                  <c:v>-5.8593750000000486E-3</c:v>
                </c:pt>
                <c:pt idx="808">
                  <c:v>2.1611001964636604E-2</c:v>
                </c:pt>
                <c:pt idx="809">
                  <c:v>0.1538461538461538</c:v>
                </c:pt>
                <c:pt idx="810">
                  <c:v>6.6666666666666723E-3</c:v>
                </c:pt>
                <c:pt idx="811">
                  <c:v>-3.8079470198675566E-2</c:v>
                </c:pt>
                <c:pt idx="812">
                  <c:v>0.16179001721170402</c:v>
                </c:pt>
                <c:pt idx="813">
                  <c:v>-4.4444444444444809E-3</c:v>
                </c:pt>
                <c:pt idx="814">
                  <c:v>-3.422619047619041E-2</c:v>
                </c:pt>
                <c:pt idx="815">
                  <c:v>-5.3929121725731978E-2</c:v>
                </c:pt>
                <c:pt idx="816">
                  <c:v>2.7687296416938102E-2</c:v>
                </c:pt>
                <c:pt idx="817">
                  <c:v>3.0110935023771854E-2</c:v>
                </c:pt>
                <c:pt idx="818">
                  <c:v>2.4615384615384636E-2</c:v>
                </c:pt>
                <c:pt idx="819">
                  <c:v>-4.0540540540540612E-2</c:v>
                </c:pt>
                <c:pt idx="820">
                  <c:v>-2.5039123630672813E-2</c:v>
                </c:pt>
                <c:pt idx="821">
                  <c:v>8.988764044943813E-2</c:v>
                </c:pt>
                <c:pt idx="822">
                  <c:v>-6.480117820324012E-2</c:v>
                </c:pt>
                <c:pt idx="823">
                  <c:v>-3.7795275590551076E-2</c:v>
                </c:pt>
                <c:pt idx="824">
                  <c:v>-9.0016366612111404E-2</c:v>
                </c:pt>
                <c:pt idx="825">
                  <c:v>2.338129496402892E-2</c:v>
                </c:pt>
                <c:pt idx="826">
                  <c:v>-7.557117750439378E-2</c:v>
                </c:pt>
                <c:pt idx="827">
                  <c:v>2.8517110266159766E-2</c:v>
                </c:pt>
                <c:pt idx="828">
                  <c:v>1.4787430683918681E-2</c:v>
                </c:pt>
                <c:pt idx="829">
                  <c:v>-5.6466302367941798E-2</c:v>
                </c:pt>
                <c:pt idx="830">
                  <c:v>1.9305019305019409E-2</c:v>
                </c:pt>
                <c:pt idx="831">
                  <c:v>-1.1363636363636458E-2</c:v>
                </c:pt>
                <c:pt idx="832">
                  <c:v>7.662835249042153E-3</c:v>
                </c:pt>
                <c:pt idx="833">
                  <c:v>0</c:v>
                </c:pt>
                <c:pt idx="834">
                  <c:v>-2.0912547528517005E-2</c:v>
                </c:pt>
                <c:pt idx="835">
                  <c:v>1.9417475728154925E-3</c:v>
                </c:pt>
                <c:pt idx="836">
                  <c:v>2.5193798449612382E-2</c:v>
                </c:pt>
                <c:pt idx="837">
                  <c:v>5.6710775047258945E-2</c:v>
                </c:pt>
                <c:pt idx="838">
                  <c:v>2.5044722719141425E-2</c:v>
                </c:pt>
                <c:pt idx="839">
                  <c:v>-1.3961605584642245E-2</c:v>
                </c:pt>
                <c:pt idx="840">
                  <c:v>5.3097345132742226E-3</c:v>
                </c:pt>
                <c:pt idx="841">
                  <c:v>-1.9366197183098493E-2</c:v>
                </c:pt>
                <c:pt idx="842">
                  <c:v>-3.0520646319569106E-2</c:v>
                </c:pt>
                <c:pt idx="843">
                  <c:v>-4.4444444444444481E-2</c:v>
                </c:pt>
                <c:pt idx="844">
                  <c:v>1.3565891472868272E-2</c:v>
                </c:pt>
                <c:pt idx="845">
                  <c:v>0</c:v>
                </c:pt>
                <c:pt idx="846">
                  <c:v>0</c:v>
                </c:pt>
                <c:pt idx="847">
                  <c:v>-1.9120458891014674E-3</c:v>
                </c:pt>
                <c:pt idx="848">
                  <c:v>7.662835249042153E-3</c:v>
                </c:pt>
                <c:pt idx="849">
                  <c:v>-2.8517110266159596E-2</c:v>
                </c:pt>
                <c:pt idx="850">
                  <c:v>1.5655577299412929E-2</c:v>
                </c:pt>
                <c:pt idx="851">
                  <c:v>-5.780346820809296E-3</c:v>
                </c:pt>
                <c:pt idx="852">
                  <c:v>-3.8759689922481513E-3</c:v>
                </c:pt>
                <c:pt idx="853">
                  <c:v>4.4747081712062341E-2</c:v>
                </c:pt>
                <c:pt idx="854">
                  <c:v>-1.1173184357541992E-2</c:v>
                </c:pt>
                <c:pt idx="855">
                  <c:v>6.5913370998116866E-2</c:v>
                </c:pt>
                <c:pt idx="856">
                  <c:v>-1.7667844522968292E-2</c:v>
                </c:pt>
                <c:pt idx="857">
                  <c:v>3.9568345323741122E-2</c:v>
                </c:pt>
                <c:pt idx="858">
                  <c:v>-7.4394463667820168E-2</c:v>
                </c:pt>
                <c:pt idx="859">
                  <c:v>2.616822429906553E-2</c:v>
                </c:pt>
                <c:pt idx="860">
                  <c:v>-1.8214936247723228E-2</c:v>
                </c:pt>
                <c:pt idx="861">
                  <c:v>-3.7105751391464888E-3</c:v>
                </c:pt>
                <c:pt idx="862">
                  <c:v>-5.5865921787709959E-3</c:v>
                </c:pt>
                <c:pt idx="863">
                  <c:v>-1.8726591760299227E-3</c:v>
                </c:pt>
                <c:pt idx="864">
                  <c:v>-5.6285178236398217E-3</c:v>
                </c:pt>
                <c:pt idx="865">
                  <c:v>-9.4339622641509101E-3</c:v>
                </c:pt>
                <c:pt idx="866">
                  <c:v>3.8095238095237284E-3</c:v>
                </c:pt>
                <c:pt idx="867">
                  <c:v>3.7950664136623272E-3</c:v>
                </c:pt>
                <c:pt idx="868">
                  <c:v>2.6465028355387464E-2</c:v>
                </c:pt>
                <c:pt idx="869">
                  <c:v>7.3664825046040588E-3</c:v>
                </c:pt>
                <c:pt idx="870">
                  <c:v>-2.9250457038391253E-2</c:v>
                </c:pt>
                <c:pt idx="871">
                  <c:v>-2.4482109227871921E-2</c:v>
                </c:pt>
                <c:pt idx="872">
                  <c:v>-3.0888030888030917E-2</c:v>
                </c:pt>
                <c:pt idx="873">
                  <c:v>-3.9840637450198361E-3</c:v>
                </c:pt>
                <c:pt idx="874">
                  <c:v>-2.5999999999999978E-2</c:v>
                </c:pt>
                <c:pt idx="875">
                  <c:v>1.6427104722792622E-2</c:v>
                </c:pt>
                <c:pt idx="876">
                  <c:v>0</c:v>
                </c:pt>
                <c:pt idx="877">
                  <c:v>-2.0202020202020308E-2</c:v>
                </c:pt>
                <c:pt idx="878">
                  <c:v>-1.0309278350515427E-2</c:v>
                </c:pt>
                <c:pt idx="879">
                  <c:v>6.2500000000000524E-3</c:v>
                </c:pt>
                <c:pt idx="880">
                  <c:v>-8.2815734989648108E-3</c:v>
                </c:pt>
                <c:pt idx="881">
                  <c:v>6.2630480167015137E-3</c:v>
                </c:pt>
                <c:pt idx="882">
                  <c:v>1.867219917012445E-2</c:v>
                </c:pt>
                <c:pt idx="883">
                  <c:v>2.4439918533604908E-2</c:v>
                </c:pt>
                <c:pt idx="884">
                  <c:v>-5.9642147117296715E-3</c:v>
                </c:pt>
                <c:pt idx="885">
                  <c:v>0.10199999999999995</c:v>
                </c:pt>
                <c:pt idx="886">
                  <c:v>-7.259528130671513E-3</c:v>
                </c:pt>
                <c:pt idx="887">
                  <c:v>-1.4625228519195626E-2</c:v>
                </c:pt>
                <c:pt idx="888">
                  <c:v>5.5658627087198653E-2</c:v>
                </c:pt>
                <c:pt idx="889">
                  <c:v>1.2302284710017469E-2</c:v>
                </c:pt>
                <c:pt idx="890">
                  <c:v>-2.9513888888888878E-2</c:v>
                </c:pt>
                <c:pt idx="891">
                  <c:v>1.4311270125223626E-2</c:v>
                </c:pt>
                <c:pt idx="892">
                  <c:v>3.1746031746031696E-2</c:v>
                </c:pt>
                <c:pt idx="893">
                  <c:v>-1.709401709401673E-3</c:v>
                </c:pt>
                <c:pt idx="894">
                  <c:v>-3.2534246575342381E-2</c:v>
                </c:pt>
                <c:pt idx="895">
                  <c:v>3.539823008849482E-3</c:v>
                </c:pt>
                <c:pt idx="896">
                  <c:v>5.2910052910053349E-3</c:v>
                </c:pt>
                <c:pt idx="897">
                  <c:v>-1.0526315789473771E-2</c:v>
                </c:pt>
                <c:pt idx="898">
                  <c:v>-2.1276595744680871E-2</c:v>
                </c:pt>
                <c:pt idx="899">
                  <c:v>-1.6304347826086932E-2</c:v>
                </c:pt>
                <c:pt idx="900">
                  <c:v>-9.2081031307550323E-3</c:v>
                </c:pt>
                <c:pt idx="901">
                  <c:v>-3.7174721189590287E-3</c:v>
                </c:pt>
                <c:pt idx="902">
                  <c:v>-7.462686567164185E-3</c:v>
                </c:pt>
                <c:pt idx="903">
                  <c:v>-2.6315789473684317E-2</c:v>
                </c:pt>
                <c:pt idx="904">
                  <c:v>-1.5444015444015458E-2</c:v>
                </c:pt>
                <c:pt idx="905">
                  <c:v>3.9215686274510714E-3</c:v>
                </c:pt>
                <c:pt idx="906">
                  <c:v>1.3671875000000056E-2</c:v>
                </c:pt>
                <c:pt idx="907">
                  <c:v>-7.7071290944123374E-3</c:v>
                </c:pt>
                <c:pt idx="908">
                  <c:v>0</c:v>
                </c:pt>
                <c:pt idx="909">
                  <c:v>-1.16504854368933E-2</c:v>
                </c:pt>
                <c:pt idx="910">
                  <c:v>0</c:v>
                </c:pt>
                <c:pt idx="911">
                  <c:v>-3.9292730844792878E-3</c:v>
                </c:pt>
                <c:pt idx="912">
                  <c:v>-1.9723865877713364E-3</c:v>
                </c:pt>
                <c:pt idx="913">
                  <c:v>-3.9525691699603908E-3</c:v>
                </c:pt>
                <c:pt idx="914">
                  <c:v>-5.9523809523810015E-3</c:v>
                </c:pt>
                <c:pt idx="915">
                  <c:v>7.9840319361277525E-3</c:v>
                </c:pt>
                <c:pt idx="916">
                  <c:v>-2.5742574257425724E-2</c:v>
                </c:pt>
                <c:pt idx="917">
                  <c:v>-1.2195121951219433E-2</c:v>
                </c:pt>
                <c:pt idx="918">
                  <c:v>-1.0288065843621545E-2</c:v>
                </c:pt>
                <c:pt idx="919">
                  <c:v>2.4948024948024974E-2</c:v>
                </c:pt>
                <c:pt idx="920">
                  <c:v>1.825557809330626E-2</c:v>
                </c:pt>
                <c:pt idx="921">
                  <c:v>-1.9920318725099181E-3</c:v>
                </c:pt>
                <c:pt idx="922">
                  <c:v>-1.3972055888223433E-2</c:v>
                </c:pt>
                <c:pt idx="923">
                  <c:v>-8.097165991902841E-3</c:v>
                </c:pt>
                <c:pt idx="924">
                  <c:v>-8.1632653061224549E-3</c:v>
                </c:pt>
                <c:pt idx="925">
                  <c:v>2.0576131687242726E-2</c:v>
                </c:pt>
                <c:pt idx="926">
                  <c:v>0</c:v>
                </c:pt>
                <c:pt idx="927">
                  <c:v>1.4112903225806508E-2</c:v>
                </c:pt>
                <c:pt idx="928">
                  <c:v>-1.5904572564612338E-2</c:v>
                </c:pt>
                <c:pt idx="929">
                  <c:v>4.0404040404039545E-3</c:v>
                </c:pt>
                <c:pt idx="930">
                  <c:v>3.6217303822937752E-2</c:v>
                </c:pt>
                <c:pt idx="931">
                  <c:v>-2.9126213592233077E-2</c:v>
                </c:pt>
                <c:pt idx="932">
                  <c:v>1.6000000000000014E-2</c:v>
                </c:pt>
                <c:pt idx="933">
                  <c:v>-1.3779527559055173E-2</c:v>
                </c:pt>
                <c:pt idx="934">
                  <c:v>-1.9960079840319292E-2</c:v>
                </c:pt>
                <c:pt idx="935">
                  <c:v>2.0366598778003638E-3</c:v>
                </c:pt>
                <c:pt idx="936">
                  <c:v>2.0325203252032447E-2</c:v>
                </c:pt>
                <c:pt idx="937">
                  <c:v>-9.9601593625497659E-3</c:v>
                </c:pt>
                <c:pt idx="938">
                  <c:v>1.8108651911468786E-2</c:v>
                </c:pt>
                <c:pt idx="939">
                  <c:v>-7.9051383399209568E-3</c:v>
                </c:pt>
                <c:pt idx="940">
                  <c:v>-1.1952191235059684E-2</c:v>
                </c:pt>
                <c:pt idx="941">
                  <c:v>-2.6209677419354819E-2</c:v>
                </c:pt>
                <c:pt idx="942">
                  <c:v>-6.2111801242236541E-3</c:v>
                </c:pt>
                <c:pt idx="943">
                  <c:v>-2.9166666666666601E-2</c:v>
                </c:pt>
                <c:pt idx="944">
                  <c:v>-4.2918454935623306E-3</c:v>
                </c:pt>
                <c:pt idx="945">
                  <c:v>2.370689655172421E-2</c:v>
                </c:pt>
                <c:pt idx="946">
                  <c:v>2.7368421052631556E-2</c:v>
                </c:pt>
                <c:pt idx="947">
                  <c:v>1.4344262295082027E-2</c:v>
                </c:pt>
                <c:pt idx="948">
                  <c:v>-2.4242424242424263E-2</c:v>
                </c:pt>
                <c:pt idx="949">
                  <c:v>1.4492753623188465E-2</c:v>
                </c:pt>
                <c:pt idx="950">
                  <c:v>2.0408163265306048E-2</c:v>
                </c:pt>
                <c:pt idx="951">
                  <c:v>1.7999999999999971E-2</c:v>
                </c:pt>
                <c:pt idx="952">
                  <c:v>7.858546168958749E-3</c:v>
                </c:pt>
                <c:pt idx="953">
                  <c:v>-2.7290448343079862E-2</c:v>
                </c:pt>
                <c:pt idx="954">
                  <c:v>1.2024048096192307E-2</c:v>
                </c:pt>
                <c:pt idx="955">
                  <c:v>0</c:v>
                </c:pt>
                <c:pt idx="956">
                  <c:v>-1.7821782178217796E-2</c:v>
                </c:pt>
                <c:pt idx="957">
                  <c:v>-1.0080645161290288E-2</c:v>
                </c:pt>
                <c:pt idx="958">
                  <c:v>-4.0733197556009088E-3</c:v>
                </c:pt>
                <c:pt idx="959">
                  <c:v>2.0449897750512628E-3</c:v>
                </c:pt>
                <c:pt idx="960">
                  <c:v>-6.1224489795918867E-3</c:v>
                </c:pt>
                <c:pt idx="961">
                  <c:v>6.1601642710472785E-3</c:v>
                </c:pt>
                <c:pt idx="962">
                  <c:v>-8.1632653061224549E-3</c:v>
                </c:pt>
                <c:pt idx="963">
                  <c:v>-4.1152263374485631E-2</c:v>
                </c:pt>
                <c:pt idx="964">
                  <c:v>1.5021459227467872E-2</c:v>
                </c:pt>
                <c:pt idx="965">
                  <c:v>-8.4566596194503244E-3</c:v>
                </c:pt>
                <c:pt idx="966">
                  <c:v>2.1321961620468627E-3</c:v>
                </c:pt>
                <c:pt idx="967">
                  <c:v>-1.4893617021276655E-2</c:v>
                </c:pt>
                <c:pt idx="968">
                  <c:v>-2.5917926565874754E-2</c:v>
                </c:pt>
                <c:pt idx="969">
                  <c:v>-8.8691796008869266E-3</c:v>
                </c:pt>
                <c:pt idx="970">
                  <c:v>-6.711409395973012E-3</c:v>
                </c:pt>
                <c:pt idx="971">
                  <c:v>-4.5045045045046085E-3</c:v>
                </c:pt>
                <c:pt idx="972">
                  <c:v>-2.2624434389139788E-3</c:v>
                </c:pt>
                <c:pt idx="973">
                  <c:v>-1.1337868480725584E-2</c:v>
                </c:pt>
                <c:pt idx="974">
                  <c:v>4.5871559633026545E-3</c:v>
                </c:pt>
                <c:pt idx="975">
                  <c:v>-2.2831050228310015E-3</c:v>
                </c:pt>
                <c:pt idx="976">
                  <c:v>-3.4324942791762098E-2</c:v>
                </c:pt>
                <c:pt idx="977">
                  <c:v>0</c:v>
                </c:pt>
                <c:pt idx="978">
                  <c:v>-3.0805687203791447E-2</c:v>
                </c:pt>
                <c:pt idx="979">
                  <c:v>-4.1564792176039103E-2</c:v>
                </c:pt>
                <c:pt idx="980">
                  <c:v>-1.5306122448979605E-2</c:v>
                </c:pt>
                <c:pt idx="981">
                  <c:v>-2.5906735751294787E-3</c:v>
                </c:pt>
                <c:pt idx="982">
                  <c:v>0</c:v>
                </c:pt>
                <c:pt idx="983">
                  <c:v>3.3766233766233736E-2</c:v>
                </c:pt>
                <c:pt idx="984">
                  <c:v>-3.5175879396984959E-2</c:v>
                </c:pt>
                <c:pt idx="985">
                  <c:v>-3.3854166666666644E-2</c:v>
                </c:pt>
                <c:pt idx="986">
                  <c:v>-2.1563342318059318E-2</c:v>
                </c:pt>
                <c:pt idx="987">
                  <c:v>1.6528925619834725E-2</c:v>
                </c:pt>
                <c:pt idx="988">
                  <c:v>5.6910569105691047E-2</c:v>
                </c:pt>
                <c:pt idx="989">
                  <c:v>-1.5384615384615399E-2</c:v>
                </c:pt>
                <c:pt idx="990">
                  <c:v>-2.6041666666666574E-2</c:v>
                </c:pt>
                <c:pt idx="991">
                  <c:v>1.0695187165775291E-2</c:v>
                </c:pt>
                <c:pt idx="992">
                  <c:v>7.1428571428571438E-2</c:v>
                </c:pt>
                <c:pt idx="993">
                  <c:v>-3.4567901234567822E-2</c:v>
                </c:pt>
                <c:pt idx="994">
                  <c:v>3.0690537084399002E-2</c:v>
                </c:pt>
                <c:pt idx="995">
                  <c:v>-1.9851116625310191E-2</c:v>
                </c:pt>
                <c:pt idx="996">
                  <c:v>-5.0632911392405108E-3</c:v>
                </c:pt>
                <c:pt idx="997">
                  <c:v>-3.3078880407124769E-2</c:v>
                </c:pt>
                <c:pt idx="998">
                  <c:v>-1.8421052631578907E-2</c:v>
                </c:pt>
                <c:pt idx="999">
                  <c:v>-5.6300268096514734E-2</c:v>
                </c:pt>
                <c:pt idx="1000">
                  <c:v>1.4204545454545404E-2</c:v>
                </c:pt>
                <c:pt idx="1001">
                  <c:v>3.6414565826330632E-2</c:v>
                </c:pt>
                <c:pt idx="1002">
                  <c:v>-3.7837837837837868E-2</c:v>
                </c:pt>
                <c:pt idx="1003">
                  <c:v>-5.6179775280898927E-3</c:v>
                </c:pt>
                <c:pt idx="1004">
                  <c:v>2.8248587570621493E-2</c:v>
                </c:pt>
                <c:pt idx="1005">
                  <c:v>3.2967032967032871E-2</c:v>
                </c:pt>
                <c:pt idx="1006">
                  <c:v>6.9148936170212713E-2</c:v>
                </c:pt>
                <c:pt idx="1007">
                  <c:v>-3.2338308457711309E-2</c:v>
                </c:pt>
                <c:pt idx="1008">
                  <c:v>-2.5706940874036582E-3</c:v>
                </c:pt>
                <c:pt idx="1009">
                  <c:v>-2.5773195876288113E-3</c:v>
                </c:pt>
                <c:pt idx="1010">
                  <c:v>-2.5839793281654342E-3</c:v>
                </c:pt>
                <c:pt idx="1011">
                  <c:v>-2.5906735751294787E-3</c:v>
                </c:pt>
                <c:pt idx="1012">
                  <c:v>-3.3766233766233736E-2</c:v>
                </c:pt>
                <c:pt idx="1013">
                  <c:v>1.6129032258064412E-2</c:v>
                </c:pt>
                <c:pt idx="1014">
                  <c:v>-1.0582010582010474E-2</c:v>
                </c:pt>
                <c:pt idx="1015">
                  <c:v>2.6737967914437933E-3</c:v>
                </c:pt>
                <c:pt idx="1016">
                  <c:v>3.4666666666666637E-2</c:v>
                </c:pt>
                <c:pt idx="1017">
                  <c:v>-3.6082474226804044E-2</c:v>
                </c:pt>
                <c:pt idx="1018">
                  <c:v>-1.0695187165775409E-2</c:v>
                </c:pt>
                <c:pt idx="1019">
                  <c:v>-2.7027027027027649E-3</c:v>
                </c:pt>
                <c:pt idx="1020">
                  <c:v>5.4200542005420106E-3</c:v>
                </c:pt>
                <c:pt idx="1021">
                  <c:v>-2.4258760107816673E-2</c:v>
                </c:pt>
                <c:pt idx="1022">
                  <c:v>0</c:v>
                </c:pt>
                <c:pt idx="1023">
                  <c:v>2.7624309392264602E-3</c:v>
                </c:pt>
                <c:pt idx="1024">
                  <c:v>1.6528925619834725E-2</c:v>
                </c:pt>
                <c:pt idx="1025">
                  <c:v>-2.710027100270945E-3</c:v>
                </c:pt>
                <c:pt idx="1026">
                  <c:v>-1.3586956521739203E-2</c:v>
                </c:pt>
                <c:pt idx="1027">
                  <c:v>-1.9283746556473785E-2</c:v>
                </c:pt>
                <c:pt idx="1028">
                  <c:v>-8.4269662921349006E-3</c:v>
                </c:pt>
                <c:pt idx="1029">
                  <c:v>-1.4164305949008449E-2</c:v>
                </c:pt>
                <c:pt idx="1030">
                  <c:v>-1.7241379310344845E-2</c:v>
                </c:pt>
                <c:pt idx="1031">
                  <c:v>-8.7719298245613458E-3</c:v>
                </c:pt>
                <c:pt idx="1032">
                  <c:v>3.2448377581120909E-2</c:v>
                </c:pt>
                <c:pt idx="1033">
                  <c:v>5.7142857142857195E-3</c:v>
                </c:pt>
                <c:pt idx="1034">
                  <c:v>-2.8409090909091565E-3</c:v>
                </c:pt>
                <c:pt idx="1035">
                  <c:v>-1.4245014245014195E-2</c:v>
                </c:pt>
                <c:pt idx="1036">
                  <c:v>3.4682080924855523E-2</c:v>
                </c:pt>
                <c:pt idx="1037">
                  <c:v>3.0726256983240188E-2</c:v>
                </c:pt>
                <c:pt idx="1038">
                  <c:v>1.8970189701896976E-2</c:v>
                </c:pt>
                <c:pt idx="1039">
                  <c:v>-1.3297872340425485E-2</c:v>
                </c:pt>
                <c:pt idx="1040">
                  <c:v>-8.0862533692721839E-3</c:v>
                </c:pt>
                <c:pt idx="1041">
                  <c:v>2.7173913043477679E-3</c:v>
                </c:pt>
                <c:pt idx="1042">
                  <c:v>-5.4200542005420106E-3</c:v>
                </c:pt>
                <c:pt idx="1043">
                  <c:v>-1.0899182561307912E-2</c:v>
                </c:pt>
                <c:pt idx="1044">
                  <c:v>2.754820936639121E-2</c:v>
                </c:pt>
                <c:pt idx="1045">
                  <c:v>-2.9490616621983882E-2</c:v>
                </c:pt>
                <c:pt idx="1046">
                  <c:v>-1.3812154696132671E-2</c:v>
                </c:pt>
                <c:pt idx="1047">
                  <c:v>-2.8011204481792123E-3</c:v>
                </c:pt>
                <c:pt idx="1048">
                  <c:v>8.4269662921347757E-3</c:v>
                </c:pt>
                <c:pt idx="1049">
                  <c:v>-1.392757660167126E-2</c:v>
                </c:pt>
                <c:pt idx="1050">
                  <c:v>-1.6949152542372895E-2</c:v>
                </c:pt>
                <c:pt idx="1051">
                  <c:v>-5.7471264367816143E-3</c:v>
                </c:pt>
                <c:pt idx="1052">
                  <c:v>1.7341040462427761E-2</c:v>
                </c:pt>
                <c:pt idx="1053">
                  <c:v>-1.1363636363636374E-2</c:v>
                </c:pt>
                <c:pt idx="1054">
                  <c:v>-2.8735632183907434E-3</c:v>
                </c:pt>
                <c:pt idx="1055">
                  <c:v>8.6455331412103181E-3</c:v>
                </c:pt>
                <c:pt idx="1056">
                  <c:v>-5.7142857142857195E-3</c:v>
                </c:pt>
                <c:pt idx="1057">
                  <c:v>-1.1494252873563229E-2</c:v>
                </c:pt>
                <c:pt idx="1058">
                  <c:v>-2.9069767441859845E-3</c:v>
                </c:pt>
                <c:pt idx="1059">
                  <c:v>-8.7463556851312668E-3</c:v>
                </c:pt>
                <c:pt idx="1060">
                  <c:v>2.9411764705883033E-3</c:v>
                </c:pt>
                <c:pt idx="1061">
                  <c:v>-8.7976539589443535E-3</c:v>
                </c:pt>
                <c:pt idx="1062">
                  <c:v>-2.9585798816567418E-3</c:v>
                </c:pt>
                <c:pt idx="1063">
                  <c:v>0</c:v>
                </c:pt>
                <c:pt idx="1064">
                  <c:v>2.3738872403560853E-2</c:v>
                </c:pt>
                <c:pt idx="1065">
                  <c:v>3.1884057971014457E-2</c:v>
                </c:pt>
                <c:pt idx="1066">
                  <c:v>-5.6179775280898927E-3</c:v>
                </c:pt>
                <c:pt idx="1067">
                  <c:v>3.1073446327683579E-2</c:v>
                </c:pt>
                <c:pt idx="1068">
                  <c:v>-1.9178082191780778E-2</c:v>
                </c:pt>
                <c:pt idx="1069">
                  <c:v>-1.6759776536312863E-2</c:v>
                </c:pt>
                <c:pt idx="1070">
                  <c:v>-1.4204545454545404E-2</c:v>
                </c:pt>
                <c:pt idx="1071">
                  <c:v>2.8818443804033964E-3</c:v>
                </c:pt>
                <c:pt idx="1072">
                  <c:v>0</c:v>
                </c:pt>
                <c:pt idx="1073">
                  <c:v>-2.8735632183908073E-2</c:v>
                </c:pt>
                <c:pt idx="1074">
                  <c:v>-8.8757396449703572E-3</c:v>
                </c:pt>
                <c:pt idx="1075">
                  <c:v>0</c:v>
                </c:pt>
                <c:pt idx="1076">
                  <c:v>5.9701492537313485E-3</c:v>
                </c:pt>
                <c:pt idx="1077">
                  <c:v>2.9673590504450406E-3</c:v>
                </c:pt>
                <c:pt idx="1078">
                  <c:v>8.8757396449704873E-3</c:v>
                </c:pt>
                <c:pt idx="1079">
                  <c:v>2.9325513196480314E-3</c:v>
                </c:pt>
                <c:pt idx="1080">
                  <c:v>2.923976608187202E-3</c:v>
                </c:pt>
                <c:pt idx="1081">
                  <c:v>-1.4577259475218736E-2</c:v>
                </c:pt>
                <c:pt idx="1082">
                  <c:v>-1.1834319526627229E-2</c:v>
                </c:pt>
                <c:pt idx="1083">
                  <c:v>-1.1976047904191628E-2</c:v>
                </c:pt>
                <c:pt idx="1084">
                  <c:v>-3.0303030303029657E-3</c:v>
                </c:pt>
                <c:pt idx="1085">
                  <c:v>1.8237082066869317E-2</c:v>
                </c:pt>
                <c:pt idx="1086">
                  <c:v>-4.4776119402985044E-2</c:v>
                </c:pt>
                <c:pt idx="1087">
                  <c:v>9.3749999999999389E-3</c:v>
                </c:pt>
                <c:pt idx="1088">
                  <c:v>6.1919504643962904E-3</c:v>
                </c:pt>
                <c:pt idx="1089">
                  <c:v>-1.8461538461538477E-2</c:v>
                </c:pt>
                <c:pt idx="1090">
                  <c:v>-1.8808777429467103E-2</c:v>
                </c:pt>
                <c:pt idx="1091">
                  <c:v>-6.3897763578274818E-3</c:v>
                </c:pt>
                <c:pt idx="1092">
                  <c:v>1.2861736334405157E-2</c:v>
                </c:pt>
                <c:pt idx="1093">
                  <c:v>5.7142857142857197E-2</c:v>
                </c:pt>
                <c:pt idx="1094">
                  <c:v>-6.0060060060060112E-3</c:v>
                </c:pt>
                <c:pt idx="1095">
                  <c:v>-1.5105740181268963E-2</c:v>
                </c:pt>
                <c:pt idx="1096">
                  <c:v>-6.1349693251532443E-3</c:v>
                </c:pt>
                <c:pt idx="1097">
                  <c:v>1.2345679012345552E-2</c:v>
                </c:pt>
                <c:pt idx="1098">
                  <c:v>-9.1463414634145746E-3</c:v>
                </c:pt>
                <c:pt idx="1099">
                  <c:v>-1.8461538461538477E-2</c:v>
                </c:pt>
                <c:pt idx="1100">
                  <c:v>-3.1347962382445173E-2</c:v>
                </c:pt>
                <c:pt idx="1101">
                  <c:v>-1.9417475728155359E-2</c:v>
                </c:pt>
                <c:pt idx="1102">
                  <c:v>-3.9603960396039493E-2</c:v>
                </c:pt>
                <c:pt idx="1103">
                  <c:v>-1.0309278350515549E-2</c:v>
                </c:pt>
                <c:pt idx="1104">
                  <c:v>-6.944444444444451E-3</c:v>
                </c:pt>
                <c:pt idx="1105">
                  <c:v>0</c:v>
                </c:pt>
                <c:pt idx="1106">
                  <c:v>-2.447552447552442E-2</c:v>
                </c:pt>
                <c:pt idx="1107">
                  <c:v>4.3010752688172081E-2</c:v>
                </c:pt>
                <c:pt idx="1108">
                  <c:v>-2.4054982817869511E-2</c:v>
                </c:pt>
                <c:pt idx="1109">
                  <c:v>0.11971830985915505</c:v>
                </c:pt>
                <c:pt idx="1110">
                  <c:v>-9.4339622641510211E-3</c:v>
                </c:pt>
                <c:pt idx="1111">
                  <c:v>9.5238095238096027E-3</c:v>
                </c:pt>
                <c:pt idx="1112">
                  <c:v>-2.8301886792452925E-2</c:v>
                </c:pt>
                <c:pt idx="1113">
                  <c:v>-1.2944983818770239E-2</c:v>
                </c:pt>
                <c:pt idx="1114">
                  <c:v>3.606557377049191E-2</c:v>
                </c:pt>
                <c:pt idx="1115">
                  <c:v>3.1645569620253049E-2</c:v>
                </c:pt>
                <c:pt idx="1116">
                  <c:v>-6.1349693251532443E-3</c:v>
                </c:pt>
                <c:pt idx="1117">
                  <c:v>3.0864197530863537E-3</c:v>
                </c:pt>
                <c:pt idx="1118">
                  <c:v>-3.3846153846153811E-2</c:v>
                </c:pt>
                <c:pt idx="1119">
                  <c:v>-6.3694267515923622E-3</c:v>
                </c:pt>
                <c:pt idx="1120">
                  <c:v>-3.2051282051282792E-3</c:v>
                </c:pt>
                <c:pt idx="1121">
                  <c:v>-2.2508038585208952E-2</c:v>
                </c:pt>
                <c:pt idx="1122">
                  <c:v>1.6447368421052572E-2</c:v>
                </c:pt>
                <c:pt idx="1123">
                  <c:v>7.4433656957928807E-2</c:v>
                </c:pt>
                <c:pt idx="1124">
                  <c:v>-6.0240963855421742E-3</c:v>
                </c:pt>
                <c:pt idx="1125">
                  <c:v>6.0606060606060667E-3</c:v>
                </c:pt>
                <c:pt idx="1126">
                  <c:v>3.0120481927711539E-3</c:v>
                </c:pt>
                <c:pt idx="1127">
                  <c:v>6.0060060060060112E-3</c:v>
                </c:pt>
                <c:pt idx="1128">
                  <c:v>3.8805970149253702E-2</c:v>
                </c:pt>
                <c:pt idx="1129">
                  <c:v>8.6206896551723582E-3</c:v>
                </c:pt>
                <c:pt idx="1130">
                  <c:v>6.8376068376068438E-2</c:v>
                </c:pt>
                <c:pt idx="1131">
                  <c:v>-2.1333333333333353E-2</c:v>
                </c:pt>
                <c:pt idx="1132">
                  <c:v>7.6294277929155385E-2</c:v>
                </c:pt>
                <c:pt idx="1133">
                  <c:v>-3.7974683544303889E-2</c:v>
                </c:pt>
                <c:pt idx="1134">
                  <c:v>-8.6842105263157804E-2</c:v>
                </c:pt>
                <c:pt idx="1135">
                  <c:v>3.7463976945244927E-2</c:v>
                </c:pt>
                <c:pt idx="1136">
                  <c:v>-3.3333333333333361E-2</c:v>
                </c:pt>
                <c:pt idx="1137">
                  <c:v>2.8735632183908709E-3</c:v>
                </c:pt>
                <c:pt idx="1138">
                  <c:v>-5.7306590257879706E-3</c:v>
                </c:pt>
                <c:pt idx="1139">
                  <c:v>-4.610951008645537E-2</c:v>
                </c:pt>
                <c:pt idx="1140">
                  <c:v>2.4169184290030232E-2</c:v>
                </c:pt>
                <c:pt idx="1141">
                  <c:v>-2.9498525073746337E-2</c:v>
                </c:pt>
                <c:pt idx="1142">
                  <c:v>-1.2158054711246211E-2</c:v>
                </c:pt>
                <c:pt idx="1143">
                  <c:v>-9.2307692307691709E-3</c:v>
                </c:pt>
                <c:pt idx="1144">
                  <c:v>-3.1055900621118726E-3</c:v>
                </c:pt>
                <c:pt idx="1145">
                  <c:v>-6.2305295950155822E-3</c:v>
                </c:pt>
                <c:pt idx="1146">
                  <c:v>-1.5673981191222514E-2</c:v>
                </c:pt>
                <c:pt idx="1147">
                  <c:v>-2.2292993630573337E-2</c:v>
                </c:pt>
                <c:pt idx="1148">
                  <c:v>-9.7719869706839758E-3</c:v>
                </c:pt>
                <c:pt idx="1149">
                  <c:v>-2.3026315789473631E-2</c:v>
                </c:pt>
                <c:pt idx="1150">
                  <c:v>-4.3771043771043884E-2</c:v>
                </c:pt>
                <c:pt idx="1151">
                  <c:v>0</c:v>
                </c:pt>
                <c:pt idx="1152">
                  <c:v>3.1690140845070533E-2</c:v>
                </c:pt>
                <c:pt idx="1153">
                  <c:v>-2.7303754266211625E-2</c:v>
                </c:pt>
                <c:pt idx="1154">
                  <c:v>1.7543859649122744E-2</c:v>
                </c:pt>
                <c:pt idx="1155">
                  <c:v>-1.3793103448275874E-2</c:v>
                </c:pt>
                <c:pt idx="1156">
                  <c:v>1.7482517482517577E-2</c:v>
                </c:pt>
                <c:pt idx="1157">
                  <c:v>-3.4364261168385673E-3</c:v>
                </c:pt>
                <c:pt idx="1158">
                  <c:v>-3.4482758620688922E-3</c:v>
                </c:pt>
                <c:pt idx="1159">
                  <c:v>3.4602076124566734E-3</c:v>
                </c:pt>
                <c:pt idx="1160">
                  <c:v>1.0344827586206983E-2</c:v>
                </c:pt>
                <c:pt idx="1161">
                  <c:v>3.4129692832763777E-3</c:v>
                </c:pt>
                <c:pt idx="1162">
                  <c:v>-3.4013605442176145E-3</c:v>
                </c:pt>
                <c:pt idx="1163">
                  <c:v>6.8259385665529063E-3</c:v>
                </c:pt>
                <c:pt idx="1164">
                  <c:v>0</c:v>
                </c:pt>
                <c:pt idx="1165">
                  <c:v>1.0169491525423662E-2</c:v>
                </c:pt>
                <c:pt idx="1166">
                  <c:v>3.691275167785231E-2</c:v>
                </c:pt>
                <c:pt idx="1167">
                  <c:v>0</c:v>
                </c:pt>
                <c:pt idx="1168">
                  <c:v>3.2362459546926314E-3</c:v>
                </c:pt>
                <c:pt idx="1169">
                  <c:v>-6.4516129032258117E-3</c:v>
                </c:pt>
                <c:pt idx="1170">
                  <c:v>-1.2987012987012998E-2</c:v>
                </c:pt>
                <c:pt idx="1171">
                  <c:v>2.960526315789469E-2</c:v>
                </c:pt>
                <c:pt idx="1172">
                  <c:v>4.7923322683706041E-2</c:v>
                </c:pt>
                <c:pt idx="1173">
                  <c:v>-9.1463414634145746E-3</c:v>
                </c:pt>
                <c:pt idx="1174">
                  <c:v>1.2307692307692318E-2</c:v>
                </c:pt>
                <c:pt idx="1175">
                  <c:v>2.1276595744680802E-2</c:v>
                </c:pt>
                <c:pt idx="1176">
                  <c:v>-8.9285714285713708E-3</c:v>
                </c:pt>
                <c:pt idx="1177">
                  <c:v>2.1021021021020974E-2</c:v>
                </c:pt>
                <c:pt idx="1178">
                  <c:v>-1.1764705882352951E-2</c:v>
                </c:pt>
                <c:pt idx="1179">
                  <c:v>-5.9523809523809581E-3</c:v>
                </c:pt>
                <c:pt idx="1180">
                  <c:v>2.9940119760479733E-3</c:v>
                </c:pt>
                <c:pt idx="1181">
                  <c:v>1.7910447761194045E-2</c:v>
                </c:pt>
                <c:pt idx="1182">
                  <c:v>-8.7976539589443535E-3</c:v>
                </c:pt>
                <c:pt idx="1183">
                  <c:v>4.1420118343195304E-2</c:v>
                </c:pt>
                <c:pt idx="1184">
                  <c:v>2.2727272727272749E-2</c:v>
                </c:pt>
                <c:pt idx="1185">
                  <c:v>-2.7777777777778421E-3</c:v>
                </c:pt>
                <c:pt idx="1186">
                  <c:v>-1.392757660167126E-2</c:v>
                </c:pt>
                <c:pt idx="1187">
                  <c:v>5.649717514124299E-3</c:v>
                </c:pt>
                <c:pt idx="1188">
                  <c:v>-2.8089887640450088E-3</c:v>
                </c:pt>
                <c:pt idx="1189">
                  <c:v>-1.6901408450704116E-2</c:v>
                </c:pt>
                <c:pt idx="1190">
                  <c:v>-1.1461318051575941E-2</c:v>
                </c:pt>
                <c:pt idx="1191">
                  <c:v>2.8985507246376192E-3</c:v>
                </c:pt>
                <c:pt idx="1192">
                  <c:v>0.13583815028901741</c:v>
                </c:pt>
                <c:pt idx="1193">
                  <c:v>-1.2722646310432637E-2</c:v>
                </c:pt>
                <c:pt idx="1194">
                  <c:v>-2.3195876288659757E-2</c:v>
                </c:pt>
                <c:pt idx="1195">
                  <c:v>1.5831134564643815E-2</c:v>
                </c:pt>
                <c:pt idx="1196">
                  <c:v>6.7532467532467597E-2</c:v>
                </c:pt>
                <c:pt idx="1197">
                  <c:v>9.7323600973236082E-3</c:v>
                </c:pt>
                <c:pt idx="1198">
                  <c:v>3.8554216867469696E-2</c:v>
                </c:pt>
                <c:pt idx="1199">
                  <c:v>0.10904872389791199</c:v>
                </c:pt>
                <c:pt idx="1200">
                  <c:v>-1.673640167364018E-2</c:v>
                </c:pt>
                <c:pt idx="1201">
                  <c:v>-2.1276595744680396E-3</c:v>
                </c:pt>
                <c:pt idx="1202">
                  <c:v>1.0660980810234503E-2</c:v>
                </c:pt>
                <c:pt idx="1203">
                  <c:v>-8.4388185654008518E-3</c:v>
                </c:pt>
                <c:pt idx="1204">
                  <c:v>-3.8297872340425657E-2</c:v>
                </c:pt>
                <c:pt idx="1205">
                  <c:v>-4.4247787610618532E-3</c:v>
                </c:pt>
                <c:pt idx="1206">
                  <c:v>-6.6666666666667217E-3</c:v>
                </c:pt>
                <c:pt idx="1207">
                  <c:v>-8.9485458612975476E-3</c:v>
                </c:pt>
                <c:pt idx="1208">
                  <c:v>0</c:v>
                </c:pt>
                <c:pt idx="1209">
                  <c:v>-2.934537246049659E-2</c:v>
                </c:pt>
                <c:pt idx="1210">
                  <c:v>1.3953488372093139E-2</c:v>
                </c:pt>
                <c:pt idx="1211">
                  <c:v>5.5045871559632871E-2</c:v>
                </c:pt>
                <c:pt idx="1212">
                  <c:v>0</c:v>
                </c:pt>
                <c:pt idx="1213">
                  <c:v>-1.3043478260869481E-2</c:v>
                </c:pt>
                <c:pt idx="1214">
                  <c:v>0</c:v>
                </c:pt>
                <c:pt idx="1215">
                  <c:v>1.5418502202643234E-2</c:v>
                </c:pt>
                <c:pt idx="1216">
                  <c:v>5.206073752711482E-2</c:v>
                </c:pt>
                <c:pt idx="1217">
                  <c:v>0</c:v>
                </c:pt>
                <c:pt idx="1218">
                  <c:v>4.5360824742268178E-2</c:v>
                </c:pt>
                <c:pt idx="1219">
                  <c:v>9.8619329388559794E-3</c:v>
                </c:pt>
                <c:pt idx="1220">
                  <c:v>-3.1250000000000028E-2</c:v>
                </c:pt>
                <c:pt idx="1221">
                  <c:v>1.0080645161290288E-2</c:v>
                </c:pt>
                <c:pt idx="1222">
                  <c:v>-3.5928143712574794E-2</c:v>
                </c:pt>
                <c:pt idx="1223">
                  <c:v>2.0703933747411567E-3</c:v>
                </c:pt>
                <c:pt idx="1224">
                  <c:v>0.18801652892561987</c:v>
                </c:pt>
                <c:pt idx="1225">
                  <c:v>2.6086956521739191E-2</c:v>
                </c:pt>
                <c:pt idx="1226">
                  <c:v>-0.15084745762711874</c:v>
                </c:pt>
                <c:pt idx="1227">
                  <c:v>-2.3952095808383256E-2</c:v>
                </c:pt>
                <c:pt idx="1228">
                  <c:v>0.1226993865030676</c:v>
                </c:pt>
                <c:pt idx="1229">
                  <c:v>-4.3715846994535554E-2</c:v>
                </c:pt>
                <c:pt idx="1230">
                  <c:v>-0.11428571428571421</c:v>
                </c:pt>
                <c:pt idx="1231">
                  <c:v>0.10537634408602135</c:v>
                </c:pt>
                <c:pt idx="1232">
                  <c:v>-2.7237354085603051E-2</c:v>
                </c:pt>
                <c:pt idx="1233">
                  <c:v>-1.6000000000000014E-2</c:v>
                </c:pt>
                <c:pt idx="1234">
                  <c:v>7.5203252032520346E-2</c:v>
                </c:pt>
                <c:pt idx="1235">
                  <c:v>-3.0245746691871481E-2</c:v>
                </c:pt>
                <c:pt idx="1236">
                  <c:v>-1.3645224171540018E-2</c:v>
                </c:pt>
                <c:pt idx="1237">
                  <c:v>1.7786561264822282E-2</c:v>
                </c:pt>
                <c:pt idx="1238">
                  <c:v>-9.7087378640778078E-3</c:v>
                </c:pt>
                <c:pt idx="1239">
                  <c:v>-3.5294117647058768E-2</c:v>
                </c:pt>
                <c:pt idx="1240">
                  <c:v>-1.0162601626016224E-2</c:v>
                </c:pt>
                <c:pt idx="1241">
                  <c:v>-1.2320328542094557E-2</c:v>
                </c:pt>
                <c:pt idx="1242">
                  <c:v>-1.0395010395010359E-2</c:v>
                </c:pt>
                <c:pt idx="1243">
                  <c:v>1.0504201680672232E-2</c:v>
                </c:pt>
                <c:pt idx="1244">
                  <c:v>-2.0790020790020718E-2</c:v>
                </c:pt>
                <c:pt idx="1245">
                  <c:v>1.6985138004246298E-2</c:v>
                </c:pt>
                <c:pt idx="1246">
                  <c:v>-2.9227557411273419E-2</c:v>
                </c:pt>
                <c:pt idx="1247">
                  <c:v>-4.086021505376352E-2</c:v>
                </c:pt>
                <c:pt idx="1248">
                  <c:v>-4.4843049327353305E-3</c:v>
                </c:pt>
                <c:pt idx="1249">
                  <c:v>-6.7567567567568118E-3</c:v>
                </c:pt>
                <c:pt idx="1250">
                  <c:v>2.4943310657596241E-2</c:v>
                </c:pt>
                <c:pt idx="1251">
                  <c:v>4.4247787610620492E-3</c:v>
                </c:pt>
                <c:pt idx="1252">
                  <c:v>-3.9647577092510954E-2</c:v>
                </c:pt>
                <c:pt idx="1253">
                  <c:v>-1.376146788990837E-2</c:v>
                </c:pt>
                <c:pt idx="1254">
                  <c:v>-3.9534883720930218E-2</c:v>
                </c:pt>
                <c:pt idx="1255">
                  <c:v>-3.6319612590799008E-2</c:v>
                </c:pt>
                <c:pt idx="1256">
                  <c:v>-2.0100502512562832E-2</c:v>
                </c:pt>
                <c:pt idx="1257">
                  <c:v>2.3076923076923155E-2</c:v>
                </c:pt>
                <c:pt idx="1258">
                  <c:v>0</c:v>
                </c:pt>
                <c:pt idx="1259">
                  <c:v>4.0100250626566449E-2</c:v>
                </c:pt>
                <c:pt idx="1260">
                  <c:v>2.4096385542168586E-2</c:v>
                </c:pt>
                <c:pt idx="1261">
                  <c:v>-4.7058823529411806E-2</c:v>
                </c:pt>
                <c:pt idx="1262">
                  <c:v>-5.6790123456790124E-2</c:v>
                </c:pt>
                <c:pt idx="1263">
                  <c:v>-7.8534031413612058E-3</c:v>
                </c:pt>
                <c:pt idx="1264">
                  <c:v>3.9577836411609474E-2</c:v>
                </c:pt>
                <c:pt idx="1265">
                  <c:v>-3.5532994923857898E-2</c:v>
                </c:pt>
                <c:pt idx="1266">
                  <c:v>-2.89473684210526E-2</c:v>
                </c:pt>
                <c:pt idx="1267">
                  <c:v>7.0460704607046135E-2</c:v>
                </c:pt>
                <c:pt idx="1268">
                  <c:v>-2.5316455696203113E-3</c:v>
                </c:pt>
                <c:pt idx="1269">
                  <c:v>2.0304568527918686E-2</c:v>
                </c:pt>
                <c:pt idx="1270">
                  <c:v>-1.7412935323382936E-2</c:v>
                </c:pt>
                <c:pt idx="1271">
                  <c:v>5.0632911392405108E-3</c:v>
                </c:pt>
                <c:pt idx="1272">
                  <c:v>4.5340050377833792E-2</c:v>
                </c:pt>
                <c:pt idx="1273">
                  <c:v>-2.4096385542168801E-2</c:v>
                </c:pt>
                <c:pt idx="1274">
                  <c:v>8.395061728395059E-2</c:v>
                </c:pt>
                <c:pt idx="1275">
                  <c:v>-2.2779043280182154E-2</c:v>
                </c:pt>
                <c:pt idx="1276">
                  <c:v>6.9930069930070511E-3</c:v>
                </c:pt>
                <c:pt idx="1277">
                  <c:v>1.6203703703703564E-2</c:v>
                </c:pt>
                <c:pt idx="1278">
                  <c:v>4.5558086560364509E-2</c:v>
                </c:pt>
                <c:pt idx="1279">
                  <c:v>8.7145969498910753E-3</c:v>
                </c:pt>
                <c:pt idx="1280">
                  <c:v>-1.0799136069114432E-2</c:v>
                </c:pt>
                <c:pt idx="1281">
                  <c:v>6.7685589519650563E-2</c:v>
                </c:pt>
                <c:pt idx="1282">
                  <c:v>4.4989775051124878E-2</c:v>
                </c:pt>
                <c:pt idx="1283">
                  <c:v>-6.6536203522505027E-2</c:v>
                </c:pt>
                <c:pt idx="1284">
                  <c:v>-2.9350104821802871E-2</c:v>
                </c:pt>
                <c:pt idx="1285">
                  <c:v>9.935205183585312E-2</c:v>
                </c:pt>
                <c:pt idx="1286">
                  <c:v>-2.9469548133595182E-2</c:v>
                </c:pt>
                <c:pt idx="1287">
                  <c:v>8.097165991902841E-3</c:v>
                </c:pt>
                <c:pt idx="1288">
                  <c:v>-2.2088353413654681E-2</c:v>
                </c:pt>
                <c:pt idx="1289">
                  <c:v>-1.6427104722792622E-2</c:v>
                </c:pt>
                <c:pt idx="1290">
                  <c:v>-2.7139874739039643E-2</c:v>
                </c:pt>
                <c:pt idx="1291">
                  <c:v>-2.1459227467811273E-2</c:v>
                </c:pt>
                <c:pt idx="1292">
                  <c:v>-4.3859649122806087E-3</c:v>
                </c:pt>
                <c:pt idx="1293">
                  <c:v>1.3215859030836918E-2</c:v>
                </c:pt>
                <c:pt idx="1294">
                  <c:v>-1.7391304347826105E-2</c:v>
                </c:pt>
                <c:pt idx="1295">
                  <c:v>8.8495575221239024E-3</c:v>
                </c:pt>
                <c:pt idx="1296">
                  <c:v>-3.0701754385964845E-2</c:v>
                </c:pt>
                <c:pt idx="1297">
                  <c:v>-9.0497737556561163E-3</c:v>
                </c:pt>
                <c:pt idx="1298">
                  <c:v>-9.1324200913242091E-3</c:v>
                </c:pt>
                <c:pt idx="1299">
                  <c:v>-1.8433179723502321E-2</c:v>
                </c:pt>
                <c:pt idx="1300">
                  <c:v>7.9812206572769925E-2</c:v>
                </c:pt>
                <c:pt idx="1301">
                  <c:v>-1.5217391304347697E-2</c:v>
                </c:pt>
                <c:pt idx="1302">
                  <c:v>2.8697571743929336E-2</c:v>
                </c:pt>
                <c:pt idx="1303">
                  <c:v>1.7167381974248941E-2</c:v>
                </c:pt>
                <c:pt idx="1304">
                  <c:v>-2.5316455696202552E-2</c:v>
                </c:pt>
                <c:pt idx="1305">
                  <c:v>2.1645021645021181E-3</c:v>
                </c:pt>
                <c:pt idx="1306">
                  <c:v>-1.7278617710583168E-2</c:v>
                </c:pt>
                <c:pt idx="1307">
                  <c:v>-1.75824175824176E-2</c:v>
                </c:pt>
                <c:pt idx="1308">
                  <c:v>-1.7897091722595095E-2</c:v>
                </c:pt>
                <c:pt idx="1309">
                  <c:v>-1.8223234624145802E-2</c:v>
                </c:pt>
                <c:pt idx="1310">
                  <c:v>-2.3201856148491388E-3</c:v>
                </c:pt>
                <c:pt idx="1311">
                  <c:v>1.8604651162790715E-2</c:v>
                </c:pt>
                <c:pt idx="1312">
                  <c:v>3.6529680365296836E-2</c:v>
                </c:pt>
                <c:pt idx="1313">
                  <c:v>-1.9823788546255477E-2</c:v>
                </c:pt>
                <c:pt idx="1314">
                  <c:v>-2.6966292134831482E-2</c:v>
                </c:pt>
                <c:pt idx="1315">
                  <c:v>-2.7713625866050834E-2</c:v>
                </c:pt>
                <c:pt idx="1316">
                  <c:v>2.3752969121140059E-2</c:v>
                </c:pt>
                <c:pt idx="1317">
                  <c:v>4.6403712296984832E-3</c:v>
                </c:pt>
                <c:pt idx="1318">
                  <c:v>1.6166281755196372E-2</c:v>
                </c:pt>
                <c:pt idx="1319">
                  <c:v>-1.5909090909090973E-2</c:v>
                </c:pt>
                <c:pt idx="1320">
                  <c:v>-2.3094688221708512E-3</c:v>
                </c:pt>
                <c:pt idx="1321">
                  <c:v>1.1574074074074032E-2</c:v>
                </c:pt>
                <c:pt idx="1322">
                  <c:v>8.4668192219679653E-2</c:v>
                </c:pt>
                <c:pt idx="1323">
                  <c:v>-2.3206751054852388E-2</c:v>
                </c:pt>
                <c:pt idx="1324">
                  <c:v>-3.2397408207343298E-2</c:v>
                </c:pt>
                <c:pt idx="1325">
                  <c:v>-1.3392857142857253E-2</c:v>
                </c:pt>
                <c:pt idx="1326">
                  <c:v>3.1674208144796309E-2</c:v>
                </c:pt>
                <c:pt idx="1327">
                  <c:v>-2.1929824561403431E-2</c:v>
                </c:pt>
                <c:pt idx="1328">
                  <c:v>-6.7264573991031949E-3</c:v>
                </c:pt>
                <c:pt idx="1329">
                  <c:v>-1.1286681715575581E-2</c:v>
                </c:pt>
                <c:pt idx="1330">
                  <c:v>2.054794520547942E-2</c:v>
                </c:pt>
                <c:pt idx="1331">
                  <c:v>8.9485458612975476E-3</c:v>
                </c:pt>
                <c:pt idx="1332">
                  <c:v>2.2172949002216822E-3</c:v>
                </c:pt>
                <c:pt idx="1333">
                  <c:v>-3.0973451327433562E-2</c:v>
                </c:pt>
                <c:pt idx="1334">
                  <c:v>-1.1415525114155211E-2</c:v>
                </c:pt>
                <c:pt idx="1335">
                  <c:v>-2.3094688221708512E-3</c:v>
                </c:pt>
                <c:pt idx="1336">
                  <c:v>6.9444444444442957E-3</c:v>
                </c:pt>
                <c:pt idx="1337">
                  <c:v>-1.3793103448275773E-2</c:v>
                </c:pt>
                <c:pt idx="1338">
                  <c:v>-1.6317016317016382E-2</c:v>
                </c:pt>
                <c:pt idx="1339">
                  <c:v>-1.1848341232227447E-2</c:v>
                </c:pt>
                <c:pt idx="1340">
                  <c:v>-9.592326139088737E-3</c:v>
                </c:pt>
                <c:pt idx="1341">
                  <c:v>-9.6852300242130842E-3</c:v>
                </c:pt>
                <c:pt idx="1342">
                  <c:v>-2.6894865525672343E-2</c:v>
                </c:pt>
                <c:pt idx="1343">
                  <c:v>5.0251256281407079E-3</c:v>
                </c:pt>
                <c:pt idx="1344">
                  <c:v>4.0000000000000036E-2</c:v>
                </c:pt>
                <c:pt idx="1345">
                  <c:v>-1.4423076923077042E-2</c:v>
                </c:pt>
                <c:pt idx="1346">
                  <c:v>0</c:v>
                </c:pt>
                <c:pt idx="1347">
                  <c:v>-2.4390243902438508E-3</c:v>
                </c:pt>
                <c:pt idx="1348">
                  <c:v>-1.4669926650366653E-2</c:v>
                </c:pt>
                <c:pt idx="1349">
                  <c:v>-1.7369727047146472E-2</c:v>
                </c:pt>
                <c:pt idx="1350">
                  <c:v>-1.7676767676767638E-2</c:v>
                </c:pt>
                <c:pt idx="1351">
                  <c:v>2.5706940874035441E-3</c:v>
                </c:pt>
                <c:pt idx="1352">
                  <c:v>-1.2820512820512775E-2</c:v>
                </c:pt>
                <c:pt idx="1353">
                  <c:v>-2.0779220779220797E-2</c:v>
                </c:pt>
                <c:pt idx="1354">
                  <c:v>2.3872679045092802E-2</c:v>
                </c:pt>
                <c:pt idx="1355">
                  <c:v>2.3316062176165882E-2</c:v>
                </c:pt>
                <c:pt idx="1356">
                  <c:v>7.5949367088607098E-3</c:v>
                </c:pt>
                <c:pt idx="1357">
                  <c:v>-1.0050251256281416E-2</c:v>
                </c:pt>
                <c:pt idx="1358">
                  <c:v>4.3147208121827506E-2</c:v>
                </c:pt>
                <c:pt idx="1359">
                  <c:v>-4.8661800486619125E-3</c:v>
                </c:pt>
                <c:pt idx="1360">
                  <c:v>-2.4449877750611162E-2</c:v>
                </c:pt>
                <c:pt idx="1361">
                  <c:v>-1.0025062656641612E-2</c:v>
                </c:pt>
                <c:pt idx="1362">
                  <c:v>-7.5949367088608225E-3</c:v>
                </c:pt>
                <c:pt idx="1363">
                  <c:v>0</c:v>
                </c:pt>
                <c:pt idx="1364">
                  <c:v>-7.6530612244897463E-3</c:v>
                </c:pt>
                <c:pt idx="1365">
                  <c:v>-1.5424164524421607E-2</c:v>
                </c:pt>
                <c:pt idx="1366">
                  <c:v>-2.6109660574412556E-2</c:v>
                </c:pt>
                <c:pt idx="1367">
                  <c:v>-2.6809651474530259E-3</c:v>
                </c:pt>
                <c:pt idx="1368">
                  <c:v>-1.075268817204302E-2</c:v>
                </c:pt>
                <c:pt idx="1369">
                  <c:v>-2.7173913043478889E-3</c:v>
                </c:pt>
                <c:pt idx="1370">
                  <c:v>-2.1798365122615824E-2</c:v>
                </c:pt>
                <c:pt idx="1371">
                  <c:v>-5.5710306406685289E-3</c:v>
                </c:pt>
                <c:pt idx="1372">
                  <c:v>-1.9607843137254857E-2</c:v>
                </c:pt>
                <c:pt idx="1373">
                  <c:v>2.8571428571427964E-3</c:v>
                </c:pt>
                <c:pt idx="1374">
                  <c:v>-1.7094017094016985E-2</c:v>
                </c:pt>
                <c:pt idx="1375">
                  <c:v>0.15942028985507239</c:v>
                </c:pt>
                <c:pt idx="1376">
                  <c:v>-4.500000000000004E-2</c:v>
                </c:pt>
                <c:pt idx="1377">
                  <c:v>-2.6178010471204098E-2</c:v>
                </c:pt>
                <c:pt idx="1378">
                  <c:v>3.2258064516128941E-2</c:v>
                </c:pt>
                <c:pt idx="1379">
                  <c:v>2.8645833333333419E-2</c:v>
                </c:pt>
                <c:pt idx="1380">
                  <c:v>-1.2658227848101333E-2</c:v>
                </c:pt>
                <c:pt idx="1381">
                  <c:v>-3.0769230769230799E-2</c:v>
                </c:pt>
                <c:pt idx="1382">
                  <c:v>-7.9365079365078858E-3</c:v>
                </c:pt>
                <c:pt idx="1383">
                  <c:v>-1.3333333333333286E-2</c:v>
                </c:pt>
                <c:pt idx="1384">
                  <c:v>-1.081081081081082E-2</c:v>
                </c:pt>
                <c:pt idx="1385">
                  <c:v>-8.1967213114754779E-3</c:v>
                </c:pt>
                <c:pt idx="1386">
                  <c:v>-1.3774104683195544E-2</c:v>
                </c:pt>
                <c:pt idx="1387">
                  <c:v>5.3072625698324008E-2</c:v>
                </c:pt>
                <c:pt idx="1388">
                  <c:v>3.9787798408488041E-2</c:v>
                </c:pt>
                <c:pt idx="1389">
                  <c:v>-2.8061224489795887E-2</c:v>
                </c:pt>
                <c:pt idx="1390">
                  <c:v>-5.2493438320210016E-3</c:v>
                </c:pt>
                <c:pt idx="1391">
                  <c:v>5.0131926121372017E-2</c:v>
                </c:pt>
                <c:pt idx="1392">
                  <c:v>-7.5376884422110064E-3</c:v>
                </c:pt>
                <c:pt idx="1393">
                  <c:v>-1.2658227848101333E-2</c:v>
                </c:pt>
                <c:pt idx="1394">
                  <c:v>-1.0256410256410265E-2</c:v>
                </c:pt>
                <c:pt idx="1395">
                  <c:v>-1.0362694300518144E-2</c:v>
                </c:pt>
                <c:pt idx="1396">
                  <c:v>1.8324607329843007E-2</c:v>
                </c:pt>
                <c:pt idx="1397">
                  <c:v>1.5424164524421607E-2</c:v>
                </c:pt>
                <c:pt idx="1398">
                  <c:v>1.7721518987341617E-2</c:v>
                </c:pt>
                <c:pt idx="1399">
                  <c:v>1.4925373134328483E-2</c:v>
                </c:pt>
                <c:pt idx="1400">
                  <c:v>1.9607843137254919E-2</c:v>
                </c:pt>
                <c:pt idx="1401">
                  <c:v>-1.4423076923077042E-2</c:v>
                </c:pt>
                <c:pt idx="1402">
                  <c:v>7.3170731707317685E-3</c:v>
                </c:pt>
                <c:pt idx="1403">
                  <c:v>2.4213075060532173E-3</c:v>
                </c:pt>
                <c:pt idx="1404">
                  <c:v>-1.9323671497584561E-2</c:v>
                </c:pt>
                <c:pt idx="1405">
                  <c:v>2.4630541871921315E-2</c:v>
                </c:pt>
                <c:pt idx="1406">
                  <c:v>-3.1249999999999972E-2</c:v>
                </c:pt>
                <c:pt idx="1407">
                  <c:v>-2.7295285359801566E-2</c:v>
                </c:pt>
                <c:pt idx="1408">
                  <c:v>-2.2959183673469351E-2</c:v>
                </c:pt>
                <c:pt idx="1409">
                  <c:v>-1.0443864229765022E-2</c:v>
                </c:pt>
                <c:pt idx="1410">
                  <c:v>-5.2770448548812715E-3</c:v>
                </c:pt>
                <c:pt idx="1411">
                  <c:v>1.3262599469495973E-2</c:v>
                </c:pt>
                <c:pt idx="1412">
                  <c:v>-2.6178010471203631E-3</c:v>
                </c:pt>
                <c:pt idx="1413">
                  <c:v>-1.8372703412073449E-2</c:v>
                </c:pt>
                <c:pt idx="1414">
                  <c:v>1.0695187165775291E-2</c:v>
                </c:pt>
                <c:pt idx="1415">
                  <c:v>1.3227513227513298E-2</c:v>
                </c:pt>
                <c:pt idx="1416">
                  <c:v>-7.8328981723238249E-3</c:v>
                </c:pt>
                <c:pt idx="1417">
                  <c:v>-5.2631578947368472E-3</c:v>
                </c:pt>
                <c:pt idx="1418">
                  <c:v>-5.2910052910052959E-3</c:v>
                </c:pt>
                <c:pt idx="1419">
                  <c:v>2.6595744680851679E-3</c:v>
                </c:pt>
                <c:pt idx="1420">
                  <c:v>-7.9575596816975607E-3</c:v>
                </c:pt>
                <c:pt idx="1421">
                  <c:v>3.2085561497326109E-2</c:v>
                </c:pt>
                <c:pt idx="1422">
                  <c:v>-1.2953367875647622E-2</c:v>
                </c:pt>
                <c:pt idx="1423">
                  <c:v>0</c:v>
                </c:pt>
                <c:pt idx="1424">
                  <c:v>1.3123359580052446E-2</c:v>
                </c:pt>
                <c:pt idx="1425">
                  <c:v>-7.7720207253885506E-3</c:v>
                </c:pt>
                <c:pt idx="1426">
                  <c:v>-7.8328981723238249E-3</c:v>
                </c:pt>
                <c:pt idx="1427">
                  <c:v>0</c:v>
                </c:pt>
                <c:pt idx="1428">
                  <c:v>-2.3684210526315752E-2</c:v>
                </c:pt>
                <c:pt idx="1429">
                  <c:v>1.3477088948787014E-2</c:v>
                </c:pt>
                <c:pt idx="1430">
                  <c:v>2.6595744680851679E-3</c:v>
                </c:pt>
                <c:pt idx="1431">
                  <c:v>1.5915119363395239E-2</c:v>
                </c:pt>
                <c:pt idx="1432">
                  <c:v>5.2219321148825109E-3</c:v>
                </c:pt>
                <c:pt idx="1433">
                  <c:v>-5.1948051948051991E-3</c:v>
                </c:pt>
                <c:pt idx="1434">
                  <c:v>-1.3054830287206335E-2</c:v>
                </c:pt>
                <c:pt idx="1435">
                  <c:v>-1.0582010582010474E-2</c:v>
                </c:pt>
                <c:pt idx="1436">
                  <c:v>-8.0213903743316176E-3</c:v>
                </c:pt>
                <c:pt idx="1437">
                  <c:v>5.3908355795148294E-3</c:v>
                </c:pt>
                <c:pt idx="1438">
                  <c:v>8.0428954423591974E-3</c:v>
                </c:pt>
                <c:pt idx="1439">
                  <c:v>2.6595744680851679E-3</c:v>
                </c:pt>
                <c:pt idx="1440">
                  <c:v>2.3872679045092802E-2</c:v>
                </c:pt>
                <c:pt idx="1441">
                  <c:v>6.4766839378238461E-2</c:v>
                </c:pt>
                <c:pt idx="1442">
                  <c:v>-2.1897810218978284E-2</c:v>
                </c:pt>
                <c:pt idx="1443">
                  <c:v>2.48756218905474E-2</c:v>
                </c:pt>
                <c:pt idx="1444">
                  <c:v>9.7087378640776573E-2</c:v>
                </c:pt>
                <c:pt idx="1445">
                  <c:v>1.7699115044247805E-2</c:v>
                </c:pt>
                <c:pt idx="1446">
                  <c:v>-1.9565217391304318E-2</c:v>
                </c:pt>
                <c:pt idx="1447">
                  <c:v>1.9955654101995533E-2</c:v>
                </c:pt>
                <c:pt idx="1448">
                  <c:v>-3.2608695652173801E-2</c:v>
                </c:pt>
                <c:pt idx="1449">
                  <c:v>1.3483146067415642E-2</c:v>
                </c:pt>
                <c:pt idx="1450">
                  <c:v>2.8824833702882462E-2</c:v>
                </c:pt>
                <c:pt idx="1451">
                  <c:v>-3.6637931034482749E-2</c:v>
                </c:pt>
                <c:pt idx="1452">
                  <c:v>3.5794183445190191E-2</c:v>
                </c:pt>
                <c:pt idx="1453">
                  <c:v>-3.023758099352045E-2</c:v>
                </c:pt>
                <c:pt idx="1454">
                  <c:v>4.8997772828507737E-2</c:v>
                </c:pt>
                <c:pt idx="1455">
                  <c:v>-5.5201698513800378E-2</c:v>
                </c:pt>
                <c:pt idx="1456">
                  <c:v>4.7191011235955045E-2</c:v>
                </c:pt>
                <c:pt idx="1457">
                  <c:v>6.4377682403434005E-3</c:v>
                </c:pt>
                <c:pt idx="1458">
                  <c:v>6.3965884861405878E-3</c:v>
                </c:pt>
                <c:pt idx="1459">
                  <c:v>0.21186440677966104</c:v>
                </c:pt>
                <c:pt idx="1460">
                  <c:v>0.17482517482517484</c:v>
                </c:pt>
                <c:pt idx="1461">
                  <c:v>1.9345238095238079E-2</c:v>
                </c:pt>
                <c:pt idx="1462">
                  <c:v>2.9197080291971478E-3</c:v>
                </c:pt>
                <c:pt idx="1463">
                  <c:v>0</c:v>
                </c:pt>
                <c:pt idx="1464">
                  <c:v>3.7845705967976678E-2</c:v>
                </c:pt>
                <c:pt idx="1465">
                  <c:v>-2.664796633941087E-2</c:v>
                </c:pt>
                <c:pt idx="1466">
                  <c:v>2.4495677233429384E-2</c:v>
                </c:pt>
                <c:pt idx="1467">
                  <c:v>1.4064697609001356E-2</c:v>
                </c:pt>
                <c:pt idx="1468">
                  <c:v>-2.773925104022194E-2</c:v>
                </c:pt>
                <c:pt idx="1469">
                  <c:v>1.5691868758915879E-2</c:v>
                </c:pt>
                <c:pt idx="1470">
                  <c:v>-5.6179775280898927E-3</c:v>
                </c:pt>
                <c:pt idx="1471">
                  <c:v>-7.6271186440677971E-2</c:v>
                </c:pt>
                <c:pt idx="1472">
                  <c:v>-0.10703363914373092</c:v>
                </c:pt>
                <c:pt idx="1473">
                  <c:v>1.1986301369863063E-2</c:v>
                </c:pt>
                <c:pt idx="1474">
                  <c:v>0.1489001692047377</c:v>
                </c:pt>
                <c:pt idx="1475">
                  <c:v>-4.5655375552282711E-2</c:v>
                </c:pt>
                <c:pt idx="1476">
                  <c:v>-2.9320987654321045E-2</c:v>
                </c:pt>
                <c:pt idx="1477">
                  <c:v>3.6565977742448255E-2</c:v>
                </c:pt>
                <c:pt idx="1478">
                  <c:v>0.14110429447852774</c:v>
                </c:pt>
                <c:pt idx="1479">
                  <c:v>5.5107526881720326E-2</c:v>
                </c:pt>
                <c:pt idx="1480">
                  <c:v>-2.4203821656050895E-2</c:v>
                </c:pt>
                <c:pt idx="1481">
                  <c:v>-1.3054830287206335E-2</c:v>
                </c:pt>
                <c:pt idx="1482">
                  <c:v>-1.3227513227512947E-3</c:v>
                </c:pt>
                <c:pt idx="1483">
                  <c:v>-1.8543046357615851E-2</c:v>
                </c:pt>
                <c:pt idx="1484">
                  <c:v>-8.0971659919029017E-3</c:v>
                </c:pt>
                <c:pt idx="1485">
                  <c:v>-4.7619047619047575E-2</c:v>
                </c:pt>
                <c:pt idx="1486">
                  <c:v>-4.4285714285714227E-2</c:v>
                </c:pt>
                <c:pt idx="1487">
                  <c:v>-1.4947683109119096E-3</c:v>
                </c:pt>
                <c:pt idx="1488">
                  <c:v>4.0419161676646775E-2</c:v>
                </c:pt>
                <c:pt idx="1489">
                  <c:v>3.7410071942446013E-2</c:v>
                </c:pt>
                <c:pt idx="1490">
                  <c:v>-2.0804438280166485E-2</c:v>
                </c:pt>
                <c:pt idx="1491">
                  <c:v>-2.5495750708215258E-2</c:v>
                </c:pt>
                <c:pt idx="1492">
                  <c:v>4.3604651162791061E-3</c:v>
                </c:pt>
                <c:pt idx="1493">
                  <c:v>-2.8943560057887786E-3</c:v>
                </c:pt>
                <c:pt idx="1494">
                  <c:v>5.8055152394775093E-2</c:v>
                </c:pt>
                <c:pt idx="1495">
                  <c:v>9.6021947873800115E-3</c:v>
                </c:pt>
                <c:pt idx="1496">
                  <c:v>7.7445652173912957E-2</c:v>
                </c:pt>
                <c:pt idx="1497">
                  <c:v>-2.7742749054224435E-2</c:v>
                </c:pt>
                <c:pt idx="1498">
                  <c:v>-1.8158236057068702E-2</c:v>
                </c:pt>
                <c:pt idx="1499">
                  <c:v>-2.7741083223249665E-2</c:v>
                </c:pt>
                <c:pt idx="1500">
                  <c:v>2.309782608695651E-2</c:v>
                </c:pt>
                <c:pt idx="1501">
                  <c:v>1.8592297476759584E-2</c:v>
                </c:pt>
                <c:pt idx="1502">
                  <c:v>1.0430247718383322E-2</c:v>
                </c:pt>
                <c:pt idx="1503">
                  <c:v>-2.8387096774193515E-2</c:v>
                </c:pt>
                <c:pt idx="1504">
                  <c:v>-5.3120849933598986E-3</c:v>
                </c:pt>
                <c:pt idx="1505">
                  <c:v>-2.670226969292392E-2</c:v>
                </c:pt>
                <c:pt idx="1506">
                  <c:v>-4.1152263374485938E-3</c:v>
                </c:pt>
                <c:pt idx="1507">
                  <c:v>3.7190082644628163E-2</c:v>
                </c:pt>
                <c:pt idx="1508">
                  <c:v>-1.0624169986719797E-2</c:v>
                </c:pt>
                <c:pt idx="1509">
                  <c:v>-2.6845637583893236E-3</c:v>
                </c:pt>
                <c:pt idx="1510">
                  <c:v>1.4804845222072722E-2</c:v>
                </c:pt>
                <c:pt idx="1511">
                  <c:v>-3.4482758620689627E-2</c:v>
                </c:pt>
                <c:pt idx="1512">
                  <c:v>-2.3351648351648342E-2</c:v>
                </c:pt>
                <c:pt idx="1513">
                  <c:v>2.1097046413502032E-2</c:v>
                </c:pt>
                <c:pt idx="1514">
                  <c:v>-5.5096418732782423E-3</c:v>
                </c:pt>
                <c:pt idx="1515">
                  <c:v>-1.3850415512465079E-3</c:v>
                </c:pt>
                <c:pt idx="1516">
                  <c:v>-6.9348127600554537E-3</c:v>
                </c:pt>
                <c:pt idx="1517">
                  <c:v>1.2569832402234617E-2</c:v>
                </c:pt>
                <c:pt idx="1518">
                  <c:v>-1.6551724137931049E-2</c:v>
                </c:pt>
                <c:pt idx="1519">
                  <c:v>7.8541374474053363E-2</c:v>
                </c:pt>
                <c:pt idx="1520">
                  <c:v>1.5604681404421224E-2</c:v>
                </c:pt>
                <c:pt idx="1521">
                  <c:v>-2.9449423815620941E-2</c:v>
                </c:pt>
                <c:pt idx="1522">
                  <c:v>-3.0343007915567339E-2</c:v>
                </c:pt>
                <c:pt idx="1523">
                  <c:v>1.4965986394557868E-2</c:v>
                </c:pt>
                <c:pt idx="1524">
                  <c:v>-1.7426273458445028E-2</c:v>
                </c:pt>
                <c:pt idx="1525">
                  <c:v>2.1828103683492514E-2</c:v>
                </c:pt>
                <c:pt idx="1526">
                  <c:v>1.2016021361815735E-2</c:v>
                </c:pt>
                <c:pt idx="1527">
                  <c:v>-5.2770448548812715E-3</c:v>
                </c:pt>
                <c:pt idx="1528">
                  <c:v>-1.8567639257294388E-2</c:v>
                </c:pt>
                <c:pt idx="1529">
                  <c:v>-4.0540540540540872E-3</c:v>
                </c:pt>
                <c:pt idx="1530">
                  <c:v>1.6282225237449131E-2</c:v>
                </c:pt>
                <c:pt idx="1531">
                  <c:v>-1.3351134846461665E-3</c:v>
                </c:pt>
                <c:pt idx="1532">
                  <c:v>2.6737967914437933E-3</c:v>
                </c:pt>
                <c:pt idx="1533">
                  <c:v>2.6666666666666098E-3</c:v>
                </c:pt>
                <c:pt idx="1534">
                  <c:v>-2.6595744680850499E-3</c:v>
                </c:pt>
                <c:pt idx="1535">
                  <c:v>9.4666666666666774E-2</c:v>
                </c:pt>
                <c:pt idx="1536">
                  <c:v>-2.8014616321559122E-2</c:v>
                </c:pt>
                <c:pt idx="1537">
                  <c:v>-5.0125313283208061E-3</c:v>
                </c:pt>
                <c:pt idx="1538">
                  <c:v>0</c:v>
                </c:pt>
                <c:pt idx="1539">
                  <c:v>7.5566750629722425E-3</c:v>
                </c:pt>
                <c:pt idx="1540">
                  <c:v>3.2499999999999973E-2</c:v>
                </c:pt>
                <c:pt idx="1541">
                  <c:v>-1.0895883777239693E-2</c:v>
                </c:pt>
                <c:pt idx="1542">
                  <c:v>1.468788249693993E-2</c:v>
                </c:pt>
                <c:pt idx="1543">
                  <c:v>-5.5488540410132584E-2</c:v>
                </c:pt>
                <c:pt idx="1544">
                  <c:v>7.2796934865900415E-2</c:v>
                </c:pt>
                <c:pt idx="1545">
                  <c:v>-9.5238095238095316E-3</c:v>
                </c:pt>
                <c:pt idx="1546">
                  <c:v>2.4038461538461453E-2</c:v>
                </c:pt>
                <c:pt idx="1547">
                  <c:v>-1.2910798122065661E-2</c:v>
                </c:pt>
                <c:pt idx="1548">
                  <c:v>2.7348394768133225E-2</c:v>
                </c:pt>
                <c:pt idx="1549">
                  <c:v>-1.2731481481481621E-2</c:v>
                </c:pt>
                <c:pt idx="1550">
                  <c:v>-2.344665885111322E-3</c:v>
                </c:pt>
                <c:pt idx="1551">
                  <c:v>2.3501762632196915E-3</c:v>
                </c:pt>
                <c:pt idx="1552">
                  <c:v>1.172332942555661E-3</c:v>
                </c:pt>
                <c:pt idx="1553">
                  <c:v>1.1709601873538132E-3</c:v>
                </c:pt>
                <c:pt idx="1554">
                  <c:v>-1.403508771929836E-2</c:v>
                </c:pt>
                <c:pt idx="1555">
                  <c:v>-2.4911032028469643E-2</c:v>
                </c:pt>
                <c:pt idx="1556">
                  <c:v>-2.7980535279805402E-2</c:v>
                </c:pt>
                <c:pt idx="1557">
                  <c:v>-2.127659574468084E-2</c:v>
                </c:pt>
                <c:pt idx="1558">
                  <c:v>-3.5805626598465506E-2</c:v>
                </c:pt>
                <c:pt idx="1559">
                  <c:v>3.5809018567639198E-2</c:v>
                </c:pt>
                <c:pt idx="1560">
                  <c:v>-9.2189500640204841E-2</c:v>
                </c:pt>
                <c:pt idx="1561">
                  <c:v>2.8208744710861017E-3</c:v>
                </c:pt>
                <c:pt idx="1562">
                  <c:v>-8.4388185654009143E-3</c:v>
                </c:pt>
                <c:pt idx="1563">
                  <c:v>5.6737588652482325E-3</c:v>
                </c:pt>
                <c:pt idx="1564">
                  <c:v>-7.1932299012693907E-2</c:v>
                </c:pt>
                <c:pt idx="1565">
                  <c:v>-0.1306990881458967</c:v>
                </c:pt>
                <c:pt idx="1566">
                  <c:v>0.12237762237762241</c:v>
                </c:pt>
                <c:pt idx="1567">
                  <c:v>0.1557632398753894</c:v>
                </c:pt>
                <c:pt idx="1568">
                  <c:v>-1.2129380053908336E-2</c:v>
                </c:pt>
                <c:pt idx="1569">
                  <c:v>5.4570259208731285E-3</c:v>
                </c:pt>
                <c:pt idx="1570">
                  <c:v>6.5128900949796412E-2</c:v>
                </c:pt>
                <c:pt idx="1571">
                  <c:v>-2.1656050955414004E-2</c:v>
                </c:pt>
                <c:pt idx="1572">
                  <c:v>2.6041666666667268E-3</c:v>
                </c:pt>
                <c:pt idx="1573">
                  <c:v>2.5974025974025419E-3</c:v>
                </c:pt>
                <c:pt idx="1574">
                  <c:v>2.8497409326424954E-2</c:v>
                </c:pt>
                <c:pt idx="1575">
                  <c:v>-4.0302267002518925E-2</c:v>
                </c:pt>
                <c:pt idx="1576">
                  <c:v>-2.6246719160105594E-3</c:v>
                </c:pt>
                <c:pt idx="1577">
                  <c:v>1.0526315789473694E-2</c:v>
                </c:pt>
                <c:pt idx="1578">
                  <c:v>-1.6927083333333322E-2</c:v>
                </c:pt>
                <c:pt idx="1579">
                  <c:v>3.1788079470198703E-2</c:v>
                </c:pt>
                <c:pt idx="1580">
                  <c:v>8.985879332477572E-3</c:v>
                </c:pt>
                <c:pt idx="1581">
                  <c:v>-2.5445292620865163E-2</c:v>
                </c:pt>
                <c:pt idx="1582">
                  <c:v>3.9164490861619125E-3</c:v>
                </c:pt>
                <c:pt idx="1583">
                  <c:v>1.6905071521456424E-2</c:v>
                </c:pt>
                <c:pt idx="1584">
                  <c:v>1.4066496163682791E-2</c:v>
                </c:pt>
                <c:pt idx="1585">
                  <c:v>1.2610340479192893E-2</c:v>
                </c:pt>
                <c:pt idx="1586">
                  <c:v>-3.6114570361145598E-2</c:v>
                </c:pt>
                <c:pt idx="1587">
                  <c:v>-1.1627906976744167E-2</c:v>
                </c:pt>
                <c:pt idx="1588">
                  <c:v>-4.5751633986928171E-2</c:v>
                </c:pt>
                <c:pt idx="1589">
                  <c:v>-8.219178082191728E-3</c:v>
                </c:pt>
                <c:pt idx="1590">
                  <c:v>-5.5248618784530436E-3</c:v>
                </c:pt>
                <c:pt idx="1591">
                  <c:v>-1.111111111111112E-2</c:v>
                </c:pt>
                <c:pt idx="1592">
                  <c:v>7.0224719101123342E-3</c:v>
                </c:pt>
                <c:pt idx="1593">
                  <c:v>-8.3682008368200292E-3</c:v>
                </c:pt>
                <c:pt idx="1594">
                  <c:v>-6.7510548523206815E-2</c:v>
                </c:pt>
                <c:pt idx="1595">
                  <c:v>7.9939668174962328E-2</c:v>
                </c:pt>
                <c:pt idx="1596">
                  <c:v>1.2569832402234617E-2</c:v>
                </c:pt>
                <c:pt idx="1597">
                  <c:v>-1.3793103448275813E-2</c:v>
                </c:pt>
                <c:pt idx="1598">
                  <c:v>-5.5944055944055987E-3</c:v>
                </c:pt>
                <c:pt idx="1599">
                  <c:v>2.8129395218002211E-3</c:v>
                </c:pt>
                <c:pt idx="1600">
                  <c:v>1.2622720897615689E-2</c:v>
                </c:pt>
                <c:pt idx="1601">
                  <c:v>-5.5401662049861548E-3</c:v>
                </c:pt>
                <c:pt idx="1602">
                  <c:v>-1.1142061281337058E-2</c:v>
                </c:pt>
                <c:pt idx="1603">
                  <c:v>1.4084507042254472E-3</c:v>
                </c:pt>
                <c:pt idx="1604">
                  <c:v>7.0323488045006778E-3</c:v>
                </c:pt>
                <c:pt idx="1605">
                  <c:v>0</c:v>
                </c:pt>
                <c:pt idx="1606">
                  <c:v>4.1899441340782469E-3</c:v>
                </c:pt>
                <c:pt idx="1607">
                  <c:v>-9.735744089012557E-3</c:v>
                </c:pt>
                <c:pt idx="1608">
                  <c:v>0</c:v>
                </c:pt>
                <c:pt idx="1609">
                  <c:v>8.4269662921347757E-3</c:v>
                </c:pt>
                <c:pt idx="1610">
                  <c:v>-1.9498607242339788E-2</c:v>
                </c:pt>
                <c:pt idx="1611">
                  <c:v>4.2613636363636716E-3</c:v>
                </c:pt>
                <c:pt idx="1612">
                  <c:v>7.0721357850070466E-3</c:v>
                </c:pt>
                <c:pt idx="1613">
                  <c:v>-1.5449438202247236E-2</c:v>
                </c:pt>
                <c:pt idx="1614">
                  <c:v>-5.7061340941512179E-3</c:v>
                </c:pt>
                <c:pt idx="1615">
                  <c:v>2.86944045911054E-3</c:v>
                </c:pt>
                <c:pt idx="1616">
                  <c:v>-5.7224606580829809E-3</c:v>
                </c:pt>
                <c:pt idx="1617">
                  <c:v>2.0143884892086284E-2</c:v>
                </c:pt>
                <c:pt idx="1618">
                  <c:v>-8.4626234132580552E-3</c:v>
                </c:pt>
                <c:pt idx="1619">
                  <c:v>-4.2674253200569341E-3</c:v>
                </c:pt>
                <c:pt idx="1620">
                  <c:v>-2.1428571428571481E-2</c:v>
                </c:pt>
                <c:pt idx="1621">
                  <c:v>-5.8394160583941663E-3</c:v>
                </c:pt>
                <c:pt idx="1622">
                  <c:v>-1.1747430249632774E-2</c:v>
                </c:pt>
                <c:pt idx="1623">
                  <c:v>5.6463595839524497E-2</c:v>
                </c:pt>
                <c:pt idx="1624">
                  <c:v>3.9381153305203843E-2</c:v>
                </c:pt>
                <c:pt idx="1625">
                  <c:v>-1.488497970230033E-2</c:v>
                </c:pt>
                <c:pt idx="1626">
                  <c:v>-1.2362637362637343E-2</c:v>
                </c:pt>
                <c:pt idx="1627">
                  <c:v>5.5632823365785863E-3</c:v>
                </c:pt>
                <c:pt idx="1628">
                  <c:v>-1.2448132780083091E-2</c:v>
                </c:pt>
                <c:pt idx="1629">
                  <c:v>1.4005602240896434E-2</c:v>
                </c:pt>
                <c:pt idx="1630">
                  <c:v>-1.6574585635359129E-2</c:v>
                </c:pt>
                <c:pt idx="1631">
                  <c:v>-8.4269662921349006E-3</c:v>
                </c:pt>
                <c:pt idx="1632">
                  <c:v>0</c:v>
                </c:pt>
                <c:pt idx="1633">
                  <c:v>-4.2492917847024589E-3</c:v>
                </c:pt>
                <c:pt idx="1634">
                  <c:v>8.5348506401137416E-3</c:v>
                </c:pt>
                <c:pt idx="1635">
                  <c:v>-1.4104372355429884E-3</c:v>
                </c:pt>
                <c:pt idx="1636">
                  <c:v>0</c:v>
                </c:pt>
                <c:pt idx="1637">
                  <c:v>4.237288135593255E-3</c:v>
                </c:pt>
                <c:pt idx="1638">
                  <c:v>-1.1251758087201134E-2</c:v>
                </c:pt>
                <c:pt idx="1639">
                  <c:v>7.1123755334281391E-3</c:v>
                </c:pt>
                <c:pt idx="1640">
                  <c:v>-2.2598870056497196E-2</c:v>
                </c:pt>
                <c:pt idx="1641">
                  <c:v>8.6705202312139448E-3</c:v>
                </c:pt>
                <c:pt idx="1642">
                  <c:v>3.4383954154727697E-2</c:v>
                </c:pt>
                <c:pt idx="1643">
                  <c:v>4.1551246537396471E-3</c:v>
                </c:pt>
                <c:pt idx="1644">
                  <c:v>-4.1379310344827926E-3</c:v>
                </c:pt>
                <c:pt idx="1645">
                  <c:v>-4.1551246537395239E-3</c:v>
                </c:pt>
                <c:pt idx="1646">
                  <c:v>2.3643949930458961E-2</c:v>
                </c:pt>
                <c:pt idx="1647">
                  <c:v>-1.2228260869565319E-2</c:v>
                </c:pt>
                <c:pt idx="1648">
                  <c:v>-6.8775790921595361E-3</c:v>
                </c:pt>
                <c:pt idx="1649">
                  <c:v>-9.6952908587256779E-3</c:v>
                </c:pt>
                <c:pt idx="1650">
                  <c:v>1.3986013986013687E-3</c:v>
                </c:pt>
                <c:pt idx="1651">
                  <c:v>0</c:v>
                </c:pt>
                <c:pt idx="1652">
                  <c:v>-4.1899441340782469E-3</c:v>
                </c:pt>
                <c:pt idx="1653">
                  <c:v>4.207573632538604E-3</c:v>
                </c:pt>
                <c:pt idx="1654">
                  <c:v>2.7932960893854771E-2</c:v>
                </c:pt>
                <c:pt idx="1655">
                  <c:v>6.7934782608695407E-3</c:v>
                </c:pt>
                <c:pt idx="1656">
                  <c:v>0.1349527665317139</c:v>
                </c:pt>
                <c:pt idx="1657">
                  <c:v>-3.4482758620689766E-2</c:v>
                </c:pt>
                <c:pt idx="1658">
                  <c:v>5.1724137931034482E-2</c:v>
                </c:pt>
                <c:pt idx="1659">
                  <c:v>-4.6838407494144202E-3</c:v>
                </c:pt>
                <c:pt idx="1660">
                  <c:v>1.2941176470588168E-2</c:v>
                </c:pt>
                <c:pt idx="1661">
                  <c:v>2.7874564459930341E-2</c:v>
                </c:pt>
                <c:pt idx="1662">
                  <c:v>-4.5197740112993389E-3</c:v>
                </c:pt>
                <c:pt idx="1663">
                  <c:v>-1.0215664018161165E-2</c:v>
                </c:pt>
                <c:pt idx="1664">
                  <c:v>-4.47247706422019E-2</c:v>
                </c:pt>
                <c:pt idx="1665">
                  <c:v>1.3205282112845069E-2</c:v>
                </c:pt>
                <c:pt idx="1666">
                  <c:v>9.4786729857819999E-3</c:v>
                </c:pt>
                <c:pt idx="1667">
                  <c:v>6.4553990610328724E-2</c:v>
                </c:pt>
                <c:pt idx="1668">
                  <c:v>-3.0871003307607621E-2</c:v>
                </c:pt>
                <c:pt idx="1669">
                  <c:v>-3.4129692832763781E-3</c:v>
                </c:pt>
                <c:pt idx="1670">
                  <c:v>-2.054794520547942E-2</c:v>
                </c:pt>
                <c:pt idx="1671">
                  <c:v>-1.7482517482517525E-2</c:v>
                </c:pt>
                <c:pt idx="1672">
                  <c:v>-1.8979833926453162E-2</c:v>
                </c:pt>
                <c:pt idx="1673">
                  <c:v>-5.320435308343404E-2</c:v>
                </c:pt>
                <c:pt idx="1674">
                  <c:v>5.2362707535121344E-2</c:v>
                </c:pt>
                <c:pt idx="1675">
                  <c:v>-1.2135922330097044E-2</c:v>
                </c:pt>
                <c:pt idx="1676">
                  <c:v>2.2113022113022077E-2</c:v>
                </c:pt>
                <c:pt idx="1677">
                  <c:v>-1.3221153846153777E-2</c:v>
                </c:pt>
                <c:pt idx="1678">
                  <c:v>-7.3081607795372093E-3</c:v>
                </c:pt>
                <c:pt idx="1679">
                  <c:v>-4.9079754601228124E-3</c:v>
                </c:pt>
                <c:pt idx="1680">
                  <c:v>-4.9321824907520529E-3</c:v>
                </c:pt>
                <c:pt idx="1681">
                  <c:v>-1.7348203221809241E-2</c:v>
                </c:pt>
                <c:pt idx="1682">
                  <c:v>-1.6393442622950807E-2</c:v>
                </c:pt>
                <c:pt idx="1683">
                  <c:v>-1.0256410256410265E-2</c:v>
                </c:pt>
                <c:pt idx="1684">
                  <c:v>3.886010362694333E-3</c:v>
                </c:pt>
                <c:pt idx="1685">
                  <c:v>-4.3870967741935468E-2</c:v>
                </c:pt>
                <c:pt idx="1686">
                  <c:v>2.6990553306342202E-3</c:v>
                </c:pt>
                <c:pt idx="1687">
                  <c:v>2.8263795423956926E-2</c:v>
                </c:pt>
                <c:pt idx="1688">
                  <c:v>2.6178010471204213E-2</c:v>
                </c:pt>
                <c:pt idx="1689">
                  <c:v>-1.5306122448979605E-2</c:v>
                </c:pt>
                <c:pt idx="1690">
                  <c:v>1.4248704663212477E-2</c:v>
                </c:pt>
                <c:pt idx="1691">
                  <c:v>-1.0217113665389537E-2</c:v>
                </c:pt>
                <c:pt idx="1692">
                  <c:v>9.0322580645161663E-3</c:v>
                </c:pt>
                <c:pt idx="1693">
                  <c:v>1.5345268542199501E-2</c:v>
                </c:pt>
                <c:pt idx="1694">
                  <c:v>-3.1486146095717885E-2</c:v>
                </c:pt>
                <c:pt idx="1695">
                  <c:v>-1.3003901170351174E-2</c:v>
                </c:pt>
                <c:pt idx="1696">
                  <c:v>1.3175230566534633E-3</c:v>
                </c:pt>
                <c:pt idx="1697">
                  <c:v>1.3157894736842994E-3</c:v>
                </c:pt>
                <c:pt idx="1698">
                  <c:v>3.0223390275952632E-2</c:v>
                </c:pt>
                <c:pt idx="1699">
                  <c:v>1.5306122448979605E-2</c:v>
                </c:pt>
                <c:pt idx="1700">
                  <c:v>-5.0251256281407079E-3</c:v>
                </c:pt>
                <c:pt idx="1701">
                  <c:v>1.2626262626262356E-3</c:v>
                </c:pt>
                <c:pt idx="1702">
                  <c:v>-1.1349306431273626E-2</c:v>
                </c:pt>
                <c:pt idx="1703">
                  <c:v>-2.1683673469387748E-2</c:v>
                </c:pt>
                <c:pt idx="1704">
                  <c:v>-7.8226857887874323E-3</c:v>
                </c:pt>
                <c:pt idx="1705">
                  <c:v>-5.2562417871222121E-3</c:v>
                </c:pt>
                <c:pt idx="1706">
                  <c:v>-5.2840158520475605E-3</c:v>
                </c:pt>
                <c:pt idx="1707">
                  <c:v>-3.9840637450199532E-3</c:v>
                </c:pt>
                <c:pt idx="1708">
                  <c:v>2.5333333333333385E-2</c:v>
                </c:pt>
                <c:pt idx="1709">
                  <c:v>-2.0806241872561786E-2</c:v>
                </c:pt>
                <c:pt idx="1710">
                  <c:v>-5.3120849933598986E-3</c:v>
                </c:pt>
                <c:pt idx="1711">
                  <c:v>3.2042723631508709E-2</c:v>
                </c:pt>
                <c:pt idx="1712">
                  <c:v>1.6817593790426893E-2</c:v>
                </c:pt>
                <c:pt idx="1713">
                  <c:v>8.9058524173027225E-3</c:v>
                </c:pt>
                <c:pt idx="1714">
                  <c:v>-3.7831021437578008E-3</c:v>
                </c:pt>
                <c:pt idx="1715">
                  <c:v>-1.3924050632911432E-2</c:v>
                </c:pt>
                <c:pt idx="1716">
                  <c:v>-8.985879332477572E-3</c:v>
                </c:pt>
                <c:pt idx="1717">
                  <c:v>2.5906735751295936E-3</c:v>
                </c:pt>
                <c:pt idx="1718">
                  <c:v>-7.7519379844961881E-3</c:v>
                </c:pt>
                <c:pt idx="1719">
                  <c:v>-3.9062499999999167E-3</c:v>
                </c:pt>
                <c:pt idx="1720">
                  <c:v>1.1764705882352922E-2</c:v>
                </c:pt>
                <c:pt idx="1721">
                  <c:v>-3.8759689922480941E-3</c:v>
                </c:pt>
                <c:pt idx="1722">
                  <c:v>-1.6861219195849531E-2</c:v>
                </c:pt>
                <c:pt idx="1723">
                  <c:v>-9.2348284960422546E-3</c:v>
                </c:pt>
                <c:pt idx="1724">
                  <c:v>-1.3315579227696358E-2</c:v>
                </c:pt>
                <c:pt idx="1725">
                  <c:v>-2.6990553306343403E-3</c:v>
                </c:pt>
                <c:pt idx="1726">
                  <c:v>-1.2178619756427585E-2</c:v>
                </c:pt>
                <c:pt idx="1727">
                  <c:v>-1.3698630136986254E-2</c:v>
                </c:pt>
                <c:pt idx="1728">
                  <c:v>3.055555555555552E-2</c:v>
                </c:pt>
                <c:pt idx="1729">
                  <c:v>-8.0862533692721839E-3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4F-427E-AC7E-43DFD1479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022527"/>
        <c:axId val="376002047"/>
      </c:scatterChart>
      <c:valAx>
        <c:axId val="37502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 100 index  </a:t>
                </a:r>
              </a:p>
            </c:rich>
          </c:tx>
          <c:layout>
            <c:manualLayout>
              <c:xMode val="edge"/>
              <c:yMode val="edge"/>
              <c:x val="0.41280350340220012"/>
              <c:y val="0.90511932255581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02047"/>
        <c:crosses val="autoZero"/>
        <c:crossBetween val="midCat"/>
      </c:valAx>
      <c:valAx>
        <c:axId val="3760020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Cnergyico </a:t>
                </a:r>
              </a:p>
            </c:rich>
          </c:tx>
          <c:layout>
            <c:manualLayout>
              <c:xMode val="edge"/>
              <c:yMode val="edge"/>
              <c:x val="1.863684771033014E-2"/>
              <c:y val="0.38038720538720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02252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luck Cement </a:t>
            </a:r>
            <a:endParaRPr lang="en-P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[2]Sheet1!$S$4:$S$1732</c:f>
              <c:numCache>
                <c:formatCode>General</c:formatCode>
                <c:ptCount val="1729"/>
                <c:pt idx="1">
                  <c:v>-3.3495934959348996E-3</c:v>
                </c:pt>
                <c:pt idx="2">
                  <c:v>4.3315179787927118E-3</c:v>
                </c:pt>
                <c:pt idx="3">
                  <c:v>-1.0539704499429804E-3</c:v>
                </c:pt>
                <c:pt idx="4">
                  <c:v>9.3080297922512167E-3</c:v>
                </c:pt>
                <c:pt idx="5">
                  <c:v>5.1156294124586037E-3</c:v>
                </c:pt>
                <c:pt idx="6">
                  <c:v>-8.6390804098633381E-3</c:v>
                </c:pt>
                <c:pt idx="7">
                  <c:v>-7.1425042918691847E-4</c:v>
                </c:pt>
                <c:pt idx="8">
                  <c:v>1.5954075908377224E-3</c:v>
                </c:pt>
                <c:pt idx="9">
                  <c:v>6.0364061923599607E-3</c:v>
                </c:pt>
                <c:pt idx="10">
                  <c:v>9.0643861220111883E-3</c:v>
                </c:pt>
                <c:pt idx="11">
                  <c:v>3.9005358349825593E-3</c:v>
                </c:pt>
                <c:pt idx="12">
                  <c:v>5.7743987757706656E-3</c:v>
                </c:pt>
                <c:pt idx="13">
                  <c:v>-6.0512554741783283E-4</c:v>
                </c:pt>
                <c:pt idx="14">
                  <c:v>3.8572171510684442E-3</c:v>
                </c:pt>
                <c:pt idx="15">
                  <c:v>5.0544172464732987E-3</c:v>
                </c:pt>
                <c:pt idx="16">
                  <c:v>-4.2511407555896342E-4</c:v>
                </c:pt>
                <c:pt idx="17">
                  <c:v>4.7380853406987292E-3</c:v>
                </c:pt>
                <c:pt idx="18">
                  <c:v>7.6763157997937811E-3</c:v>
                </c:pt>
                <c:pt idx="19">
                  <c:v>1.2202552446676474E-2</c:v>
                </c:pt>
                <c:pt idx="20">
                  <c:v>-2.6123175180508265E-3</c:v>
                </c:pt>
                <c:pt idx="21">
                  <c:v>-4.1664177047575244E-3</c:v>
                </c:pt>
                <c:pt idx="22">
                  <c:v>-1.0775958531672861E-2</c:v>
                </c:pt>
                <c:pt idx="23">
                  <c:v>-1.3716222743709233E-2</c:v>
                </c:pt>
                <c:pt idx="24">
                  <c:v>6.6891448383979485E-3</c:v>
                </c:pt>
                <c:pt idx="25">
                  <c:v>-1.2850931169062351E-3</c:v>
                </c:pt>
                <c:pt idx="26">
                  <c:v>-9.1579270083860223E-4</c:v>
                </c:pt>
                <c:pt idx="27">
                  <c:v>-5.0139506820811989E-4</c:v>
                </c:pt>
                <c:pt idx="28">
                  <c:v>-6.5997030627610795E-3</c:v>
                </c:pt>
                <c:pt idx="29">
                  <c:v>-6.5242033273934606E-3</c:v>
                </c:pt>
                <c:pt idx="30">
                  <c:v>8.0664072716041917E-3</c:v>
                </c:pt>
                <c:pt idx="31">
                  <c:v>-5.1805663344370806E-3</c:v>
                </c:pt>
                <c:pt idx="32">
                  <c:v>-1.3620921615814081E-3</c:v>
                </c:pt>
                <c:pt idx="33">
                  <c:v>-1.0229375004529338E-2</c:v>
                </c:pt>
                <c:pt idx="34">
                  <c:v>-1.9822863705945434E-2</c:v>
                </c:pt>
                <c:pt idx="35">
                  <c:v>-3.3223712426589565E-3</c:v>
                </c:pt>
                <c:pt idx="36">
                  <c:v>9.353446348651288E-3</c:v>
                </c:pt>
                <c:pt idx="37">
                  <c:v>1.2403404464518994E-2</c:v>
                </c:pt>
                <c:pt idx="38">
                  <c:v>5.3296731506427683E-3</c:v>
                </c:pt>
                <c:pt idx="39">
                  <c:v>-1.5403874339805978E-3</c:v>
                </c:pt>
                <c:pt idx="40">
                  <c:v>-3.0338755473562368E-3</c:v>
                </c:pt>
                <c:pt idx="41">
                  <c:v>-6.9247702063025517E-3</c:v>
                </c:pt>
                <c:pt idx="42">
                  <c:v>-8.7511865649040274E-3</c:v>
                </c:pt>
                <c:pt idx="43">
                  <c:v>-6.7059937771876102E-4</c:v>
                </c:pt>
                <c:pt idx="44">
                  <c:v>-7.095859096072491E-4</c:v>
                </c:pt>
                <c:pt idx="45">
                  <c:v>8.3400841566944289E-4</c:v>
                </c:pt>
                <c:pt idx="46">
                  <c:v>-3.0907605218021585E-3</c:v>
                </c:pt>
                <c:pt idx="47">
                  <c:v>-1.2926512956789833E-2</c:v>
                </c:pt>
                <c:pt idx="48">
                  <c:v>1.4227183317909675E-2</c:v>
                </c:pt>
                <c:pt idx="49">
                  <c:v>-6.1664858520613375E-3</c:v>
                </c:pt>
                <c:pt idx="50">
                  <c:v>-1.6732979612492209E-3</c:v>
                </c:pt>
                <c:pt idx="51">
                  <c:v>-4.2298177637300561E-3</c:v>
                </c:pt>
                <c:pt idx="52">
                  <c:v>3.8338182052177414E-3</c:v>
                </c:pt>
                <c:pt idx="53">
                  <c:v>-1.046432472651857E-2</c:v>
                </c:pt>
                <c:pt idx="54">
                  <c:v>5.2577247666189654E-3</c:v>
                </c:pt>
                <c:pt idx="55">
                  <c:v>1.658999304184584E-2</c:v>
                </c:pt>
                <c:pt idx="56">
                  <c:v>-1.0575128814287611E-2</c:v>
                </c:pt>
                <c:pt idx="57">
                  <c:v>2.5001977799364102E-3</c:v>
                </c:pt>
                <c:pt idx="58">
                  <c:v>-7.6195350295761325E-3</c:v>
                </c:pt>
                <c:pt idx="59">
                  <c:v>-8.3123777045145449E-3</c:v>
                </c:pt>
                <c:pt idx="60">
                  <c:v>-3.4782809877886638E-4</c:v>
                </c:pt>
                <c:pt idx="61">
                  <c:v>-1.3325951797342707E-2</c:v>
                </c:pt>
                <c:pt idx="62">
                  <c:v>1.5193472884041256E-4</c:v>
                </c:pt>
                <c:pt idx="63">
                  <c:v>-1.5988034692356105E-2</c:v>
                </c:pt>
                <c:pt idx="64">
                  <c:v>5.6351364271241024E-3</c:v>
                </c:pt>
                <c:pt idx="65">
                  <c:v>-1.483033786453373E-2</c:v>
                </c:pt>
                <c:pt idx="66">
                  <c:v>5.6950211212236784E-3</c:v>
                </c:pt>
                <c:pt idx="67">
                  <c:v>1.4956925750061793E-2</c:v>
                </c:pt>
                <c:pt idx="68">
                  <c:v>4.4515126331523226E-3</c:v>
                </c:pt>
                <c:pt idx="69">
                  <c:v>-3.2564456987081046E-3</c:v>
                </c:pt>
                <c:pt idx="70">
                  <c:v>-1.6836467867513531E-2</c:v>
                </c:pt>
                <c:pt idx="71">
                  <c:v>1.6132205176400147E-3</c:v>
                </c:pt>
                <c:pt idx="72">
                  <c:v>1.3055846675500792E-2</c:v>
                </c:pt>
                <c:pt idx="73">
                  <c:v>-1.0478791026713941E-2</c:v>
                </c:pt>
                <c:pt idx="74">
                  <c:v>-1.3486103210991243E-2</c:v>
                </c:pt>
                <c:pt idx="75">
                  <c:v>2.7529919077640902E-3</c:v>
                </c:pt>
                <c:pt idx="76">
                  <c:v>7.9930419060793966E-3</c:v>
                </c:pt>
                <c:pt idx="77">
                  <c:v>9.0933723013052921E-3</c:v>
                </c:pt>
                <c:pt idx="78">
                  <c:v>-2.8106175413668065E-3</c:v>
                </c:pt>
                <c:pt idx="79">
                  <c:v>-6.5313087167568999E-3</c:v>
                </c:pt>
                <c:pt idx="80">
                  <c:v>-6.437776407633362E-3</c:v>
                </c:pt>
                <c:pt idx="81">
                  <c:v>-1.1619905312601674E-2</c:v>
                </c:pt>
                <c:pt idx="82">
                  <c:v>-1.4326902979961462E-2</c:v>
                </c:pt>
                <c:pt idx="83">
                  <c:v>7.2011508360242404E-4</c:v>
                </c:pt>
                <c:pt idx="84">
                  <c:v>-1.6727821176243392E-2</c:v>
                </c:pt>
                <c:pt idx="85">
                  <c:v>-4.2069323188819712E-3</c:v>
                </c:pt>
                <c:pt idx="86">
                  <c:v>-4.9046023176116411E-3</c:v>
                </c:pt>
                <c:pt idx="87">
                  <c:v>-2.3508973967156323E-2</c:v>
                </c:pt>
                <c:pt idx="88">
                  <c:v>-4.5102739261332391E-4</c:v>
                </c:pt>
                <c:pt idx="89">
                  <c:v>1.1998197437280084E-2</c:v>
                </c:pt>
                <c:pt idx="90">
                  <c:v>-9.3471734372653058E-3</c:v>
                </c:pt>
                <c:pt idx="91">
                  <c:v>-2.3681880373682115E-2</c:v>
                </c:pt>
                <c:pt idx="92">
                  <c:v>2.5302548164388848E-3</c:v>
                </c:pt>
                <c:pt idx="93">
                  <c:v>5.7611094436360328E-3</c:v>
                </c:pt>
                <c:pt idx="94">
                  <c:v>3.573459800670415E-2</c:v>
                </c:pt>
                <c:pt idx="95">
                  <c:v>2.7259756434855682E-2</c:v>
                </c:pt>
                <c:pt idx="96">
                  <c:v>3.4419726744411867E-3</c:v>
                </c:pt>
                <c:pt idx="97">
                  <c:v>-1.8037290698093712E-4</c:v>
                </c:pt>
                <c:pt idx="98">
                  <c:v>-2.0956445810994023E-2</c:v>
                </c:pt>
                <c:pt idx="99">
                  <c:v>2.8903313601882544E-2</c:v>
                </c:pt>
                <c:pt idx="100">
                  <c:v>4.271480387759367E-4</c:v>
                </c:pt>
                <c:pt idx="101">
                  <c:v>-1.3050805855989708E-2</c:v>
                </c:pt>
                <c:pt idx="102">
                  <c:v>-2.6411275615549061E-2</c:v>
                </c:pt>
                <c:pt idx="103">
                  <c:v>2.6701342733284721E-3</c:v>
                </c:pt>
                <c:pt idx="104">
                  <c:v>8.0231160838838533E-3</c:v>
                </c:pt>
                <c:pt idx="105">
                  <c:v>1.3313324515791274E-2</c:v>
                </c:pt>
                <c:pt idx="106">
                  <c:v>4.798453919391662E-3</c:v>
                </c:pt>
                <c:pt idx="107">
                  <c:v>-1.1360598432235657E-2</c:v>
                </c:pt>
                <c:pt idx="108">
                  <c:v>-1.3850336747152692E-2</c:v>
                </c:pt>
                <c:pt idx="109">
                  <c:v>-7.381410149207866E-4</c:v>
                </c:pt>
                <c:pt idx="110">
                  <c:v>9.8046174817031113E-3</c:v>
                </c:pt>
                <c:pt idx="111">
                  <c:v>3.6958604591221232E-3</c:v>
                </c:pt>
                <c:pt idx="112">
                  <c:v>-1.8599155877894191E-2</c:v>
                </c:pt>
                <c:pt idx="113">
                  <c:v>-8.1611281056045426E-3</c:v>
                </c:pt>
                <c:pt idx="114">
                  <c:v>-2.9850292273145367E-3</c:v>
                </c:pt>
                <c:pt idx="115">
                  <c:v>-9.2154083364037499E-3</c:v>
                </c:pt>
                <c:pt idx="116">
                  <c:v>3.7649795318469865E-3</c:v>
                </c:pt>
                <c:pt idx="117">
                  <c:v>2.7948549890595069E-3</c:v>
                </c:pt>
                <c:pt idx="118">
                  <c:v>9.141574987653044E-3</c:v>
                </c:pt>
                <c:pt idx="119">
                  <c:v>1.7181278166537559E-2</c:v>
                </c:pt>
                <c:pt idx="120">
                  <c:v>-9.3398917658049363E-3</c:v>
                </c:pt>
                <c:pt idx="121">
                  <c:v>-1.1009348400462757E-2</c:v>
                </c:pt>
                <c:pt idx="122">
                  <c:v>-1.3083935019634283E-2</c:v>
                </c:pt>
                <c:pt idx="123">
                  <c:v>3.345910876077462E-3</c:v>
                </c:pt>
                <c:pt idx="124">
                  <c:v>-4.5871315747651747E-4</c:v>
                </c:pt>
                <c:pt idx="125">
                  <c:v>1.0446202059393689E-3</c:v>
                </c:pt>
                <c:pt idx="126">
                  <c:v>-5.9898923702746973E-3</c:v>
                </c:pt>
                <c:pt idx="127">
                  <c:v>-2.1208410782808145E-2</c:v>
                </c:pt>
                <c:pt idx="128">
                  <c:v>4.14765909094304E-4</c:v>
                </c:pt>
                <c:pt idx="129">
                  <c:v>3.023775916671519E-4</c:v>
                </c:pt>
                <c:pt idx="130">
                  <c:v>-2.0388399850948872E-2</c:v>
                </c:pt>
                <c:pt idx="131">
                  <c:v>4.6187596604594051E-3</c:v>
                </c:pt>
                <c:pt idx="132">
                  <c:v>3.8750698193430878E-3</c:v>
                </c:pt>
                <c:pt idx="133">
                  <c:v>4.0304377381305484E-3</c:v>
                </c:pt>
                <c:pt idx="134">
                  <c:v>-9.6124573143072899E-3</c:v>
                </c:pt>
                <c:pt idx="135">
                  <c:v>1.3888288777645409E-3</c:v>
                </c:pt>
                <c:pt idx="136">
                  <c:v>-1.0575287242960729E-2</c:v>
                </c:pt>
                <c:pt idx="137">
                  <c:v>-1.1495402181771541E-2</c:v>
                </c:pt>
                <c:pt idx="138">
                  <c:v>-2.3983566010582448E-3</c:v>
                </c:pt>
                <c:pt idx="139">
                  <c:v>8.8558638352498695E-3</c:v>
                </c:pt>
                <c:pt idx="140">
                  <c:v>-3.1112939626431499E-3</c:v>
                </c:pt>
                <c:pt idx="141">
                  <c:v>-5.4241465920373006E-3</c:v>
                </c:pt>
                <c:pt idx="142">
                  <c:v>-1.5335176927223533E-2</c:v>
                </c:pt>
                <c:pt idx="143">
                  <c:v>-5.7769524835796712E-3</c:v>
                </c:pt>
                <c:pt idx="144">
                  <c:v>-2.3329173208191875E-2</c:v>
                </c:pt>
                <c:pt idx="145">
                  <c:v>-1.7817550685411129E-2</c:v>
                </c:pt>
                <c:pt idx="146">
                  <c:v>-1.0387726402398545E-2</c:v>
                </c:pt>
                <c:pt idx="147">
                  <c:v>-2.2577675747143852E-2</c:v>
                </c:pt>
                <c:pt idx="148">
                  <c:v>2.7735103841071387E-2</c:v>
                </c:pt>
                <c:pt idx="149">
                  <c:v>2.8982742278879842E-2</c:v>
                </c:pt>
                <c:pt idx="150">
                  <c:v>1.8196719048022888E-2</c:v>
                </c:pt>
                <c:pt idx="151">
                  <c:v>2.9435552219289559E-2</c:v>
                </c:pt>
                <c:pt idx="152">
                  <c:v>-1.6761775724530369E-2</c:v>
                </c:pt>
                <c:pt idx="153">
                  <c:v>-2.6456450891084241E-2</c:v>
                </c:pt>
                <c:pt idx="154">
                  <c:v>2.1051355477939493E-3</c:v>
                </c:pt>
                <c:pt idx="155">
                  <c:v>1.7283066616315132E-3</c:v>
                </c:pt>
                <c:pt idx="156">
                  <c:v>-1.5626167882651806E-2</c:v>
                </c:pt>
                <c:pt idx="157">
                  <c:v>-1.6142466451097789E-2</c:v>
                </c:pt>
                <c:pt idx="158">
                  <c:v>1.2980872280106777E-2</c:v>
                </c:pt>
                <c:pt idx="159">
                  <c:v>-8.2379349568773696E-3</c:v>
                </c:pt>
                <c:pt idx="160">
                  <c:v>1.4594252605193992E-2</c:v>
                </c:pt>
                <c:pt idx="161">
                  <c:v>-9.9058579792245228E-4</c:v>
                </c:pt>
                <c:pt idx="162">
                  <c:v>8.354523301021332E-3</c:v>
                </c:pt>
                <c:pt idx="163">
                  <c:v>1.6005080873857821E-2</c:v>
                </c:pt>
                <c:pt idx="164">
                  <c:v>1.9117533515771168E-2</c:v>
                </c:pt>
                <c:pt idx="165">
                  <c:v>-2.0699529997042243E-3</c:v>
                </c:pt>
                <c:pt idx="166">
                  <c:v>1.4206524442597781E-2</c:v>
                </c:pt>
                <c:pt idx="167">
                  <c:v>-6.1481025602481228E-4</c:v>
                </c:pt>
                <c:pt idx="168">
                  <c:v>-1.1076839955723889E-2</c:v>
                </c:pt>
                <c:pt idx="169">
                  <c:v>1.9919208935883309E-2</c:v>
                </c:pt>
                <c:pt idx="170">
                  <c:v>-2.2660306990765389E-3</c:v>
                </c:pt>
                <c:pt idx="171">
                  <c:v>-1.1207650936903421E-2</c:v>
                </c:pt>
                <c:pt idx="172">
                  <c:v>2.4575441376880592E-3</c:v>
                </c:pt>
                <c:pt idx="173">
                  <c:v>-8.295202775812506E-3</c:v>
                </c:pt>
                <c:pt idx="174">
                  <c:v>-4.1602764562630725E-3</c:v>
                </c:pt>
                <c:pt idx="175">
                  <c:v>2.0262207445530984E-2</c:v>
                </c:pt>
                <c:pt idx="176">
                  <c:v>2.5069525839843877E-4</c:v>
                </c:pt>
                <c:pt idx="177">
                  <c:v>5.4699591787112437E-3</c:v>
                </c:pt>
                <c:pt idx="178">
                  <c:v>3.3803223878227425E-3</c:v>
                </c:pt>
                <c:pt idx="179">
                  <c:v>1.2016679361067427E-2</c:v>
                </c:pt>
                <c:pt idx="180">
                  <c:v>8.5817004938591908E-3</c:v>
                </c:pt>
                <c:pt idx="181">
                  <c:v>1.8269432197550835E-2</c:v>
                </c:pt>
                <c:pt idx="182">
                  <c:v>-4.7626380852885944E-3</c:v>
                </c:pt>
                <c:pt idx="183">
                  <c:v>1.4075495076861207E-3</c:v>
                </c:pt>
                <c:pt idx="184">
                  <c:v>1.5032928903517304E-2</c:v>
                </c:pt>
                <c:pt idx="185">
                  <c:v>1.3165450500621708E-2</c:v>
                </c:pt>
                <c:pt idx="186">
                  <c:v>-8.3951909301887874E-3</c:v>
                </c:pt>
                <c:pt idx="187">
                  <c:v>-3.0050084449133423E-3</c:v>
                </c:pt>
                <c:pt idx="188">
                  <c:v>5.7963479721730021E-3</c:v>
                </c:pt>
                <c:pt idx="189">
                  <c:v>-1.1158630020223945E-2</c:v>
                </c:pt>
                <c:pt idx="190">
                  <c:v>-8.3808869757288267E-4</c:v>
                </c:pt>
                <c:pt idx="191">
                  <c:v>-2.318915032853407E-2</c:v>
                </c:pt>
                <c:pt idx="192">
                  <c:v>3.4526502105350692E-3</c:v>
                </c:pt>
                <c:pt idx="193">
                  <c:v>7.2511307583130076E-3</c:v>
                </c:pt>
                <c:pt idx="194">
                  <c:v>9.65290049040529E-3</c:v>
                </c:pt>
                <c:pt idx="195">
                  <c:v>-3.110553490146579E-3</c:v>
                </c:pt>
                <c:pt idx="196">
                  <c:v>6.0649258737883781E-3</c:v>
                </c:pt>
                <c:pt idx="197">
                  <c:v>-1.8924096594399281E-3</c:v>
                </c:pt>
                <c:pt idx="198">
                  <c:v>-1.0681260246686382E-3</c:v>
                </c:pt>
                <c:pt idx="199">
                  <c:v>1.3099867570696744E-2</c:v>
                </c:pt>
                <c:pt idx="200">
                  <c:v>5.0851253432379288E-3</c:v>
                </c:pt>
                <c:pt idx="201">
                  <c:v>2.6175467113624201E-2</c:v>
                </c:pt>
                <c:pt idx="202">
                  <c:v>2.2918316681529382E-3</c:v>
                </c:pt>
                <c:pt idx="203">
                  <c:v>8.3437245728091667E-3</c:v>
                </c:pt>
                <c:pt idx="204">
                  <c:v>2.9503555488363934E-3</c:v>
                </c:pt>
                <c:pt idx="205">
                  <c:v>6.14231237758181E-3</c:v>
                </c:pt>
                <c:pt idx="206">
                  <c:v>2.2928910205524546E-2</c:v>
                </c:pt>
                <c:pt idx="207">
                  <c:v>-1.0200227698210444E-3</c:v>
                </c:pt>
                <c:pt idx="208">
                  <c:v>1.0917826357058113E-2</c:v>
                </c:pt>
                <c:pt idx="209">
                  <c:v>2.0512842589223861E-3</c:v>
                </c:pt>
                <c:pt idx="210">
                  <c:v>9.1477101860205981E-3</c:v>
                </c:pt>
                <c:pt idx="211">
                  <c:v>2.2021935462241887E-2</c:v>
                </c:pt>
                <c:pt idx="212">
                  <c:v>3.9782294705032794E-3</c:v>
                </c:pt>
                <c:pt idx="213">
                  <c:v>-1.3657425234743944E-2</c:v>
                </c:pt>
                <c:pt idx="214">
                  <c:v>-2.4616906183552799E-2</c:v>
                </c:pt>
                <c:pt idx="215">
                  <c:v>2.2222395920791026E-2</c:v>
                </c:pt>
                <c:pt idx="216">
                  <c:v>7.5539626201589459E-3</c:v>
                </c:pt>
                <c:pt idx="217">
                  <c:v>-1.0918741305151013E-2</c:v>
                </c:pt>
                <c:pt idx="218">
                  <c:v>8.6696538303295857E-3</c:v>
                </c:pt>
                <c:pt idx="219">
                  <c:v>1.5307144925650521E-2</c:v>
                </c:pt>
                <c:pt idx="220">
                  <c:v>1.5020305495724716E-2</c:v>
                </c:pt>
                <c:pt idx="221">
                  <c:v>2.1293459904066538E-2</c:v>
                </c:pt>
                <c:pt idx="222">
                  <c:v>-8.3612840324372145E-3</c:v>
                </c:pt>
                <c:pt idx="223">
                  <c:v>1.2108705153444041E-2</c:v>
                </c:pt>
                <c:pt idx="224">
                  <c:v>9.2022650812555139E-3</c:v>
                </c:pt>
                <c:pt idx="225">
                  <c:v>2.2428034674258682E-3</c:v>
                </c:pt>
                <c:pt idx="226">
                  <c:v>-7.1061628071122287E-3</c:v>
                </c:pt>
                <c:pt idx="227">
                  <c:v>5.4842889216373649E-3</c:v>
                </c:pt>
                <c:pt idx="228">
                  <c:v>-3.2750844715059364E-3</c:v>
                </c:pt>
                <c:pt idx="229">
                  <c:v>-4.2559574769401122E-4</c:v>
                </c:pt>
                <c:pt idx="230">
                  <c:v>9.9328210352081329E-3</c:v>
                </c:pt>
                <c:pt idx="231">
                  <c:v>1.7799381620022609E-2</c:v>
                </c:pt>
                <c:pt idx="232">
                  <c:v>2.9722741427038839E-3</c:v>
                </c:pt>
                <c:pt idx="233">
                  <c:v>-3.9491331539006601E-3</c:v>
                </c:pt>
                <c:pt idx="234">
                  <c:v>-2.2794601731432041E-2</c:v>
                </c:pt>
                <c:pt idx="235">
                  <c:v>4.3689185463075438E-3</c:v>
                </c:pt>
                <c:pt idx="236">
                  <c:v>-2.0196904512748078E-2</c:v>
                </c:pt>
                <c:pt idx="237">
                  <c:v>7.9990921881439771E-3</c:v>
                </c:pt>
                <c:pt idx="238">
                  <c:v>1.9824034326250167E-2</c:v>
                </c:pt>
                <c:pt idx="239">
                  <c:v>-6.7900560667130917E-3</c:v>
                </c:pt>
                <c:pt idx="240">
                  <c:v>9.5694998081947589E-4</c:v>
                </c:pt>
                <c:pt idx="241">
                  <c:v>-3.7307135998622776E-3</c:v>
                </c:pt>
                <c:pt idx="242">
                  <c:v>1.6323031647415404E-2</c:v>
                </c:pt>
                <c:pt idx="243">
                  <c:v>2.6105314009661883E-2</c:v>
                </c:pt>
                <c:pt idx="244">
                  <c:v>-3.7066191847791594E-3</c:v>
                </c:pt>
                <c:pt idx="245">
                  <c:v>-2.4267011315280352E-2</c:v>
                </c:pt>
                <c:pt idx="246">
                  <c:v>1.4728459540142232E-2</c:v>
                </c:pt>
                <c:pt idx="247">
                  <c:v>-1.305135227816993E-2</c:v>
                </c:pt>
                <c:pt idx="248">
                  <c:v>2.8181304699793751E-2</c:v>
                </c:pt>
                <c:pt idx="249">
                  <c:v>1.6084915788065236E-2</c:v>
                </c:pt>
                <c:pt idx="250">
                  <c:v>2.6893759236039816E-4</c:v>
                </c:pt>
                <c:pt idx="251">
                  <c:v>-2.6909666586216979E-4</c:v>
                </c:pt>
                <c:pt idx="252">
                  <c:v>-4.9531280087689884E-3</c:v>
                </c:pt>
                <c:pt idx="253">
                  <c:v>1.676318231117921E-3</c:v>
                </c:pt>
                <c:pt idx="254">
                  <c:v>2.3840650549980902E-3</c:v>
                </c:pt>
                <c:pt idx="255">
                  <c:v>-9.7327242060453768E-3</c:v>
                </c:pt>
                <c:pt idx="256">
                  <c:v>-2.8340752458088131E-3</c:v>
                </c:pt>
                <c:pt idx="257">
                  <c:v>-1.5298002556159082E-3</c:v>
                </c:pt>
                <c:pt idx="258">
                  <c:v>-1.2762777050590764E-3</c:v>
                </c:pt>
                <c:pt idx="259">
                  <c:v>2.9661031901842346E-3</c:v>
                </c:pt>
                <c:pt idx="260">
                  <c:v>-2.2001720262433996E-3</c:v>
                </c:pt>
                <c:pt idx="261">
                  <c:v>-5.6427913716350971E-3</c:v>
                </c:pt>
                <c:pt idx="262">
                  <c:v>-9.4680300024658909E-3</c:v>
                </c:pt>
                <c:pt idx="263">
                  <c:v>1.1480069787379914E-4</c:v>
                </c:pt>
                <c:pt idx="264">
                  <c:v>-6.5047056917188961E-3</c:v>
                </c:pt>
                <c:pt idx="265">
                  <c:v>-2.9342599518531288E-2</c:v>
                </c:pt>
                <c:pt idx="266">
                  <c:v>1.1751479483228959E-2</c:v>
                </c:pt>
                <c:pt idx="267">
                  <c:v>-3.9095739802001142E-3</c:v>
                </c:pt>
                <c:pt idx="268">
                  <c:v>-1.4261225638382632E-2</c:v>
                </c:pt>
                <c:pt idx="269">
                  <c:v>-2.109749417279903E-2</c:v>
                </c:pt>
                <c:pt idx="270">
                  <c:v>1.0630918117806382E-2</c:v>
                </c:pt>
                <c:pt idx="271">
                  <c:v>2.0563542850639244E-2</c:v>
                </c:pt>
                <c:pt idx="272">
                  <c:v>-1.867453485752681E-3</c:v>
                </c:pt>
                <c:pt idx="273">
                  <c:v>-5.2447829018792101E-3</c:v>
                </c:pt>
                <c:pt idx="274">
                  <c:v>8.3666184101383067E-4</c:v>
                </c:pt>
                <c:pt idx="275">
                  <c:v>-2.5220392914753371E-3</c:v>
                </c:pt>
                <c:pt idx="276">
                  <c:v>9.9356943996753797E-3</c:v>
                </c:pt>
                <c:pt idx="277">
                  <c:v>-2.2888748899554537E-3</c:v>
                </c:pt>
                <c:pt idx="278">
                  <c:v>-5.7416137929160562E-3</c:v>
                </c:pt>
                <c:pt idx="279">
                  <c:v>-2.7466122324854941E-2</c:v>
                </c:pt>
                <c:pt idx="280">
                  <c:v>-7.2880126651191923E-3</c:v>
                </c:pt>
                <c:pt idx="281">
                  <c:v>-1.3384990909313043E-2</c:v>
                </c:pt>
                <c:pt idx="282">
                  <c:v>-6.5472335388631177E-3</c:v>
                </c:pt>
                <c:pt idx="283">
                  <c:v>-2.7226909113058383E-3</c:v>
                </c:pt>
                <c:pt idx="284">
                  <c:v>3.4559107320471301E-2</c:v>
                </c:pt>
                <c:pt idx="285">
                  <c:v>-2.4587556589297874E-3</c:v>
                </c:pt>
                <c:pt idx="286">
                  <c:v>-7.4816937281120361E-3</c:v>
                </c:pt>
                <c:pt idx="287">
                  <c:v>1.2227037196965001E-2</c:v>
                </c:pt>
                <c:pt idx="288">
                  <c:v>-2.9516955795410717E-2</c:v>
                </c:pt>
                <c:pt idx="289">
                  <c:v>-3.0369702302505523E-2</c:v>
                </c:pt>
                <c:pt idx="290">
                  <c:v>1.7183433421616181E-2</c:v>
                </c:pt>
                <c:pt idx="291">
                  <c:v>-5.9688426414118299E-4</c:v>
                </c:pt>
                <c:pt idx="292">
                  <c:v>-4.55644256866609E-2</c:v>
                </c:pt>
                <c:pt idx="293">
                  <c:v>2.8976527038499663E-3</c:v>
                </c:pt>
                <c:pt idx="294">
                  <c:v>-6.5887743172102123E-2</c:v>
                </c:pt>
                <c:pt idx="295">
                  <c:v>-3.1704997875903577E-2</c:v>
                </c:pt>
                <c:pt idx="296">
                  <c:v>-6.7476614138731045E-2</c:v>
                </c:pt>
                <c:pt idx="297">
                  <c:v>-9.4101633841342826E-3</c:v>
                </c:pt>
                <c:pt idx="298">
                  <c:v>1.7842118591442371E-2</c:v>
                </c:pt>
                <c:pt idx="299">
                  <c:v>-6.8560729451883878E-2</c:v>
                </c:pt>
                <c:pt idx="300">
                  <c:v>-4.6771851959210062E-2</c:v>
                </c:pt>
                <c:pt idx="301">
                  <c:v>1.4102714772594258E-3</c:v>
                </c:pt>
                <c:pt idx="302">
                  <c:v>3.089316101396546E-2</c:v>
                </c:pt>
                <c:pt idx="303">
                  <c:v>-3.0658597765814378E-3</c:v>
                </c:pt>
                <c:pt idx="304">
                  <c:v>4.3115411804210753E-2</c:v>
                </c:pt>
                <c:pt idx="305">
                  <c:v>9.3713556171858593E-3</c:v>
                </c:pt>
                <c:pt idx="306">
                  <c:v>4.3283014020742527E-2</c:v>
                </c:pt>
                <c:pt idx="307">
                  <c:v>2.7259827448310219E-2</c:v>
                </c:pt>
                <c:pt idx="308">
                  <c:v>-3.2972200498453737E-2</c:v>
                </c:pt>
                <c:pt idx="309">
                  <c:v>2.1334798383866059E-2</c:v>
                </c:pt>
                <c:pt idx="310">
                  <c:v>-8.3338803229426276E-3</c:v>
                </c:pt>
                <c:pt idx="311">
                  <c:v>2.7962366412484823E-2</c:v>
                </c:pt>
                <c:pt idx="312">
                  <c:v>6.1531599727364271E-3</c:v>
                </c:pt>
                <c:pt idx="313">
                  <c:v>-3.1224167426295191E-2</c:v>
                </c:pt>
                <c:pt idx="314">
                  <c:v>6.1144607722298109E-3</c:v>
                </c:pt>
                <c:pt idx="315">
                  <c:v>6.2294340599182158E-4</c:v>
                </c:pt>
                <c:pt idx="316">
                  <c:v>2.7933381110607303E-3</c:v>
                </c:pt>
                <c:pt idx="317">
                  <c:v>4.7953906642502063E-2</c:v>
                </c:pt>
                <c:pt idx="318">
                  <c:v>2.0340626763722877E-2</c:v>
                </c:pt>
                <c:pt idx="319">
                  <c:v>-3.2144216432111967E-2</c:v>
                </c:pt>
                <c:pt idx="320">
                  <c:v>1.2768780516690806E-3</c:v>
                </c:pt>
                <c:pt idx="321">
                  <c:v>1.190849128409952E-2</c:v>
                </c:pt>
                <c:pt idx="322">
                  <c:v>-1.3530860559688861E-3</c:v>
                </c:pt>
                <c:pt idx="323">
                  <c:v>-1.4991291328089162E-2</c:v>
                </c:pt>
                <c:pt idx="324">
                  <c:v>7.3904743278341541E-3</c:v>
                </c:pt>
                <c:pt idx="325">
                  <c:v>1.859867743420876E-2</c:v>
                </c:pt>
                <c:pt idx="326">
                  <c:v>2.873441893624756E-2</c:v>
                </c:pt>
                <c:pt idx="327">
                  <c:v>-5.7165237438012361E-3</c:v>
                </c:pt>
                <c:pt idx="328">
                  <c:v>2.2440312483783943E-3</c:v>
                </c:pt>
                <c:pt idx="329">
                  <c:v>-7.7831302262982459E-3</c:v>
                </c:pt>
                <c:pt idx="330">
                  <c:v>-1.2571683381670662E-2</c:v>
                </c:pt>
                <c:pt idx="331">
                  <c:v>-1.0950583951074328E-3</c:v>
                </c:pt>
                <c:pt idx="332">
                  <c:v>4.8395304873883769E-4</c:v>
                </c:pt>
                <c:pt idx="333">
                  <c:v>9.5911553341730595E-3</c:v>
                </c:pt>
                <c:pt idx="334">
                  <c:v>2.6789258822571328E-3</c:v>
                </c:pt>
                <c:pt idx="335">
                  <c:v>3.3199735019458195E-3</c:v>
                </c:pt>
                <c:pt idx="336">
                  <c:v>6.017766655129886E-3</c:v>
                </c:pt>
                <c:pt idx="337">
                  <c:v>-5.9797114412851373E-3</c:v>
                </c:pt>
                <c:pt idx="338">
                  <c:v>1.0459408779241683E-2</c:v>
                </c:pt>
                <c:pt idx="339">
                  <c:v>-6.6085943343615356E-3</c:v>
                </c:pt>
                <c:pt idx="340">
                  <c:v>-2.8350142531666871E-3</c:v>
                </c:pt>
                <c:pt idx="341">
                  <c:v>-4.1726993336508094E-3</c:v>
                </c:pt>
                <c:pt idx="342">
                  <c:v>6.9982804784746696E-3</c:v>
                </c:pt>
                <c:pt idx="343">
                  <c:v>2.6742325580298137E-3</c:v>
                </c:pt>
                <c:pt idx="344">
                  <c:v>1.1347961332045197E-2</c:v>
                </c:pt>
                <c:pt idx="345">
                  <c:v>-1.9268746703183284E-4</c:v>
                </c:pt>
                <c:pt idx="346">
                  <c:v>-8.1982080972238594E-3</c:v>
                </c:pt>
                <c:pt idx="347">
                  <c:v>6.7712230494155626E-3</c:v>
                </c:pt>
                <c:pt idx="348">
                  <c:v>1.1619945258311296E-2</c:v>
                </c:pt>
                <c:pt idx="349">
                  <c:v>1.554839383623994E-3</c:v>
                </c:pt>
                <c:pt idx="350">
                  <c:v>7.5130158949075158E-3</c:v>
                </c:pt>
                <c:pt idx="351">
                  <c:v>1.8109184407963704E-3</c:v>
                </c:pt>
                <c:pt idx="352">
                  <c:v>-1.4788243646626342E-2</c:v>
                </c:pt>
                <c:pt idx="353">
                  <c:v>-2.2669766815596553E-2</c:v>
                </c:pt>
                <c:pt idx="354">
                  <c:v>5.7535201544678862E-3</c:v>
                </c:pt>
                <c:pt idx="355">
                  <c:v>-5.0101237186618089E-3</c:v>
                </c:pt>
                <c:pt idx="356">
                  <c:v>-9.1238417569016496E-3</c:v>
                </c:pt>
                <c:pt idx="357">
                  <c:v>-3.0086598479121471E-3</c:v>
                </c:pt>
                <c:pt idx="358">
                  <c:v>8.9410728928607155E-3</c:v>
                </c:pt>
                <c:pt idx="359">
                  <c:v>9.3274866974609686E-3</c:v>
                </c:pt>
                <c:pt idx="360">
                  <c:v>-5.2741919048199617E-4</c:v>
                </c:pt>
                <c:pt idx="361">
                  <c:v>-9.5496795177856704E-3</c:v>
                </c:pt>
                <c:pt idx="362">
                  <c:v>6.8188229891577154E-3</c:v>
                </c:pt>
                <c:pt idx="363">
                  <c:v>7.1394708641763609E-3</c:v>
                </c:pt>
                <c:pt idx="364">
                  <c:v>7.0247909706333579E-3</c:v>
                </c:pt>
                <c:pt idx="365">
                  <c:v>1.3581171532558476E-2</c:v>
                </c:pt>
                <c:pt idx="366">
                  <c:v>2.5443250545078518E-3</c:v>
                </c:pt>
                <c:pt idx="367">
                  <c:v>2.0927332411233828E-3</c:v>
                </c:pt>
                <c:pt idx="368">
                  <c:v>4.3190881500243198E-3</c:v>
                </c:pt>
                <c:pt idx="369">
                  <c:v>4.8456414083324056E-3</c:v>
                </c:pt>
                <c:pt idx="370">
                  <c:v>9.0898939455833529E-3</c:v>
                </c:pt>
                <c:pt idx="371">
                  <c:v>1.2530645142764099E-2</c:v>
                </c:pt>
                <c:pt idx="372">
                  <c:v>1.3344522478866987E-3</c:v>
                </c:pt>
                <c:pt idx="373">
                  <c:v>1.1831038065343247E-2</c:v>
                </c:pt>
                <c:pt idx="374">
                  <c:v>3.4586276853520348E-3</c:v>
                </c:pt>
                <c:pt idx="375">
                  <c:v>-1.801322729868057E-3</c:v>
                </c:pt>
                <c:pt idx="376">
                  <c:v>8.790036159625909E-3</c:v>
                </c:pt>
                <c:pt idx="377">
                  <c:v>8.9026264923742476E-3</c:v>
                </c:pt>
                <c:pt idx="378">
                  <c:v>8.5644982635005949E-3</c:v>
                </c:pt>
                <c:pt idx="379">
                  <c:v>1.3210955371989843E-3</c:v>
                </c:pt>
                <c:pt idx="380">
                  <c:v>2.7665555004720895E-3</c:v>
                </c:pt>
                <c:pt idx="381">
                  <c:v>-5.9886876230174427E-3</c:v>
                </c:pt>
                <c:pt idx="382">
                  <c:v>7.8263440435304111E-4</c:v>
                </c:pt>
                <c:pt idx="383">
                  <c:v>1.6314246953144092E-2</c:v>
                </c:pt>
                <c:pt idx="384">
                  <c:v>1.0625266213793439E-2</c:v>
                </c:pt>
                <c:pt idx="385">
                  <c:v>5.4106852490481468E-3</c:v>
                </c:pt>
                <c:pt idx="386">
                  <c:v>1.0870508419063046E-2</c:v>
                </c:pt>
                <c:pt idx="387">
                  <c:v>1.5618807064162464E-2</c:v>
                </c:pt>
                <c:pt idx="388">
                  <c:v>-7.3734168246528788E-3</c:v>
                </c:pt>
                <c:pt idx="389">
                  <c:v>7.7104181605664058E-3</c:v>
                </c:pt>
                <c:pt idx="390">
                  <c:v>7.1043192074374904E-3</c:v>
                </c:pt>
                <c:pt idx="391">
                  <c:v>-3.3966437385537932E-3</c:v>
                </c:pt>
                <c:pt idx="392">
                  <c:v>-2.8711189119875842E-3</c:v>
                </c:pt>
                <c:pt idx="393">
                  <c:v>1.6144153190448832E-2</c:v>
                </c:pt>
                <c:pt idx="394">
                  <c:v>-2.1196203569355167E-3</c:v>
                </c:pt>
                <c:pt idx="395">
                  <c:v>-4.507676441534921E-3</c:v>
                </c:pt>
                <c:pt idx="396">
                  <c:v>-4.1756492931129575E-3</c:v>
                </c:pt>
                <c:pt idx="397">
                  <c:v>1.5330550190043501E-3</c:v>
                </c:pt>
                <c:pt idx="398">
                  <c:v>-7.4407705950703905E-4</c:v>
                </c:pt>
                <c:pt idx="399">
                  <c:v>-7.1116007800944327E-3</c:v>
                </c:pt>
                <c:pt idx="400">
                  <c:v>-6.1943562030725065E-3</c:v>
                </c:pt>
                <c:pt idx="401">
                  <c:v>4.568468857509304E-3</c:v>
                </c:pt>
                <c:pt idx="402">
                  <c:v>1.2316280845974916E-2</c:v>
                </c:pt>
                <c:pt idx="403">
                  <c:v>1.4140732765787969E-2</c:v>
                </c:pt>
                <c:pt idx="404">
                  <c:v>5.367990624187205E-3</c:v>
                </c:pt>
                <c:pt idx="405">
                  <c:v>-6.2606585764939928E-4</c:v>
                </c:pt>
                <c:pt idx="406">
                  <c:v>1.3325630075052971E-3</c:v>
                </c:pt>
                <c:pt idx="407">
                  <c:v>6.4783258369489997E-3</c:v>
                </c:pt>
                <c:pt idx="408">
                  <c:v>1.1058972972110684E-2</c:v>
                </c:pt>
                <c:pt idx="409">
                  <c:v>8.4441560086865874E-3</c:v>
                </c:pt>
                <c:pt idx="410">
                  <c:v>-3.9136619298660354E-3</c:v>
                </c:pt>
                <c:pt idx="411">
                  <c:v>6.49049330128739E-3</c:v>
                </c:pt>
                <c:pt idx="412">
                  <c:v>-7.3425817014711329E-3</c:v>
                </c:pt>
                <c:pt idx="413">
                  <c:v>8.8269220646608167E-4</c:v>
                </c:pt>
                <c:pt idx="414">
                  <c:v>1.4875452885078704E-2</c:v>
                </c:pt>
                <c:pt idx="415">
                  <c:v>-2.735926147814584E-3</c:v>
                </c:pt>
                <c:pt idx="416">
                  <c:v>1.5047964210284436E-5</c:v>
                </c:pt>
                <c:pt idx="417">
                  <c:v>-4.3471503699274586E-3</c:v>
                </c:pt>
                <c:pt idx="418">
                  <c:v>-1.5146498806746691E-3</c:v>
                </c:pt>
                <c:pt idx="419">
                  <c:v>1.2411818851775071E-3</c:v>
                </c:pt>
                <c:pt idx="420">
                  <c:v>4.0156127021860992E-3</c:v>
                </c:pt>
                <c:pt idx="421">
                  <c:v>-7.7786582020461861E-3</c:v>
                </c:pt>
                <c:pt idx="422">
                  <c:v>-8.1855867566205612E-3</c:v>
                </c:pt>
                <c:pt idx="423">
                  <c:v>1.1319922034783727E-3</c:v>
                </c:pt>
                <c:pt idx="424">
                  <c:v>-1.6689647069723851E-3</c:v>
                </c:pt>
                <c:pt idx="425">
                  <c:v>-2.5149277490487554E-3</c:v>
                </c:pt>
                <c:pt idx="426">
                  <c:v>-2.3027618130208774E-2</c:v>
                </c:pt>
                <c:pt idx="427">
                  <c:v>1.1374550667080751E-2</c:v>
                </c:pt>
                <c:pt idx="428">
                  <c:v>-1.5359539621535133E-2</c:v>
                </c:pt>
                <c:pt idx="429">
                  <c:v>2.5988699450943138E-3</c:v>
                </c:pt>
                <c:pt idx="430">
                  <c:v>-1.490009568079384E-2</c:v>
                </c:pt>
                <c:pt idx="431">
                  <c:v>-2.4914881972746772E-2</c:v>
                </c:pt>
                <c:pt idx="432">
                  <c:v>1.4078966597197986E-3</c:v>
                </c:pt>
                <c:pt idx="433">
                  <c:v>1.8464772073233337E-2</c:v>
                </c:pt>
                <c:pt idx="434">
                  <c:v>1.2638908545955969E-2</c:v>
                </c:pt>
                <c:pt idx="435">
                  <c:v>1.1022802910866426E-2</c:v>
                </c:pt>
                <c:pt idx="436">
                  <c:v>-1.4427270853314713E-2</c:v>
                </c:pt>
                <c:pt idx="437">
                  <c:v>-5.0522484308559816E-3</c:v>
                </c:pt>
                <c:pt idx="438">
                  <c:v>3.439926392274154E-3</c:v>
                </c:pt>
                <c:pt idx="439">
                  <c:v>-1.8881888308400251E-3</c:v>
                </c:pt>
                <c:pt idx="440">
                  <c:v>2.3841677088405088E-3</c:v>
                </c:pt>
                <c:pt idx="441">
                  <c:v>4.3857661658370222E-3</c:v>
                </c:pt>
                <c:pt idx="442">
                  <c:v>1.5280302487570169E-2</c:v>
                </c:pt>
                <c:pt idx="443">
                  <c:v>1.4145224039702448E-2</c:v>
                </c:pt>
                <c:pt idx="444">
                  <c:v>-8.1110518317639643E-3</c:v>
                </c:pt>
                <c:pt idx="445">
                  <c:v>1.6257668264925526E-3</c:v>
                </c:pt>
                <c:pt idx="446">
                  <c:v>1.4163475985072485E-2</c:v>
                </c:pt>
                <c:pt idx="447">
                  <c:v>-1.119796265131549E-2</c:v>
                </c:pt>
                <c:pt idx="448">
                  <c:v>-4.7114881096365522E-3</c:v>
                </c:pt>
                <c:pt idx="449">
                  <c:v>-3.153578592784205E-2</c:v>
                </c:pt>
                <c:pt idx="450">
                  <c:v>-1.9449959887685511E-2</c:v>
                </c:pt>
                <c:pt idx="451">
                  <c:v>3.4994214078581075E-2</c:v>
                </c:pt>
                <c:pt idx="452">
                  <c:v>-4.9139247961012275E-3</c:v>
                </c:pt>
                <c:pt idx="453">
                  <c:v>1.9595372221212767E-2</c:v>
                </c:pt>
                <c:pt idx="454">
                  <c:v>-8.2707389344871558E-3</c:v>
                </c:pt>
                <c:pt idx="455">
                  <c:v>1.2872066682362983E-3</c:v>
                </c:pt>
                <c:pt idx="456">
                  <c:v>9.0479020714966454E-3</c:v>
                </c:pt>
                <c:pt idx="457">
                  <c:v>1.0757404372214647E-3</c:v>
                </c:pt>
                <c:pt idx="458">
                  <c:v>-1.5359494258364302E-2</c:v>
                </c:pt>
                <c:pt idx="459">
                  <c:v>1.1832992107630022E-4</c:v>
                </c:pt>
                <c:pt idx="460">
                  <c:v>-1.5923351002665447E-3</c:v>
                </c:pt>
                <c:pt idx="461">
                  <c:v>3.6519173677160891E-3</c:v>
                </c:pt>
                <c:pt idx="462">
                  <c:v>-3.3946109812713408E-3</c:v>
                </c:pt>
                <c:pt idx="463">
                  <c:v>6.4248332764400742E-4</c:v>
                </c:pt>
                <c:pt idx="464">
                  <c:v>-8.7201257008388319E-3</c:v>
                </c:pt>
                <c:pt idx="465">
                  <c:v>-1.380191394370054E-2</c:v>
                </c:pt>
                <c:pt idx="466">
                  <c:v>5.824509771268741E-3</c:v>
                </c:pt>
                <c:pt idx="467">
                  <c:v>1.2898310629108992E-2</c:v>
                </c:pt>
                <c:pt idx="468">
                  <c:v>1.6184744336763542E-2</c:v>
                </c:pt>
                <c:pt idx="469">
                  <c:v>-5.4578205811553438E-3</c:v>
                </c:pt>
                <c:pt idx="470">
                  <c:v>6.4138364191125424E-3</c:v>
                </c:pt>
                <c:pt idx="471">
                  <c:v>1.4523183281136325E-2</c:v>
                </c:pt>
                <c:pt idx="472">
                  <c:v>8.6909313200178619E-3</c:v>
                </c:pt>
                <c:pt idx="473">
                  <c:v>4.8397021180011186E-4</c:v>
                </c:pt>
                <c:pt idx="474">
                  <c:v>3.7880769753984005E-3</c:v>
                </c:pt>
                <c:pt idx="475">
                  <c:v>-2.1723884663681931E-3</c:v>
                </c:pt>
                <c:pt idx="476">
                  <c:v>-3.2126084314703697E-4</c:v>
                </c:pt>
                <c:pt idx="477">
                  <c:v>2.428638409112394E-3</c:v>
                </c:pt>
                <c:pt idx="478">
                  <c:v>2.4123288700154386E-3</c:v>
                </c:pt>
                <c:pt idx="479">
                  <c:v>3.8895339272309194E-3</c:v>
                </c:pt>
                <c:pt idx="480">
                  <c:v>1.8738466964866623E-2</c:v>
                </c:pt>
                <c:pt idx="481">
                  <c:v>-3.5547362353366337E-4</c:v>
                </c:pt>
                <c:pt idx="482">
                  <c:v>2.5282745953605947E-3</c:v>
                </c:pt>
                <c:pt idx="483">
                  <c:v>9.3749589196910794E-3</c:v>
                </c:pt>
                <c:pt idx="484">
                  <c:v>-5.9725786894095523E-4</c:v>
                </c:pt>
                <c:pt idx="485">
                  <c:v>-9.3000659571038959E-3</c:v>
                </c:pt>
                <c:pt idx="486">
                  <c:v>-9.8495953270613876E-3</c:v>
                </c:pt>
                <c:pt idx="487">
                  <c:v>4.2128382960890422E-3</c:v>
                </c:pt>
                <c:pt idx="488">
                  <c:v>7.6372143326285625E-3</c:v>
                </c:pt>
                <c:pt idx="489">
                  <c:v>5.9311183213307224E-3</c:v>
                </c:pt>
                <c:pt idx="490">
                  <c:v>-9.5875650382787284E-3</c:v>
                </c:pt>
                <c:pt idx="491">
                  <c:v>1.0153841530162005E-2</c:v>
                </c:pt>
                <c:pt idx="492">
                  <c:v>1.3873517099074429E-3</c:v>
                </c:pt>
                <c:pt idx="493">
                  <c:v>1.552769053771229E-2</c:v>
                </c:pt>
                <c:pt idx="494">
                  <c:v>5.6635789966421862E-3</c:v>
                </c:pt>
                <c:pt idx="495">
                  <c:v>-8.0628449870495081E-4</c:v>
                </c:pt>
                <c:pt idx="496">
                  <c:v>1.1265065084479544E-2</c:v>
                </c:pt>
                <c:pt idx="497">
                  <c:v>4.2326804924190152E-3</c:v>
                </c:pt>
                <c:pt idx="498">
                  <c:v>6.8321345855530922E-3</c:v>
                </c:pt>
                <c:pt idx="499">
                  <c:v>-1.0715301108284176E-3</c:v>
                </c:pt>
                <c:pt idx="500">
                  <c:v>6.9425958581239384E-3</c:v>
                </c:pt>
                <c:pt idx="501">
                  <c:v>3.7001840510569269E-3</c:v>
                </c:pt>
                <c:pt idx="502">
                  <c:v>-2.2262017063279711E-3</c:v>
                </c:pt>
                <c:pt idx="503">
                  <c:v>-1.268772009171657E-3</c:v>
                </c:pt>
                <c:pt idx="504">
                  <c:v>-4.4484117480568615E-3</c:v>
                </c:pt>
                <c:pt idx="505">
                  <c:v>3.8609844405936076E-3</c:v>
                </c:pt>
                <c:pt idx="506">
                  <c:v>-4.9297184533637576E-3</c:v>
                </c:pt>
                <c:pt idx="507">
                  <c:v>6.7325000317446128E-3</c:v>
                </c:pt>
                <c:pt idx="508">
                  <c:v>-2.5317248479159752E-3</c:v>
                </c:pt>
                <c:pt idx="509">
                  <c:v>4.7876473466055783E-3</c:v>
                </c:pt>
                <c:pt idx="510">
                  <c:v>4.3339168592706843E-3</c:v>
                </c:pt>
                <c:pt idx="511">
                  <c:v>3.6889104546422805E-3</c:v>
                </c:pt>
                <c:pt idx="512">
                  <c:v>-6.2869512828001147E-3</c:v>
                </c:pt>
                <c:pt idx="513">
                  <c:v>4.7543595347663047E-3</c:v>
                </c:pt>
                <c:pt idx="514">
                  <c:v>-2.9554468914235726E-3</c:v>
                </c:pt>
                <c:pt idx="515">
                  <c:v>7.1762405010329959E-3</c:v>
                </c:pt>
                <c:pt idx="516">
                  <c:v>7.5845302975461517E-3</c:v>
                </c:pt>
                <c:pt idx="517">
                  <c:v>-5.9317806868969031E-4</c:v>
                </c:pt>
                <c:pt idx="518">
                  <c:v>-3.9210511111740839E-3</c:v>
                </c:pt>
                <c:pt idx="519">
                  <c:v>-1.0080932120226742E-3</c:v>
                </c:pt>
                <c:pt idx="520">
                  <c:v>-6.5302946324097429E-4</c:v>
                </c:pt>
                <c:pt idx="521">
                  <c:v>-1.2622552513930517E-2</c:v>
                </c:pt>
                <c:pt idx="522">
                  <c:v>-5.3665662661065653E-3</c:v>
                </c:pt>
                <c:pt idx="523">
                  <c:v>1.238267425421901E-2</c:v>
                </c:pt>
                <c:pt idx="524">
                  <c:v>1.0616792152940816E-2</c:v>
                </c:pt>
                <c:pt idx="525">
                  <c:v>-2.1296002918838497E-3</c:v>
                </c:pt>
                <c:pt idx="526">
                  <c:v>-1.3372351348589049E-2</c:v>
                </c:pt>
                <c:pt idx="527">
                  <c:v>1.8401594703739634E-3</c:v>
                </c:pt>
                <c:pt idx="528">
                  <c:v>-7.3032049000976811E-3</c:v>
                </c:pt>
                <c:pt idx="529">
                  <c:v>-3.5147060233549779E-3</c:v>
                </c:pt>
                <c:pt idx="530">
                  <c:v>-8.0074351474728311E-3</c:v>
                </c:pt>
                <c:pt idx="531">
                  <c:v>1.329377650036662E-2</c:v>
                </c:pt>
                <c:pt idx="532">
                  <c:v>-2.1885922565605732E-3</c:v>
                </c:pt>
                <c:pt idx="533">
                  <c:v>-5.9215061936089101E-3</c:v>
                </c:pt>
                <c:pt idx="534">
                  <c:v>8.133628024914916E-3</c:v>
                </c:pt>
                <c:pt idx="535">
                  <c:v>4.275277296909144E-3</c:v>
                </c:pt>
                <c:pt idx="536">
                  <c:v>-1.9112545325273966E-2</c:v>
                </c:pt>
                <c:pt idx="537">
                  <c:v>1.2341831768831711E-2</c:v>
                </c:pt>
                <c:pt idx="538">
                  <c:v>-1.7154133037795501E-2</c:v>
                </c:pt>
                <c:pt idx="539">
                  <c:v>-1.8382257461257826E-2</c:v>
                </c:pt>
                <c:pt idx="540">
                  <c:v>-1.2012551865085385E-2</c:v>
                </c:pt>
                <c:pt idx="541">
                  <c:v>-2.0871708297781139E-2</c:v>
                </c:pt>
                <c:pt idx="542">
                  <c:v>2.3570024703270884E-2</c:v>
                </c:pt>
                <c:pt idx="543">
                  <c:v>2.2346492470096763E-2</c:v>
                </c:pt>
                <c:pt idx="544">
                  <c:v>2.0209267670376761E-3</c:v>
                </c:pt>
                <c:pt idx="545">
                  <c:v>1.3225342900314912E-2</c:v>
                </c:pt>
                <c:pt idx="546">
                  <c:v>-1.5978328860683264E-2</c:v>
                </c:pt>
                <c:pt idx="547">
                  <c:v>3.9625177393212739E-3</c:v>
                </c:pt>
                <c:pt idx="548">
                  <c:v>1.1269604383480217E-2</c:v>
                </c:pt>
                <c:pt idx="549">
                  <c:v>3.014050815143735E-3</c:v>
                </c:pt>
                <c:pt idx="550">
                  <c:v>3.9954602332372396E-3</c:v>
                </c:pt>
                <c:pt idx="551">
                  <c:v>-4.4729319059375657E-3</c:v>
                </c:pt>
                <c:pt idx="552">
                  <c:v>-2.3940926544150431E-2</c:v>
                </c:pt>
                <c:pt idx="553">
                  <c:v>1.3330542539351528E-3</c:v>
                </c:pt>
                <c:pt idx="554">
                  <c:v>2.1761689940646397E-3</c:v>
                </c:pt>
                <c:pt idx="555">
                  <c:v>-3.5828146008385696E-3</c:v>
                </c:pt>
                <c:pt idx="556">
                  <c:v>-2.8619274738285335E-3</c:v>
                </c:pt>
                <c:pt idx="557">
                  <c:v>-1.69915092114277E-2</c:v>
                </c:pt>
                <c:pt idx="558">
                  <c:v>1.9667628129835829E-2</c:v>
                </c:pt>
                <c:pt idx="559">
                  <c:v>-1.015928494055799E-2</c:v>
                </c:pt>
                <c:pt idx="560">
                  <c:v>1.7922999673746685E-2</c:v>
                </c:pt>
                <c:pt idx="561">
                  <c:v>9.948736471131021E-3</c:v>
                </c:pt>
                <c:pt idx="562">
                  <c:v>-4.6126629027089579E-3</c:v>
                </c:pt>
                <c:pt idx="563">
                  <c:v>1.5678758861266062E-3</c:v>
                </c:pt>
                <c:pt idx="564">
                  <c:v>5.8303737499326054E-3</c:v>
                </c:pt>
                <c:pt idx="565">
                  <c:v>-1.7885194881091455E-3</c:v>
                </c:pt>
                <c:pt idx="566">
                  <c:v>1.6681339760309839E-3</c:v>
                </c:pt>
                <c:pt idx="567">
                  <c:v>-8.653670636519074E-3</c:v>
                </c:pt>
                <c:pt idx="568">
                  <c:v>1.0825458764466934E-2</c:v>
                </c:pt>
                <c:pt idx="569">
                  <c:v>-2.0537544455060787E-3</c:v>
                </c:pt>
                <c:pt idx="570">
                  <c:v>-8.3195494513595668E-3</c:v>
                </c:pt>
                <c:pt idx="571">
                  <c:v>-4.9599807343085897E-3</c:v>
                </c:pt>
                <c:pt idx="572">
                  <c:v>2.1831374047235692E-2</c:v>
                </c:pt>
                <c:pt idx="573">
                  <c:v>-8.5349465454917506E-3</c:v>
                </c:pt>
                <c:pt idx="574">
                  <c:v>-5.1608564438508754E-3</c:v>
                </c:pt>
                <c:pt idx="575">
                  <c:v>-4.3500627619891827E-3</c:v>
                </c:pt>
                <c:pt idx="576">
                  <c:v>-1.3390957514982845E-2</c:v>
                </c:pt>
                <c:pt idx="577">
                  <c:v>-4.2056058930445735E-3</c:v>
                </c:pt>
                <c:pt idx="578">
                  <c:v>1.1057895190601718E-2</c:v>
                </c:pt>
                <c:pt idx="579">
                  <c:v>8.5275894513885467E-3</c:v>
                </c:pt>
                <c:pt idx="580">
                  <c:v>5.1411090475375178E-3</c:v>
                </c:pt>
                <c:pt idx="581">
                  <c:v>1.376080887807259E-2</c:v>
                </c:pt>
                <c:pt idx="582">
                  <c:v>4.0507630418259036E-3</c:v>
                </c:pt>
                <c:pt idx="583">
                  <c:v>-6.5180108138390156E-3</c:v>
                </c:pt>
                <c:pt idx="584">
                  <c:v>-2.3650396183539E-3</c:v>
                </c:pt>
                <c:pt idx="585">
                  <c:v>7.4803501201451501E-3</c:v>
                </c:pt>
                <c:pt idx="586">
                  <c:v>3.966679284189983E-3</c:v>
                </c:pt>
                <c:pt idx="587">
                  <c:v>4.4156781195177509E-3</c:v>
                </c:pt>
                <c:pt idx="588">
                  <c:v>1.1050598414795689E-2</c:v>
                </c:pt>
                <c:pt idx="589">
                  <c:v>-4.6056261696971742E-4</c:v>
                </c:pt>
                <c:pt idx="590">
                  <c:v>7.171075479662131E-3</c:v>
                </c:pt>
                <c:pt idx="591">
                  <c:v>1.6340136259399916E-2</c:v>
                </c:pt>
                <c:pt idx="592">
                  <c:v>6.157464223780054E-3</c:v>
                </c:pt>
                <c:pt idx="593">
                  <c:v>-1.3355118749748519E-3</c:v>
                </c:pt>
                <c:pt idx="594">
                  <c:v>-6.9337522258866905E-4</c:v>
                </c:pt>
                <c:pt idx="595">
                  <c:v>2.4570872630891986E-3</c:v>
                </c:pt>
                <c:pt idx="596">
                  <c:v>1.8866789596717478E-3</c:v>
                </c:pt>
                <c:pt idx="597">
                  <c:v>-3.2023081130521649E-3</c:v>
                </c:pt>
                <c:pt idx="598">
                  <c:v>-7.6921191709392704E-3</c:v>
                </c:pt>
                <c:pt idx="599">
                  <c:v>9.9182420555899466E-3</c:v>
                </c:pt>
                <c:pt idx="600">
                  <c:v>1.1031783681706658E-3</c:v>
                </c:pt>
                <c:pt idx="601">
                  <c:v>8.7229570940479638E-3</c:v>
                </c:pt>
                <c:pt idx="602">
                  <c:v>-1.9193007112413736E-3</c:v>
                </c:pt>
                <c:pt idx="603">
                  <c:v>-3.1184868738145027E-3</c:v>
                </c:pt>
                <c:pt idx="604">
                  <c:v>-7.2121185869074515E-3</c:v>
                </c:pt>
                <c:pt idx="605">
                  <c:v>2.2318140501233243E-3</c:v>
                </c:pt>
                <c:pt idx="606">
                  <c:v>-4.6881474966038962E-3</c:v>
                </c:pt>
                <c:pt idx="607">
                  <c:v>-5.2861212033855718E-4</c:v>
                </c:pt>
                <c:pt idx="608">
                  <c:v>-1.8013159358945402E-3</c:v>
                </c:pt>
                <c:pt idx="609">
                  <c:v>1.2910040980612764E-3</c:v>
                </c:pt>
                <c:pt idx="610">
                  <c:v>-5.3917077786121946E-3</c:v>
                </c:pt>
                <c:pt idx="611">
                  <c:v>-1.4707170938081923E-2</c:v>
                </c:pt>
                <c:pt idx="612">
                  <c:v>2.8811325391176878E-3</c:v>
                </c:pt>
                <c:pt idx="613">
                  <c:v>4.6300450785007443E-3</c:v>
                </c:pt>
                <c:pt idx="614">
                  <c:v>9.3874020663054659E-3</c:v>
                </c:pt>
                <c:pt idx="615">
                  <c:v>-2.3930676977282784E-3</c:v>
                </c:pt>
                <c:pt idx="616">
                  <c:v>-5.3906603548448976E-3</c:v>
                </c:pt>
                <c:pt idx="617">
                  <c:v>-1.7491363955308285E-3</c:v>
                </c:pt>
                <c:pt idx="618">
                  <c:v>-2.0749306807564803E-3</c:v>
                </c:pt>
                <c:pt idx="619">
                  <c:v>1.7043078298473246E-2</c:v>
                </c:pt>
                <c:pt idx="620">
                  <c:v>-1.0191211110526135E-2</c:v>
                </c:pt>
                <c:pt idx="621">
                  <c:v>-2.4466265588386745E-3</c:v>
                </c:pt>
                <c:pt idx="622">
                  <c:v>7.0415292152849478E-4</c:v>
                </c:pt>
                <c:pt idx="623">
                  <c:v>2.3125287881408136E-4</c:v>
                </c:pt>
                <c:pt idx="624">
                  <c:v>2.8803067161324099E-3</c:v>
                </c:pt>
                <c:pt idx="625">
                  <c:v>4.3266329695856977E-3</c:v>
                </c:pt>
                <c:pt idx="626">
                  <c:v>8.1385063823409445E-4</c:v>
                </c:pt>
                <c:pt idx="627">
                  <c:v>-1.6750478241925101E-3</c:v>
                </c:pt>
                <c:pt idx="628">
                  <c:v>-2.5189844469082948E-3</c:v>
                </c:pt>
                <c:pt idx="629">
                  <c:v>3.0017192236722737E-4</c:v>
                </c:pt>
                <c:pt idx="630">
                  <c:v>-7.7371207534801239E-3</c:v>
                </c:pt>
                <c:pt idx="631">
                  <c:v>-1.2046148159585447E-4</c:v>
                </c:pt>
                <c:pt idx="632">
                  <c:v>-5.4328332593216368E-3</c:v>
                </c:pt>
                <c:pt idx="633">
                  <c:v>8.4572850363901515E-3</c:v>
                </c:pt>
                <c:pt idx="634">
                  <c:v>6.428853661234999E-3</c:v>
                </c:pt>
                <c:pt idx="635">
                  <c:v>6.6082726528063948E-4</c:v>
                </c:pt>
                <c:pt idx="636">
                  <c:v>-3.1178149013975347E-3</c:v>
                </c:pt>
                <c:pt idx="637">
                  <c:v>-3.1680774998278853E-3</c:v>
                </c:pt>
                <c:pt idx="638">
                  <c:v>-7.7138426130159013E-3</c:v>
                </c:pt>
                <c:pt idx="639">
                  <c:v>2.5167845763972676E-4</c:v>
                </c:pt>
                <c:pt idx="640">
                  <c:v>5.1320152038335908E-3</c:v>
                </c:pt>
                <c:pt idx="641">
                  <c:v>-2.2504410332524795E-3</c:v>
                </c:pt>
                <c:pt idx="642">
                  <c:v>-2.1349349999874243E-3</c:v>
                </c:pt>
                <c:pt idx="643">
                  <c:v>-5.4494566867302422E-3</c:v>
                </c:pt>
                <c:pt idx="644">
                  <c:v>7.3681399038512995E-3</c:v>
                </c:pt>
                <c:pt idx="645">
                  <c:v>7.2234700884181062E-3</c:v>
                </c:pt>
                <c:pt idx="646">
                  <c:v>1.0764536504549794E-2</c:v>
                </c:pt>
                <c:pt idx="647">
                  <c:v>-5.8924751118271225E-3</c:v>
                </c:pt>
                <c:pt idx="648">
                  <c:v>-4.0312607218550879E-3</c:v>
                </c:pt>
                <c:pt idx="649">
                  <c:v>-5.7232045579070547E-3</c:v>
                </c:pt>
                <c:pt idx="650">
                  <c:v>-4.7872539206013009E-3</c:v>
                </c:pt>
                <c:pt idx="651">
                  <c:v>4.8618343352809009E-3</c:v>
                </c:pt>
                <c:pt idx="652">
                  <c:v>1.1409099833846197E-3</c:v>
                </c:pt>
                <c:pt idx="653">
                  <c:v>-1.3243429845880293E-4</c:v>
                </c:pt>
                <c:pt idx="654">
                  <c:v>-1.0764875628144445E-2</c:v>
                </c:pt>
                <c:pt idx="655">
                  <c:v>1.1600522439261637E-3</c:v>
                </c:pt>
                <c:pt idx="656">
                  <c:v>-8.2947398997442509E-4</c:v>
                </c:pt>
                <c:pt idx="657">
                  <c:v>-4.018882096025145E-3</c:v>
                </c:pt>
                <c:pt idx="658">
                  <c:v>-7.1313992136950262E-3</c:v>
                </c:pt>
                <c:pt idx="659">
                  <c:v>4.9229783749753699E-3</c:v>
                </c:pt>
                <c:pt idx="660">
                  <c:v>1.2293158709296582E-2</c:v>
                </c:pt>
                <c:pt idx="661">
                  <c:v>1.5290808205127399E-3</c:v>
                </c:pt>
                <c:pt idx="662">
                  <c:v>-8.0202308164549832E-3</c:v>
                </c:pt>
                <c:pt idx="663">
                  <c:v>-3.7239285548247365E-3</c:v>
                </c:pt>
                <c:pt idx="664">
                  <c:v>4.3611794663666022E-3</c:v>
                </c:pt>
                <c:pt idx="665">
                  <c:v>-6.0608953961661374E-3</c:v>
                </c:pt>
                <c:pt idx="666">
                  <c:v>-2.3130160167836281E-3</c:v>
                </c:pt>
                <c:pt idx="667">
                  <c:v>-1.1162260486702595E-2</c:v>
                </c:pt>
                <c:pt idx="668">
                  <c:v>-8.9463222836476154E-3</c:v>
                </c:pt>
                <c:pt idx="669">
                  <c:v>-6.5872408066804172E-3</c:v>
                </c:pt>
                <c:pt idx="670">
                  <c:v>-4.9310239469031996E-3</c:v>
                </c:pt>
                <c:pt idx="671">
                  <c:v>-5.6742850347608698E-3</c:v>
                </c:pt>
                <c:pt idx="672">
                  <c:v>1.0200643673400862E-2</c:v>
                </c:pt>
                <c:pt idx="673">
                  <c:v>-2.0059445702069606E-2</c:v>
                </c:pt>
                <c:pt idx="674">
                  <c:v>1.2010348292437096E-2</c:v>
                </c:pt>
                <c:pt idx="675">
                  <c:v>-6.2138638206134255E-4</c:v>
                </c:pt>
                <c:pt idx="676">
                  <c:v>3.8509795706425857E-3</c:v>
                </c:pt>
                <c:pt idx="677">
                  <c:v>-8.3901475207850077E-3</c:v>
                </c:pt>
                <c:pt idx="678">
                  <c:v>-6.5673276457090058E-3</c:v>
                </c:pt>
                <c:pt idx="679">
                  <c:v>4.7959096058591555E-3</c:v>
                </c:pt>
                <c:pt idx="680">
                  <c:v>-2.4404499704391257E-3</c:v>
                </c:pt>
                <c:pt idx="681">
                  <c:v>-1.4566554616823138E-2</c:v>
                </c:pt>
                <c:pt idx="682">
                  <c:v>1.2258908699308386E-3</c:v>
                </c:pt>
                <c:pt idx="683">
                  <c:v>-1.5069589463638443E-2</c:v>
                </c:pt>
                <c:pt idx="684">
                  <c:v>2.5725456008521663E-2</c:v>
                </c:pt>
                <c:pt idx="685">
                  <c:v>1.1004049291644604E-2</c:v>
                </c:pt>
                <c:pt idx="686">
                  <c:v>-4.2854405014733261E-3</c:v>
                </c:pt>
                <c:pt idx="687">
                  <c:v>1.9494078461643648E-2</c:v>
                </c:pt>
                <c:pt idx="688">
                  <c:v>7.0756883708070891E-3</c:v>
                </c:pt>
                <c:pt idx="689">
                  <c:v>-5.3040718965374446E-3</c:v>
                </c:pt>
                <c:pt idx="690">
                  <c:v>-3.2721668791944121E-3</c:v>
                </c:pt>
                <c:pt idx="691">
                  <c:v>-3.8134046765495415E-3</c:v>
                </c:pt>
                <c:pt idx="692">
                  <c:v>1.3148759567243878E-2</c:v>
                </c:pt>
                <c:pt idx="693">
                  <c:v>3.0466048316461812E-3</c:v>
                </c:pt>
                <c:pt idx="694">
                  <c:v>4.9618694897862478E-3</c:v>
                </c:pt>
                <c:pt idx="695">
                  <c:v>1.5735543856164536E-2</c:v>
                </c:pt>
                <c:pt idx="696">
                  <c:v>3.5510853804811746E-3</c:v>
                </c:pt>
                <c:pt idx="697">
                  <c:v>-1.7082362969647377E-3</c:v>
                </c:pt>
                <c:pt idx="698">
                  <c:v>3.9704510333718164E-3</c:v>
                </c:pt>
                <c:pt idx="699">
                  <c:v>1.6226457130344622E-3</c:v>
                </c:pt>
                <c:pt idx="700">
                  <c:v>-3.8219038476989928E-3</c:v>
                </c:pt>
                <c:pt idx="701">
                  <c:v>-1.5178380406766022E-2</c:v>
                </c:pt>
                <c:pt idx="702">
                  <c:v>4.9562596134344631E-3</c:v>
                </c:pt>
                <c:pt idx="703">
                  <c:v>-6.0411907557985801E-3</c:v>
                </c:pt>
                <c:pt idx="704">
                  <c:v>-1.2924563596671948E-2</c:v>
                </c:pt>
                <c:pt idx="705">
                  <c:v>-2.8175386865109884E-4</c:v>
                </c:pt>
                <c:pt idx="706">
                  <c:v>1.7636990868951711E-2</c:v>
                </c:pt>
                <c:pt idx="707">
                  <c:v>-7.4874991701207594E-3</c:v>
                </c:pt>
                <c:pt idx="708">
                  <c:v>-1.8166696323927924E-3</c:v>
                </c:pt>
                <c:pt idx="709">
                  <c:v>8.2174342069594453E-3</c:v>
                </c:pt>
                <c:pt idx="710">
                  <c:v>-1.601246391382475E-2</c:v>
                </c:pt>
                <c:pt idx="711">
                  <c:v>-1.7411301781615547E-2</c:v>
                </c:pt>
                <c:pt idx="712">
                  <c:v>-1.3010884451812869E-2</c:v>
                </c:pt>
                <c:pt idx="713">
                  <c:v>-9.6464000973768439E-3</c:v>
                </c:pt>
                <c:pt idx="714">
                  <c:v>4.060702275481891E-3</c:v>
                </c:pt>
                <c:pt idx="715">
                  <c:v>2.7562351861624462E-2</c:v>
                </c:pt>
                <c:pt idx="716">
                  <c:v>-5.6843087532443826E-3</c:v>
                </c:pt>
                <c:pt idx="717">
                  <c:v>6.5840765453255862E-3</c:v>
                </c:pt>
                <c:pt idx="718">
                  <c:v>-4.7058198590495613E-2</c:v>
                </c:pt>
                <c:pt idx="719">
                  <c:v>-3.0531420185194089E-5</c:v>
                </c:pt>
                <c:pt idx="720">
                  <c:v>1.1088795251200316E-3</c:v>
                </c:pt>
                <c:pt idx="721">
                  <c:v>1.3232666609212388E-2</c:v>
                </c:pt>
                <c:pt idx="722">
                  <c:v>-1.5095719861738129E-4</c:v>
                </c:pt>
                <c:pt idx="723">
                  <c:v>-7.4812637709374945E-3</c:v>
                </c:pt>
                <c:pt idx="724">
                  <c:v>-2.8277408129444093E-3</c:v>
                </c:pt>
                <c:pt idx="725">
                  <c:v>-1.1969136169461552E-2</c:v>
                </c:pt>
                <c:pt idx="726">
                  <c:v>8.6373916448616445E-3</c:v>
                </c:pt>
                <c:pt idx="727">
                  <c:v>2.5901392267758668E-2</c:v>
                </c:pt>
                <c:pt idx="728">
                  <c:v>-1.4327360556956329E-2</c:v>
                </c:pt>
                <c:pt idx="729">
                  <c:v>3.8754939265330749E-3</c:v>
                </c:pt>
                <c:pt idx="730">
                  <c:v>1.0005995351324782E-2</c:v>
                </c:pt>
                <c:pt idx="731">
                  <c:v>-3.6734367088821118E-3</c:v>
                </c:pt>
                <c:pt idx="732">
                  <c:v>-4.7535972847419367E-5</c:v>
                </c:pt>
                <c:pt idx="733">
                  <c:v>2.081042726231626E-3</c:v>
                </c:pt>
                <c:pt idx="734">
                  <c:v>-3.3548768944742465E-3</c:v>
                </c:pt>
                <c:pt idx="735">
                  <c:v>-4.6454551038693183E-3</c:v>
                </c:pt>
                <c:pt idx="736">
                  <c:v>2.9672009298291283E-3</c:v>
                </c:pt>
                <c:pt idx="737">
                  <c:v>4.9126164126843596E-3</c:v>
                </c:pt>
                <c:pt idx="738">
                  <c:v>3.5266518768253515E-3</c:v>
                </c:pt>
                <c:pt idx="739">
                  <c:v>4.0496485516546355E-3</c:v>
                </c:pt>
                <c:pt idx="740">
                  <c:v>6.5212024288238786E-3</c:v>
                </c:pt>
                <c:pt idx="741">
                  <c:v>1.1227108850713362E-2</c:v>
                </c:pt>
                <c:pt idx="742">
                  <c:v>3.7562644797943621E-4</c:v>
                </c:pt>
                <c:pt idx="743">
                  <c:v>-7.1703397801570722E-3</c:v>
                </c:pt>
                <c:pt idx="744">
                  <c:v>5.8415386970052221E-3</c:v>
                </c:pt>
                <c:pt idx="745">
                  <c:v>1.1952193870856321E-2</c:v>
                </c:pt>
                <c:pt idx="746">
                  <c:v>-1.4165037505750461E-4</c:v>
                </c:pt>
                <c:pt idx="747">
                  <c:v>7.6545629979040666E-4</c:v>
                </c:pt>
                <c:pt idx="748">
                  <c:v>-3.3332425884083066E-3</c:v>
                </c:pt>
                <c:pt idx="749">
                  <c:v>5.4629046919795826E-6</c:v>
                </c:pt>
                <c:pt idx="750">
                  <c:v>-3.3050392835330378E-3</c:v>
                </c:pt>
                <c:pt idx="751">
                  <c:v>-2.2974116574073079E-3</c:v>
                </c:pt>
                <c:pt idx="752">
                  <c:v>-1.4810335283858236E-2</c:v>
                </c:pt>
                <c:pt idx="753">
                  <c:v>-1.6639369327751919E-4</c:v>
                </c:pt>
                <c:pt idx="754">
                  <c:v>4.2901469839915938E-3</c:v>
                </c:pt>
                <c:pt idx="755">
                  <c:v>-2.0962595638926084E-3</c:v>
                </c:pt>
                <c:pt idx="756">
                  <c:v>-8.0447138283392273E-4</c:v>
                </c:pt>
                <c:pt idx="757">
                  <c:v>1.4988492411185969E-3</c:v>
                </c:pt>
                <c:pt idx="758">
                  <c:v>2.8470661249403117E-3</c:v>
                </c:pt>
                <c:pt idx="759">
                  <c:v>-1.1379001948398733E-4</c:v>
                </c:pt>
                <c:pt idx="760">
                  <c:v>6.5834906720386279E-3</c:v>
                </c:pt>
                <c:pt idx="761">
                  <c:v>6.607649905189408E-3</c:v>
                </c:pt>
                <c:pt idx="762">
                  <c:v>9.7351914087729797E-3</c:v>
                </c:pt>
                <c:pt idx="763">
                  <c:v>-5.5556097629726733E-3</c:v>
                </c:pt>
                <c:pt idx="764">
                  <c:v>1.0186876416312949E-3</c:v>
                </c:pt>
                <c:pt idx="765">
                  <c:v>-1.4898828459812142E-3</c:v>
                </c:pt>
                <c:pt idx="766">
                  <c:v>2.3275979603522394E-3</c:v>
                </c:pt>
                <c:pt idx="767">
                  <c:v>8.5272574728579836E-3</c:v>
                </c:pt>
                <c:pt idx="768">
                  <c:v>-8.6258539103353394E-3</c:v>
                </c:pt>
                <c:pt idx="769">
                  <c:v>3.032866318792969E-3</c:v>
                </c:pt>
                <c:pt idx="770">
                  <c:v>-9.446309704321176E-3</c:v>
                </c:pt>
                <c:pt idx="771">
                  <c:v>1.9194160733624131E-3</c:v>
                </c:pt>
                <c:pt idx="772">
                  <c:v>-1.0255468307540324E-3</c:v>
                </c:pt>
                <c:pt idx="773">
                  <c:v>-5.3343781739222749E-3</c:v>
                </c:pt>
                <c:pt idx="774">
                  <c:v>5.1664682413058681E-3</c:v>
                </c:pt>
                <c:pt idx="775">
                  <c:v>-6.853071435749424E-3</c:v>
                </c:pt>
                <c:pt idx="776">
                  <c:v>-7.730334403592329E-3</c:v>
                </c:pt>
                <c:pt idx="777">
                  <c:v>2.6823850788830483E-3</c:v>
                </c:pt>
                <c:pt idx="778">
                  <c:v>-2.885720666865774E-2</c:v>
                </c:pt>
                <c:pt idx="779">
                  <c:v>3.5073742012127151E-3</c:v>
                </c:pt>
                <c:pt idx="780">
                  <c:v>1.0839564353050186E-2</c:v>
                </c:pt>
                <c:pt idx="781">
                  <c:v>7.7049531713292091E-3</c:v>
                </c:pt>
                <c:pt idx="782">
                  <c:v>-6.4606444395737825E-3</c:v>
                </c:pt>
                <c:pt idx="783">
                  <c:v>2.605914707512705E-4</c:v>
                </c:pt>
                <c:pt idx="784">
                  <c:v>5.7562235939132218E-4</c:v>
                </c:pt>
                <c:pt idx="785">
                  <c:v>-2.8829204951140591E-2</c:v>
                </c:pt>
                <c:pt idx="786">
                  <c:v>-8.9819092947808141E-3</c:v>
                </c:pt>
                <c:pt idx="787">
                  <c:v>3.8390003346677423E-3</c:v>
                </c:pt>
                <c:pt idx="788">
                  <c:v>1.8833741917377512E-2</c:v>
                </c:pt>
                <c:pt idx="789">
                  <c:v>-4.567239831056156E-3</c:v>
                </c:pt>
                <c:pt idx="790">
                  <c:v>-6.5616987295127847E-3</c:v>
                </c:pt>
                <c:pt idx="791">
                  <c:v>8.1382363365231011E-3</c:v>
                </c:pt>
                <c:pt idx="792">
                  <c:v>5.8524943606813257E-3</c:v>
                </c:pt>
                <c:pt idx="793">
                  <c:v>-3.8307528545885039E-3</c:v>
                </c:pt>
                <c:pt idx="794">
                  <c:v>-1.7742733334200816E-2</c:v>
                </c:pt>
                <c:pt idx="795">
                  <c:v>4.6537332003717411E-3</c:v>
                </c:pt>
                <c:pt idx="796">
                  <c:v>-6.1137787408901208E-4</c:v>
                </c:pt>
                <c:pt idx="797">
                  <c:v>7.3780564158839315E-3</c:v>
                </c:pt>
                <c:pt idx="798">
                  <c:v>6.5690084795115415E-4</c:v>
                </c:pt>
                <c:pt idx="799">
                  <c:v>8.7809412107237202E-3</c:v>
                </c:pt>
                <c:pt idx="800">
                  <c:v>1.1497816247988997E-2</c:v>
                </c:pt>
                <c:pt idx="801">
                  <c:v>-2.2759441657834146E-3</c:v>
                </c:pt>
                <c:pt idx="802">
                  <c:v>1.3335645894812526E-2</c:v>
                </c:pt>
                <c:pt idx="803">
                  <c:v>4.9696375356313265E-3</c:v>
                </c:pt>
                <c:pt idx="804">
                  <c:v>-2.7685749348147843E-2</c:v>
                </c:pt>
                <c:pt idx="805">
                  <c:v>5.9313872430531408E-4</c:v>
                </c:pt>
                <c:pt idx="806">
                  <c:v>4.1663555520750463E-3</c:v>
                </c:pt>
                <c:pt idx="807">
                  <c:v>-7.3512109197004108E-3</c:v>
                </c:pt>
                <c:pt idx="808">
                  <c:v>1.5021640068486346E-2</c:v>
                </c:pt>
                <c:pt idx="809">
                  <c:v>3.8258433311778341E-2</c:v>
                </c:pt>
                <c:pt idx="810">
                  <c:v>5.6842610763993056E-3</c:v>
                </c:pt>
                <c:pt idx="811">
                  <c:v>-5.20952971582468E-3</c:v>
                </c:pt>
                <c:pt idx="812">
                  <c:v>6.9084056275790428E-3</c:v>
                </c:pt>
                <c:pt idx="813">
                  <c:v>2.5193381956065846E-3</c:v>
                </c:pt>
                <c:pt idx="814">
                  <c:v>-1.3293552101498012E-3</c:v>
                </c:pt>
                <c:pt idx="815">
                  <c:v>-4.4312809803437447E-3</c:v>
                </c:pt>
                <c:pt idx="816">
                  <c:v>-8.4215778868615854E-3</c:v>
                </c:pt>
                <c:pt idx="817">
                  <c:v>-6.32390109866193E-3</c:v>
                </c:pt>
                <c:pt idx="818">
                  <c:v>-2.181692967457417E-3</c:v>
                </c:pt>
                <c:pt idx="819">
                  <c:v>1.1420318565048009E-2</c:v>
                </c:pt>
                <c:pt idx="820">
                  <c:v>-5.5472535581926989E-3</c:v>
                </c:pt>
                <c:pt idx="821">
                  <c:v>-6.206557426425118E-3</c:v>
                </c:pt>
                <c:pt idx="822">
                  <c:v>-6.234777624288145E-3</c:v>
                </c:pt>
                <c:pt idx="823">
                  <c:v>-9.0299519927443429E-3</c:v>
                </c:pt>
                <c:pt idx="824">
                  <c:v>-3.2284653198726747E-2</c:v>
                </c:pt>
                <c:pt idx="825">
                  <c:v>2.563077942734754E-3</c:v>
                </c:pt>
                <c:pt idx="826">
                  <c:v>-1.4738982483594728E-2</c:v>
                </c:pt>
                <c:pt idx="827">
                  <c:v>8.2331793160327397E-4</c:v>
                </c:pt>
                <c:pt idx="828">
                  <c:v>1.3707258352518105E-2</c:v>
                </c:pt>
                <c:pt idx="829">
                  <c:v>-1.8836667781189809E-2</c:v>
                </c:pt>
                <c:pt idx="830">
                  <c:v>1.3766976693168908E-3</c:v>
                </c:pt>
                <c:pt idx="831">
                  <c:v>7.040667920234155E-3</c:v>
                </c:pt>
                <c:pt idx="832">
                  <c:v>-1.0093690269896468E-3</c:v>
                </c:pt>
                <c:pt idx="833">
                  <c:v>2.7277940695779423E-3</c:v>
                </c:pt>
                <c:pt idx="834">
                  <c:v>-1.5323417021069197E-2</c:v>
                </c:pt>
                <c:pt idx="835">
                  <c:v>-1.1543994203615678E-2</c:v>
                </c:pt>
                <c:pt idx="836">
                  <c:v>1.4860434914442556E-3</c:v>
                </c:pt>
                <c:pt idx="837">
                  <c:v>1.2592632792115414E-2</c:v>
                </c:pt>
                <c:pt idx="838">
                  <c:v>7.5159179073901348E-3</c:v>
                </c:pt>
                <c:pt idx="839">
                  <c:v>4.1690143473914754E-3</c:v>
                </c:pt>
                <c:pt idx="840">
                  <c:v>8.8289675637672187E-4</c:v>
                </c:pt>
                <c:pt idx="841">
                  <c:v>-7.4771102002082392E-3</c:v>
                </c:pt>
                <c:pt idx="842">
                  <c:v>-1.21182878489214E-2</c:v>
                </c:pt>
                <c:pt idx="843">
                  <c:v>-2.1853117258879666E-2</c:v>
                </c:pt>
                <c:pt idx="844">
                  <c:v>6.3495283055403223E-3</c:v>
                </c:pt>
                <c:pt idx="845">
                  <c:v>-2.1165441355963121E-4</c:v>
                </c:pt>
                <c:pt idx="846">
                  <c:v>-3.6686512666710125E-4</c:v>
                </c:pt>
                <c:pt idx="847">
                  <c:v>4.399184081306828E-3</c:v>
                </c:pt>
                <c:pt idx="848">
                  <c:v>6.6793719372935014E-3</c:v>
                </c:pt>
                <c:pt idx="849">
                  <c:v>-2.7009574975252793E-2</c:v>
                </c:pt>
                <c:pt idx="850">
                  <c:v>4.2747137776410083E-3</c:v>
                </c:pt>
                <c:pt idx="851">
                  <c:v>9.3560587976815445E-3</c:v>
                </c:pt>
                <c:pt idx="852">
                  <c:v>7.0313346504567971E-3</c:v>
                </c:pt>
                <c:pt idx="853">
                  <c:v>9.8394063190747061E-3</c:v>
                </c:pt>
                <c:pt idx="854">
                  <c:v>-8.6324973730895881E-3</c:v>
                </c:pt>
                <c:pt idx="855">
                  <c:v>1.7927815749247403E-2</c:v>
                </c:pt>
                <c:pt idx="856">
                  <c:v>-1.5945557947558532E-3</c:v>
                </c:pt>
                <c:pt idx="857">
                  <c:v>6.0961219686025284E-3</c:v>
                </c:pt>
                <c:pt idx="858">
                  <c:v>-3.8981697437809854E-2</c:v>
                </c:pt>
                <c:pt idx="859">
                  <c:v>2.0139925688989417E-2</c:v>
                </c:pt>
                <c:pt idx="860">
                  <c:v>-2.6970834964039386E-3</c:v>
                </c:pt>
                <c:pt idx="861">
                  <c:v>-1.120275480167658E-2</c:v>
                </c:pt>
                <c:pt idx="862">
                  <c:v>5.8865220921343261E-3</c:v>
                </c:pt>
                <c:pt idx="863">
                  <c:v>2.1549882368743427E-3</c:v>
                </c:pt>
                <c:pt idx="864">
                  <c:v>-6.7777474847075803E-3</c:v>
                </c:pt>
                <c:pt idx="865">
                  <c:v>-5.9402842059108904E-3</c:v>
                </c:pt>
                <c:pt idx="866">
                  <c:v>1.392127061641186E-3</c:v>
                </c:pt>
                <c:pt idx="867">
                  <c:v>4.4757274028852231E-3</c:v>
                </c:pt>
                <c:pt idx="868">
                  <c:v>1.2547404085863823E-2</c:v>
                </c:pt>
                <c:pt idx="869">
                  <c:v>1.1612705036002317E-2</c:v>
                </c:pt>
                <c:pt idx="870">
                  <c:v>-6.4700602683752662E-3</c:v>
                </c:pt>
                <c:pt idx="871">
                  <c:v>-1.682237704132945E-2</c:v>
                </c:pt>
                <c:pt idx="872">
                  <c:v>-2.3642937589790556E-2</c:v>
                </c:pt>
                <c:pt idx="873">
                  <c:v>1.7487404389355185E-3</c:v>
                </c:pt>
                <c:pt idx="874">
                  <c:v>-1.5520382009752844E-2</c:v>
                </c:pt>
                <c:pt idx="875">
                  <c:v>6.1646801860325727E-3</c:v>
                </c:pt>
                <c:pt idx="876">
                  <c:v>-5.8207513979236652E-3</c:v>
                </c:pt>
                <c:pt idx="877">
                  <c:v>1.2556463931100857E-3</c:v>
                </c:pt>
                <c:pt idx="878">
                  <c:v>1.9699679526144001E-3</c:v>
                </c:pt>
                <c:pt idx="879">
                  <c:v>7.6052019581393671E-3</c:v>
                </c:pt>
                <c:pt idx="880">
                  <c:v>-3.1353161534824862E-3</c:v>
                </c:pt>
                <c:pt idx="881">
                  <c:v>-1.8530344435268189E-3</c:v>
                </c:pt>
                <c:pt idx="882">
                  <c:v>2.885769922916418E-3</c:v>
                </c:pt>
                <c:pt idx="883">
                  <c:v>2.1826943483975934E-2</c:v>
                </c:pt>
                <c:pt idx="884">
                  <c:v>8.6805407599478621E-3</c:v>
                </c:pt>
                <c:pt idx="885">
                  <c:v>1.6194665249821435E-2</c:v>
                </c:pt>
                <c:pt idx="886">
                  <c:v>9.4690167102810269E-3</c:v>
                </c:pt>
                <c:pt idx="887">
                  <c:v>-5.9188348705783598E-3</c:v>
                </c:pt>
                <c:pt idx="888">
                  <c:v>1.454052036143926E-2</c:v>
                </c:pt>
                <c:pt idx="889">
                  <c:v>1.7832322271188032E-2</c:v>
                </c:pt>
                <c:pt idx="890">
                  <c:v>-4.2487910866625123E-3</c:v>
                </c:pt>
                <c:pt idx="891">
                  <c:v>5.5271513713817154E-3</c:v>
                </c:pt>
                <c:pt idx="892">
                  <c:v>-4.4660110594789901E-3</c:v>
                </c:pt>
                <c:pt idx="893">
                  <c:v>-4.8491887354391765E-3</c:v>
                </c:pt>
                <c:pt idx="894">
                  <c:v>-1.0260765669108229E-2</c:v>
                </c:pt>
                <c:pt idx="895">
                  <c:v>1.2611770331844588E-2</c:v>
                </c:pt>
                <c:pt idx="896">
                  <c:v>-6.6433339067363713E-4</c:v>
                </c:pt>
                <c:pt idx="897">
                  <c:v>-7.0469382852958147E-3</c:v>
                </c:pt>
                <c:pt idx="898">
                  <c:v>-1.0249445942921783E-2</c:v>
                </c:pt>
                <c:pt idx="899">
                  <c:v>-2.0466520205554002E-3</c:v>
                </c:pt>
                <c:pt idx="900">
                  <c:v>-7.2719632865725367E-3</c:v>
                </c:pt>
                <c:pt idx="901">
                  <c:v>3.694728672066203E-3</c:v>
                </c:pt>
                <c:pt idx="902">
                  <c:v>2.5720671103382146E-3</c:v>
                </c:pt>
                <c:pt idx="903">
                  <c:v>-3.5555750248233435E-3</c:v>
                </c:pt>
                <c:pt idx="904">
                  <c:v>-1.0631516474820616E-2</c:v>
                </c:pt>
                <c:pt idx="905">
                  <c:v>2.5322927043635981E-5</c:v>
                </c:pt>
                <c:pt idx="906">
                  <c:v>-2.2529667685609409E-3</c:v>
                </c:pt>
                <c:pt idx="907">
                  <c:v>1.406405441740312E-3</c:v>
                </c:pt>
                <c:pt idx="908">
                  <c:v>2.9496860593921123E-3</c:v>
                </c:pt>
                <c:pt idx="909">
                  <c:v>-2.0470504546564764E-3</c:v>
                </c:pt>
                <c:pt idx="910">
                  <c:v>3.3216051964666919E-3</c:v>
                </c:pt>
                <c:pt idx="911">
                  <c:v>-1.5170944546053506E-3</c:v>
                </c:pt>
                <c:pt idx="912">
                  <c:v>-3.9470527893572908E-3</c:v>
                </c:pt>
                <c:pt idx="913">
                  <c:v>-2.2167911636692956E-3</c:v>
                </c:pt>
                <c:pt idx="914">
                  <c:v>-3.8124266875626707E-3</c:v>
                </c:pt>
                <c:pt idx="915">
                  <c:v>-7.2176238343432267E-3</c:v>
                </c:pt>
                <c:pt idx="916">
                  <c:v>-6.1941863971465387E-3</c:v>
                </c:pt>
                <c:pt idx="917">
                  <c:v>-9.1857603383144225E-4</c:v>
                </c:pt>
                <c:pt idx="918">
                  <c:v>-7.5190670434262643E-3</c:v>
                </c:pt>
                <c:pt idx="919">
                  <c:v>1.3080434591549422E-2</c:v>
                </c:pt>
                <c:pt idx="920">
                  <c:v>8.9107236327000718E-3</c:v>
                </c:pt>
                <c:pt idx="921">
                  <c:v>-2.001530412062504E-3</c:v>
                </c:pt>
                <c:pt idx="922">
                  <c:v>-1.0166976669314102E-2</c:v>
                </c:pt>
                <c:pt idx="923">
                  <c:v>2.7992976032979503E-3</c:v>
                </c:pt>
                <c:pt idx="924">
                  <c:v>2.018786408604967E-3</c:v>
                </c:pt>
                <c:pt idx="925">
                  <c:v>3.3662770523905398E-3</c:v>
                </c:pt>
                <c:pt idx="926">
                  <c:v>6.3116635062802967E-3</c:v>
                </c:pt>
                <c:pt idx="927">
                  <c:v>1.3197098296573428E-2</c:v>
                </c:pt>
                <c:pt idx="928">
                  <c:v>-1.7865033608416515E-3</c:v>
                </c:pt>
                <c:pt idx="929">
                  <c:v>3.0031899537248659E-3</c:v>
                </c:pt>
                <c:pt idx="930">
                  <c:v>-1.3304387131131655E-3</c:v>
                </c:pt>
                <c:pt idx="931">
                  <c:v>-3.5188782099030485E-3</c:v>
                </c:pt>
                <c:pt idx="932">
                  <c:v>1.8706343731089939E-3</c:v>
                </c:pt>
                <c:pt idx="933">
                  <c:v>-3.260488355670312E-3</c:v>
                </c:pt>
                <c:pt idx="934">
                  <c:v>-4.6020715877803237E-3</c:v>
                </c:pt>
                <c:pt idx="935">
                  <c:v>2.0071631367882506E-3</c:v>
                </c:pt>
                <c:pt idx="936">
                  <c:v>9.2446663731624527E-3</c:v>
                </c:pt>
                <c:pt idx="937">
                  <c:v>-2.1079404775014958E-3</c:v>
                </c:pt>
                <c:pt idx="938">
                  <c:v>1.8140809131349123E-3</c:v>
                </c:pt>
                <c:pt idx="939">
                  <c:v>3.1684191874254385E-3</c:v>
                </c:pt>
                <c:pt idx="940">
                  <c:v>-3.7124033850621727E-3</c:v>
                </c:pt>
                <c:pt idx="941">
                  <c:v>-1.5406250103697462E-2</c:v>
                </c:pt>
                <c:pt idx="942">
                  <c:v>1.512276230903052E-3</c:v>
                </c:pt>
                <c:pt idx="943">
                  <c:v>-1.1117507574601183E-2</c:v>
                </c:pt>
                <c:pt idx="944">
                  <c:v>3.0220953502317978E-3</c:v>
                </c:pt>
                <c:pt idx="945">
                  <c:v>1.3183920575136177E-2</c:v>
                </c:pt>
                <c:pt idx="946">
                  <c:v>3.2505204061642249E-3</c:v>
                </c:pt>
                <c:pt idx="947">
                  <c:v>3.4836435402039365E-3</c:v>
                </c:pt>
                <c:pt idx="948">
                  <c:v>-5.5689248292557069E-3</c:v>
                </c:pt>
                <c:pt idx="949">
                  <c:v>4.5644252921483745E-3</c:v>
                </c:pt>
                <c:pt idx="950">
                  <c:v>5.1846299030426646E-3</c:v>
                </c:pt>
                <c:pt idx="951">
                  <c:v>1.5045654408243446E-2</c:v>
                </c:pt>
                <c:pt idx="952">
                  <c:v>4.4679330005848381E-3</c:v>
                </c:pt>
                <c:pt idx="953">
                  <c:v>-5.6185524546357437E-3</c:v>
                </c:pt>
                <c:pt idx="954">
                  <c:v>-1.259718889925894E-3</c:v>
                </c:pt>
                <c:pt idx="955">
                  <c:v>4.3671438435305748E-3</c:v>
                </c:pt>
                <c:pt idx="956">
                  <c:v>-3.8160932910692724E-3</c:v>
                </c:pt>
                <c:pt idx="957">
                  <c:v>-2.0896913851842841E-3</c:v>
                </c:pt>
                <c:pt idx="958">
                  <c:v>7.2431140101259363E-4</c:v>
                </c:pt>
                <c:pt idx="959">
                  <c:v>3.9154663375832221E-3</c:v>
                </c:pt>
                <c:pt idx="960">
                  <c:v>-1.1253564638230846E-3</c:v>
                </c:pt>
                <c:pt idx="961">
                  <c:v>5.4430576644627301E-4</c:v>
                </c:pt>
                <c:pt idx="962">
                  <c:v>7.7102997064356401E-4</c:v>
                </c:pt>
                <c:pt idx="963">
                  <c:v>-2.0155004817553796E-2</c:v>
                </c:pt>
                <c:pt idx="964">
                  <c:v>7.1842256510013715E-3</c:v>
                </c:pt>
                <c:pt idx="965">
                  <c:v>-5.8904614879218709E-4</c:v>
                </c:pt>
                <c:pt idx="966">
                  <c:v>1.0600106780313653E-3</c:v>
                </c:pt>
                <c:pt idx="967">
                  <c:v>-5.7419152738436979E-3</c:v>
                </c:pt>
                <c:pt idx="968">
                  <c:v>-1.2750384933843581E-2</c:v>
                </c:pt>
                <c:pt idx="969">
                  <c:v>-1.7477849895235257E-3</c:v>
                </c:pt>
                <c:pt idx="970">
                  <c:v>6.7248532376310254E-3</c:v>
                </c:pt>
                <c:pt idx="971">
                  <c:v>-4.0096328751635978E-3</c:v>
                </c:pt>
                <c:pt idx="972">
                  <c:v>1.1204848984228521E-3</c:v>
                </c:pt>
                <c:pt idx="973">
                  <c:v>-3.7826500277708319E-3</c:v>
                </c:pt>
                <c:pt idx="974">
                  <c:v>4.1826600755165734E-3</c:v>
                </c:pt>
                <c:pt idx="975">
                  <c:v>5.5904090443803945E-4</c:v>
                </c:pt>
                <c:pt idx="976">
                  <c:v>-1.3365879511098154E-2</c:v>
                </c:pt>
                <c:pt idx="977">
                  <c:v>2.9558210149840882E-3</c:v>
                </c:pt>
                <c:pt idx="978">
                  <c:v>-8.0060085013903496E-3</c:v>
                </c:pt>
                <c:pt idx="979">
                  <c:v>-2.7784896665480521E-2</c:v>
                </c:pt>
                <c:pt idx="980">
                  <c:v>-1.2290481755453097E-2</c:v>
                </c:pt>
                <c:pt idx="981">
                  <c:v>1.2592872562234302E-2</c:v>
                </c:pt>
                <c:pt idx="982">
                  <c:v>-4.245408881346298E-3</c:v>
                </c:pt>
                <c:pt idx="983">
                  <c:v>1.2250310064231355E-2</c:v>
                </c:pt>
                <c:pt idx="984">
                  <c:v>-8.7722225487334628E-3</c:v>
                </c:pt>
                <c:pt idx="985">
                  <c:v>-1.3151802217476138E-2</c:v>
                </c:pt>
                <c:pt idx="986">
                  <c:v>1.1912596491344152E-2</c:v>
                </c:pt>
                <c:pt idx="987">
                  <c:v>1.6934462297486463E-2</c:v>
                </c:pt>
                <c:pt idx="988">
                  <c:v>9.783414088660675E-3</c:v>
                </c:pt>
                <c:pt idx="989">
                  <c:v>-4.5389174316872111E-3</c:v>
                </c:pt>
                <c:pt idx="990">
                  <c:v>-2.248057131268336E-3</c:v>
                </c:pt>
                <c:pt idx="991">
                  <c:v>4.3769872691436472E-3</c:v>
                </c:pt>
                <c:pt idx="992">
                  <c:v>7.1415344155744999E-3</c:v>
                </c:pt>
                <c:pt idx="993">
                  <c:v>-1.2260190326066896E-2</c:v>
                </c:pt>
                <c:pt idx="994">
                  <c:v>7.3260525429603325E-3</c:v>
                </c:pt>
                <c:pt idx="995">
                  <c:v>-1.0612354937931917E-3</c:v>
                </c:pt>
                <c:pt idx="996">
                  <c:v>1.1210014181196012E-3</c:v>
                </c:pt>
                <c:pt idx="997">
                  <c:v>-1.1774367590933177E-2</c:v>
                </c:pt>
                <c:pt idx="998">
                  <c:v>-1.4946637750490028E-2</c:v>
                </c:pt>
                <c:pt idx="999">
                  <c:v>-3.4705789795006409E-2</c:v>
                </c:pt>
                <c:pt idx="1000">
                  <c:v>1.1707202062687503E-2</c:v>
                </c:pt>
                <c:pt idx="1001">
                  <c:v>1.0437963975749389E-3</c:v>
                </c:pt>
                <c:pt idx="1002">
                  <c:v>-1.0908647034192235E-2</c:v>
                </c:pt>
                <c:pt idx="1003">
                  <c:v>9.2715107641675777E-4</c:v>
                </c:pt>
                <c:pt idx="1004">
                  <c:v>1.5920989689048422E-2</c:v>
                </c:pt>
                <c:pt idx="1005">
                  <c:v>1.8672074334955376E-2</c:v>
                </c:pt>
                <c:pt idx="1006">
                  <c:v>2.668424452493276E-2</c:v>
                </c:pt>
                <c:pt idx="1007">
                  <c:v>-9.6948259742014806E-3</c:v>
                </c:pt>
                <c:pt idx="1008">
                  <c:v>-1.4320207918165771E-2</c:v>
                </c:pt>
                <c:pt idx="1009">
                  <c:v>2.0109467293116093E-2</c:v>
                </c:pt>
                <c:pt idx="1010">
                  <c:v>-1.3060241840666855E-3</c:v>
                </c:pt>
                <c:pt idx="1011">
                  <c:v>2.7959174730440199E-3</c:v>
                </c:pt>
                <c:pt idx="1012">
                  <c:v>-6.4406430970470885E-3</c:v>
                </c:pt>
                <c:pt idx="1013">
                  <c:v>1.7780809840884058E-2</c:v>
                </c:pt>
                <c:pt idx="1014">
                  <c:v>8.0598153421265317E-3</c:v>
                </c:pt>
                <c:pt idx="1015">
                  <c:v>4.8301220824434037E-3</c:v>
                </c:pt>
                <c:pt idx="1016">
                  <c:v>1.7814258309261987E-2</c:v>
                </c:pt>
                <c:pt idx="1017">
                  <c:v>-1.7067770216539584E-2</c:v>
                </c:pt>
                <c:pt idx="1018">
                  <c:v>-5.9484765623319725E-4</c:v>
                </c:pt>
                <c:pt idx="1019">
                  <c:v>-1.3586563734884588E-2</c:v>
                </c:pt>
                <c:pt idx="1020">
                  <c:v>4.2937864640136278E-3</c:v>
                </c:pt>
                <c:pt idx="1021">
                  <c:v>-6.005780745447502E-3</c:v>
                </c:pt>
                <c:pt idx="1022">
                  <c:v>9.7276809242755361E-4</c:v>
                </c:pt>
                <c:pt idx="1023">
                  <c:v>-1.0821620672488715E-2</c:v>
                </c:pt>
                <c:pt idx="1024">
                  <c:v>6.7906388511084102E-3</c:v>
                </c:pt>
                <c:pt idx="1025">
                  <c:v>5.3177252951416183E-3</c:v>
                </c:pt>
                <c:pt idx="1026">
                  <c:v>-7.993907830429671E-3</c:v>
                </c:pt>
                <c:pt idx="1027">
                  <c:v>-3.201634927425119E-3</c:v>
                </c:pt>
                <c:pt idx="1028">
                  <c:v>1.8760550813897729E-3</c:v>
                </c:pt>
                <c:pt idx="1029">
                  <c:v>-6.7124148535225537E-3</c:v>
                </c:pt>
                <c:pt idx="1030">
                  <c:v>-2.4092596537628715E-3</c:v>
                </c:pt>
                <c:pt idx="1031">
                  <c:v>6.3868425747604183E-3</c:v>
                </c:pt>
                <c:pt idx="1032">
                  <c:v>1.6378303100400154E-2</c:v>
                </c:pt>
                <c:pt idx="1033">
                  <c:v>2.3545491932167729E-3</c:v>
                </c:pt>
                <c:pt idx="1034">
                  <c:v>-2.4047691853590829E-3</c:v>
                </c:pt>
                <c:pt idx="1035">
                  <c:v>5.8643236467959383E-4</c:v>
                </c:pt>
                <c:pt idx="1036">
                  <c:v>5.4791069304742793E-3</c:v>
                </c:pt>
                <c:pt idx="1037">
                  <c:v>5.009674035734578E-3</c:v>
                </c:pt>
                <c:pt idx="1038">
                  <c:v>1.5069195554275284E-3</c:v>
                </c:pt>
                <c:pt idx="1039">
                  <c:v>-9.6567228542038534E-4</c:v>
                </c:pt>
                <c:pt idx="1040">
                  <c:v>1.3776881479361242E-3</c:v>
                </c:pt>
                <c:pt idx="1041">
                  <c:v>-4.2974119526084506E-3</c:v>
                </c:pt>
                <c:pt idx="1042">
                  <c:v>-8.7336118860010959E-3</c:v>
                </c:pt>
                <c:pt idx="1043">
                  <c:v>-9.9564601457296717E-3</c:v>
                </c:pt>
                <c:pt idx="1044">
                  <c:v>-9.8904039620254175E-4</c:v>
                </c:pt>
                <c:pt idx="1045">
                  <c:v>-1.2277514691283782E-2</c:v>
                </c:pt>
                <c:pt idx="1046">
                  <c:v>-1.0750171512354974E-2</c:v>
                </c:pt>
                <c:pt idx="1047">
                  <c:v>1.4601153421018628E-3</c:v>
                </c:pt>
                <c:pt idx="1048">
                  <c:v>2.0499810376754012E-3</c:v>
                </c:pt>
                <c:pt idx="1049">
                  <c:v>-5.0515974978526269E-3</c:v>
                </c:pt>
                <c:pt idx="1050">
                  <c:v>-7.9087479930363077E-4</c:v>
                </c:pt>
                <c:pt idx="1051">
                  <c:v>3.8265072455949422E-3</c:v>
                </c:pt>
                <c:pt idx="1052">
                  <c:v>-2.7731924562565398E-3</c:v>
                </c:pt>
                <c:pt idx="1053">
                  <c:v>-5.0799826522503044E-3</c:v>
                </c:pt>
                <c:pt idx="1054">
                  <c:v>7.5313841267952021E-4</c:v>
                </c:pt>
                <c:pt idx="1055">
                  <c:v>1.5956331207047786E-2</c:v>
                </c:pt>
                <c:pt idx="1056">
                  <c:v>-7.4655106739900398E-3</c:v>
                </c:pt>
                <c:pt idx="1057">
                  <c:v>-5.337125293229778E-3</c:v>
                </c:pt>
                <c:pt idx="1058">
                  <c:v>-7.8296210202361005E-4</c:v>
                </c:pt>
                <c:pt idx="1059">
                  <c:v>8.0729139842999429E-3</c:v>
                </c:pt>
                <c:pt idx="1060">
                  <c:v>1.9810073505864135E-3</c:v>
                </c:pt>
                <c:pt idx="1061">
                  <c:v>1.0227446267355846E-3</c:v>
                </c:pt>
                <c:pt idx="1062">
                  <c:v>5.0038934907890341E-3</c:v>
                </c:pt>
                <c:pt idx="1063">
                  <c:v>1.2680462964220424E-3</c:v>
                </c:pt>
                <c:pt idx="1064">
                  <c:v>1.255526633273538E-2</c:v>
                </c:pt>
                <c:pt idx="1065">
                  <c:v>2.2376219950244135E-3</c:v>
                </c:pt>
                <c:pt idx="1066">
                  <c:v>8.8645674724656971E-3</c:v>
                </c:pt>
                <c:pt idx="1067">
                  <c:v>2.8202839529604187E-3</c:v>
                </c:pt>
                <c:pt idx="1068">
                  <c:v>8.3401373468796544E-3</c:v>
                </c:pt>
                <c:pt idx="1069">
                  <c:v>3.8230150802668807E-3</c:v>
                </c:pt>
                <c:pt idx="1070">
                  <c:v>1.3946991453375396E-4</c:v>
                </c:pt>
                <c:pt idx="1071">
                  <c:v>3.520233383538675E-3</c:v>
                </c:pt>
                <c:pt idx="1072">
                  <c:v>-9.7649305264574538E-3</c:v>
                </c:pt>
                <c:pt idx="1073">
                  <c:v>-1.0893749840124761E-2</c:v>
                </c:pt>
                <c:pt idx="1074">
                  <c:v>-7.2234101717971004E-3</c:v>
                </c:pt>
                <c:pt idx="1075">
                  <c:v>6.102989778441612E-3</c:v>
                </c:pt>
                <c:pt idx="1076">
                  <c:v>3.9188755259146535E-3</c:v>
                </c:pt>
                <c:pt idx="1077">
                  <c:v>5.5120110645161821E-3</c:v>
                </c:pt>
                <c:pt idx="1078">
                  <c:v>6.3253513138520883E-3</c:v>
                </c:pt>
                <c:pt idx="1079">
                  <c:v>-3.44353388138621E-3</c:v>
                </c:pt>
                <c:pt idx="1080">
                  <c:v>-8.685671068901479E-3</c:v>
                </c:pt>
                <c:pt idx="1081">
                  <c:v>3.440135801814361E-3</c:v>
                </c:pt>
                <c:pt idx="1082">
                  <c:v>-9.8851684506043782E-3</c:v>
                </c:pt>
                <c:pt idx="1083">
                  <c:v>-2.1083160411130759E-3</c:v>
                </c:pt>
                <c:pt idx="1084">
                  <c:v>-4.4142722786362065E-4</c:v>
                </c:pt>
                <c:pt idx="1085">
                  <c:v>-6.8567012697307267E-4</c:v>
                </c:pt>
                <c:pt idx="1086">
                  <c:v>-1.648393121063259E-3</c:v>
                </c:pt>
                <c:pt idx="1087">
                  <c:v>8.4787306170828556E-3</c:v>
                </c:pt>
                <c:pt idx="1088">
                  <c:v>7.6323601429253403E-3</c:v>
                </c:pt>
                <c:pt idx="1089">
                  <c:v>-7.8728743083364156E-3</c:v>
                </c:pt>
                <c:pt idx="1090">
                  <c:v>-1.5506381323446314E-3</c:v>
                </c:pt>
                <c:pt idx="1091">
                  <c:v>1.9993351701760053E-3</c:v>
                </c:pt>
                <c:pt idx="1092">
                  <c:v>6.8258139521388036E-3</c:v>
                </c:pt>
                <c:pt idx="1093">
                  <c:v>6.5888493181675374E-3</c:v>
                </c:pt>
                <c:pt idx="1094">
                  <c:v>4.9230689945430565E-3</c:v>
                </c:pt>
                <c:pt idx="1095">
                  <c:v>-1.0711261984433744E-2</c:v>
                </c:pt>
                <c:pt idx="1096">
                  <c:v>5.6827686043534262E-3</c:v>
                </c:pt>
                <c:pt idx="1097">
                  <c:v>-3.162640323819214E-3</c:v>
                </c:pt>
                <c:pt idx="1098">
                  <c:v>-5.6537425611642503E-3</c:v>
                </c:pt>
                <c:pt idx="1099">
                  <c:v>1.7093539701289834E-5</c:v>
                </c:pt>
                <c:pt idx="1100">
                  <c:v>-3.1868072871163045E-3</c:v>
                </c:pt>
                <c:pt idx="1101">
                  <c:v>-1.6657609680107515E-3</c:v>
                </c:pt>
                <c:pt idx="1102">
                  <c:v>-1.6573635320510025E-2</c:v>
                </c:pt>
                <c:pt idx="1103">
                  <c:v>-7.3061921823593299E-5</c:v>
                </c:pt>
                <c:pt idx="1104">
                  <c:v>-1.0276651836719056E-2</c:v>
                </c:pt>
                <c:pt idx="1105">
                  <c:v>-1.1911579885141132E-3</c:v>
                </c:pt>
                <c:pt idx="1106">
                  <c:v>-2.276650347520072E-3</c:v>
                </c:pt>
                <c:pt idx="1107">
                  <c:v>3.2332211534144346E-2</c:v>
                </c:pt>
                <c:pt idx="1108">
                  <c:v>1.597378086659527E-3</c:v>
                </c:pt>
                <c:pt idx="1109">
                  <c:v>5.9118252426622372E-2</c:v>
                </c:pt>
                <c:pt idx="1110">
                  <c:v>-9.1200454453413734E-3</c:v>
                </c:pt>
                <c:pt idx="1111">
                  <c:v>1.17049694859349E-3</c:v>
                </c:pt>
                <c:pt idx="1112">
                  <c:v>1.5105681913935968E-2</c:v>
                </c:pt>
                <c:pt idx="1113">
                  <c:v>1.6556695826354887E-3</c:v>
                </c:pt>
                <c:pt idx="1114">
                  <c:v>6.2526927902320124E-3</c:v>
                </c:pt>
                <c:pt idx="1115">
                  <c:v>1.3855134283115085E-2</c:v>
                </c:pt>
                <c:pt idx="1116">
                  <c:v>8.895680603675498E-3</c:v>
                </c:pt>
                <c:pt idx="1117">
                  <c:v>-6.2440312471410998E-3</c:v>
                </c:pt>
                <c:pt idx="1118">
                  <c:v>-4.9579967732619303E-3</c:v>
                </c:pt>
                <c:pt idx="1119">
                  <c:v>-5.455722562641808E-4</c:v>
                </c:pt>
                <c:pt idx="1120">
                  <c:v>-6.1624046697535009E-4</c:v>
                </c:pt>
                <c:pt idx="1121">
                  <c:v>1.482465744357184E-3</c:v>
                </c:pt>
                <c:pt idx="1122">
                  <c:v>7.5466333143549271E-3</c:v>
                </c:pt>
                <c:pt idx="1123">
                  <c:v>1.0163212815052339E-2</c:v>
                </c:pt>
                <c:pt idx="1124">
                  <c:v>3.863515417668939E-3</c:v>
                </c:pt>
                <c:pt idx="1125">
                  <c:v>7.2433738444455395E-3</c:v>
                </c:pt>
                <c:pt idx="1126">
                  <c:v>7.012186842796077E-3</c:v>
                </c:pt>
                <c:pt idx="1127">
                  <c:v>8.8707057398909935E-3</c:v>
                </c:pt>
                <c:pt idx="1128">
                  <c:v>1.8997621081116148E-2</c:v>
                </c:pt>
                <c:pt idx="1129">
                  <c:v>4.0785192503985882E-3</c:v>
                </c:pt>
                <c:pt idx="1130">
                  <c:v>1.1072868827816483E-2</c:v>
                </c:pt>
                <c:pt idx="1131">
                  <c:v>-3.1451125869100117E-3</c:v>
                </c:pt>
                <c:pt idx="1132">
                  <c:v>-5.2395354319728844E-4</c:v>
                </c:pt>
                <c:pt idx="1133">
                  <c:v>-4.1053223262559942E-3</c:v>
                </c:pt>
                <c:pt idx="1134">
                  <c:v>-1.9766565914903517E-2</c:v>
                </c:pt>
                <c:pt idx="1135">
                  <c:v>1.6820219853248417E-2</c:v>
                </c:pt>
                <c:pt idx="1136">
                  <c:v>-8.6933623070607289E-3</c:v>
                </c:pt>
                <c:pt idx="1137">
                  <c:v>1.288603620205188E-2</c:v>
                </c:pt>
                <c:pt idx="1138">
                  <c:v>2.9189829920453023E-3</c:v>
                </c:pt>
                <c:pt idx="1139">
                  <c:v>-8.6340682476848344E-3</c:v>
                </c:pt>
                <c:pt idx="1140">
                  <c:v>3.7263406653410486E-3</c:v>
                </c:pt>
                <c:pt idx="1141">
                  <c:v>-2.2213788730831899E-3</c:v>
                </c:pt>
                <c:pt idx="1142">
                  <c:v>-1.5980176898944803E-2</c:v>
                </c:pt>
                <c:pt idx="1143">
                  <c:v>-6.3332557044078056E-4</c:v>
                </c:pt>
                <c:pt idx="1144">
                  <c:v>1.5395030146757352E-5</c:v>
                </c:pt>
                <c:pt idx="1145">
                  <c:v>7.0042091051556038E-3</c:v>
                </c:pt>
                <c:pt idx="1146">
                  <c:v>-1.6659420708697182E-3</c:v>
                </c:pt>
                <c:pt idx="1147">
                  <c:v>-4.0401743526123747E-3</c:v>
                </c:pt>
                <c:pt idx="1148">
                  <c:v>-1.4916190680392646E-2</c:v>
                </c:pt>
                <c:pt idx="1149">
                  <c:v>-1.1243433615399149E-2</c:v>
                </c:pt>
                <c:pt idx="1150">
                  <c:v>-2.6860246234421122E-2</c:v>
                </c:pt>
                <c:pt idx="1151">
                  <c:v>6.8938530180938738E-3</c:v>
                </c:pt>
                <c:pt idx="1152">
                  <c:v>8.7121366770647225E-3</c:v>
                </c:pt>
                <c:pt idx="1153">
                  <c:v>-4.724397045381145E-3</c:v>
                </c:pt>
                <c:pt idx="1154">
                  <c:v>6.9483340616747682E-3</c:v>
                </c:pt>
                <c:pt idx="1155">
                  <c:v>-1.0989449997019381E-3</c:v>
                </c:pt>
                <c:pt idx="1156">
                  <c:v>5.6002078797164944E-3</c:v>
                </c:pt>
                <c:pt idx="1157">
                  <c:v>-3.2110155545722685E-3</c:v>
                </c:pt>
                <c:pt idx="1158">
                  <c:v>-7.7910021272964312E-3</c:v>
                </c:pt>
                <c:pt idx="1159">
                  <c:v>1.8135117502508622E-3</c:v>
                </c:pt>
                <c:pt idx="1160">
                  <c:v>1.2969687823804533E-3</c:v>
                </c:pt>
                <c:pt idx="1161">
                  <c:v>2.2663721069308604E-3</c:v>
                </c:pt>
                <c:pt idx="1162">
                  <c:v>1.833957657019018E-3</c:v>
                </c:pt>
                <c:pt idx="1163">
                  <c:v>1.674614321661255E-3</c:v>
                </c:pt>
                <c:pt idx="1164">
                  <c:v>3.9944086990111787E-4</c:v>
                </c:pt>
                <c:pt idx="1165">
                  <c:v>8.103409087940449E-3</c:v>
                </c:pt>
                <c:pt idx="1166">
                  <c:v>2.8437699561146405E-3</c:v>
                </c:pt>
                <c:pt idx="1167">
                  <c:v>-9.0640081780662594E-4</c:v>
                </c:pt>
                <c:pt idx="1168">
                  <c:v>-1.8489332314817598E-3</c:v>
                </c:pt>
                <c:pt idx="1169">
                  <c:v>2.1481998784672529E-3</c:v>
                </c:pt>
                <c:pt idx="1170">
                  <c:v>-3.7801655834487293E-3</c:v>
                </c:pt>
                <c:pt idx="1171">
                  <c:v>8.532725508131932E-3</c:v>
                </c:pt>
                <c:pt idx="1172">
                  <c:v>2.7820742795817617E-3</c:v>
                </c:pt>
                <c:pt idx="1173">
                  <c:v>6.9087277144714524E-3</c:v>
                </c:pt>
                <c:pt idx="1174">
                  <c:v>8.5966750517152656E-3</c:v>
                </c:pt>
                <c:pt idx="1175">
                  <c:v>5.0774399088884012E-4</c:v>
                </c:pt>
                <c:pt idx="1176">
                  <c:v>4.7978611061939291E-3</c:v>
                </c:pt>
                <c:pt idx="1177">
                  <c:v>8.5236467357024184E-3</c:v>
                </c:pt>
                <c:pt idx="1178">
                  <c:v>7.4423338560761663E-3</c:v>
                </c:pt>
                <c:pt idx="1179">
                  <c:v>5.5649481050187048E-3</c:v>
                </c:pt>
                <c:pt idx="1180">
                  <c:v>1.4798742959801943E-2</c:v>
                </c:pt>
                <c:pt idx="1181">
                  <c:v>4.5743408170815557E-3</c:v>
                </c:pt>
                <c:pt idx="1182">
                  <c:v>-3.8614340705236203E-3</c:v>
                </c:pt>
                <c:pt idx="1183">
                  <c:v>-2.4569999765787485E-3</c:v>
                </c:pt>
                <c:pt idx="1184">
                  <c:v>1.8576214842715027E-2</c:v>
                </c:pt>
                <c:pt idx="1185">
                  <c:v>6.965865371909164E-3</c:v>
                </c:pt>
                <c:pt idx="1186">
                  <c:v>7.858189875306296E-3</c:v>
                </c:pt>
                <c:pt idx="1187">
                  <c:v>-8.9676036507187803E-5</c:v>
                </c:pt>
                <c:pt idx="1188">
                  <c:v>1.1194844536173379E-3</c:v>
                </c:pt>
                <c:pt idx="1189">
                  <c:v>6.4703751487524665E-4</c:v>
                </c:pt>
                <c:pt idx="1190">
                  <c:v>-3.9084490523551233E-3</c:v>
                </c:pt>
                <c:pt idx="1191">
                  <c:v>1.0292306771497233E-2</c:v>
                </c:pt>
                <c:pt idx="1192">
                  <c:v>9.583370643434579E-3</c:v>
                </c:pt>
                <c:pt idx="1193">
                  <c:v>7.3252602964697811E-3</c:v>
                </c:pt>
                <c:pt idx="1194">
                  <c:v>6.577528718672984E-3</c:v>
                </c:pt>
                <c:pt idx="1195">
                  <c:v>8.9995660459308378E-3</c:v>
                </c:pt>
                <c:pt idx="1196">
                  <c:v>1.4392282793726154E-2</c:v>
                </c:pt>
                <c:pt idx="1197">
                  <c:v>-2.4141173399697367E-3</c:v>
                </c:pt>
                <c:pt idx="1198">
                  <c:v>9.2276980726181627E-3</c:v>
                </c:pt>
                <c:pt idx="1199">
                  <c:v>2.0113108036717682E-2</c:v>
                </c:pt>
                <c:pt idx="1200">
                  <c:v>2.0343987670682375E-2</c:v>
                </c:pt>
                <c:pt idx="1201">
                  <c:v>2.0852089215877348E-3</c:v>
                </c:pt>
                <c:pt idx="1202">
                  <c:v>2.1308305225318483E-3</c:v>
                </c:pt>
                <c:pt idx="1203">
                  <c:v>1.0197782870092506E-2</c:v>
                </c:pt>
                <c:pt idx="1204">
                  <c:v>-5.705899258093664E-3</c:v>
                </c:pt>
                <c:pt idx="1205">
                  <c:v>8.599195748071949E-4</c:v>
                </c:pt>
                <c:pt idx="1206">
                  <c:v>5.9963911955264832E-3</c:v>
                </c:pt>
                <c:pt idx="1207">
                  <c:v>1.341429043735573E-2</c:v>
                </c:pt>
                <c:pt idx="1208">
                  <c:v>1.25911272370252E-2</c:v>
                </c:pt>
                <c:pt idx="1209">
                  <c:v>4.4565682353659023E-3</c:v>
                </c:pt>
                <c:pt idx="1210">
                  <c:v>1.0151869068063443E-2</c:v>
                </c:pt>
                <c:pt idx="1211">
                  <c:v>1.7925334166693733E-2</c:v>
                </c:pt>
                <c:pt idx="1212">
                  <c:v>-5.6958991071324339E-3</c:v>
                </c:pt>
                <c:pt idx="1213">
                  <c:v>4.5967732337874357E-4</c:v>
                </c:pt>
                <c:pt idx="1214">
                  <c:v>1.9239090405782488E-2</c:v>
                </c:pt>
                <c:pt idx="1215">
                  <c:v>1.433104370554979E-2</c:v>
                </c:pt>
                <c:pt idx="1216">
                  <c:v>7.2357565718769263E-3</c:v>
                </c:pt>
                <c:pt idx="1217">
                  <c:v>1.190928558407179E-2</c:v>
                </c:pt>
                <c:pt idx="1218">
                  <c:v>1.4727946220332034E-2</c:v>
                </c:pt>
                <c:pt idx="1219">
                  <c:v>2.3263205583354804E-2</c:v>
                </c:pt>
                <c:pt idx="1220">
                  <c:v>-3.190703982853294E-3</c:v>
                </c:pt>
                <c:pt idx="1221">
                  <c:v>6.2783725404026349E-3</c:v>
                </c:pt>
                <c:pt idx="1222">
                  <c:v>-1.726141173785626E-2</c:v>
                </c:pt>
                <c:pt idx="1223">
                  <c:v>2.6046198416180173E-3</c:v>
                </c:pt>
                <c:pt idx="1224">
                  <c:v>1.0386982833816094E-2</c:v>
                </c:pt>
                <c:pt idx="1225">
                  <c:v>-1.3992737337747724E-2</c:v>
                </c:pt>
                <c:pt idx="1226">
                  <c:v>-3.6372389221141818E-2</c:v>
                </c:pt>
                <c:pt idx="1227">
                  <c:v>-6.1276688391439472E-3</c:v>
                </c:pt>
                <c:pt idx="1228">
                  <c:v>3.932230987024209E-3</c:v>
                </c:pt>
                <c:pt idx="1229">
                  <c:v>-1.5766848179167389E-2</c:v>
                </c:pt>
                <c:pt idx="1230">
                  <c:v>-4.1068086927674739E-2</c:v>
                </c:pt>
                <c:pt idx="1231">
                  <c:v>2.8605914588536462E-2</c:v>
                </c:pt>
                <c:pt idx="1232">
                  <c:v>1.9529236019809458E-2</c:v>
                </c:pt>
                <c:pt idx="1233">
                  <c:v>6.426842931052979E-3</c:v>
                </c:pt>
                <c:pt idx="1234">
                  <c:v>3.5399570607631159E-2</c:v>
                </c:pt>
                <c:pt idx="1235">
                  <c:v>-4.8278906024548087E-3</c:v>
                </c:pt>
                <c:pt idx="1236">
                  <c:v>4.6192983328567699E-3</c:v>
                </c:pt>
                <c:pt idx="1237">
                  <c:v>-1.1895397842269272E-4</c:v>
                </c:pt>
                <c:pt idx="1238">
                  <c:v>-1.9223640901274402E-3</c:v>
                </c:pt>
                <c:pt idx="1239">
                  <c:v>-4.3070670496273356E-3</c:v>
                </c:pt>
                <c:pt idx="1240">
                  <c:v>-1.034450067196399E-3</c:v>
                </c:pt>
                <c:pt idx="1241">
                  <c:v>-3.9072422284480391E-3</c:v>
                </c:pt>
                <c:pt idx="1242">
                  <c:v>1.0915545014576868E-2</c:v>
                </c:pt>
                <c:pt idx="1243">
                  <c:v>3.1059663803513054E-4</c:v>
                </c:pt>
                <c:pt idx="1244">
                  <c:v>-5.6972995920024621E-3</c:v>
                </c:pt>
                <c:pt idx="1245">
                  <c:v>-8.2764140559625481E-3</c:v>
                </c:pt>
                <c:pt idx="1246">
                  <c:v>-2.6690740421724153E-3</c:v>
                </c:pt>
                <c:pt idx="1247">
                  <c:v>-5.7409984435402685E-3</c:v>
                </c:pt>
                <c:pt idx="1248">
                  <c:v>1.2630849461413133E-3</c:v>
                </c:pt>
                <c:pt idx="1249">
                  <c:v>1.038490584165571E-2</c:v>
                </c:pt>
                <c:pt idx="1250">
                  <c:v>8.0515287832652448E-3</c:v>
                </c:pt>
                <c:pt idx="1251">
                  <c:v>5.7127368851876432E-3</c:v>
                </c:pt>
                <c:pt idx="1252">
                  <c:v>-8.0901009110580738E-3</c:v>
                </c:pt>
                <c:pt idx="1253">
                  <c:v>-7.5422240906056716E-3</c:v>
                </c:pt>
                <c:pt idx="1254">
                  <c:v>-1.6287261573101126E-2</c:v>
                </c:pt>
                <c:pt idx="1255">
                  <c:v>-1.4846658761022976E-2</c:v>
                </c:pt>
                <c:pt idx="1256">
                  <c:v>2.2224471691773603E-3</c:v>
                </c:pt>
                <c:pt idx="1257">
                  <c:v>6.6886977207507052E-3</c:v>
                </c:pt>
                <c:pt idx="1258">
                  <c:v>9.7634794772680777E-3</c:v>
                </c:pt>
                <c:pt idx="1259">
                  <c:v>1.2635922271539137E-2</c:v>
                </c:pt>
                <c:pt idx="1260">
                  <c:v>5.4052554412278722E-3</c:v>
                </c:pt>
                <c:pt idx="1261">
                  <c:v>-1.8709815918497005E-2</c:v>
                </c:pt>
                <c:pt idx="1262">
                  <c:v>-2.9842994737364716E-2</c:v>
                </c:pt>
                <c:pt idx="1263">
                  <c:v>2.6465103269744691E-3</c:v>
                </c:pt>
                <c:pt idx="1264">
                  <c:v>1.5138926612848238E-2</c:v>
                </c:pt>
                <c:pt idx="1265">
                  <c:v>-1.8241511707080351E-2</c:v>
                </c:pt>
                <c:pt idx="1266">
                  <c:v>-1.8798736022219556E-2</c:v>
                </c:pt>
                <c:pt idx="1267">
                  <c:v>9.8005844374489063E-3</c:v>
                </c:pt>
                <c:pt idx="1268">
                  <c:v>7.4264283262798192E-5</c:v>
                </c:pt>
                <c:pt idx="1269">
                  <c:v>1.8108554742439591E-2</c:v>
                </c:pt>
                <c:pt idx="1270">
                  <c:v>5.769734349851314E-3</c:v>
                </c:pt>
                <c:pt idx="1271">
                  <c:v>1.4560116444752592E-2</c:v>
                </c:pt>
                <c:pt idx="1272">
                  <c:v>7.8023338706714419E-3</c:v>
                </c:pt>
                <c:pt idx="1273">
                  <c:v>-1.3715934668363887E-3</c:v>
                </c:pt>
                <c:pt idx="1274">
                  <c:v>7.6614504160925825E-3</c:v>
                </c:pt>
                <c:pt idx="1275">
                  <c:v>1.3736618660370823E-2</c:v>
                </c:pt>
                <c:pt idx="1276">
                  <c:v>1.1569946167858997E-2</c:v>
                </c:pt>
                <c:pt idx="1277">
                  <c:v>9.5833660539979531E-3</c:v>
                </c:pt>
                <c:pt idx="1278">
                  <c:v>-3.4220482161726818E-3</c:v>
                </c:pt>
                <c:pt idx="1279">
                  <c:v>-1.05620238188697E-3</c:v>
                </c:pt>
                <c:pt idx="1280">
                  <c:v>-8.1530240210353261E-4</c:v>
                </c:pt>
                <c:pt idx="1281">
                  <c:v>2.9064179751288888E-3</c:v>
                </c:pt>
                <c:pt idx="1282">
                  <c:v>-5.8440192504573523E-4</c:v>
                </c:pt>
                <c:pt idx="1283">
                  <c:v>-1.4502402923809509E-2</c:v>
                </c:pt>
                <c:pt idx="1284">
                  <c:v>-1.162407776339193E-2</c:v>
                </c:pt>
                <c:pt idx="1285">
                  <c:v>1.5860339455574475E-2</c:v>
                </c:pt>
                <c:pt idx="1286">
                  <c:v>-3.8085419232398313E-3</c:v>
                </c:pt>
                <c:pt idx="1287">
                  <c:v>1.1423022574355078E-3</c:v>
                </c:pt>
                <c:pt idx="1288">
                  <c:v>9.4326581806799866E-3</c:v>
                </c:pt>
                <c:pt idx="1289">
                  <c:v>3.4989450800425488E-3</c:v>
                </c:pt>
                <c:pt idx="1290">
                  <c:v>-4.7829216274194297E-3</c:v>
                </c:pt>
                <c:pt idx="1291">
                  <c:v>-4.0596232806562127E-3</c:v>
                </c:pt>
                <c:pt idx="1292">
                  <c:v>5.7376745979353105E-3</c:v>
                </c:pt>
                <c:pt idx="1293">
                  <c:v>5.8088702668343982E-3</c:v>
                </c:pt>
                <c:pt idx="1294">
                  <c:v>9.7336702966696765E-3</c:v>
                </c:pt>
                <c:pt idx="1295">
                  <c:v>8.9308750899166119E-3</c:v>
                </c:pt>
                <c:pt idx="1296">
                  <c:v>-2.0405968712336573E-3</c:v>
                </c:pt>
                <c:pt idx="1297">
                  <c:v>-3.1160310012175729E-3</c:v>
                </c:pt>
                <c:pt idx="1298">
                  <c:v>1.3464813630449666E-3</c:v>
                </c:pt>
                <c:pt idx="1299">
                  <c:v>1.3003866563925071E-2</c:v>
                </c:pt>
                <c:pt idx="1300">
                  <c:v>9.7517505450437376E-3</c:v>
                </c:pt>
                <c:pt idx="1301">
                  <c:v>1.7586475130808646E-2</c:v>
                </c:pt>
                <c:pt idx="1302">
                  <c:v>9.9788868111011769E-3</c:v>
                </c:pt>
                <c:pt idx="1303">
                  <c:v>3.2690167862433439E-3</c:v>
                </c:pt>
                <c:pt idx="1304">
                  <c:v>-8.6356740659591783E-4</c:v>
                </c:pt>
                <c:pt idx="1305">
                  <c:v>-2.1329766360032453E-3</c:v>
                </c:pt>
                <c:pt idx="1306">
                  <c:v>-6.1421812591829362E-4</c:v>
                </c:pt>
                <c:pt idx="1307">
                  <c:v>8.8174554261679864E-3</c:v>
                </c:pt>
                <c:pt idx="1308">
                  <c:v>7.3834542144328545E-3</c:v>
                </c:pt>
                <c:pt idx="1309">
                  <c:v>-1.036629053107646E-3</c:v>
                </c:pt>
                <c:pt idx="1310">
                  <c:v>9.7041161074621542E-3</c:v>
                </c:pt>
                <c:pt idx="1311">
                  <c:v>-1.1171115705640093E-3</c:v>
                </c:pt>
                <c:pt idx="1312">
                  <c:v>1.0717451654407248E-2</c:v>
                </c:pt>
                <c:pt idx="1313">
                  <c:v>-1.4403084843506758E-2</c:v>
                </c:pt>
                <c:pt idx="1314">
                  <c:v>-8.2638922112173736E-3</c:v>
                </c:pt>
                <c:pt idx="1315">
                  <c:v>-6.2573001952813713E-3</c:v>
                </c:pt>
                <c:pt idx="1316">
                  <c:v>1.7612391243183288E-2</c:v>
                </c:pt>
                <c:pt idx="1317">
                  <c:v>1.1990611121318015E-2</c:v>
                </c:pt>
                <c:pt idx="1318">
                  <c:v>-4.177876385444483E-5</c:v>
                </c:pt>
                <c:pt idx="1319">
                  <c:v>-2.1904531536037081E-3</c:v>
                </c:pt>
                <c:pt idx="1320">
                  <c:v>7.744984905336522E-4</c:v>
                </c:pt>
                <c:pt idx="1321">
                  <c:v>5.8830370482004001E-3</c:v>
                </c:pt>
                <c:pt idx="1322">
                  <c:v>9.764043483317492E-3</c:v>
                </c:pt>
                <c:pt idx="1323">
                  <c:v>9.9199028280964607E-3</c:v>
                </c:pt>
                <c:pt idx="1324">
                  <c:v>1.7816701974031756E-3</c:v>
                </c:pt>
                <c:pt idx="1325">
                  <c:v>3.5722713951225368E-3</c:v>
                </c:pt>
                <c:pt idx="1326">
                  <c:v>5.4937428850926088E-3</c:v>
                </c:pt>
                <c:pt idx="1327">
                  <c:v>-3.429014359122138E-3</c:v>
                </c:pt>
                <c:pt idx="1328">
                  <c:v>1.635102019072027E-3</c:v>
                </c:pt>
                <c:pt idx="1329">
                  <c:v>-3.3254984890323811E-3</c:v>
                </c:pt>
                <c:pt idx="1330">
                  <c:v>2.1052162536036208E-3</c:v>
                </c:pt>
                <c:pt idx="1331">
                  <c:v>1.1563284677372981E-2</c:v>
                </c:pt>
                <c:pt idx="1332">
                  <c:v>-6.1270251887788167E-3</c:v>
                </c:pt>
                <c:pt idx="1333">
                  <c:v>-9.0202945039619606E-3</c:v>
                </c:pt>
                <c:pt idx="1334">
                  <c:v>5.5881971716924045E-4</c:v>
                </c:pt>
                <c:pt idx="1335">
                  <c:v>1.3359843970441574E-2</c:v>
                </c:pt>
                <c:pt idx="1336">
                  <c:v>-3.996126437957128E-3</c:v>
                </c:pt>
                <c:pt idx="1337">
                  <c:v>-1.2022452850310953E-2</c:v>
                </c:pt>
                <c:pt idx="1338">
                  <c:v>-5.9895541062102032E-3</c:v>
                </c:pt>
                <c:pt idx="1339">
                  <c:v>-4.8034585008996204E-3</c:v>
                </c:pt>
                <c:pt idx="1340">
                  <c:v>-1.4744879467953539E-3</c:v>
                </c:pt>
                <c:pt idx="1341">
                  <c:v>-6.7990870192567998E-3</c:v>
                </c:pt>
                <c:pt idx="1342">
                  <c:v>-9.0518338198691279E-3</c:v>
                </c:pt>
                <c:pt idx="1343">
                  <c:v>2.8646020243424737E-3</c:v>
                </c:pt>
                <c:pt idx="1344">
                  <c:v>4.6852340803789513E-2</c:v>
                </c:pt>
                <c:pt idx="1345">
                  <c:v>6.5427376805843439E-3</c:v>
                </c:pt>
                <c:pt idx="1346">
                  <c:v>2.7308671711766701E-2</c:v>
                </c:pt>
                <c:pt idx="1347">
                  <c:v>1.1370337606397239E-4</c:v>
                </c:pt>
                <c:pt idx="1348">
                  <c:v>-7.3389976385123271E-3</c:v>
                </c:pt>
                <c:pt idx="1349">
                  <c:v>-3.7263476245684834E-3</c:v>
                </c:pt>
                <c:pt idx="1350">
                  <c:v>4.2990442206100139E-3</c:v>
                </c:pt>
                <c:pt idx="1351">
                  <c:v>3.2270572010581304E-3</c:v>
                </c:pt>
                <c:pt idx="1352">
                  <c:v>-1.0606374139242069E-3</c:v>
                </c:pt>
                <c:pt idx="1353">
                  <c:v>4.8361296888926363E-3</c:v>
                </c:pt>
                <c:pt idx="1354">
                  <c:v>9.2428314963158929E-3</c:v>
                </c:pt>
                <c:pt idx="1355">
                  <c:v>8.5575772294381614E-3</c:v>
                </c:pt>
                <c:pt idx="1356">
                  <c:v>6.123364417956284E-4</c:v>
                </c:pt>
                <c:pt idx="1357">
                  <c:v>-8.7204233036228566E-4</c:v>
                </c:pt>
                <c:pt idx="1358">
                  <c:v>4.4060305095984425E-3</c:v>
                </c:pt>
                <c:pt idx="1359">
                  <c:v>1.3138262306243681E-3</c:v>
                </c:pt>
                <c:pt idx="1360">
                  <c:v>-1.0294766242488415E-2</c:v>
                </c:pt>
                <c:pt idx="1361">
                  <c:v>1.888615402805358E-3</c:v>
                </c:pt>
                <c:pt idx="1362">
                  <c:v>-6.0318267934371221E-4</c:v>
                </c:pt>
                <c:pt idx="1363">
                  <c:v>1.5154464181846999E-2</c:v>
                </c:pt>
                <c:pt idx="1364">
                  <c:v>8.4313333360441743E-3</c:v>
                </c:pt>
                <c:pt idx="1365">
                  <c:v>-2.1040725142980464E-2</c:v>
                </c:pt>
                <c:pt idx="1366">
                  <c:v>-1.9704712642831673E-2</c:v>
                </c:pt>
                <c:pt idx="1367">
                  <c:v>5.7028854002695237E-3</c:v>
                </c:pt>
                <c:pt idx="1368">
                  <c:v>5.1897088498892453E-3</c:v>
                </c:pt>
                <c:pt idx="1369">
                  <c:v>-1.1684067195981222E-2</c:v>
                </c:pt>
                <c:pt idx="1370">
                  <c:v>-5.6049924218800765E-3</c:v>
                </c:pt>
                <c:pt idx="1371">
                  <c:v>1.0229847656354762E-2</c:v>
                </c:pt>
                <c:pt idx="1372">
                  <c:v>-2.5236040003177506E-3</c:v>
                </c:pt>
                <c:pt idx="1373">
                  <c:v>-9.4344553860091791E-3</c:v>
                </c:pt>
                <c:pt idx="1374">
                  <c:v>-1.8832413474960011E-3</c:v>
                </c:pt>
                <c:pt idx="1375">
                  <c:v>6.2473380926831691E-3</c:v>
                </c:pt>
                <c:pt idx="1376">
                  <c:v>-1.4592210925321623E-2</c:v>
                </c:pt>
                <c:pt idx="1377">
                  <c:v>1.3861413625489546E-3</c:v>
                </c:pt>
                <c:pt idx="1378">
                  <c:v>-9.9557800136636145E-4</c:v>
                </c:pt>
                <c:pt idx="1379">
                  <c:v>9.8519746418603803E-3</c:v>
                </c:pt>
                <c:pt idx="1380">
                  <c:v>8.9293992286535312E-3</c:v>
                </c:pt>
                <c:pt idx="1381">
                  <c:v>-7.5003573265432968E-3</c:v>
                </c:pt>
                <c:pt idx="1382">
                  <c:v>-1.3191795003583001E-3</c:v>
                </c:pt>
                <c:pt idx="1383">
                  <c:v>2.9348686692496706E-3</c:v>
                </c:pt>
                <c:pt idx="1384">
                  <c:v>-7.7676510812614162E-4</c:v>
                </c:pt>
                <c:pt idx="1385">
                  <c:v>-2.7544256022559352E-3</c:v>
                </c:pt>
                <c:pt idx="1386">
                  <c:v>-1.0898063660006168E-3</c:v>
                </c:pt>
                <c:pt idx="1387">
                  <c:v>6.6285491434104043E-3</c:v>
                </c:pt>
                <c:pt idx="1388">
                  <c:v>6.8048063872541515E-3</c:v>
                </c:pt>
                <c:pt idx="1389">
                  <c:v>1.0178516198232216E-4</c:v>
                </c:pt>
                <c:pt idx="1390">
                  <c:v>-2.9234241053746786E-3</c:v>
                </c:pt>
                <c:pt idx="1391">
                  <c:v>-6.1959199735881435E-3</c:v>
                </c:pt>
                <c:pt idx="1392">
                  <c:v>-1.1711710327207082E-3</c:v>
                </c:pt>
                <c:pt idx="1393">
                  <c:v>4.5756793672852318E-3</c:v>
                </c:pt>
                <c:pt idx="1394">
                  <c:v>1.7684824669309052E-3</c:v>
                </c:pt>
                <c:pt idx="1395">
                  <c:v>-2.6108376518157532E-3</c:v>
                </c:pt>
                <c:pt idx="1396">
                  <c:v>9.3276599223594391E-4</c:v>
                </c:pt>
                <c:pt idx="1397">
                  <c:v>6.2750522229730512E-3</c:v>
                </c:pt>
                <c:pt idx="1398">
                  <c:v>1.9442469125094909E-4</c:v>
                </c:pt>
                <c:pt idx="1399">
                  <c:v>4.3607080298652606E-4</c:v>
                </c:pt>
                <c:pt idx="1400">
                  <c:v>-3.5834998041134507E-3</c:v>
                </c:pt>
                <c:pt idx="1401">
                  <c:v>8.5446797684920854E-3</c:v>
                </c:pt>
                <c:pt idx="1402">
                  <c:v>-8.0081486513381966E-3</c:v>
                </c:pt>
                <c:pt idx="1403">
                  <c:v>4.6511332226343511E-3</c:v>
                </c:pt>
                <c:pt idx="1404">
                  <c:v>3.9920210201218713E-3</c:v>
                </c:pt>
                <c:pt idx="1405">
                  <c:v>1.9926119073183581E-3</c:v>
                </c:pt>
                <c:pt idx="1406">
                  <c:v>1.2205133804849158E-2</c:v>
                </c:pt>
                <c:pt idx="1407">
                  <c:v>1.2402850859804188E-2</c:v>
                </c:pt>
                <c:pt idx="1408">
                  <c:v>7.5517476275573179E-3</c:v>
                </c:pt>
                <c:pt idx="1409">
                  <c:v>-2.7286201735131589E-3</c:v>
                </c:pt>
                <c:pt idx="1410">
                  <c:v>-4.4820740252044956E-3</c:v>
                </c:pt>
                <c:pt idx="1411">
                  <c:v>9.3795515271531665E-3</c:v>
                </c:pt>
                <c:pt idx="1412">
                  <c:v>-7.1728257687245717E-3</c:v>
                </c:pt>
                <c:pt idx="1413">
                  <c:v>-4.4801505597064986E-3</c:v>
                </c:pt>
                <c:pt idx="1414">
                  <c:v>-2.1887727631199668E-3</c:v>
                </c:pt>
                <c:pt idx="1415">
                  <c:v>8.5113334040155669E-3</c:v>
                </c:pt>
                <c:pt idx="1416">
                  <c:v>1.9854631628860712E-3</c:v>
                </c:pt>
                <c:pt idx="1417">
                  <c:v>9.2080948176590724E-3</c:v>
                </c:pt>
                <c:pt idx="1418">
                  <c:v>9.7941569673860012E-3</c:v>
                </c:pt>
                <c:pt idx="1419">
                  <c:v>1.6500750132045224E-2</c:v>
                </c:pt>
                <c:pt idx="1420">
                  <c:v>8.8761905210556664E-3</c:v>
                </c:pt>
                <c:pt idx="1421">
                  <c:v>6.1869644627799341E-5</c:v>
                </c:pt>
                <c:pt idx="1422">
                  <c:v>-2.522024230856121E-3</c:v>
                </c:pt>
                <c:pt idx="1423">
                  <c:v>3.5317569074627046E-4</c:v>
                </c:pt>
                <c:pt idx="1424">
                  <c:v>-2.5971124218268668E-3</c:v>
                </c:pt>
                <c:pt idx="1425">
                  <c:v>6.7902951148227477E-3</c:v>
                </c:pt>
                <c:pt idx="1426">
                  <c:v>4.2558079336592449E-3</c:v>
                </c:pt>
                <c:pt idx="1427">
                  <c:v>-7.1947712017982396E-3</c:v>
                </c:pt>
                <c:pt idx="1428">
                  <c:v>-3.9181902807521856E-3</c:v>
                </c:pt>
                <c:pt idx="1429">
                  <c:v>9.4713096490573519E-3</c:v>
                </c:pt>
                <c:pt idx="1430">
                  <c:v>4.7533324223147221E-3</c:v>
                </c:pt>
                <c:pt idx="1431">
                  <c:v>8.4189752850175395E-3</c:v>
                </c:pt>
                <c:pt idx="1432">
                  <c:v>2.0086693501680401E-2</c:v>
                </c:pt>
                <c:pt idx="1433">
                  <c:v>1.1782206257977407E-2</c:v>
                </c:pt>
                <c:pt idx="1434">
                  <c:v>2.239594497275794E-3</c:v>
                </c:pt>
                <c:pt idx="1435">
                  <c:v>7.4124524144879083E-3</c:v>
                </c:pt>
                <c:pt idx="1436">
                  <c:v>-6.3558662173361282E-3</c:v>
                </c:pt>
                <c:pt idx="1437">
                  <c:v>-1.4617899428453233E-2</c:v>
                </c:pt>
                <c:pt idx="1438">
                  <c:v>2.1278506570486955E-2</c:v>
                </c:pt>
                <c:pt idx="1439">
                  <c:v>1.1866187320361951E-2</c:v>
                </c:pt>
                <c:pt idx="1440">
                  <c:v>3.9843150836091868E-3</c:v>
                </c:pt>
                <c:pt idx="1441">
                  <c:v>-3.0646452950414955E-3</c:v>
                </c:pt>
                <c:pt idx="1442">
                  <c:v>5.423192682053257E-3</c:v>
                </c:pt>
                <c:pt idx="1443">
                  <c:v>8.3353427981195053E-3</c:v>
                </c:pt>
                <c:pt idx="1444">
                  <c:v>3.8229561307075695E-3</c:v>
                </c:pt>
                <c:pt idx="1445">
                  <c:v>-4.5251207362694461E-3</c:v>
                </c:pt>
                <c:pt idx="1446">
                  <c:v>1.4038146170922701E-3</c:v>
                </c:pt>
                <c:pt idx="1447">
                  <c:v>8.9599501603710302E-3</c:v>
                </c:pt>
                <c:pt idx="1448">
                  <c:v>6.0700555005319462E-3</c:v>
                </c:pt>
                <c:pt idx="1449">
                  <c:v>2.4485129528582783E-3</c:v>
                </c:pt>
                <c:pt idx="1450">
                  <c:v>9.0635710027625466E-3</c:v>
                </c:pt>
                <c:pt idx="1451">
                  <c:v>-3.2361858595754667E-3</c:v>
                </c:pt>
                <c:pt idx="1452">
                  <c:v>1.8649984520619473E-2</c:v>
                </c:pt>
                <c:pt idx="1453">
                  <c:v>4.8272652175521411E-3</c:v>
                </c:pt>
                <c:pt idx="1454">
                  <c:v>2.8788864583745833E-3</c:v>
                </c:pt>
                <c:pt idx="1455">
                  <c:v>-3.5742535311559583E-2</c:v>
                </c:pt>
                <c:pt idx="1456">
                  <c:v>4.9644532925272572E-2</c:v>
                </c:pt>
                <c:pt idx="1457">
                  <c:v>8.1950855879338678E-3</c:v>
                </c:pt>
                <c:pt idx="1458">
                  <c:v>1.2734959274208766E-2</c:v>
                </c:pt>
                <c:pt idx="1459">
                  <c:v>1.8919501817924841E-2</c:v>
                </c:pt>
                <c:pt idx="1460">
                  <c:v>1.2433992947951172E-2</c:v>
                </c:pt>
                <c:pt idx="1461">
                  <c:v>5.2149469194780473E-3</c:v>
                </c:pt>
                <c:pt idx="1462">
                  <c:v>2.9823982530122018E-2</c:v>
                </c:pt>
                <c:pt idx="1463">
                  <c:v>7.5294508068581576E-3</c:v>
                </c:pt>
                <c:pt idx="1464">
                  <c:v>8.403547051711582E-3</c:v>
                </c:pt>
                <c:pt idx="1465">
                  <c:v>-9.7639009918943209E-3</c:v>
                </c:pt>
                <c:pt idx="1466">
                  <c:v>1.7572349562635831E-2</c:v>
                </c:pt>
                <c:pt idx="1467">
                  <c:v>3.0414974358863232E-2</c:v>
                </c:pt>
                <c:pt idx="1468">
                  <c:v>1.0622653550943866E-3</c:v>
                </c:pt>
                <c:pt idx="1469">
                  <c:v>1.6339287745249859E-2</c:v>
                </c:pt>
                <c:pt idx="1470">
                  <c:v>-1.1265616309835792E-2</c:v>
                </c:pt>
                <c:pt idx="1471">
                  <c:v>-3.2999975883829434E-2</c:v>
                </c:pt>
                <c:pt idx="1472">
                  <c:v>-4.3173651567849497E-2</c:v>
                </c:pt>
                <c:pt idx="1473">
                  <c:v>3.0469730504771662E-2</c:v>
                </c:pt>
                <c:pt idx="1474">
                  <c:v>4.02807334096408E-2</c:v>
                </c:pt>
                <c:pt idx="1475">
                  <c:v>-1.3250978148495298E-2</c:v>
                </c:pt>
                <c:pt idx="1476">
                  <c:v>-1.7715548333889376E-2</c:v>
                </c:pt>
                <c:pt idx="1477">
                  <c:v>8.4027540559366079E-3</c:v>
                </c:pt>
                <c:pt idx="1478">
                  <c:v>3.5094554004726372E-2</c:v>
                </c:pt>
                <c:pt idx="1479">
                  <c:v>-1.1461144032136824E-3</c:v>
                </c:pt>
                <c:pt idx="1480">
                  <c:v>1.6340056059878341E-2</c:v>
                </c:pt>
                <c:pt idx="1481">
                  <c:v>9.5360935757600452E-4</c:v>
                </c:pt>
                <c:pt idx="1482">
                  <c:v>3.9901072117182754E-3</c:v>
                </c:pt>
                <c:pt idx="1483">
                  <c:v>-1.1326509108406315E-2</c:v>
                </c:pt>
                <c:pt idx="1484">
                  <c:v>-1.7414285287884641E-3</c:v>
                </c:pt>
                <c:pt idx="1485">
                  <c:v>-1.6408238051891493E-2</c:v>
                </c:pt>
                <c:pt idx="1486">
                  <c:v>-1.3230139066265209E-2</c:v>
                </c:pt>
                <c:pt idx="1487">
                  <c:v>5.4069549724933509E-3</c:v>
                </c:pt>
                <c:pt idx="1488">
                  <c:v>8.6780884558032619E-3</c:v>
                </c:pt>
                <c:pt idx="1489">
                  <c:v>5.0259099925186118E-3</c:v>
                </c:pt>
                <c:pt idx="1490">
                  <c:v>-2.6868362011588241E-3</c:v>
                </c:pt>
                <c:pt idx="1491">
                  <c:v>-5.7554121460096728E-3</c:v>
                </c:pt>
                <c:pt idx="1492">
                  <c:v>1.2608758824260045E-2</c:v>
                </c:pt>
                <c:pt idx="1493">
                  <c:v>4.9685925681223521E-3</c:v>
                </c:pt>
                <c:pt idx="1494">
                  <c:v>-6.9279748546374961E-3</c:v>
                </c:pt>
                <c:pt idx="1495">
                  <c:v>-1.3897676723117003E-2</c:v>
                </c:pt>
                <c:pt idx="1496">
                  <c:v>5.2392633050675624E-3</c:v>
                </c:pt>
                <c:pt idx="1497">
                  <c:v>7.3896556571292002E-3</c:v>
                </c:pt>
                <c:pt idx="1498">
                  <c:v>-1.1839869415598751E-2</c:v>
                </c:pt>
                <c:pt idx="1499">
                  <c:v>-1.3125051092174567E-2</c:v>
                </c:pt>
                <c:pt idx="1500">
                  <c:v>-4.8469004294907202E-3</c:v>
                </c:pt>
                <c:pt idx="1501">
                  <c:v>1.5419147067434313E-2</c:v>
                </c:pt>
                <c:pt idx="1502">
                  <c:v>9.2691755943127042E-3</c:v>
                </c:pt>
                <c:pt idx="1503">
                  <c:v>-1.3222269027557753E-2</c:v>
                </c:pt>
                <c:pt idx="1504">
                  <c:v>-7.1810716944367657E-3</c:v>
                </c:pt>
                <c:pt idx="1505">
                  <c:v>-1.4599673490186937E-2</c:v>
                </c:pt>
                <c:pt idx="1506">
                  <c:v>1.9745939208616514E-4</c:v>
                </c:pt>
                <c:pt idx="1507">
                  <c:v>9.563106276899427E-3</c:v>
                </c:pt>
                <c:pt idx="1508">
                  <c:v>1.4656489070504729E-2</c:v>
                </c:pt>
                <c:pt idx="1509">
                  <c:v>-7.5603674635907185E-4</c:v>
                </c:pt>
                <c:pt idx="1510">
                  <c:v>-3.1955739803802472E-3</c:v>
                </c:pt>
                <c:pt idx="1511">
                  <c:v>-4.2533994858750578E-3</c:v>
                </c:pt>
                <c:pt idx="1512">
                  <c:v>-3.0491955680183223E-3</c:v>
                </c:pt>
                <c:pt idx="1513">
                  <c:v>1.2036043608072854E-2</c:v>
                </c:pt>
                <c:pt idx="1514">
                  <c:v>2.2456752447287858E-3</c:v>
                </c:pt>
                <c:pt idx="1515">
                  <c:v>3.5001893377273434E-3</c:v>
                </c:pt>
                <c:pt idx="1516">
                  <c:v>-8.2489619230528034E-3</c:v>
                </c:pt>
                <c:pt idx="1517">
                  <c:v>1.3556359863345213E-2</c:v>
                </c:pt>
                <c:pt idx="1518">
                  <c:v>1.7317399355024677E-3</c:v>
                </c:pt>
                <c:pt idx="1519">
                  <c:v>-5.8130717101804001E-3</c:v>
                </c:pt>
                <c:pt idx="1520">
                  <c:v>-6.8521345031323413E-4</c:v>
                </c:pt>
                <c:pt idx="1521">
                  <c:v>-4.6811374960220743E-3</c:v>
                </c:pt>
                <c:pt idx="1522">
                  <c:v>-1.1167870637139381E-2</c:v>
                </c:pt>
                <c:pt idx="1523">
                  <c:v>6.7589161552749927E-3</c:v>
                </c:pt>
                <c:pt idx="1524">
                  <c:v>-4.3464917804793531E-3</c:v>
                </c:pt>
                <c:pt idx="1525">
                  <c:v>1.3001078983902173E-2</c:v>
                </c:pt>
                <c:pt idx="1526">
                  <c:v>6.0285008298950407E-3</c:v>
                </c:pt>
                <c:pt idx="1527">
                  <c:v>-3.7028392805163506E-4</c:v>
                </c:pt>
                <c:pt idx="1528">
                  <c:v>-1.5624844236882102E-3</c:v>
                </c:pt>
                <c:pt idx="1529">
                  <c:v>-8.1557110208783305E-4</c:v>
                </c:pt>
                <c:pt idx="1530">
                  <c:v>8.8504542333256702E-3</c:v>
                </c:pt>
                <c:pt idx="1531">
                  <c:v>3.8397229956945978E-3</c:v>
                </c:pt>
                <c:pt idx="1532">
                  <c:v>5.7420979075210668E-3</c:v>
                </c:pt>
                <c:pt idx="1533">
                  <c:v>6.8976146989847388E-3</c:v>
                </c:pt>
                <c:pt idx="1534">
                  <c:v>8.3156490251501281E-3</c:v>
                </c:pt>
                <c:pt idx="1535">
                  <c:v>6.7450438032845474E-3</c:v>
                </c:pt>
                <c:pt idx="1536">
                  <c:v>-2.7581934359223819E-3</c:v>
                </c:pt>
                <c:pt idx="1537">
                  <c:v>-1.6907490220122577E-2</c:v>
                </c:pt>
                <c:pt idx="1538">
                  <c:v>1.6622348990833439E-3</c:v>
                </c:pt>
                <c:pt idx="1539">
                  <c:v>9.7668613482768188E-3</c:v>
                </c:pt>
                <c:pt idx="1540">
                  <c:v>2.9242867020271853E-4</c:v>
                </c:pt>
                <c:pt idx="1541">
                  <c:v>9.6035244160457747E-3</c:v>
                </c:pt>
                <c:pt idx="1542">
                  <c:v>-1.2313126549597694E-3</c:v>
                </c:pt>
                <c:pt idx="1543">
                  <c:v>-3.2680492889820702E-2</c:v>
                </c:pt>
                <c:pt idx="1544">
                  <c:v>5.4211362351359125E-3</c:v>
                </c:pt>
                <c:pt idx="1545">
                  <c:v>-1.1938379552823303E-2</c:v>
                </c:pt>
                <c:pt idx="1546">
                  <c:v>1.7836124729267266E-2</c:v>
                </c:pt>
                <c:pt idx="1547">
                  <c:v>-1.1497453162819547E-2</c:v>
                </c:pt>
                <c:pt idx="1548">
                  <c:v>1.3379760081836476E-2</c:v>
                </c:pt>
                <c:pt idx="1549">
                  <c:v>3.3117954079232761E-3</c:v>
                </c:pt>
                <c:pt idx="1550">
                  <c:v>-6.4687370210360856E-3</c:v>
                </c:pt>
                <c:pt idx="1551">
                  <c:v>7.5936835433098974E-3</c:v>
                </c:pt>
                <c:pt idx="1552">
                  <c:v>3.5453891677522009E-3</c:v>
                </c:pt>
                <c:pt idx="1553">
                  <c:v>9.1018593521969941E-3</c:v>
                </c:pt>
                <c:pt idx="1554">
                  <c:v>3.9676177517486969E-4</c:v>
                </c:pt>
                <c:pt idx="1555">
                  <c:v>-1.0168001698888939E-2</c:v>
                </c:pt>
                <c:pt idx="1556">
                  <c:v>-1.8821141869796009E-2</c:v>
                </c:pt>
                <c:pt idx="1557">
                  <c:v>3.9082829376710796E-3</c:v>
                </c:pt>
                <c:pt idx="1558">
                  <c:v>-1.2171628228616612E-2</c:v>
                </c:pt>
                <c:pt idx="1559">
                  <c:v>7.0862034350920745E-3</c:v>
                </c:pt>
                <c:pt idx="1560">
                  <c:v>-3.0865610803242276E-2</c:v>
                </c:pt>
                <c:pt idx="1561">
                  <c:v>2.5037686417744984E-2</c:v>
                </c:pt>
                <c:pt idx="1562">
                  <c:v>-1.0252910380622287E-4</c:v>
                </c:pt>
                <c:pt idx="1563">
                  <c:v>-4.6776469944850374E-3</c:v>
                </c:pt>
                <c:pt idx="1564">
                  <c:v>-3.1342138767163505E-2</c:v>
                </c:pt>
                <c:pt idx="1565">
                  <c:v>-5.8924344665160597E-2</c:v>
                </c:pt>
                <c:pt idx="1566">
                  <c:v>3.5235507088887619E-2</c:v>
                </c:pt>
                <c:pt idx="1567">
                  <c:v>9.4454154452956379E-2</c:v>
                </c:pt>
                <c:pt idx="1568">
                  <c:v>1.0896715563037781E-2</c:v>
                </c:pt>
                <c:pt idx="1569">
                  <c:v>-3.3193931751219059E-4</c:v>
                </c:pt>
                <c:pt idx="1570">
                  <c:v>1.2024816316117948E-2</c:v>
                </c:pt>
                <c:pt idx="1571">
                  <c:v>-2.6072442494455453E-3</c:v>
                </c:pt>
                <c:pt idx="1572">
                  <c:v>3.3840610973054412E-4</c:v>
                </c:pt>
                <c:pt idx="1573">
                  <c:v>-6.0030263273434794E-3</c:v>
                </c:pt>
                <c:pt idx="1574">
                  <c:v>8.0719582977820063E-3</c:v>
                </c:pt>
                <c:pt idx="1575">
                  <c:v>-6.4905405137235285E-3</c:v>
                </c:pt>
                <c:pt idx="1576">
                  <c:v>-4.2273365413081652E-4</c:v>
                </c:pt>
                <c:pt idx="1577">
                  <c:v>-7.4015972941664778E-3</c:v>
                </c:pt>
                <c:pt idx="1578">
                  <c:v>9.4560092139211798E-4</c:v>
                </c:pt>
                <c:pt idx="1579">
                  <c:v>5.395793951150191E-3</c:v>
                </c:pt>
                <c:pt idx="1580">
                  <c:v>6.0491844217026008E-3</c:v>
                </c:pt>
                <c:pt idx="1581">
                  <c:v>-6.7948249113613957E-3</c:v>
                </c:pt>
                <c:pt idx="1582">
                  <c:v>1.3232578897609214E-2</c:v>
                </c:pt>
                <c:pt idx="1583">
                  <c:v>1.1191284878224624E-2</c:v>
                </c:pt>
                <c:pt idx="1584">
                  <c:v>-1.2961532401737008E-3</c:v>
                </c:pt>
                <c:pt idx="1585">
                  <c:v>3.152226634111873E-3</c:v>
                </c:pt>
                <c:pt idx="1586">
                  <c:v>1.9080112148025352E-2</c:v>
                </c:pt>
                <c:pt idx="1587">
                  <c:v>-2.0872891521115404E-3</c:v>
                </c:pt>
                <c:pt idx="1588">
                  <c:v>-1.5710379431188356E-2</c:v>
                </c:pt>
                <c:pt idx="1589">
                  <c:v>6.696218229088407E-4</c:v>
                </c:pt>
                <c:pt idx="1590">
                  <c:v>-2.080746581560545E-3</c:v>
                </c:pt>
                <c:pt idx="1591">
                  <c:v>-1.2339896421314441E-2</c:v>
                </c:pt>
                <c:pt idx="1592">
                  <c:v>-3.8462327066249896E-3</c:v>
                </c:pt>
                <c:pt idx="1593">
                  <c:v>1.7207961928162327E-4</c:v>
                </c:pt>
                <c:pt idx="1594">
                  <c:v>-3.2125195087218145E-2</c:v>
                </c:pt>
                <c:pt idx="1595">
                  <c:v>5.2331087179569274E-2</c:v>
                </c:pt>
                <c:pt idx="1596">
                  <c:v>4.2127947238468069E-3</c:v>
                </c:pt>
                <c:pt idx="1597">
                  <c:v>-5.825761206839474E-3</c:v>
                </c:pt>
                <c:pt idx="1598">
                  <c:v>1.9112475691634156E-2</c:v>
                </c:pt>
                <c:pt idx="1599">
                  <c:v>1.0035772095739184E-2</c:v>
                </c:pt>
                <c:pt idx="1600">
                  <c:v>2.0474210583670025E-2</c:v>
                </c:pt>
                <c:pt idx="1601">
                  <c:v>1.6728623520401033E-2</c:v>
                </c:pt>
                <c:pt idx="1602">
                  <c:v>2.6286589420321336E-3</c:v>
                </c:pt>
                <c:pt idx="1603">
                  <c:v>9.6597464500201794E-3</c:v>
                </c:pt>
                <c:pt idx="1604">
                  <c:v>1.0770065357040103E-2</c:v>
                </c:pt>
                <c:pt idx="1605">
                  <c:v>2.4765659724783139E-4</c:v>
                </c:pt>
                <c:pt idx="1606">
                  <c:v>-6.193330159496125E-3</c:v>
                </c:pt>
                <c:pt idx="1607">
                  <c:v>9.0917744543584107E-3</c:v>
                </c:pt>
                <c:pt idx="1608">
                  <c:v>3.8677003257679078E-3</c:v>
                </c:pt>
                <c:pt idx="1609">
                  <c:v>1.640196405399651E-2</c:v>
                </c:pt>
                <c:pt idx="1610">
                  <c:v>-4.1220475368407682E-3</c:v>
                </c:pt>
                <c:pt idx="1611">
                  <c:v>3.23738699784049E-3</c:v>
                </c:pt>
                <c:pt idx="1612">
                  <c:v>1.675854599469408E-2</c:v>
                </c:pt>
                <c:pt idx="1613">
                  <c:v>-4.9139836513057659E-4</c:v>
                </c:pt>
                <c:pt idx="1614">
                  <c:v>-2.7401676337846471E-3</c:v>
                </c:pt>
                <c:pt idx="1615">
                  <c:v>8.6967952991219896E-3</c:v>
                </c:pt>
                <c:pt idx="1616">
                  <c:v>-1.185414134293848E-3</c:v>
                </c:pt>
                <c:pt idx="1617">
                  <c:v>-4.0335541379097452E-3</c:v>
                </c:pt>
                <c:pt idx="1618">
                  <c:v>3.7105782158492985E-3</c:v>
                </c:pt>
                <c:pt idx="1619">
                  <c:v>1.2410268714356885E-3</c:v>
                </c:pt>
                <c:pt idx="1620">
                  <c:v>-1.0153891453339883E-2</c:v>
                </c:pt>
                <c:pt idx="1621">
                  <c:v>3.2431458427696334E-3</c:v>
                </c:pt>
                <c:pt idx="1622">
                  <c:v>7.0670767941422297E-3</c:v>
                </c:pt>
                <c:pt idx="1623">
                  <c:v>1.1798228314399207E-2</c:v>
                </c:pt>
                <c:pt idx="1624">
                  <c:v>7.2157985203386635E-3</c:v>
                </c:pt>
                <c:pt idx="1625">
                  <c:v>6.9305988356712879E-3</c:v>
                </c:pt>
                <c:pt idx="1626">
                  <c:v>1.4341237316146475E-2</c:v>
                </c:pt>
                <c:pt idx="1627">
                  <c:v>3.8503396203008093E-3</c:v>
                </c:pt>
                <c:pt idx="1628">
                  <c:v>-1.8149343680900674E-3</c:v>
                </c:pt>
                <c:pt idx="1629">
                  <c:v>1.0641148746619327E-2</c:v>
                </c:pt>
                <c:pt idx="1630">
                  <c:v>5.1364651319297128E-4</c:v>
                </c:pt>
                <c:pt idx="1631">
                  <c:v>-3.2379782743902244E-3</c:v>
                </c:pt>
                <c:pt idx="1632">
                  <c:v>-2.5714991765123996E-4</c:v>
                </c:pt>
                <c:pt idx="1633">
                  <c:v>1.1637456692918279E-2</c:v>
                </c:pt>
                <c:pt idx="1634">
                  <c:v>1.0623266068100613E-2</c:v>
                </c:pt>
                <c:pt idx="1635">
                  <c:v>5.4767035619438372E-3</c:v>
                </c:pt>
                <c:pt idx="1636">
                  <c:v>-9.0027292467678051E-3</c:v>
                </c:pt>
                <c:pt idx="1637">
                  <c:v>1.7274066646578129E-3</c:v>
                </c:pt>
                <c:pt idx="1638">
                  <c:v>-4.5336552746997084E-3</c:v>
                </c:pt>
                <c:pt idx="1639">
                  <c:v>-2.55518064639989E-3</c:v>
                </c:pt>
                <c:pt idx="1640">
                  <c:v>-6.3396747372217784E-3</c:v>
                </c:pt>
                <c:pt idx="1641">
                  <c:v>-1.0204480818648003E-3</c:v>
                </c:pt>
                <c:pt idx="1642">
                  <c:v>8.6482255887466875E-3</c:v>
                </c:pt>
                <c:pt idx="1643">
                  <c:v>9.1062455649654154E-3</c:v>
                </c:pt>
                <c:pt idx="1644">
                  <c:v>6.6969556073892744E-3</c:v>
                </c:pt>
                <c:pt idx="1645">
                  <c:v>8.1231733788824124E-3</c:v>
                </c:pt>
                <c:pt idx="1646">
                  <c:v>3.0475313445536712E-3</c:v>
                </c:pt>
                <c:pt idx="1647">
                  <c:v>1.0555545802947781E-2</c:v>
                </c:pt>
                <c:pt idx="1648">
                  <c:v>1.1732907502398736E-2</c:v>
                </c:pt>
                <c:pt idx="1649">
                  <c:v>3.0509847341209299E-3</c:v>
                </c:pt>
                <c:pt idx="1650">
                  <c:v>2.9206674121360801E-3</c:v>
                </c:pt>
                <c:pt idx="1651">
                  <c:v>-5.6014871915057649E-3</c:v>
                </c:pt>
                <c:pt idx="1652">
                  <c:v>-1.0897568707820628E-2</c:v>
                </c:pt>
                <c:pt idx="1653">
                  <c:v>6.1177926477318572E-3</c:v>
                </c:pt>
                <c:pt idx="1654">
                  <c:v>5.1254783938581069E-3</c:v>
                </c:pt>
                <c:pt idx="1655">
                  <c:v>-2.0040857738496492E-5</c:v>
                </c:pt>
                <c:pt idx="1656">
                  <c:v>1.1369476880230319E-2</c:v>
                </c:pt>
                <c:pt idx="1657">
                  <c:v>5.3123239394489718E-4</c:v>
                </c:pt>
                <c:pt idx="1658">
                  <c:v>-3.0544672405984023E-3</c:v>
                </c:pt>
                <c:pt idx="1659">
                  <c:v>2.4776798096609477E-3</c:v>
                </c:pt>
                <c:pt idx="1660">
                  <c:v>1.8465918174190318E-3</c:v>
                </c:pt>
                <c:pt idx="1661">
                  <c:v>6.5939195265016862E-3</c:v>
                </c:pt>
                <c:pt idx="1662">
                  <c:v>1.8689906566476656E-2</c:v>
                </c:pt>
                <c:pt idx="1663">
                  <c:v>9.8033971041746795E-3</c:v>
                </c:pt>
                <c:pt idx="1664">
                  <c:v>1.0045304880404442E-2</c:v>
                </c:pt>
                <c:pt idx="1665">
                  <c:v>8.8674129312198743E-4</c:v>
                </c:pt>
                <c:pt idx="1666">
                  <c:v>1.7201667178418062E-2</c:v>
                </c:pt>
                <c:pt idx="1667">
                  <c:v>2.970093767788516E-3</c:v>
                </c:pt>
                <c:pt idx="1668">
                  <c:v>-7.3238035420544511E-3</c:v>
                </c:pt>
                <c:pt idx="1669">
                  <c:v>-9.4106546666006367E-3</c:v>
                </c:pt>
                <c:pt idx="1670">
                  <c:v>-5.4581424563145504E-3</c:v>
                </c:pt>
                <c:pt idx="1671">
                  <c:v>-4.4530433375134584E-3</c:v>
                </c:pt>
                <c:pt idx="1672">
                  <c:v>-8.7073053369152893E-3</c:v>
                </c:pt>
                <c:pt idx="1673">
                  <c:v>-2.8539679073078552E-2</c:v>
                </c:pt>
                <c:pt idx="1674">
                  <c:v>4.4385560473259013E-2</c:v>
                </c:pt>
                <c:pt idx="1675">
                  <c:v>1.2712415974230897E-3</c:v>
                </c:pt>
                <c:pt idx="1676">
                  <c:v>-7.494037832198419E-3</c:v>
                </c:pt>
                <c:pt idx="1677">
                  <c:v>-3.8827637640174765E-3</c:v>
                </c:pt>
                <c:pt idx="1678">
                  <c:v>1.4875442458778441E-2</c:v>
                </c:pt>
                <c:pt idx="1679">
                  <c:v>6.6404034914931635E-3</c:v>
                </c:pt>
                <c:pt idx="1680">
                  <c:v>-4.7419482042174834E-3</c:v>
                </c:pt>
                <c:pt idx="1681">
                  <c:v>-1.1785237732934443E-2</c:v>
                </c:pt>
                <c:pt idx="1682">
                  <c:v>-7.8150361251302473E-3</c:v>
                </c:pt>
                <c:pt idx="1683">
                  <c:v>-6.9827995164605267E-3</c:v>
                </c:pt>
                <c:pt idx="1684">
                  <c:v>-1.2720347406736427E-2</c:v>
                </c:pt>
                <c:pt idx="1685">
                  <c:v>-1.0218360244153339E-2</c:v>
                </c:pt>
                <c:pt idx="1686">
                  <c:v>-1.0930990087026081E-2</c:v>
                </c:pt>
                <c:pt idx="1687">
                  <c:v>3.1256045317357824E-2</c:v>
                </c:pt>
                <c:pt idx="1688">
                  <c:v>7.2475249754487747E-3</c:v>
                </c:pt>
                <c:pt idx="1689">
                  <c:v>-9.3449660313719585E-3</c:v>
                </c:pt>
                <c:pt idx="1690">
                  <c:v>-1.0562756100704918E-2</c:v>
                </c:pt>
                <c:pt idx="1691">
                  <c:v>-3.0166403065482444E-3</c:v>
                </c:pt>
                <c:pt idx="1692">
                  <c:v>3.1182902484526097E-3</c:v>
                </c:pt>
                <c:pt idx="1693">
                  <c:v>1.2190391164620031E-2</c:v>
                </c:pt>
                <c:pt idx="1694">
                  <c:v>-2.2706116768142038E-2</c:v>
                </c:pt>
                <c:pt idx="1695">
                  <c:v>1.985488105757641E-3</c:v>
                </c:pt>
                <c:pt idx="1696">
                  <c:v>1.5637174315093209E-2</c:v>
                </c:pt>
                <c:pt idx="1697">
                  <c:v>7.952881129110077E-3</c:v>
                </c:pt>
                <c:pt idx="1698">
                  <c:v>-1.5314768828196021E-3</c:v>
                </c:pt>
                <c:pt idx="1699">
                  <c:v>-4.6513270469973386E-3</c:v>
                </c:pt>
                <c:pt idx="1700">
                  <c:v>8.0227977570838278E-3</c:v>
                </c:pt>
                <c:pt idx="1701">
                  <c:v>4.3806712451275069E-3</c:v>
                </c:pt>
                <c:pt idx="1702">
                  <c:v>-5.118667381380732E-3</c:v>
                </c:pt>
                <c:pt idx="1703">
                  <c:v>-7.3305280373738046E-4</c:v>
                </c:pt>
                <c:pt idx="1704">
                  <c:v>-1.8002385295987158E-3</c:v>
                </c:pt>
                <c:pt idx="1705">
                  <c:v>9.2524401876944943E-3</c:v>
                </c:pt>
                <c:pt idx="1706">
                  <c:v>1.3388073291670676E-2</c:v>
                </c:pt>
                <c:pt idx="1707">
                  <c:v>7.8875484804652816E-3</c:v>
                </c:pt>
                <c:pt idx="1708">
                  <c:v>8.3063901169741997E-3</c:v>
                </c:pt>
                <c:pt idx="1709">
                  <c:v>-2.4985393799759688E-3</c:v>
                </c:pt>
                <c:pt idx="1710">
                  <c:v>-8.9293703235246054E-3</c:v>
                </c:pt>
                <c:pt idx="1711">
                  <c:v>8.3186203115893508E-4</c:v>
                </c:pt>
                <c:pt idx="1712">
                  <c:v>4.8232672444147298E-3</c:v>
                </c:pt>
                <c:pt idx="1713">
                  <c:v>7.2877025055065369E-3</c:v>
                </c:pt>
                <c:pt idx="1714">
                  <c:v>6.8515610958196829E-3</c:v>
                </c:pt>
                <c:pt idx="1715">
                  <c:v>-2.6732541629312057E-5</c:v>
                </c:pt>
                <c:pt idx="1716">
                  <c:v>-5.1765144389679984E-3</c:v>
                </c:pt>
                <c:pt idx="1717">
                  <c:v>7.6514451843274723E-3</c:v>
                </c:pt>
                <c:pt idx="1718">
                  <c:v>5.1618192450183552E-3</c:v>
                </c:pt>
                <c:pt idx="1719">
                  <c:v>-1.7221371227378686E-3</c:v>
                </c:pt>
                <c:pt idx="1720">
                  <c:v>-7.8288127767352331E-4</c:v>
                </c:pt>
                <c:pt idx="1721">
                  <c:v>9.6692071919456096E-3</c:v>
                </c:pt>
                <c:pt idx="1722">
                  <c:v>-3.2343444134256814E-3</c:v>
                </c:pt>
                <c:pt idx="1723">
                  <c:v>-1.1685225497023656E-3</c:v>
                </c:pt>
                <c:pt idx="1724">
                  <c:v>-7.6201406052031704E-4</c:v>
                </c:pt>
                <c:pt idx="1725">
                  <c:v>-1.4234213517178196E-3</c:v>
                </c:pt>
                <c:pt idx="1726">
                  <c:v>9.1933968123439121E-3</c:v>
                </c:pt>
                <c:pt idx="1727">
                  <c:v>8.6751952848458692E-3</c:v>
                </c:pt>
                <c:pt idx="1728">
                  <c:v>3.3149633856583288E-3</c:v>
                </c:pt>
              </c:numCache>
            </c:numRef>
          </c:xVal>
          <c:yVal>
            <c:numRef>
              <c:f>[2]Sheet1!$M$4:$M$1732</c:f>
              <c:numCache>
                <c:formatCode>General</c:formatCode>
                <c:ptCount val="1729"/>
                <c:pt idx="1">
                  <c:v>-3.4500944930338832E-2</c:v>
                </c:pt>
                <c:pt idx="2">
                  <c:v>6.4639475600873431E-3</c:v>
                </c:pt>
                <c:pt idx="3">
                  <c:v>-1.1080958842153079E-3</c:v>
                </c:pt>
                <c:pt idx="4">
                  <c:v>4.4327726336284082E-2</c:v>
                </c:pt>
                <c:pt idx="5">
                  <c:v>1.9727286522577912E-2</c:v>
                </c:pt>
                <c:pt idx="6">
                  <c:v>-1.7559897106656161E-2</c:v>
                </c:pt>
                <c:pt idx="7">
                  <c:v>4.9769545366026488E-4</c:v>
                </c:pt>
                <c:pt idx="8">
                  <c:v>-8.0240505234017573E-3</c:v>
                </c:pt>
                <c:pt idx="9">
                  <c:v>1.9688215414804384E-2</c:v>
                </c:pt>
                <c:pt idx="10">
                  <c:v>2.9934998289428182E-3</c:v>
                </c:pt>
                <c:pt idx="11">
                  <c:v>-1.6905431909269224E-2</c:v>
                </c:pt>
                <c:pt idx="12">
                  <c:v>1.1319527268784621E-2</c:v>
                </c:pt>
                <c:pt idx="13">
                  <c:v>-6.2825653451122647E-3</c:v>
                </c:pt>
                <c:pt idx="14">
                  <c:v>-1.6075435870878622E-2</c:v>
                </c:pt>
                <c:pt idx="15">
                  <c:v>7.0834886729972549E-3</c:v>
                </c:pt>
                <c:pt idx="16">
                  <c:v>-8.0571403684509503E-4</c:v>
                </c:pt>
                <c:pt idx="17">
                  <c:v>2.0725727361882947E-2</c:v>
                </c:pt>
                <c:pt idx="18">
                  <c:v>-6.7682978905116058E-3</c:v>
                </c:pt>
                <c:pt idx="19">
                  <c:v>7.0293858423439498E-3</c:v>
                </c:pt>
                <c:pt idx="20">
                  <c:v>3.8423771506639016E-3</c:v>
                </c:pt>
                <c:pt idx="21">
                  <c:v>-5.1886190617955975E-3</c:v>
                </c:pt>
                <c:pt idx="22">
                  <c:v>3.099482707024045E-3</c:v>
                </c:pt>
                <c:pt idx="23">
                  <c:v>2.4804483559571343E-2</c:v>
                </c:pt>
                <c:pt idx="24">
                  <c:v>4.705662182113076E-2</c:v>
                </c:pt>
                <c:pt idx="25">
                  <c:v>5.3620367796000678E-4</c:v>
                </c:pt>
                <c:pt idx="26">
                  <c:v>-1.4449891824298901E-2</c:v>
                </c:pt>
                <c:pt idx="27">
                  <c:v>-1.0774776952047139E-2</c:v>
                </c:pt>
                <c:pt idx="28">
                  <c:v>-2.6202206930249612E-2</c:v>
                </c:pt>
                <c:pt idx="29">
                  <c:v>3.8113357446007856E-2</c:v>
                </c:pt>
                <c:pt idx="30">
                  <c:v>-6.4647359729327674E-3</c:v>
                </c:pt>
                <c:pt idx="31">
                  <c:v>-1.1959540267163922E-2</c:v>
                </c:pt>
                <c:pt idx="32">
                  <c:v>-4.1441848060233917E-3</c:v>
                </c:pt>
                <c:pt idx="33">
                  <c:v>-1.6789930162131053E-2</c:v>
                </c:pt>
                <c:pt idx="34">
                  <c:v>9.386916984452957E-3</c:v>
                </c:pt>
                <c:pt idx="35">
                  <c:v>1.4821272885788985E-2</c:v>
                </c:pt>
                <c:pt idx="36">
                  <c:v>1.1188839797087275E-2</c:v>
                </c:pt>
                <c:pt idx="37">
                  <c:v>-4.9155456660261087E-3</c:v>
                </c:pt>
                <c:pt idx="38">
                  <c:v>-1.8641242478451812E-2</c:v>
                </c:pt>
                <c:pt idx="39">
                  <c:v>-3.2169860176074518E-2</c:v>
                </c:pt>
                <c:pt idx="40">
                  <c:v>-4.195025897864039E-3</c:v>
                </c:pt>
                <c:pt idx="41">
                  <c:v>3.1810170657267296E-3</c:v>
                </c:pt>
                <c:pt idx="42">
                  <c:v>6.1490337232720672E-3</c:v>
                </c:pt>
                <c:pt idx="43">
                  <c:v>5.3874491599411696E-3</c:v>
                </c:pt>
                <c:pt idx="44">
                  <c:v>-5.337399923751391E-3</c:v>
                </c:pt>
                <c:pt idx="45">
                  <c:v>7.9638856948171053E-3</c:v>
                </c:pt>
                <c:pt idx="46">
                  <c:v>-1.2907723508534759E-2</c:v>
                </c:pt>
                <c:pt idx="47">
                  <c:v>-1.562332798287857E-2</c:v>
                </c:pt>
                <c:pt idx="48">
                  <c:v>1.7175779976084803E-3</c:v>
                </c:pt>
                <c:pt idx="49">
                  <c:v>6.5546729174805352E-3</c:v>
                </c:pt>
                <c:pt idx="50">
                  <c:v>-5.2829049508366149E-3</c:v>
                </c:pt>
                <c:pt idx="51">
                  <c:v>-1.5564371030326693E-2</c:v>
                </c:pt>
                <c:pt idx="52">
                  <c:v>-4.1926320657080615E-2</c:v>
                </c:pt>
                <c:pt idx="53">
                  <c:v>2.3811165505987299E-2</c:v>
                </c:pt>
                <c:pt idx="54">
                  <c:v>-2.1214502188797821E-2</c:v>
                </c:pt>
                <c:pt idx="55">
                  <c:v>-2.4770642201834498E-3</c:v>
                </c:pt>
                <c:pt idx="56">
                  <c:v>-3.4259174100984297E-3</c:v>
                </c:pt>
                <c:pt idx="57">
                  <c:v>-8.3289112428766212E-3</c:v>
                </c:pt>
                <c:pt idx="58">
                  <c:v>-2.7802335861523402E-2</c:v>
                </c:pt>
                <c:pt idx="59">
                  <c:v>4.2836288797952005E-3</c:v>
                </c:pt>
                <c:pt idx="60">
                  <c:v>3.8936281751894328E-2</c:v>
                </c:pt>
                <c:pt idx="61">
                  <c:v>-3.0504587155963329E-2</c:v>
                </c:pt>
                <c:pt idx="62">
                  <c:v>1.3106221906789735E-2</c:v>
                </c:pt>
                <c:pt idx="63">
                  <c:v>-2.4098636278722194E-2</c:v>
                </c:pt>
                <c:pt idx="64">
                  <c:v>2.0099540581928958E-3</c:v>
                </c:pt>
                <c:pt idx="65">
                  <c:v>1.6381698347502183E-2</c:v>
                </c:pt>
                <c:pt idx="66">
                  <c:v>-1.8514167567313555E-2</c:v>
                </c:pt>
                <c:pt idx="67">
                  <c:v>9.8147172882646666E-4</c:v>
                </c:pt>
                <c:pt idx="68">
                  <c:v>-4.8571086930527328E-2</c:v>
                </c:pt>
                <c:pt idx="69">
                  <c:v>-2.2798109792881546E-2</c:v>
                </c:pt>
                <c:pt idx="70">
                  <c:v>-4.9232193842117418E-2</c:v>
                </c:pt>
                <c:pt idx="71">
                  <c:v>2.1480940399859313E-2</c:v>
                </c:pt>
                <c:pt idx="72">
                  <c:v>4.8944566570437317E-2</c:v>
                </c:pt>
                <c:pt idx="73">
                  <c:v>2.1461936624162753E-3</c:v>
                </c:pt>
                <c:pt idx="74">
                  <c:v>1.5621063240110974E-3</c:v>
                </c:pt>
                <c:pt idx="75">
                  <c:v>-8.8297444153753041E-3</c:v>
                </c:pt>
                <c:pt idx="76">
                  <c:v>-1.7131544884647597E-2</c:v>
                </c:pt>
                <c:pt idx="77">
                  <c:v>2.4789547074317935E-3</c:v>
                </c:pt>
                <c:pt idx="78">
                  <c:v>-1.6485497913554258E-2</c:v>
                </c:pt>
                <c:pt idx="79">
                  <c:v>-2.1554659263527363E-2</c:v>
                </c:pt>
                <c:pt idx="80">
                  <c:v>1.2580636526674357E-3</c:v>
                </c:pt>
                <c:pt idx="81">
                  <c:v>8.6884457038977712E-3</c:v>
                </c:pt>
                <c:pt idx="82">
                  <c:v>4.9084307333492304E-2</c:v>
                </c:pt>
                <c:pt idx="83">
                  <c:v>-1.1621150493898811E-2</c:v>
                </c:pt>
                <c:pt idx="84">
                  <c:v>-7.2335966055773861E-3</c:v>
                </c:pt>
                <c:pt idx="85">
                  <c:v>-3.3213182286301844E-3</c:v>
                </c:pt>
                <c:pt idx="86">
                  <c:v>-6.4322802304254837E-3</c:v>
                </c:pt>
                <c:pt idx="87">
                  <c:v>-4.1677499870001633E-2</c:v>
                </c:pt>
                <c:pt idx="88">
                  <c:v>-2.0619116091049584E-2</c:v>
                </c:pt>
                <c:pt idx="89">
                  <c:v>-5.7619324635030996E-3</c:v>
                </c:pt>
                <c:pt idx="90">
                  <c:v>1.7497422752221929E-2</c:v>
                </c:pt>
                <c:pt idx="91">
                  <c:v>-5.4766012212817611E-4</c:v>
                </c:pt>
                <c:pt idx="92">
                  <c:v>-2.1014274363681241E-2</c:v>
                </c:pt>
                <c:pt idx="93">
                  <c:v>-2.4627784618828936E-3</c:v>
                </c:pt>
                <c:pt idx="94">
                  <c:v>1.0184042195039825E-2</c:v>
                </c:pt>
                <c:pt idx="95">
                  <c:v>-2.5356180742633364E-2</c:v>
                </c:pt>
                <c:pt idx="96">
                  <c:v>-1.9006097908474427E-2</c:v>
                </c:pt>
                <c:pt idx="97">
                  <c:v>4.9960786591919928E-3</c:v>
                </c:pt>
                <c:pt idx="98">
                  <c:v>3.0289892771467434E-2</c:v>
                </c:pt>
                <c:pt idx="99">
                  <c:v>4.999018150194965E-2</c:v>
                </c:pt>
                <c:pt idx="100">
                  <c:v>4.9987977236901814E-2</c:v>
                </c:pt>
                <c:pt idx="101">
                  <c:v>3.0050890585241737E-2</c:v>
                </c:pt>
                <c:pt idx="102">
                  <c:v>4.4465304710853689E-4</c:v>
                </c:pt>
                <c:pt idx="103">
                  <c:v>-8.5434208252056498E-3</c:v>
                </c:pt>
                <c:pt idx="104">
                  <c:v>4.9983811919408393E-2</c:v>
                </c:pt>
                <c:pt idx="105">
                  <c:v>5.2419354838709187E-3</c:v>
                </c:pt>
                <c:pt idx="106">
                  <c:v>-2.6497723036266293E-2</c:v>
                </c:pt>
                <c:pt idx="107">
                  <c:v>-4.7481700518687227E-2</c:v>
                </c:pt>
                <c:pt idx="108">
                  <c:v>-1.7583144609277655E-2</c:v>
                </c:pt>
                <c:pt idx="109">
                  <c:v>1.1215292167426547E-2</c:v>
                </c:pt>
                <c:pt idx="110">
                  <c:v>2.9763581875464119E-2</c:v>
                </c:pt>
                <c:pt idx="111">
                  <c:v>3.7534512349824724E-2</c:v>
                </c:pt>
                <c:pt idx="112">
                  <c:v>-2.0210011507479878E-2</c:v>
                </c:pt>
                <c:pt idx="113">
                  <c:v>-1.9550270376079693E-2</c:v>
                </c:pt>
                <c:pt idx="114">
                  <c:v>1.7968555028700457E-3</c:v>
                </c:pt>
                <c:pt idx="115">
                  <c:v>1.2082108514772472E-2</c:v>
                </c:pt>
                <c:pt idx="116">
                  <c:v>-1.2799369877174831E-3</c:v>
                </c:pt>
                <c:pt idx="117">
                  <c:v>-4.9981515711645032E-2</c:v>
                </c:pt>
                <c:pt idx="118">
                  <c:v>-1.782239863024361E-2</c:v>
                </c:pt>
                <c:pt idx="119">
                  <c:v>5.5203380876914284E-3</c:v>
                </c:pt>
                <c:pt idx="120">
                  <c:v>-1.975360529564733E-2</c:v>
                </c:pt>
                <c:pt idx="121">
                  <c:v>1.9562129860385375E-2</c:v>
                </c:pt>
                <c:pt idx="122">
                  <c:v>-8.0426840486766422E-3</c:v>
                </c:pt>
                <c:pt idx="123">
                  <c:v>1.656023952730452E-2</c:v>
                </c:pt>
                <c:pt idx="124">
                  <c:v>3.2763384246468207E-2</c:v>
                </c:pt>
                <c:pt idx="125">
                  <c:v>-2.9679731469096207E-2</c:v>
                </c:pt>
                <c:pt idx="126">
                  <c:v>-1.5475849871251451E-2</c:v>
                </c:pt>
                <c:pt idx="127">
                  <c:v>-7.0537884391840833E-3</c:v>
                </c:pt>
                <c:pt idx="128">
                  <c:v>7.9819076759345478E-3</c:v>
                </c:pt>
                <c:pt idx="129">
                  <c:v>6.2821697241652241E-3</c:v>
                </c:pt>
                <c:pt idx="130">
                  <c:v>-1.0492353697244029E-3</c:v>
                </c:pt>
                <c:pt idx="131">
                  <c:v>-6.1707323477666306E-3</c:v>
                </c:pt>
                <c:pt idx="132">
                  <c:v>-2.1876981610653216E-2</c:v>
                </c:pt>
                <c:pt idx="133">
                  <c:v>2.2960561858454891E-2</c:v>
                </c:pt>
                <c:pt idx="134">
                  <c:v>2.5085819910218871E-3</c:v>
                </c:pt>
                <c:pt idx="135">
                  <c:v>-8.376135914658106E-3</c:v>
                </c:pt>
                <c:pt idx="136">
                  <c:v>2.3295348898982604E-2</c:v>
                </c:pt>
                <c:pt idx="137">
                  <c:v>2.3362060014535803E-3</c:v>
                </c:pt>
                <c:pt idx="138">
                  <c:v>7.4584347645931413E-3</c:v>
                </c:pt>
                <c:pt idx="139">
                  <c:v>-8.8684386406868258E-3</c:v>
                </c:pt>
                <c:pt idx="140">
                  <c:v>-6.950748242861236E-3</c:v>
                </c:pt>
                <c:pt idx="141">
                  <c:v>-5.9024785186345711E-3</c:v>
                </c:pt>
                <c:pt idx="142">
                  <c:v>-1.3661561096077525E-2</c:v>
                </c:pt>
                <c:pt idx="143">
                  <c:v>-1.0654449564500281E-3</c:v>
                </c:pt>
                <c:pt idx="144">
                  <c:v>7.7593792496600941E-3</c:v>
                </c:pt>
                <c:pt idx="145">
                  <c:v>-4.3922315711489258E-3</c:v>
                </c:pt>
                <c:pt idx="146">
                  <c:v>8.849792707558311E-3</c:v>
                </c:pt>
                <c:pt idx="147">
                  <c:v>-9.4834171913280012E-3</c:v>
                </c:pt>
                <c:pt idx="148">
                  <c:v>-3.8030903433419506E-3</c:v>
                </c:pt>
                <c:pt idx="149">
                  <c:v>-2.8298360830797068E-2</c:v>
                </c:pt>
                <c:pt idx="150">
                  <c:v>-3.0963239738447272E-2</c:v>
                </c:pt>
                <c:pt idx="151">
                  <c:v>-1.7493124663321025E-2</c:v>
                </c:pt>
                <c:pt idx="152">
                  <c:v>-4.9777803428175678E-2</c:v>
                </c:pt>
                <c:pt idx="153">
                  <c:v>2.8576634577424057E-2</c:v>
                </c:pt>
                <c:pt idx="154">
                  <c:v>1.9958665485680517E-2</c:v>
                </c:pt>
                <c:pt idx="155">
                  <c:v>4.2957216465003278E-2</c:v>
                </c:pt>
                <c:pt idx="156">
                  <c:v>4.1271162919789078E-2</c:v>
                </c:pt>
                <c:pt idx="157">
                  <c:v>-2.0497374523549317E-2</c:v>
                </c:pt>
                <c:pt idx="158">
                  <c:v>-4.7050179601611022E-2</c:v>
                </c:pt>
                <c:pt idx="159">
                  <c:v>3.2268197264342248E-2</c:v>
                </c:pt>
                <c:pt idx="160">
                  <c:v>-2.6003485573598099E-3</c:v>
                </c:pt>
                <c:pt idx="161">
                  <c:v>-2.5877132159201174E-2</c:v>
                </c:pt>
                <c:pt idx="162">
                  <c:v>-3.3881897386255182E-3</c:v>
                </c:pt>
                <c:pt idx="163">
                  <c:v>4.7138816672857593E-3</c:v>
                </c:pt>
                <c:pt idx="164">
                  <c:v>-3.1278434940855325E-2</c:v>
                </c:pt>
                <c:pt idx="165">
                  <c:v>4.7786779382411569E-2</c:v>
                </c:pt>
                <c:pt idx="166">
                  <c:v>-1.1766024204392617E-2</c:v>
                </c:pt>
                <c:pt idx="167">
                  <c:v>-7.8807120988773471E-3</c:v>
                </c:pt>
                <c:pt idx="168">
                  <c:v>-2.9315960912052089E-2</c:v>
                </c:pt>
                <c:pt idx="169">
                  <c:v>4.9982338396326272E-2</c:v>
                </c:pt>
                <c:pt idx="170">
                  <c:v>4.6818054387440397E-2</c:v>
                </c:pt>
                <c:pt idx="171">
                  <c:v>-2.1424745581146227E-2</c:v>
                </c:pt>
                <c:pt idx="172">
                  <c:v>-3.423645320197042E-2</c:v>
                </c:pt>
                <c:pt idx="173">
                  <c:v>-3.6328600980475481E-2</c:v>
                </c:pt>
                <c:pt idx="174">
                  <c:v>3.7286441026847437E-2</c:v>
                </c:pt>
                <c:pt idx="175">
                  <c:v>-1.7519489723600304E-2</c:v>
                </c:pt>
                <c:pt idx="176">
                  <c:v>-1.8841792422887072E-2</c:v>
                </c:pt>
                <c:pt idx="177">
                  <c:v>1.0557581461004514E-2</c:v>
                </c:pt>
                <c:pt idx="178">
                  <c:v>-5.6456071937840057E-3</c:v>
                </c:pt>
                <c:pt idx="179">
                  <c:v>-6.5263835640493378E-3</c:v>
                </c:pt>
                <c:pt idx="180">
                  <c:v>2.4391680904966802E-2</c:v>
                </c:pt>
                <c:pt idx="181">
                  <c:v>-1.613274285385637E-2</c:v>
                </c:pt>
                <c:pt idx="182">
                  <c:v>2.1190775436237687E-2</c:v>
                </c:pt>
                <c:pt idx="183">
                  <c:v>9.3880588471006634E-3</c:v>
                </c:pt>
                <c:pt idx="184">
                  <c:v>2.7675381387171752E-2</c:v>
                </c:pt>
                <c:pt idx="185">
                  <c:v>3.0627448816289296E-3</c:v>
                </c:pt>
                <c:pt idx="186">
                  <c:v>3.5595411657910095E-2</c:v>
                </c:pt>
                <c:pt idx="187">
                  <c:v>-1.2484394506866538E-2</c:v>
                </c:pt>
                <c:pt idx="188">
                  <c:v>-2.2164241332006375E-2</c:v>
                </c:pt>
                <c:pt idx="189">
                  <c:v>3.9859158803950183E-2</c:v>
                </c:pt>
                <c:pt idx="190">
                  <c:v>2.7485318237130425E-2</c:v>
                </c:pt>
                <c:pt idx="191">
                  <c:v>-3.6095878066991161E-2</c:v>
                </c:pt>
                <c:pt idx="192">
                  <c:v>-6.9179198162343412E-3</c:v>
                </c:pt>
                <c:pt idx="193">
                  <c:v>-6.1592253899946754E-3</c:v>
                </c:pt>
                <c:pt idx="194">
                  <c:v>-1.7807366512408281E-2</c:v>
                </c:pt>
                <c:pt idx="195">
                  <c:v>6.2822031796764466E-3</c:v>
                </c:pt>
                <c:pt idx="196">
                  <c:v>-4.5425919334081695E-2</c:v>
                </c:pt>
                <c:pt idx="197">
                  <c:v>2.2373931501347391E-3</c:v>
                </c:pt>
                <c:pt idx="198">
                  <c:v>-9.3302804808242448E-3</c:v>
                </c:pt>
                <c:pt idx="199">
                  <c:v>-3.1490148494827961E-3</c:v>
                </c:pt>
                <c:pt idx="200">
                  <c:v>-6.665700623098629E-4</c:v>
                </c:pt>
                <c:pt idx="201">
                  <c:v>2.9087639928078505E-2</c:v>
                </c:pt>
                <c:pt idx="202">
                  <c:v>-1.2484148231647193E-2</c:v>
                </c:pt>
                <c:pt idx="203">
                  <c:v>-1.4725186918554947E-2</c:v>
                </c:pt>
                <c:pt idx="204">
                  <c:v>1.8420900191160324E-2</c:v>
                </c:pt>
                <c:pt idx="205">
                  <c:v>3.148285080484612E-2</c:v>
                </c:pt>
                <c:pt idx="206">
                  <c:v>4.7257988916154257E-2</c:v>
                </c:pt>
                <c:pt idx="207">
                  <c:v>-1.392728325829967E-2</c:v>
                </c:pt>
                <c:pt idx="208">
                  <c:v>1.8395898969402431E-2</c:v>
                </c:pt>
                <c:pt idx="209">
                  <c:v>-8.7040872506095306E-3</c:v>
                </c:pt>
                <c:pt idx="210">
                  <c:v>1.5260109491946739E-2</c:v>
                </c:pt>
                <c:pt idx="211">
                  <c:v>3.2015213087423208E-2</c:v>
                </c:pt>
                <c:pt idx="212">
                  <c:v>-1.6836206678950996E-2</c:v>
                </c:pt>
                <c:pt idx="213">
                  <c:v>9.3196405648266895E-3</c:v>
                </c:pt>
                <c:pt idx="214">
                  <c:v>-7.9871798132932787E-3</c:v>
                </c:pt>
                <c:pt idx="215">
                  <c:v>-3.0000769250494012E-3</c:v>
                </c:pt>
                <c:pt idx="216">
                  <c:v>4.5882413456098017E-2</c:v>
                </c:pt>
                <c:pt idx="217">
                  <c:v>6.3443663010868635E-3</c:v>
                </c:pt>
                <c:pt idx="218">
                  <c:v>-1.7471410419313934E-2</c:v>
                </c:pt>
                <c:pt idx="219">
                  <c:v>-4.6208560272575756E-2</c:v>
                </c:pt>
                <c:pt idx="220">
                  <c:v>4.2658600818753133E-2</c:v>
                </c:pt>
                <c:pt idx="221">
                  <c:v>4.1288418736089204E-2</c:v>
                </c:pt>
                <c:pt idx="222">
                  <c:v>-2.5913828714155387E-2</c:v>
                </c:pt>
                <c:pt idx="223">
                  <c:v>1.6519144949333465E-3</c:v>
                </c:pt>
                <c:pt idx="224">
                  <c:v>2.5156303844828504E-2</c:v>
                </c:pt>
                <c:pt idx="225">
                  <c:v>9.1480983480599354E-3</c:v>
                </c:pt>
                <c:pt idx="226">
                  <c:v>1.7963786909038888E-2</c:v>
                </c:pt>
                <c:pt idx="227">
                  <c:v>-2.7673896783844371E-2</c:v>
                </c:pt>
                <c:pt idx="228">
                  <c:v>2.8052884615384653E-2</c:v>
                </c:pt>
                <c:pt idx="229">
                  <c:v>1.7723946033156367E-2</c:v>
                </c:pt>
                <c:pt idx="230">
                  <c:v>-1.095921883974723E-2</c:v>
                </c:pt>
                <c:pt idx="231">
                  <c:v>-2.7992008920275067E-2</c:v>
                </c:pt>
                <c:pt idx="232">
                  <c:v>2.4352938364839993E-2</c:v>
                </c:pt>
                <c:pt idx="233">
                  <c:v>-1.033549531053149E-2</c:v>
                </c:pt>
                <c:pt idx="234">
                  <c:v>-8.463188665456459E-3</c:v>
                </c:pt>
                <c:pt idx="235">
                  <c:v>9.3200190204468826E-3</c:v>
                </c:pt>
                <c:pt idx="236">
                  <c:v>1.9739941581079799E-2</c:v>
                </c:pt>
                <c:pt idx="237">
                  <c:v>-1.6447216447216459E-2</c:v>
                </c:pt>
                <c:pt idx="238">
                  <c:v>-1.2001503123678795E-2</c:v>
                </c:pt>
                <c:pt idx="239">
                  <c:v>-1.4762165117550659E-2</c:v>
                </c:pt>
                <c:pt idx="240">
                  <c:v>6.9246730685711645E-3</c:v>
                </c:pt>
                <c:pt idx="241">
                  <c:v>-8.9138092157284889E-3</c:v>
                </c:pt>
                <c:pt idx="242">
                  <c:v>1.8495684340320537E-2</c:v>
                </c:pt>
                <c:pt idx="243">
                  <c:v>6.7891563405023348E-3</c:v>
                </c:pt>
                <c:pt idx="244">
                  <c:v>-8.5353201923983879E-3</c:v>
                </c:pt>
                <c:pt idx="245">
                  <c:v>2.4423305588584975E-2</c:v>
                </c:pt>
                <c:pt idx="246">
                  <c:v>-5.5017758896859217E-3</c:v>
                </c:pt>
                <c:pt idx="247">
                  <c:v>2.0028011204481888E-2</c:v>
                </c:pt>
                <c:pt idx="248">
                  <c:v>4.9979404091720386E-2</c:v>
                </c:pt>
                <c:pt idx="249">
                  <c:v>1.0112898304345901E-2</c:v>
                </c:pt>
                <c:pt idx="250">
                  <c:v>-3.9593492426530805E-2</c:v>
                </c:pt>
                <c:pt idx="251">
                  <c:v>4.6977151715306253E-2</c:v>
                </c:pt>
                <c:pt idx="252">
                  <c:v>2.3625595468005647E-2</c:v>
                </c:pt>
                <c:pt idx="253">
                  <c:v>4.4860910215290518E-2</c:v>
                </c:pt>
                <c:pt idx="254">
                  <c:v>-9.4897979656120585E-3</c:v>
                </c:pt>
                <c:pt idx="255">
                  <c:v>-7.6767267571398899E-3</c:v>
                </c:pt>
                <c:pt idx="256">
                  <c:v>-4.408973076687606E-3</c:v>
                </c:pt>
                <c:pt idx="257">
                  <c:v>-3.4033828805741157E-3</c:v>
                </c:pt>
                <c:pt idx="258">
                  <c:v>1.5223518278508284E-3</c:v>
                </c:pt>
                <c:pt idx="259">
                  <c:v>4.7860649508042665E-3</c:v>
                </c:pt>
                <c:pt idx="260">
                  <c:v>-1.189794750183999E-2</c:v>
                </c:pt>
                <c:pt idx="261">
                  <c:v>-4.489593246989612E-3</c:v>
                </c:pt>
                <c:pt idx="262">
                  <c:v>3.0758359831244697E-2</c:v>
                </c:pt>
                <c:pt idx="263">
                  <c:v>-1.0121579934270295E-2</c:v>
                </c:pt>
                <c:pt idx="264">
                  <c:v>1.11416641205826E-2</c:v>
                </c:pt>
                <c:pt idx="265">
                  <c:v>-9.3267797429595813E-3</c:v>
                </c:pt>
                <c:pt idx="266">
                  <c:v>-4.5751235283352648E-3</c:v>
                </c:pt>
                <c:pt idx="267">
                  <c:v>-2.7495199575111401E-2</c:v>
                </c:pt>
                <c:pt idx="268">
                  <c:v>2.3672492018148292E-2</c:v>
                </c:pt>
                <c:pt idx="269">
                  <c:v>-2.1504052528983315E-2</c:v>
                </c:pt>
                <c:pt idx="270">
                  <c:v>-3.508293664940134E-2</c:v>
                </c:pt>
                <c:pt idx="271">
                  <c:v>2.2188899030729858E-2</c:v>
                </c:pt>
                <c:pt idx="272">
                  <c:v>2.4875093015838397E-3</c:v>
                </c:pt>
                <c:pt idx="273">
                  <c:v>-5.7473702069901159E-3</c:v>
                </c:pt>
                <c:pt idx="274">
                  <c:v>-1.6851176382756291E-2</c:v>
                </c:pt>
                <c:pt idx="275">
                  <c:v>2.3974311687748051E-2</c:v>
                </c:pt>
                <c:pt idx="276">
                  <c:v>4.3033307907449789E-2</c:v>
                </c:pt>
                <c:pt idx="277">
                  <c:v>-1.4829260365246623E-2</c:v>
                </c:pt>
                <c:pt idx="278">
                  <c:v>-4.3301647524596648E-4</c:v>
                </c:pt>
                <c:pt idx="279">
                  <c:v>-2.4960805346975401E-3</c:v>
                </c:pt>
                <c:pt idx="280">
                  <c:v>-4.5290042394788496E-3</c:v>
                </c:pt>
                <c:pt idx="281">
                  <c:v>1.1820674754861222E-2</c:v>
                </c:pt>
                <c:pt idx="282">
                  <c:v>-6.9397392464839247E-3</c:v>
                </c:pt>
                <c:pt idx="283">
                  <c:v>1.3066760394483828E-2</c:v>
                </c:pt>
                <c:pt idx="284">
                  <c:v>-2.6898508132819049E-2</c:v>
                </c:pt>
                <c:pt idx="285">
                  <c:v>3.2297980327594231E-3</c:v>
                </c:pt>
                <c:pt idx="286">
                  <c:v>-1.4529110483955358E-2</c:v>
                </c:pt>
                <c:pt idx="287">
                  <c:v>1.1773440814594848E-2</c:v>
                </c:pt>
                <c:pt idx="288">
                  <c:v>2.5453401824090546E-2</c:v>
                </c:pt>
                <c:pt idx="289">
                  <c:v>5.2567012206342349E-2</c:v>
                </c:pt>
                <c:pt idx="290">
                  <c:v>-2.2144522144522102E-2</c:v>
                </c:pt>
                <c:pt idx="291">
                  <c:v>3.8736591179977069E-3</c:v>
                </c:pt>
                <c:pt idx="292">
                  <c:v>6.2135153853764669E-2</c:v>
                </c:pt>
                <c:pt idx="293">
                  <c:v>-1.304145319049837E-2</c:v>
                </c:pt>
                <c:pt idx="294">
                  <c:v>6.9315714959886796E-2</c:v>
                </c:pt>
                <c:pt idx="295">
                  <c:v>-1.1880593853160834E-2</c:v>
                </c:pt>
                <c:pt idx="296">
                  <c:v>-8.4682173866438143E-3</c:v>
                </c:pt>
                <c:pt idx="297">
                  <c:v>-6.8378378378378457E-2</c:v>
                </c:pt>
                <c:pt idx="298">
                  <c:v>-3.4851561744512101E-2</c:v>
                </c:pt>
                <c:pt idx="299">
                  <c:v>-7.4985471815321642E-2</c:v>
                </c:pt>
                <c:pt idx="300">
                  <c:v>-6.0830571261454559E-2</c:v>
                </c:pt>
                <c:pt idx="301">
                  <c:v>-7.498904343413372E-2</c:v>
                </c:pt>
                <c:pt idx="302">
                  <c:v>-7.3587352251757998E-2</c:v>
                </c:pt>
                <c:pt idx="303">
                  <c:v>3.2031439261392632E-3</c:v>
                </c:pt>
                <c:pt idx="304">
                  <c:v>-7.4993292192111594E-2</c:v>
                </c:pt>
                <c:pt idx="305">
                  <c:v>-7.4981870920957275E-2</c:v>
                </c:pt>
                <c:pt idx="306">
                  <c:v>-2.6967701473816139E-2</c:v>
                </c:pt>
                <c:pt idx="307">
                  <c:v>6.7934257170480128E-2</c:v>
                </c:pt>
                <c:pt idx="308">
                  <c:v>6.8048765767396976E-2</c:v>
                </c:pt>
                <c:pt idx="309">
                  <c:v>4.7382250727544942E-2</c:v>
                </c:pt>
                <c:pt idx="310">
                  <c:v>-1.6913946587537042E-2</c:v>
                </c:pt>
                <c:pt idx="311">
                  <c:v>7.4993825974809927E-2</c:v>
                </c:pt>
                <c:pt idx="312">
                  <c:v>4.842250357361657E-2</c:v>
                </c:pt>
                <c:pt idx="313">
                  <c:v>-4.677038443746509E-2</c:v>
                </c:pt>
                <c:pt idx="314">
                  <c:v>4.5744789538210116E-2</c:v>
                </c:pt>
                <c:pt idx="315">
                  <c:v>-2.7013164643528813E-2</c:v>
                </c:pt>
                <c:pt idx="316">
                  <c:v>2.904335165800636E-2</c:v>
                </c:pt>
                <c:pt idx="317">
                  <c:v>6.805874030345954E-3</c:v>
                </c:pt>
                <c:pt idx="318">
                  <c:v>-3.2030625348290716E-2</c:v>
                </c:pt>
                <c:pt idx="319">
                  <c:v>1.999949938674879E-2</c:v>
                </c:pt>
                <c:pt idx="320">
                  <c:v>1.5263803680981663E-2</c:v>
                </c:pt>
                <c:pt idx="321">
                  <c:v>-1.0828579715749825E-2</c:v>
                </c:pt>
                <c:pt idx="322">
                  <c:v>7.4992669338285592E-2</c:v>
                </c:pt>
                <c:pt idx="323">
                  <c:v>7.23751505921396E-2</c:v>
                </c:pt>
                <c:pt idx="324">
                  <c:v>-2.552091061322247E-2</c:v>
                </c:pt>
                <c:pt idx="325">
                  <c:v>2.0881821938964099E-2</c:v>
                </c:pt>
                <c:pt idx="326">
                  <c:v>-2.3799884942364562E-2</c:v>
                </c:pt>
                <c:pt idx="327">
                  <c:v>-4.583551597695178E-3</c:v>
                </c:pt>
                <c:pt idx="328">
                  <c:v>-2.9447879664956381E-2</c:v>
                </c:pt>
                <c:pt idx="329">
                  <c:v>2.6297358967986774E-2</c:v>
                </c:pt>
                <c:pt idx="330">
                  <c:v>2.9784049133775133E-2</c:v>
                </c:pt>
                <c:pt idx="331">
                  <c:v>5.6434373663958662E-3</c:v>
                </c:pt>
                <c:pt idx="332">
                  <c:v>-1.8960972706402551E-2</c:v>
                </c:pt>
                <c:pt idx="333">
                  <c:v>-1.4300572022880227E-3</c:v>
                </c:pt>
                <c:pt idx="334">
                  <c:v>-1.8118300568502416E-2</c:v>
                </c:pt>
                <c:pt idx="335">
                  <c:v>-2.5458000928156244E-2</c:v>
                </c:pt>
                <c:pt idx="336">
                  <c:v>-1.324293067870027E-2</c:v>
                </c:pt>
                <c:pt idx="337">
                  <c:v>-3.9526600022979901E-3</c:v>
                </c:pt>
                <c:pt idx="338">
                  <c:v>3.99833883210668E-2</c:v>
                </c:pt>
                <c:pt idx="339">
                  <c:v>1.0182802378205768E-2</c:v>
                </c:pt>
                <c:pt idx="340">
                  <c:v>-7.4667837926870187E-3</c:v>
                </c:pt>
                <c:pt idx="341">
                  <c:v>1.4625511671645124E-2</c:v>
                </c:pt>
                <c:pt idx="342">
                  <c:v>-1.7118806699232429E-2</c:v>
                </c:pt>
                <c:pt idx="343">
                  <c:v>1.1537352177675325E-2</c:v>
                </c:pt>
                <c:pt idx="344">
                  <c:v>2.8514399771883804E-3</c:v>
                </c:pt>
                <c:pt idx="345">
                  <c:v>-1.0148509437676312E-2</c:v>
                </c:pt>
                <c:pt idx="346">
                  <c:v>-7.8882824756391131E-3</c:v>
                </c:pt>
                <c:pt idx="347">
                  <c:v>1.804008908685974E-2</c:v>
                </c:pt>
                <c:pt idx="348">
                  <c:v>-6.7818858017939677E-3</c:v>
                </c:pt>
                <c:pt idx="349">
                  <c:v>-4.4052863436123352E-3</c:v>
                </c:pt>
                <c:pt idx="350">
                  <c:v>-4.9778761061946902E-3</c:v>
                </c:pt>
                <c:pt idx="351">
                  <c:v>-6.1145080600333518E-3</c:v>
                </c:pt>
                <c:pt idx="352">
                  <c:v>1.1185682326621925E-2</c:v>
                </c:pt>
                <c:pt idx="353">
                  <c:v>1.0066371681415954E-2</c:v>
                </c:pt>
                <c:pt idx="354">
                  <c:v>2.5035593034716912E-2</c:v>
                </c:pt>
                <c:pt idx="355">
                  <c:v>-3.7822129150819235E-3</c:v>
                </c:pt>
                <c:pt idx="356">
                  <c:v>2.3144076703631455E-2</c:v>
                </c:pt>
                <c:pt idx="357">
                  <c:v>-1.2578616352201259E-2</c:v>
                </c:pt>
                <c:pt idx="358">
                  <c:v>-3.3927813163481993E-2</c:v>
                </c:pt>
                <c:pt idx="359">
                  <c:v>-2.2416597072655747E-3</c:v>
                </c:pt>
                <c:pt idx="360">
                  <c:v>-1.2136563876651962E-2</c:v>
                </c:pt>
                <c:pt idx="361">
                  <c:v>-2.2074070770808918E-3</c:v>
                </c:pt>
                <c:pt idx="362">
                  <c:v>-1.9553072625698324E-2</c:v>
                </c:pt>
                <c:pt idx="363">
                  <c:v>8.5470085470085479E-3</c:v>
                </c:pt>
                <c:pt idx="364">
                  <c:v>1.1299435028248588E-2</c:v>
                </c:pt>
                <c:pt idx="365">
                  <c:v>-1.1173184357541898E-3</c:v>
                </c:pt>
                <c:pt idx="366">
                  <c:v>-1.3310961968680065E-2</c:v>
                </c:pt>
                <c:pt idx="367">
                  <c:v>2.9339077202131272E-2</c:v>
                </c:pt>
                <c:pt idx="368">
                  <c:v>1.546289565849464E-2</c:v>
                </c:pt>
                <c:pt idx="369">
                  <c:v>2.1691503438103295E-3</c:v>
                </c:pt>
                <c:pt idx="370">
                  <c:v>7.1167290751282433E-2</c:v>
                </c:pt>
                <c:pt idx="371">
                  <c:v>-6.8500070722786605E-3</c:v>
                </c:pt>
                <c:pt idx="372">
                  <c:v>-4.7812817904374829E-3</c:v>
                </c:pt>
                <c:pt idx="373">
                  <c:v>3.7820709393846935E-3</c:v>
                </c:pt>
                <c:pt idx="374">
                  <c:v>6.1099796334012219E-3</c:v>
                </c:pt>
                <c:pt idx="375">
                  <c:v>-9.1093117408906875E-3</c:v>
                </c:pt>
                <c:pt idx="376">
                  <c:v>-3.0643513789581204E-3</c:v>
                </c:pt>
                <c:pt idx="377">
                  <c:v>1.8442622950819672E-2</c:v>
                </c:pt>
                <c:pt idx="378">
                  <c:v>3.5030181086519049E-2</c:v>
                </c:pt>
                <c:pt idx="379">
                  <c:v>-6.6289535584455363E-3</c:v>
                </c:pt>
                <c:pt idx="380">
                  <c:v>2.9158512720156736E-3</c:v>
                </c:pt>
                <c:pt idx="381">
                  <c:v>2.63810025561474E-2</c:v>
                </c:pt>
                <c:pt idx="382">
                  <c:v>-3.2318777209550971E-4</c:v>
                </c:pt>
                <c:pt idx="383">
                  <c:v>1.1714589989350311E-2</c:v>
                </c:pt>
                <c:pt idx="384">
                  <c:v>9.3984962406015032E-3</c:v>
                </c:pt>
                <c:pt idx="385">
                  <c:v>3.4078212290502709E-2</c:v>
                </c:pt>
                <c:pt idx="386">
                  <c:v>-2.7552674230145787E-2</c:v>
                </c:pt>
                <c:pt idx="387">
                  <c:v>-1.6481481481481441E-2</c:v>
                </c:pt>
                <c:pt idx="388">
                  <c:v>2.8299755225004653E-2</c:v>
                </c:pt>
                <c:pt idx="389">
                  <c:v>2.7209638730705168E-2</c:v>
                </c:pt>
                <c:pt idx="390">
                  <c:v>1.9447761992192319E-2</c:v>
                </c:pt>
                <c:pt idx="391">
                  <c:v>1.7677915719531413E-2</c:v>
                </c:pt>
                <c:pt idx="392">
                  <c:v>3.0910121819212745E-2</c:v>
                </c:pt>
                <c:pt idx="393">
                  <c:v>-2.9166666666666667E-2</c:v>
                </c:pt>
                <c:pt idx="394">
                  <c:v>3.0042918454935622E-2</c:v>
                </c:pt>
                <c:pt idx="395">
                  <c:v>5.0000000000000001E-3</c:v>
                </c:pt>
                <c:pt idx="396">
                  <c:v>-6.6500829187396198E-3</c:v>
                </c:pt>
                <c:pt idx="397">
                  <c:v>1.0066946025810068E-2</c:v>
                </c:pt>
                <c:pt idx="398">
                  <c:v>1.980099831410535E-2</c:v>
                </c:pt>
                <c:pt idx="399">
                  <c:v>-1.1717990275526773E-2</c:v>
                </c:pt>
                <c:pt idx="400">
                  <c:v>3.6571166177411453E-3</c:v>
                </c:pt>
                <c:pt idx="401">
                  <c:v>-1.568627450980396E-2</c:v>
                </c:pt>
                <c:pt idx="402">
                  <c:v>1.0126162018592335E-2</c:v>
                </c:pt>
                <c:pt idx="403">
                  <c:v>2.4650780608052587E-3</c:v>
                </c:pt>
                <c:pt idx="404">
                  <c:v>-1.1475409836065573E-2</c:v>
                </c:pt>
                <c:pt idx="405">
                  <c:v>-8.5240464344941737E-3</c:v>
                </c:pt>
                <c:pt idx="406">
                  <c:v>2.7013013079985243E-2</c:v>
                </c:pt>
                <c:pt idx="407">
                  <c:v>-1.0602433185127264E-2</c:v>
                </c:pt>
                <c:pt idx="408">
                  <c:v>6.5843621399173209E-4</c:v>
                </c:pt>
                <c:pt idx="409">
                  <c:v>1.6450074025336855E-4</c:v>
                </c:pt>
                <c:pt idx="410">
                  <c:v>-5.016447368420978E-3</c:v>
                </c:pt>
                <c:pt idx="411">
                  <c:v>1.4959914042482774E-2</c:v>
                </c:pt>
                <c:pt idx="412">
                  <c:v>1.7915309446254442E-3</c:v>
                </c:pt>
                <c:pt idx="413">
                  <c:v>1.463176719232608E-3</c:v>
                </c:pt>
                <c:pt idx="414">
                  <c:v>8.1168831168831161E-3</c:v>
                </c:pt>
                <c:pt idx="415">
                  <c:v>-1.0563607085346129E-2</c:v>
                </c:pt>
                <c:pt idx="416">
                  <c:v>2.3696373933988581E-2</c:v>
                </c:pt>
                <c:pt idx="417">
                  <c:v>1.2718600953895072E-2</c:v>
                </c:pt>
                <c:pt idx="418">
                  <c:v>1.2558869701726845E-2</c:v>
                </c:pt>
                <c:pt idx="419">
                  <c:v>3.1798449612403086E-2</c:v>
                </c:pt>
                <c:pt idx="420">
                  <c:v>-1.2231221168727721E-2</c:v>
                </c:pt>
                <c:pt idx="421">
                  <c:v>9.5836439143860447E-4</c:v>
                </c:pt>
                <c:pt idx="422">
                  <c:v>-6.0790273556231003E-3</c:v>
                </c:pt>
                <c:pt idx="423">
                  <c:v>1.5137614678899047E-2</c:v>
                </c:pt>
                <c:pt idx="424">
                  <c:v>1.6568760355475565E-3</c:v>
                </c:pt>
                <c:pt idx="425">
                  <c:v>-5.8646616541353043E-3</c:v>
                </c:pt>
                <c:pt idx="426">
                  <c:v>1.3613674179397629E-3</c:v>
                </c:pt>
                <c:pt idx="427">
                  <c:v>-1.5105740181268882E-3</c:v>
                </c:pt>
                <c:pt idx="428">
                  <c:v>-4.5385779122541605E-3</c:v>
                </c:pt>
                <c:pt idx="429">
                  <c:v>9.103343465045606E-3</c:v>
                </c:pt>
                <c:pt idx="430">
                  <c:v>-2.0391873371586867E-2</c:v>
                </c:pt>
                <c:pt idx="431">
                  <c:v>-6.8414174802060804E-3</c:v>
                </c:pt>
                <c:pt idx="432">
                  <c:v>2.6315789473684209E-2</c:v>
                </c:pt>
                <c:pt idx="433">
                  <c:v>-2.2624434389140271E-2</c:v>
                </c:pt>
                <c:pt idx="434">
                  <c:v>-3.0864197530864196E-3</c:v>
                </c:pt>
                <c:pt idx="435">
                  <c:v>-1.4705882352941176E-2</c:v>
                </c:pt>
                <c:pt idx="436">
                  <c:v>-8.6252945797329287E-3</c:v>
                </c:pt>
                <c:pt idx="437">
                  <c:v>-1.5847609388123802E-3</c:v>
                </c:pt>
                <c:pt idx="438">
                  <c:v>2.8555102299963508E-2</c:v>
                </c:pt>
                <c:pt idx="439">
                  <c:v>1.0725308641975378E-2</c:v>
                </c:pt>
                <c:pt idx="440">
                  <c:v>0</c:v>
                </c:pt>
                <c:pt idx="441">
                  <c:v>-1.0764180471791843E-2</c:v>
                </c:pt>
                <c:pt idx="442">
                  <c:v>-1.2347584503780745E-3</c:v>
                </c:pt>
                <c:pt idx="443">
                  <c:v>-1.5453562046055129E-4</c:v>
                </c:pt>
                <c:pt idx="444">
                  <c:v>-6.785162287480659E-3</c:v>
                </c:pt>
                <c:pt idx="445">
                  <c:v>-7.1738690652184273E-3</c:v>
                </c:pt>
                <c:pt idx="446">
                  <c:v>-1.567398119122257E-3</c:v>
                </c:pt>
                <c:pt idx="447">
                  <c:v>2.6687598116169546E-2</c:v>
                </c:pt>
                <c:pt idx="448">
                  <c:v>4.5871559633027525E-3</c:v>
                </c:pt>
                <c:pt idx="449">
                  <c:v>-1.2176560121765601E-2</c:v>
                </c:pt>
                <c:pt idx="450">
                  <c:v>1.8397534668721193E-2</c:v>
                </c:pt>
                <c:pt idx="451">
                  <c:v>6.8175628650104306E-2</c:v>
                </c:pt>
                <c:pt idx="452">
                  <c:v>-1.69971671388102E-2</c:v>
                </c:pt>
                <c:pt idx="453">
                  <c:v>-1.7291066282420751E-2</c:v>
                </c:pt>
                <c:pt idx="454">
                  <c:v>-1.3196480938416423E-2</c:v>
                </c:pt>
                <c:pt idx="455">
                  <c:v>-1.9613670133729638E-2</c:v>
                </c:pt>
                <c:pt idx="456">
                  <c:v>3.0600181873295024E-2</c:v>
                </c:pt>
                <c:pt idx="457">
                  <c:v>-5.8824394476389361E-3</c:v>
                </c:pt>
                <c:pt idx="458">
                  <c:v>1.5621532862912093E-2</c:v>
                </c:pt>
                <c:pt idx="459">
                  <c:v>-5.374699584880841E-3</c:v>
                </c:pt>
                <c:pt idx="460">
                  <c:v>-1.1510412090326001E-2</c:v>
                </c:pt>
                <c:pt idx="461">
                  <c:v>-1.4814814814814814E-3</c:v>
                </c:pt>
                <c:pt idx="462">
                  <c:v>-1.4094955489614243E-2</c:v>
                </c:pt>
                <c:pt idx="463">
                  <c:v>-1.4296463506395787E-2</c:v>
                </c:pt>
                <c:pt idx="464">
                  <c:v>7.6030534351145315E-3</c:v>
                </c:pt>
                <c:pt idx="465">
                  <c:v>-1.0576078062971632E-2</c:v>
                </c:pt>
                <c:pt idx="466">
                  <c:v>7.656967840735069E-3</c:v>
                </c:pt>
                <c:pt idx="467">
                  <c:v>-6.0790273556231003E-3</c:v>
                </c:pt>
                <c:pt idx="468">
                  <c:v>6.8807339449541288E-3</c:v>
                </c:pt>
                <c:pt idx="469">
                  <c:v>-1.219438116932418E-2</c:v>
                </c:pt>
                <c:pt idx="470">
                  <c:v>-5.3346042092641127E-3</c:v>
                </c:pt>
                <c:pt idx="471">
                  <c:v>9.2735703245749607E-3</c:v>
                </c:pt>
                <c:pt idx="472">
                  <c:v>-1.2251148545176111E-2</c:v>
                </c:pt>
                <c:pt idx="473">
                  <c:v>1.3023255813953452E-2</c:v>
                </c:pt>
                <c:pt idx="474">
                  <c:v>-7.300275482093636E-3</c:v>
                </c:pt>
                <c:pt idx="475">
                  <c:v>8.8185868677058219E-3</c:v>
                </c:pt>
                <c:pt idx="476">
                  <c:v>9.3986398716282976E-3</c:v>
                </c:pt>
                <c:pt idx="477">
                  <c:v>9.8410295230885701E-3</c:v>
                </c:pt>
                <c:pt idx="478">
                  <c:v>1.0179910044977456E-2</c:v>
                </c:pt>
                <c:pt idx="479">
                  <c:v>-1.1724721352349599E-3</c:v>
                </c:pt>
                <c:pt idx="480">
                  <c:v>-4.4576523031203564E-3</c:v>
                </c:pt>
                <c:pt idx="481">
                  <c:v>3.7313432835820896E-4</c:v>
                </c:pt>
                <c:pt idx="482">
                  <c:v>2.6109660574412533E-3</c:v>
                </c:pt>
                <c:pt idx="483">
                  <c:v>0</c:v>
                </c:pt>
                <c:pt idx="484">
                  <c:v>1.0907738095238156E-2</c:v>
                </c:pt>
                <c:pt idx="485">
                  <c:v>3.0427038405487699E-2</c:v>
                </c:pt>
                <c:pt idx="486">
                  <c:v>-2.1428571428571429E-2</c:v>
                </c:pt>
                <c:pt idx="487">
                  <c:v>-9.4890510948905105E-3</c:v>
                </c:pt>
                <c:pt idx="488">
                  <c:v>6.6322770817980837E-3</c:v>
                </c:pt>
                <c:pt idx="489">
                  <c:v>2.1961932650069876E-4</c:v>
                </c:pt>
                <c:pt idx="490">
                  <c:v>-1.3408475444631441E-2</c:v>
                </c:pt>
                <c:pt idx="491">
                  <c:v>-9.6143859701182787E-3</c:v>
                </c:pt>
                <c:pt idx="492">
                  <c:v>1.4366825965154128E-2</c:v>
                </c:pt>
                <c:pt idx="493">
                  <c:v>2.6436272337911647E-2</c:v>
                </c:pt>
                <c:pt idx="494">
                  <c:v>-1.2949640287769457E-3</c:v>
                </c:pt>
                <c:pt idx="495">
                  <c:v>-1.0229073620515809E-2</c:v>
                </c:pt>
                <c:pt idx="496">
                  <c:v>6.9723435225618104E-3</c:v>
                </c:pt>
                <c:pt idx="497">
                  <c:v>6.0856618337935455E-3</c:v>
                </c:pt>
                <c:pt idx="498">
                  <c:v>9.482758620689688E-3</c:v>
                </c:pt>
                <c:pt idx="499">
                  <c:v>-1.0816965556504445E-2</c:v>
                </c:pt>
                <c:pt idx="500">
                  <c:v>-2.8776978417266188E-3</c:v>
                </c:pt>
                <c:pt idx="501">
                  <c:v>1.6594516594516596E-2</c:v>
                </c:pt>
                <c:pt idx="502">
                  <c:v>-6.3875088715400997E-3</c:v>
                </c:pt>
                <c:pt idx="503">
                  <c:v>-2.8571428571428571E-3</c:v>
                </c:pt>
                <c:pt idx="504">
                  <c:v>-2.1489971346701613E-4</c:v>
                </c:pt>
                <c:pt idx="505">
                  <c:v>3.9836641111986428E-3</c:v>
                </c:pt>
                <c:pt idx="506">
                  <c:v>4.8099567532078336E-3</c:v>
                </c:pt>
                <c:pt idx="507">
                  <c:v>-1.4204545454545455E-3</c:v>
                </c:pt>
                <c:pt idx="508">
                  <c:v>-5.6899004267425323E-3</c:v>
                </c:pt>
                <c:pt idx="509">
                  <c:v>-1.1802575107296138E-2</c:v>
                </c:pt>
                <c:pt idx="510">
                  <c:v>3.6192544335866811E-4</c:v>
                </c:pt>
                <c:pt idx="511">
                  <c:v>-8.5672937771345287E-3</c:v>
                </c:pt>
                <c:pt idx="512">
                  <c:v>2.1048636655573012E-2</c:v>
                </c:pt>
                <c:pt idx="513">
                  <c:v>-9.7212294496061471E-4</c:v>
                </c:pt>
                <c:pt idx="514">
                  <c:v>6.596834664147992E-3</c:v>
                </c:pt>
                <c:pt idx="515">
                  <c:v>9.9654549848600497E-3</c:v>
                </c:pt>
                <c:pt idx="516">
                  <c:v>1.0444231743708066E-2</c:v>
                </c:pt>
                <c:pt idx="517">
                  <c:v>1.4027804864458163E-2</c:v>
                </c:pt>
                <c:pt idx="518">
                  <c:v>-8.7920541810337038E-4</c:v>
                </c:pt>
                <c:pt idx="519">
                  <c:v>-2.3085701714584229E-2</c:v>
                </c:pt>
                <c:pt idx="520">
                  <c:v>4.9964813511610903E-3</c:v>
                </c:pt>
                <c:pt idx="521">
                  <c:v>1.8135984875008816E-2</c:v>
                </c:pt>
                <c:pt idx="522">
                  <c:v>2.1389270976616168E-2</c:v>
                </c:pt>
                <c:pt idx="523">
                  <c:v>-6.1275334994275871E-3</c:v>
                </c:pt>
                <c:pt idx="524">
                  <c:v>8.8075880758807581E-3</c:v>
                </c:pt>
                <c:pt idx="525">
                  <c:v>3.0221625251846879E-2</c:v>
                </c:pt>
                <c:pt idx="526">
                  <c:v>0</c:v>
                </c:pt>
                <c:pt idx="527">
                  <c:v>2.9752281616688463E-2</c:v>
                </c:pt>
                <c:pt idx="528">
                  <c:v>2.7601225595704714E-3</c:v>
                </c:pt>
                <c:pt idx="529">
                  <c:v>4.924242424242424E-2</c:v>
                </c:pt>
                <c:pt idx="530">
                  <c:v>2.2864019253910951E-2</c:v>
                </c:pt>
                <c:pt idx="531">
                  <c:v>-1.5294117647058824E-2</c:v>
                </c:pt>
                <c:pt idx="532">
                  <c:v>-8.3512544802867485E-3</c:v>
                </c:pt>
                <c:pt idx="533">
                  <c:v>3.602366236551378E-3</c:v>
                </c:pt>
                <c:pt idx="534">
                  <c:v>-4.8019207683073226E-3</c:v>
                </c:pt>
                <c:pt idx="535">
                  <c:v>9.6501809408926411E-3</c:v>
                </c:pt>
                <c:pt idx="536">
                  <c:v>3.3452807646356032E-2</c:v>
                </c:pt>
                <c:pt idx="537">
                  <c:v>2.2809248554913317E-2</c:v>
                </c:pt>
                <c:pt idx="538">
                  <c:v>3.0517785086973633E-4</c:v>
                </c:pt>
                <c:pt idx="539">
                  <c:v>-1.0146892655367253E-2</c:v>
                </c:pt>
                <c:pt idx="540">
                  <c:v>4.5432752676879736E-3</c:v>
                </c:pt>
                <c:pt idx="541">
                  <c:v>-2.0454545454545454E-2</c:v>
                </c:pt>
                <c:pt idx="542">
                  <c:v>8.9559164733178966E-3</c:v>
                </c:pt>
                <c:pt idx="543">
                  <c:v>-4.335878213677969E-2</c:v>
                </c:pt>
                <c:pt idx="544">
                  <c:v>-3.6177449790266835E-3</c:v>
                </c:pt>
                <c:pt idx="545">
                  <c:v>-1.9300361881785282E-2</c:v>
                </c:pt>
                <c:pt idx="546">
                  <c:v>-9.8400984009840101E-3</c:v>
                </c:pt>
                <c:pt idx="547">
                  <c:v>2.4397515527950293E-2</c:v>
                </c:pt>
                <c:pt idx="548">
                  <c:v>2.8327512611563851E-2</c:v>
                </c:pt>
                <c:pt idx="549">
                  <c:v>-5.89622641509434E-3</c:v>
                </c:pt>
                <c:pt idx="550">
                  <c:v>8.3036773428232496E-3</c:v>
                </c:pt>
                <c:pt idx="551">
                  <c:v>-1.2941176470588235E-2</c:v>
                </c:pt>
                <c:pt idx="552">
                  <c:v>6.1978545887959695E-4</c:v>
                </c:pt>
                <c:pt idx="553">
                  <c:v>5.5984372022111124E-4</c:v>
                </c:pt>
                <c:pt idx="554">
                  <c:v>-2.3690758223312292E-3</c:v>
                </c:pt>
                <c:pt idx="555">
                  <c:v>7.1599045346062056E-3</c:v>
                </c:pt>
                <c:pt idx="556">
                  <c:v>-8.5900473933649291E-3</c:v>
                </c:pt>
                <c:pt idx="557">
                  <c:v>-2.0017926501344489E-2</c:v>
                </c:pt>
                <c:pt idx="558">
                  <c:v>-1.2195121951219512E-3</c:v>
                </c:pt>
                <c:pt idx="559">
                  <c:v>6.105006105006105E-4</c:v>
                </c:pt>
                <c:pt idx="560">
                  <c:v>-9.1519219035997561E-3</c:v>
                </c:pt>
                <c:pt idx="561">
                  <c:v>5.7266009852216465E-3</c:v>
                </c:pt>
                <c:pt idx="562">
                  <c:v>-1.6714626829118933E-2</c:v>
                </c:pt>
                <c:pt idx="563">
                  <c:v>3.4869240348692404E-2</c:v>
                </c:pt>
                <c:pt idx="564">
                  <c:v>1.684717208182912E-2</c:v>
                </c:pt>
                <c:pt idx="565">
                  <c:v>1.1242603550295858E-2</c:v>
                </c:pt>
                <c:pt idx="566">
                  <c:v>4.2598010532474972E-3</c:v>
                </c:pt>
                <c:pt idx="567">
                  <c:v>-2.4355000349593676E-3</c:v>
                </c:pt>
                <c:pt idx="568">
                  <c:v>4.6025348986625256E-3</c:v>
                </c:pt>
                <c:pt idx="569">
                  <c:v>3.5000406981476424E-3</c:v>
                </c:pt>
                <c:pt idx="570">
                  <c:v>-1.7381228273464658E-3</c:v>
                </c:pt>
                <c:pt idx="571">
                  <c:v>-5.8038305281485781E-4</c:v>
                </c:pt>
                <c:pt idx="572">
                  <c:v>-5.2264808362369342E-3</c:v>
                </c:pt>
                <c:pt idx="573">
                  <c:v>7.5890251021599534E-3</c:v>
                </c:pt>
                <c:pt idx="574">
                  <c:v>-1.0428736964078795E-2</c:v>
                </c:pt>
                <c:pt idx="575">
                  <c:v>-7.1428571428571695E-3</c:v>
                </c:pt>
                <c:pt idx="576">
                  <c:v>-1.0614459252270047E-3</c:v>
                </c:pt>
                <c:pt idx="577">
                  <c:v>2.3624557260920886E-2</c:v>
                </c:pt>
                <c:pt idx="578">
                  <c:v>-4.6250908294021877E-3</c:v>
                </c:pt>
                <c:pt idx="579">
                  <c:v>-1.3325608342989572E-2</c:v>
                </c:pt>
                <c:pt idx="580">
                  <c:v>-7.6218438050499222E-3</c:v>
                </c:pt>
                <c:pt idx="581">
                  <c:v>-1.1834179477165951E-2</c:v>
                </c:pt>
                <c:pt idx="582">
                  <c:v>2.3832049915569983E-3</c:v>
                </c:pt>
                <c:pt idx="583">
                  <c:v>1.0752688172043012E-2</c:v>
                </c:pt>
                <c:pt idx="584">
                  <c:v>1.1820330969267139E-2</c:v>
                </c:pt>
                <c:pt idx="585">
                  <c:v>2.9205607476635514E-2</c:v>
                </c:pt>
                <c:pt idx="586">
                  <c:v>3.5187287173666287E-2</c:v>
                </c:pt>
                <c:pt idx="587">
                  <c:v>-3.2894736842105261E-3</c:v>
                </c:pt>
                <c:pt idx="588">
                  <c:v>-1.2101210121012101E-2</c:v>
                </c:pt>
                <c:pt idx="589">
                  <c:v>-6.6815144766146995E-3</c:v>
                </c:pt>
                <c:pt idx="590">
                  <c:v>1.0145739910313851E-2</c:v>
                </c:pt>
                <c:pt idx="591">
                  <c:v>7.7132234615171699E-3</c:v>
                </c:pt>
                <c:pt idx="592">
                  <c:v>-1.1013215859030838E-3</c:v>
                </c:pt>
                <c:pt idx="593">
                  <c:v>-3.3076074972436605E-3</c:v>
                </c:pt>
                <c:pt idx="594">
                  <c:v>1.7588495575221214E-2</c:v>
                </c:pt>
                <c:pt idx="595">
                  <c:v>-4.9788020437003229E-3</c:v>
                </c:pt>
                <c:pt idx="596">
                  <c:v>1.8223135078442455E-2</c:v>
                </c:pt>
                <c:pt idx="597">
                  <c:v>8.4763948497853826E-3</c:v>
                </c:pt>
                <c:pt idx="598">
                  <c:v>-7.2348122140652778E-3</c:v>
                </c:pt>
                <c:pt idx="599">
                  <c:v>-1.8326010073947081E-2</c:v>
                </c:pt>
                <c:pt idx="600">
                  <c:v>2.1834061135371178E-3</c:v>
                </c:pt>
                <c:pt idx="601">
                  <c:v>-3.2679738562091504E-3</c:v>
                </c:pt>
                <c:pt idx="602">
                  <c:v>1.092896174863388E-3</c:v>
                </c:pt>
                <c:pt idx="603">
                  <c:v>0</c:v>
                </c:pt>
                <c:pt idx="604">
                  <c:v>-1.0917030567685589E-3</c:v>
                </c:pt>
                <c:pt idx="605">
                  <c:v>-5.4644808743169399E-3</c:v>
                </c:pt>
                <c:pt idx="606">
                  <c:v>1.0978021978021987E-2</c:v>
                </c:pt>
                <c:pt idx="607">
                  <c:v>-1.0695768432265603E-2</c:v>
                </c:pt>
                <c:pt idx="608">
                  <c:v>9.3391199252872907E-4</c:v>
                </c:pt>
                <c:pt idx="609">
                  <c:v>2.2063666300768288E-3</c:v>
                </c:pt>
                <c:pt idx="610">
                  <c:v>9.8246459513039591E-3</c:v>
                </c:pt>
                <c:pt idx="611">
                  <c:v>-8.698670253150808E-3</c:v>
                </c:pt>
                <c:pt idx="612">
                  <c:v>-5.4269333450041972E-3</c:v>
                </c:pt>
                <c:pt idx="613">
                  <c:v>-7.7007700770077006E-3</c:v>
                </c:pt>
                <c:pt idx="614">
                  <c:v>1.1086474501108647E-3</c:v>
                </c:pt>
                <c:pt idx="615">
                  <c:v>-2.408637873754153E-2</c:v>
                </c:pt>
                <c:pt idx="616">
                  <c:v>-2.4113475177304965E-2</c:v>
                </c:pt>
                <c:pt idx="617">
                  <c:v>9.2906976744186152E-3</c:v>
                </c:pt>
                <c:pt idx="618">
                  <c:v>-3.4562610168319911E-3</c:v>
                </c:pt>
                <c:pt idx="619">
                  <c:v>2.4289298142175043E-2</c:v>
                </c:pt>
                <c:pt idx="620">
                  <c:v>9.0067720090293655E-3</c:v>
                </c:pt>
                <c:pt idx="621">
                  <c:v>-1.3400747220295776E-2</c:v>
                </c:pt>
                <c:pt idx="622">
                  <c:v>-6.8027210884353739E-3</c:v>
                </c:pt>
                <c:pt idx="623">
                  <c:v>1.1415525114155251E-3</c:v>
                </c:pt>
                <c:pt idx="624">
                  <c:v>3.7058152793614595E-2</c:v>
                </c:pt>
                <c:pt idx="625">
                  <c:v>-2.2210005497526164E-2</c:v>
                </c:pt>
                <c:pt idx="626">
                  <c:v>-7.0842235466096418E-3</c:v>
                </c:pt>
                <c:pt idx="627">
                  <c:v>-2.2650056625120962E-5</c:v>
                </c:pt>
                <c:pt idx="628">
                  <c:v>2.355659244829925E-3</c:v>
                </c:pt>
                <c:pt idx="629">
                  <c:v>8.9711431993311809E-3</c:v>
                </c:pt>
                <c:pt idx="630">
                  <c:v>2.0750279955207136E-2</c:v>
                </c:pt>
                <c:pt idx="631">
                  <c:v>-6.0667229822386239E-3</c:v>
                </c:pt>
                <c:pt idx="632">
                  <c:v>-1.1037527593818985E-3</c:v>
                </c:pt>
                <c:pt idx="633">
                  <c:v>-5.5248618784530384E-3</c:v>
                </c:pt>
                <c:pt idx="634">
                  <c:v>0</c:v>
                </c:pt>
                <c:pt idx="635">
                  <c:v>-0.01</c:v>
                </c:pt>
                <c:pt idx="636">
                  <c:v>-1.2345679012345678E-2</c:v>
                </c:pt>
                <c:pt idx="637">
                  <c:v>5.1136363636363636E-3</c:v>
                </c:pt>
                <c:pt idx="638">
                  <c:v>2.8264556246466932E-3</c:v>
                </c:pt>
                <c:pt idx="639">
                  <c:v>-3.3821871476888386E-3</c:v>
                </c:pt>
                <c:pt idx="640">
                  <c:v>5.6561085972850684E-4</c:v>
                </c:pt>
                <c:pt idx="641">
                  <c:v>-5.0876201243640479E-3</c:v>
                </c:pt>
                <c:pt idx="642">
                  <c:v>-8.386363636363631E-3</c:v>
                </c:pt>
                <c:pt idx="643">
                  <c:v>-1.4462194311384112E-2</c:v>
                </c:pt>
                <c:pt idx="644">
                  <c:v>5.8139534883720929E-3</c:v>
                </c:pt>
                <c:pt idx="645">
                  <c:v>3.4450867052023331E-3</c:v>
                </c:pt>
                <c:pt idx="646">
                  <c:v>-5.7374593884651926E-3</c:v>
                </c:pt>
                <c:pt idx="647">
                  <c:v>-6.3731170336037077E-3</c:v>
                </c:pt>
                <c:pt idx="648">
                  <c:v>-1.2303206997084495E-2</c:v>
                </c:pt>
                <c:pt idx="649">
                  <c:v>4.7818643367376519E-3</c:v>
                </c:pt>
                <c:pt idx="650">
                  <c:v>1.0458284371327823E-2</c:v>
                </c:pt>
                <c:pt idx="651">
                  <c:v>7.5590184905218892E-4</c:v>
                </c:pt>
                <c:pt idx="652">
                  <c:v>-1.0969728661902203E-2</c:v>
                </c:pt>
                <c:pt idx="653">
                  <c:v>-9.5287330662311726E-3</c:v>
                </c:pt>
                <c:pt idx="654">
                  <c:v>-3.3214709371292998E-2</c:v>
                </c:pt>
                <c:pt idx="655">
                  <c:v>3.6809815950920245E-3</c:v>
                </c:pt>
                <c:pt idx="656">
                  <c:v>6.2958435207823684E-3</c:v>
                </c:pt>
                <c:pt idx="657">
                  <c:v>8.3216910648120299E-3</c:v>
                </c:pt>
                <c:pt idx="658">
                  <c:v>1.2048192771084338E-3</c:v>
                </c:pt>
                <c:pt idx="659">
                  <c:v>-1.2033694344163659E-2</c:v>
                </c:pt>
                <c:pt idx="660">
                  <c:v>2.4360535931790498E-3</c:v>
                </c:pt>
                <c:pt idx="661">
                  <c:v>-9.6597812879708929E-3</c:v>
                </c:pt>
                <c:pt idx="662">
                  <c:v>-9.8766946813078401E-3</c:v>
                </c:pt>
                <c:pt idx="663">
                  <c:v>-4.0892193308550186E-2</c:v>
                </c:pt>
                <c:pt idx="664">
                  <c:v>-2.1963824289405683E-2</c:v>
                </c:pt>
                <c:pt idx="665">
                  <c:v>3.7542932628797834E-2</c:v>
                </c:pt>
                <c:pt idx="666">
                  <c:v>-6.2641643961192216E-3</c:v>
                </c:pt>
                <c:pt idx="667">
                  <c:v>-1.6002562459961574E-2</c:v>
                </c:pt>
                <c:pt idx="668">
                  <c:v>-5.8723193708415137E-3</c:v>
                </c:pt>
                <c:pt idx="669">
                  <c:v>-8.5134250163719713E-3</c:v>
                </c:pt>
                <c:pt idx="670">
                  <c:v>-2.6776750330250967E-2</c:v>
                </c:pt>
                <c:pt idx="671">
                  <c:v>4.4385324338631271E-3</c:v>
                </c:pt>
                <c:pt idx="672">
                  <c:v>-1.6216216216216217E-2</c:v>
                </c:pt>
                <c:pt idx="673">
                  <c:v>-9.601648351648364E-3</c:v>
                </c:pt>
                <c:pt idx="674">
                  <c:v>9.5560394446678777E-3</c:v>
                </c:pt>
                <c:pt idx="675">
                  <c:v>-6.731693913999145E-3</c:v>
                </c:pt>
                <c:pt idx="676">
                  <c:v>-4.1493775933609959E-3</c:v>
                </c:pt>
                <c:pt idx="677">
                  <c:v>8.3333333333333332E-3</c:v>
                </c:pt>
                <c:pt idx="678">
                  <c:v>-1.805785123966944E-2</c:v>
                </c:pt>
                <c:pt idx="679">
                  <c:v>1.1516503247345364E-2</c:v>
                </c:pt>
                <c:pt idx="680">
                  <c:v>-1.2619608930800198E-2</c:v>
                </c:pt>
                <c:pt idx="681">
                  <c:v>-8.4971910112358918E-3</c:v>
                </c:pt>
                <c:pt idx="682">
                  <c:v>-3.4308378780366917E-2</c:v>
                </c:pt>
                <c:pt idx="683">
                  <c:v>-1.6839511243454178E-2</c:v>
                </c:pt>
                <c:pt idx="684">
                  <c:v>2.5960462513987454E-3</c:v>
                </c:pt>
                <c:pt idx="685">
                  <c:v>-1.7128231074867172E-2</c:v>
                </c:pt>
                <c:pt idx="686">
                  <c:v>-8.2969961240310346E-3</c:v>
                </c:pt>
                <c:pt idx="687">
                  <c:v>-1.5267175572519084E-3</c:v>
                </c:pt>
                <c:pt idx="688">
                  <c:v>-2.1406727828746176E-2</c:v>
                </c:pt>
                <c:pt idx="689">
                  <c:v>4.6875E-2</c:v>
                </c:pt>
                <c:pt idx="690">
                  <c:v>1.9402985074626865E-2</c:v>
                </c:pt>
                <c:pt idx="691">
                  <c:v>-2.9282576866764276E-3</c:v>
                </c:pt>
                <c:pt idx="692">
                  <c:v>3.0807635829662287E-2</c:v>
                </c:pt>
                <c:pt idx="693">
                  <c:v>6.8662924869653495E-3</c:v>
                </c:pt>
                <c:pt idx="694">
                  <c:v>2.8579513299378831E-3</c:v>
                </c:pt>
                <c:pt idx="695">
                  <c:v>-1.5956096046951352E-2</c:v>
                </c:pt>
                <c:pt idx="696">
                  <c:v>7.0249888890483165E-4</c:v>
                </c:pt>
                <c:pt idx="697">
                  <c:v>3.0085959885386818E-2</c:v>
                </c:pt>
                <c:pt idx="698">
                  <c:v>2.1307371349096035E-2</c:v>
                </c:pt>
                <c:pt idx="699">
                  <c:v>5.5398191524131099E-2</c:v>
                </c:pt>
                <c:pt idx="700">
                  <c:v>1.6774193548387096E-2</c:v>
                </c:pt>
                <c:pt idx="701">
                  <c:v>-1.3324873096446701E-2</c:v>
                </c:pt>
                <c:pt idx="702">
                  <c:v>-9.6334405144694654E-3</c:v>
                </c:pt>
                <c:pt idx="703">
                  <c:v>-1.1701146738354035E-2</c:v>
                </c:pt>
                <c:pt idx="704">
                  <c:v>4.1130091984231216E-3</c:v>
                </c:pt>
                <c:pt idx="705">
                  <c:v>8.990616779867306E-3</c:v>
                </c:pt>
                <c:pt idx="706">
                  <c:v>-6.485084306095979E-4</c:v>
                </c:pt>
                <c:pt idx="707">
                  <c:v>-6.4892926670992862E-3</c:v>
                </c:pt>
                <c:pt idx="708">
                  <c:v>-1.1103853690398433E-2</c:v>
                </c:pt>
                <c:pt idx="709">
                  <c:v>-2.1849405548216596E-2</c:v>
                </c:pt>
                <c:pt idx="710">
                  <c:v>-7.3737946681792883E-3</c:v>
                </c:pt>
                <c:pt idx="711">
                  <c:v>4.4081632653061191E-2</c:v>
                </c:pt>
                <c:pt idx="712">
                  <c:v>-3.4414907479801887E-2</c:v>
                </c:pt>
                <c:pt idx="713">
                  <c:v>2.2955775381584085E-2</c:v>
                </c:pt>
                <c:pt idx="714">
                  <c:v>1.3192612137203167E-2</c:v>
                </c:pt>
                <c:pt idx="715">
                  <c:v>-4.9466145833333343E-2</c:v>
                </c:pt>
                <c:pt idx="716">
                  <c:v>-2.0561362173120903E-2</c:v>
                </c:pt>
                <c:pt idx="717">
                  <c:v>-3.3566433566433566E-2</c:v>
                </c:pt>
                <c:pt idx="718">
                  <c:v>-1.1577424023154847E-2</c:v>
                </c:pt>
                <c:pt idx="719">
                  <c:v>2.6354319180087848E-2</c:v>
                </c:pt>
                <c:pt idx="720">
                  <c:v>2.7189728958630449E-2</c:v>
                </c:pt>
                <c:pt idx="721">
                  <c:v>-1.4720995472598749E-3</c:v>
                </c:pt>
                <c:pt idx="722">
                  <c:v>1.2795549374130801E-2</c:v>
                </c:pt>
                <c:pt idx="723">
                  <c:v>-7.3661082120296761E-2</c:v>
                </c:pt>
                <c:pt idx="724">
                  <c:v>-3.2702798861479997E-2</c:v>
                </c:pt>
                <c:pt idx="725">
                  <c:v>-2.268199233716503E-3</c:v>
                </c:pt>
                <c:pt idx="726">
                  <c:v>1.5329790175417066E-2</c:v>
                </c:pt>
                <c:pt idx="727">
                  <c:v>-1.5128593040847202E-2</c:v>
                </c:pt>
                <c:pt idx="728">
                  <c:v>-3.1490015360983101E-2</c:v>
                </c:pt>
                <c:pt idx="729">
                  <c:v>5.5352894528152407E-3</c:v>
                </c:pt>
                <c:pt idx="730">
                  <c:v>-6.2777015410337986E-3</c:v>
                </c:pt>
                <c:pt idx="731">
                  <c:v>1.9047316709258584E-2</c:v>
                </c:pt>
                <c:pt idx="732">
                  <c:v>6.5403965670316672E-2</c:v>
                </c:pt>
                <c:pt idx="733">
                  <c:v>-3.3625730994152045E-2</c:v>
                </c:pt>
                <c:pt idx="734">
                  <c:v>2.0544629349470562E-2</c:v>
                </c:pt>
                <c:pt idx="735">
                  <c:v>3.0226214829968255E-2</c:v>
                </c:pt>
                <c:pt idx="736">
                  <c:v>-6.7628818510155446E-4</c:v>
                </c:pt>
                <c:pt idx="737">
                  <c:v>-1.3390928725701879E-2</c:v>
                </c:pt>
                <c:pt idx="738">
                  <c:v>-7.2095738470520348E-3</c:v>
                </c:pt>
                <c:pt idx="739">
                  <c:v>-2.8077499779495608E-3</c:v>
                </c:pt>
                <c:pt idx="740">
                  <c:v>9.4346576251195743E-4</c:v>
                </c:pt>
                <c:pt idx="741">
                  <c:v>-1.4580479830336368E-3</c:v>
                </c:pt>
                <c:pt idx="742">
                  <c:v>1.4749262536873156E-3</c:v>
                </c:pt>
                <c:pt idx="743">
                  <c:v>-1.4727540500736377E-3</c:v>
                </c:pt>
                <c:pt idx="744">
                  <c:v>1.8879056047197238E-3</c:v>
                </c:pt>
                <c:pt idx="745">
                  <c:v>1.400011777175832E-2</c:v>
                </c:pt>
                <c:pt idx="746">
                  <c:v>1.3371274263563694E-2</c:v>
                </c:pt>
                <c:pt idx="747">
                  <c:v>-9.1690544412607131E-3</c:v>
                </c:pt>
                <c:pt idx="748">
                  <c:v>-8.0682475419318108E-3</c:v>
                </c:pt>
                <c:pt idx="749">
                  <c:v>3.7462464651177082E-3</c:v>
                </c:pt>
                <c:pt idx="750">
                  <c:v>7.8566345720965571E-3</c:v>
                </c:pt>
                <c:pt idx="751">
                  <c:v>-5.763688760806916E-3</c:v>
                </c:pt>
                <c:pt idx="752">
                  <c:v>-5.7971014492753624E-3</c:v>
                </c:pt>
                <c:pt idx="753">
                  <c:v>-9.4752186588921289E-3</c:v>
                </c:pt>
                <c:pt idx="754">
                  <c:v>-6.6225165562913907E-3</c:v>
                </c:pt>
                <c:pt idx="755">
                  <c:v>1.037037037037037E-2</c:v>
                </c:pt>
                <c:pt idx="756">
                  <c:v>-8.7976539589442824E-3</c:v>
                </c:pt>
                <c:pt idx="757">
                  <c:v>-2.9585798816568046E-2</c:v>
                </c:pt>
                <c:pt idx="758">
                  <c:v>4.5731707317073168E-3</c:v>
                </c:pt>
                <c:pt idx="759">
                  <c:v>1.0622154779969651E-2</c:v>
                </c:pt>
                <c:pt idx="760">
                  <c:v>-2.8528528528528187E-3</c:v>
                </c:pt>
                <c:pt idx="761">
                  <c:v>3.1471163981328078E-2</c:v>
                </c:pt>
                <c:pt idx="762">
                  <c:v>6.0000000000000201E-3</c:v>
                </c:pt>
                <c:pt idx="763">
                  <c:v>1.4366356604896301E-3</c:v>
                </c:pt>
                <c:pt idx="764">
                  <c:v>-1.3490798435009504E-2</c:v>
                </c:pt>
                <c:pt idx="765">
                  <c:v>3.0846516546958151E-4</c:v>
                </c:pt>
                <c:pt idx="766">
                  <c:v>4.4052863436123352E-3</c:v>
                </c:pt>
                <c:pt idx="767">
                  <c:v>1.3157894736842105E-2</c:v>
                </c:pt>
                <c:pt idx="768">
                  <c:v>-7.5036075036075695E-3</c:v>
                </c:pt>
                <c:pt idx="769">
                  <c:v>1.3521372492004415E-3</c:v>
                </c:pt>
                <c:pt idx="770">
                  <c:v>-8.3196608249967597E-3</c:v>
                </c:pt>
                <c:pt idx="771">
                  <c:v>1.4787701317715825E-3</c:v>
                </c:pt>
                <c:pt idx="772">
                  <c:v>1.0219148842853187E-2</c:v>
                </c:pt>
                <c:pt idx="773">
                  <c:v>-8.755426917510788E-3</c:v>
                </c:pt>
                <c:pt idx="774">
                  <c:v>5.9128403533103939E-3</c:v>
                </c:pt>
                <c:pt idx="775">
                  <c:v>-1.3076923076923064E-2</c:v>
                </c:pt>
                <c:pt idx="776">
                  <c:v>-4.397123487110118E-3</c:v>
                </c:pt>
                <c:pt idx="777">
                  <c:v>-1.4771048744460858E-3</c:v>
                </c:pt>
                <c:pt idx="778">
                  <c:v>1.4792899408284023E-3</c:v>
                </c:pt>
                <c:pt idx="779">
                  <c:v>6.9128508124076072E-3</c:v>
                </c:pt>
                <c:pt idx="780">
                  <c:v>-1.5520478817040148E-2</c:v>
                </c:pt>
                <c:pt idx="781">
                  <c:v>-1.2069736253911521E-2</c:v>
                </c:pt>
                <c:pt idx="782">
                  <c:v>5.4298642533936996E-3</c:v>
                </c:pt>
                <c:pt idx="783">
                  <c:v>-5.4740474047404751E-2</c:v>
                </c:pt>
                <c:pt idx="784">
                  <c:v>7.7288092555268199E-3</c:v>
                </c:pt>
                <c:pt idx="785">
                  <c:v>3.1528552080380454E-2</c:v>
                </c:pt>
                <c:pt idx="786">
                  <c:v>-2.2900763358778626E-2</c:v>
                </c:pt>
                <c:pt idx="787">
                  <c:v>-2.6578124999999987E-2</c:v>
                </c:pt>
                <c:pt idx="788">
                  <c:v>-9.6309732098428542E-3</c:v>
                </c:pt>
                <c:pt idx="789">
                  <c:v>3.6953597303035265E-3</c:v>
                </c:pt>
                <c:pt idx="790">
                  <c:v>-7.4717005506483414E-2</c:v>
                </c:pt>
                <c:pt idx="791">
                  <c:v>-1.0471204188481676E-2</c:v>
                </c:pt>
                <c:pt idx="792">
                  <c:v>-2.821869488536155E-2</c:v>
                </c:pt>
                <c:pt idx="793">
                  <c:v>7.3557168784028987E-2</c:v>
                </c:pt>
                <c:pt idx="794">
                  <c:v>-3.174817845248757E-2</c:v>
                </c:pt>
                <c:pt idx="795">
                  <c:v>-3.0379746835443198E-3</c:v>
                </c:pt>
                <c:pt idx="796">
                  <c:v>2.0997880947794277E-2</c:v>
                </c:pt>
                <c:pt idx="797">
                  <c:v>3.4305317324185248E-3</c:v>
                </c:pt>
                <c:pt idx="798">
                  <c:v>-1.7094017094017094E-3</c:v>
                </c:pt>
                <c:pt idx="799">
                  <c:v>-2.8030821917808226E-2</c:v>
                </c:pt>
                <c:pt idx="800">
                  <c:v>1.4745520849849382E-2</c:v>
                </c:pt>
                <c:pt idx="801">
                  <c:v>-8.6805555555555559E-3</c:v>
                </c:pt>
                <c:pt idx="802">
                  <c:v>2.8021015761821366E-2</c:v>
                </c:pt>
                <c:pt idx="803">
                  <c:v>1.8177172061328722E-2</c:v>
                </c:pt>
                <c:pt idx="804">
                  <c:v>3.5671859052654561E-2</c:v>
                </c:pt>
                <c:pt idx="805">
                  <c:v>1.2940435225124785E-2</c:v>
                </c:pt>
                <c:pt idx="806">
                  <c:v>1.594896331738437E-3</c:v>
                </c:pt>
                <c:pt idx="807">
                  <c:v>1.3296178343949082E-2</c:v>
                </c:pt>
                <c:pt idx="808">
                  <c:v>1.1455959770566454E-2</c:v>
                </c:pt>
                <c:pt idx="809">
                  <c:v>-7.4793362749362977E-2</c:v>
                </c:pt>
                <c:pt idx="810">
                  <c:v>-1.9311502938706968E-2</c:v>
                </c:pt>
                <c:pt idx="811">
                  <c:v>1.7294520547945049E-3</c:v>
                </c:pt>
                <c:pt idx="812">
                  <c:v>-1.0273328661048515E-2</c:v>
                </c:pt>
                <c:pt idx="813">
                  <c:v>1.8998272884283247E-2</c:v>
                </c:pt>
                <c:pt idx="814">
                  <c:v>6.2711864406779658E-2</c:v>
                </c:pt>
                <c:pt idx="815">
                  <c:v>-4.7846889952153108E-3</c:v>
                </c:pt>
                <c:pt idx="816">
                  <c:v>-2.0833333333333332E-2</c:v>
                </c:pt>
                <c:pt idx="817">
                  <c:v>4.893617021276611E-3</c:v>
                </c:pt>
                <c:pt idx="818">
                  <c:v>-9.7558592159481573E-3</c:v>
                </c:pt>
                <c:pt idx="819">
                  <c:v>-7.9769736842105633E-3</c:v>
                </c:pt>
                <c:pt idx="820">
                  <c:v>-1.3512393268672764E-2</c:v>
                </c:pt>
                <c:pt idx="821">
                  <c:v>-6.7226890756302525E-3</c:v>
                </c:pt>
                <c:pt idx="822">
                  <c:v>-1.6920473773265651E-3</c:v>
                </c:pt>
                <c:pt idx="823">
                  <c:v>-8.4915254237287983E-3</c:v>
                </c:pt>
                <c:pt idx="824">
                  <c:v>3.5898049539314584E-4</c:v>
                </c:pt>
                <c:pt idx="825">
                  <c:v>-9.0567327409433827E-3</c:v>
                </c:pt>
                <c:pt idx="826">
                  <c:v>-1.6209691326090667E-2</c:v>
                </c:pt>
                <c:pt idx="827">
                  <c:v>-8.7642418930762491E-3</c:v>
                </c:pt>
                <c:pt idx="828">
                  <c:v>-8.9832007073387104E-3</c:v>
                </c:pt>
                <c:pt idx="829">
                  <c:v>-7.4997323435994384E-2</c:v>
                </c:pt>
                <c:pt idx="830">
                  <c:v>-3.6459036632650829E-3</c:v>
                </c:pt>
                <c:pt idx="831">
                  <c:v>-8.6931268151016639E-3</c:v>
                </c:pt>
                <c:pt idx="832">
                  <c:v>5.8397296927794554E-3</c:v>
                </c:pt>
                <c:pt idx="833">
                  <c:v>1.6174757281553476E-2</c:v>
                </c:pt>
                <c:pt idx="834">
                  <c:v>-4.4388817763170496E-2</c:v>
                </c:pt>
                <c:pt idx="835">
                  <c:v>-1.0197960407918462E-2</c:v>
                </c:pt>
                <c:pt idx="836">
                  <c:v>1.8282828282828307E-2</c:v>
                </c:pt>
                <c:pt idx="837">
                  <c:v>-4.0670568395992689E-3</c:v>
                </c:pt>
                <c:pt idx="838">
                  <c:v>1.5737051792829094E-3</c:v>
                </c:pt>
                <c:pt idx="839">
                  <c:v>-5.3282682630919509E-2</c:v>
                </c:pt>
                <c:pt idx="840">
                  <c:v>-1.8382352941176471E-2</c:v>
                </c:pt>
                <c:pt idx="841">
                  <c:v>1.0743713215623289E-2</c:v>
                </c:pt>
                <c:pt idx="842">
                  <c:v>1.8802803481059553E-2</c:v>
                </c:pt>
                <c:pt idx="843">
                  <c:v>9.7682635352801528E-3</c:v>
                </c:pt>
                <c:pt idx="844">
                  <c:v>2.3669856951733606E-3</c:v>
                </c:pt>
                <c:pt idx="845">
                  <c:v>-2.8747433264887063E-2</c:v>
                </c:pt>
                <c:pt idx="846">
                  <c:v>-2.0084566596194502E-2</c:v>
                </c:pt>
                <c:pt idx="847">
                  <c:v>-2.696871628910464E-2</c:v>
                </c:pt>
                <c:pt idx="848">
                  <c:v>-3.2882483370288214E-2</c:v>
                </c:pt>
                <c:pt idx="849">
                  <c:v>2.5746841827727632E-2</c:v>
                </c:pt>
                <c:pt idx="850">
                  <c:v>-4.0232454179703944E-3</c:v>
                </c:pt>
                <c:pt idx="851">
                  <c:v>4.1292639138240522E-2</c:v>
                </c:pt>
                <c:pt idx="852">
                  <c:v>4.5258620689655662E-3</c:v>
                </c:pt>
                <c:pt idx="853">
                  <c:v>2.317099334906638E-3</c:v>
                </c:pt>
                <c:pt idx="854">
                  <c:v>-4.0476903977053863E-2</c:v>
                </c:pt>
                <c:pt idx="855">
                  <c:v>-2.833113971490356E-3</c:v>
                </c:pt>
                <c:pt idx="856">
                  <c:v>1.5659955257270694E-2</c:v>
                </c:pt>
                <c:pt idx="857">
                  <c:v>1.0969162995594754E-2</c:v>
                </c:pt>
                <c:pt idx="858">
                  <c:v>1.047975946664343E-2</c:v>
                </c:pt>
                <c:pt idx="859">
                  <c:v>-2.8655210332262489E-2</c:v>
                </c:pt>
                <c:pt idx="860">
                  <c:v>3.2164261931187592E-2</c:v>
                </c:pt>
                <c:pt idx="861">
                  <c:v>-1.2881997462311038E-2</c:v>
                </c:pt>
                <c:pt idx="862">
                  <c:v>6.5359477124183009E-3</c:v>
                </c:pt>
                <c:pt idx="863">
                  <c:v>-5.5909090909090874E-2</c:v>
                </c:pt>
                <c:pt idx="864">
                  <c:v>2.0244400119219533E-2</c:v>
                </c:pt>
                <c:pt idx="865">
                  <c:v>1.1460674157303423E-2</c:v>
                </c:pt>
                <c:pt idx="866">
                  <c:v>6.4430126638524267E-3</c:v>
                </c:pt>
                <c:pt idx="867">
                  <c:v>6.6225165562913907E-3</c:v>
                </c:pt>
                <c:pt idx="868">
                  <c:v>-7.2587719298245661E-3</c:v>
                </c:pt>
                <c:pt idx="869">
                  <c:v>-1.9196359539640807E-2</c:v>
                </c:pt>
                <c:pt idx="870">
                  <c:v>-1.5765765765765764E-2</c:v>
                </c:pt>
                <c:pt idx="871">
                  <c:v>-3.1350114416476079E-3</c:v>
                </c:pt>
                <c:pt idx="872">
                  <c:v>-1.4232261322682197E-3</c:v>
                </c:pt>
                <c:pt idx="873">
                  <c:v>2.7562584768166271E-2</c:v>
                </c:pt>
                <c:pt idx="874">
                  <c:v>2.1252796420581657E-2</c:v>
                </c:pt>
                <c:pt idx="875">
                  <c:v>-1.2048192771084338E-2</c:v>
                </c:pt>
                <c:pt idx="876">
                  <c:v>-2.4434589800443419E-2</c:v>
                </c:pt>
                <c:pt idx="877">
                  <c:v>-2.4978408109459539E-2</c:v>
                </c:pt>
                <c:pt idx="878">
                  <c:v>1.1888389006736542E-3</c:v>
                </c:pt>
                <c:pt idx="879">
                  <c:v>-1.7438882421420276E-2</c:v>
                </c:pt>
                <c:pt idx="880">
                  <c:v>-7.2273168882254248E-3</c:v>
                </c:pt>
                <c:pt idx="881">
                  <c:v>-2.3152568264272733E-3</c:v>
                </c:pt>
                <c:pt idx="882">
                  <c:v>-7.1772051962965622E-3</c:v>
                </c:pt>
                <c:pt idx="883">
                  <c:v>1.6867876334367859E-4</c:v>
                </c:pt>
                <c:pt idx="884">
                  <c:v>2.2647328097142529E-3</c:v>
                </c:pt>
                <c:pt idx="885">
                  <c:v>-9.7836538461538291E-3</c:v>
                </c:pt>
                <c:pt idx="886">
                  <c:v>6.2632000582622874E-3</c:v>
                </c:pt>
                <c:pt idx="887">
                  <c:v>6.0070927118766959E-3</c:v>
                </c:pt>
                <c:pt idx="888">
                  <c:v>5.5203836930455594E-2</c:v>
                </c:pt>
                <c:pt idx="889">
                  <c:v>3.3930275896550177E-2</c:v>
                </c:pt>
                <c:pt idx="890">
                  <c:v>2.4618089899988985E-2</c:v>
                </c:pt>
                <c:pt idx="891">
                  <c:v>-1.0618899495870405E-2</c:v>
                </c:pt>
                <c:pt idx="892">
                  <c:v>7.0468343451864706E-3</c:v>
                </c:pt>
                <c:pt idx="893">
                  <c:v>-2.4760469372375441E-3</c:v>
                </c:pt>
                <c:pt idx="894">
                  <c:v>2.2879343837686091E-2</c:v>
                </c:pt>
                <c:pt idx="895">
                  <c:v>1.0782865583456454E-2</c:v>
                </c:pt>
                <c:pt idx="896">
                  <c:v>5.2170100832968018E-2</c:v>
                </c:pt>
                <c:pt idx="897">
                  <c:v>-1.0912698412698412E-2</c:v>
                </c:pt>
                <c:pt idx="898">
                  <c:v>-1.1253761283851582E-2</c:v>
                </c:pt>
                <c:pt idx="899">
                  <c:v>-5.8633772241270593E-3</c:v>
                </c:pt>
                <c:pt idx="900">
                  <c:v>5.7142857142857141E-2</c:v>
                </c:pt>
                <c:pt idx="901">
                  <c:v>-1.9305019305019305E-2</c:v>
                </c:pt>
                <c:pt idx="902">
                  <c:v>1.968503937007874E-2</c:v>
                </c:pt>
                <c:pt idx="903">
                  <c:v>1.505791505791453E-3</c:v>
                </c:pt>
                <c:pt idx="904">
                  <c:v>-1.306912371332737E-2</c:v>
                </c:pt>
                <c:pt idx="905">
                  <c:v>-5.859375E-3</c:v>
                </c:pt>
                <c:pt idx="906">
                  <c:v>1.8664047151277015E-2</c:v>
                </c:pt>
                <c:pt idx="907">
                  <c:v>9.1610414657666353E-3</c:v>
                </c:pt>
                <c:pt idx="908">
                  <c:v>-4.7969421882465184E-3</c:v>
                </c:pt>
                <c:pt idx="909">
                  <c:v>-1.3711257057264635E-2</c:v>
                </c:pt>
                <c:pt idx="910">
                  <c:v>-3.1347352024922383E-3</c:v>
                </c:pt>
                <c:pt idx="911">
                  <c:v>-7.8126525908709145E-3</c:v>
                </c:pt>
                <c:pt idx="912">
                  <c:v>1.1830941553967579E-2</c:v>
                </c:pt>
                <c:pt idx="913">
                  <c:v>1.0505836575874779E-3</c:v>
                </c:pt>
                <c:pt idx="914">
                  <c:v>-2.9929645897305629E-3</c:v>
                </c:pt>
                <c:pt idx="915">
                  <c:v>0</c:v>
                </c:pt>
                <c:pt idx="916">
                  <c:v>-3.7037037037047677E-4</c:v>
                </c:pt>
                <c:pt idx="917">
                  <c:v>-5.4796123320527013E-3</c:v>
                </c:pt>
                <c:pt idx="918">
                  <c:v>-3.5882352941176161E-3</c:v>
                </c:pt>
                <c:pt idx="919">
                  <c:v>-1.2633567506936685E-2</c:v>
                </c:pt>
                <c:pt idx="920">
                  <c:v>-1.9431988041853511E-2</c:v>
                </c:pt>
                <c:pt idx="921">
                  <c:v>-2.2357723577235773E-2</c:v>
                </c:pt>
                <c:pt idx="922">
                  <c:v>1.2993762993762994E-2</c:v>
                </c:pt>
                <c:pt idx="923">
                  <c:v>-1.5597742432016466E-2</c:v>
                </c:pt>
                <c:pt idx="924">
                  <c:v>1.7408527050974718E-2</c:v>
                </c:pt>
                <c:pt idx="925">
                  <c:v>1.2295081967213115E-2</c:v>
                </c:pt>
                <c:pt idx="926">
                  <c:v>6.0728744939271256E-3</c:v>
                </c:pt>
                <c:pt idx="927">
                  <c:v>1.3078470824949699E-2</c:v>
                </c:pt>
                <c:pt idx="928">
                  <c:v>-1.3783515392254217E-2</c:v>
                </c:pt>
                <c:pt idx="929">
                  <c:v>-7.1693249556951874E-3</c:v>
                </c:pt>
                <c:pt idx="930">
                  <c:v>2.7687626774847825E-2</c:v>
                </c:pt>
                <c:pt idx="931">
                  <c:v>2.1138853251751775E-2</c:v>
                </c:pt>
                <c:pt idx="932">
                  <c:v>-9.3745167774857401E-3</c:v>
                </c:pt>
                <c:pt idx="933">
                  <c:v>-1.2682679362353462E-3</c:v>
                </c:pt>
                <c:pt idx="934">
                  <c:v>8.0881491032703985E-3</c:v>
                </c:pt>
                <c:pt idx="935">
                  <c:v>-3.875968992248062E-3</c:v>
                </c:pt>
                <c:pt idx="936">
                  <c:v>-1.8677042801557128E-3</c:v>
                </c:pt>
                <c:pt idx="937">
                  <c:v>-3.898331514108415E-5</c:v>
                </c:pt>
                <c:pt idx="938">
                  <c:v>-1.9882265798603989E-3</c:v>
                </c:pt>
                <c:pt idx="939">
                  <c:v>-2.9296875E-3</c:v>
                </c:pt>
                <c:pt idx="940">
                  <c:v>-1.9588638589618022E-3</c:v>
                </c:pt>
                <c:pt idx="941">
                  <c:v>8.832188420019628E-3</c:v>
                </c:pt>
                <c:pt idx="942">
                  <c:v>-3.8910505836575876E-3</c:v>
                </c:pt>
                <c:pt idx="943">
                  <c:v>1.7578124999999556E-3</c:v>
                </c:pt>
                <c:pt idx="944">
                  <c:v>-2.7490738935464385E-3</c:v>
                </c:pt>
                <c:pt idx="945">
                  <c:v>-1.0733347670531211E-2</c:v>
                </c:pt>
                <c:pt idx="946">
                  <c:v>-1.6798418972332016E-2</c:v>
                </c:pt>
                <c:pt idx="947">
                  <c:v>-1.0050251256281407E-2</c:v>
                </c:pt>
                <c:pt idx="948">
                  <c:v>-2.4060913705583803E-2</c:v>
                </c:pt>
                <c:pt idx="949">
                  <c:v>1.1109955268906756E-2</c:v>
                </c:pt>
                <c:pt idx="950">
                  <c:v>1.2366509598962922E-2</c:v>
                </c:pt>
                <c:pt idx="951">
                  <c:v>-4.5731707317073168E-3</c:v>
                </c:pt>
                <c:pt idx="952">
                  <c:v>3.266972945380807E-4</c:v>
                </c:pt>
                <c:pt idx="953">
                  <c:v>-1.2675797595476794E-2</c:v>
                </c:pt>
                <c:pt idx="954">
                  <c:v>-1.137068430845589E-3</c:v>
                </c:pt>
                <c:pt idx="955">
                  <c:v>1.0038290386008534E-2</c:v>
                </c:pt>
                <c:pt idx="956">
                  <c:v>4.221311475409841E-3</c:v>
                </c:pt>
                <c:pt idx="957">
                  <c:v>1.1019058890748489E-3</c:v>
                </c:pt>
                <c:pt idx="958">
                  <c:v>-3.2613126783530835E-3</c:v>
                </c:pt>
                <c:pt idx="959">
                  <c:v>-6.1349693251533744E-3</c:v>
                </c:pt>
                <c:pt idx="960">
                  <c:v>2.4691358024692291E-4</c:v>
                </c:pt>
                <c:pt idx="961">
                  <c:v>1.8513947173536931E-3</c:v>
                </c:pt>
                <c:pt idx="962">
                  <c:v>2.0122376904439616E-3</c:v>
                </c:pt>
                <c:pt idx="963">
                  <c:v>-7.9713114754098088E-3</c:v>
                </c:pt>
                <c:pt idx="964">
                  <c:v>4.9368945074466262E-3</c:v>
                </c:pt>
                <c:pt idx="965">
                  <c:v>1.0277492291880781E-3</c:v>
                </c:pt>
                <c:pt idx="966">
                  <c:v>-2.0328542094456038E-3</c:v>
                </c:pt>
                <c:pt idx="967">
                  <c:v>-4.650110080039487E-3</c:v>
                </c:pt>
                <c:pt idx="968">
                  <c:v>-4.909560723514212E-2</c:v>
                </c:pt>
                <c:pt idx="969">
                  <c:v>1.5217391304347827E-2</c:v>
                </c:pt>
                <c:pt idx="970">
                  <c:v>1.284796573875803E-2</c:v>
                </c:pt>
                <c:pt idx="971">
                  <c:v>-1.0338266384777984E-2</c:v>
                </c:pt>
                <c:pt idx="972">
                  <c:v>-2.193928777424118E-2</c:v>
                </c:pt>
                <c:pt idx="973">
                  <c:v>-3.4597239210204384E-2</c:v>
                </c:pt>
                <c:pt idx="974">
                  <c:v>0</c:v>
                </c:pt>
                <c:pt idx="975">
                  <c:v>2.3190045248868779E-2</c:v>
                </c:pt>
                <c:pt idx="976">
                  <c:v>-5.5279159756771695E-4</c:v>
                </c:pt>
                <c:pt idx="977">
                  <c:v>1.7699115044248039E-3</c:v>
                </c:pt>
                <c:pt idx="978">
                  <c:v>-1.7667844522968449E-3</c:v>
                </c:pt>
                <c:pt idx="979">
                  <c:v>2.5442477876105691E-3</c:v>
                </c:pt>
                <c:pt idx="980">
                  <c:v>-3.3101621979471981E-4</c:v>
                </c:pt>
                <c:pt idx="981">
                  <c:v>-4.525386313465809E-3</c:v>
                </c:pt>
                <c:pt idx="982">
                  <c:v>-9.5354252134384487E-4</c:v>
                </c:pt>
                <c:pt idx="983">
                  <c:v>-1.8911480067477542E-2</c:v>
                </c:pt>
                <c:pt idx="984">
                  <c:v>-4.072398190045249E-2</c:v>
                </c:pt>
                <c:pt idx="985">
                  <c:v>1.2051886792452862E-2</c:v>
                </c:pt>
                <c:pt idx="986">
                  <c:v>1.8386893803453628E-2</c:v>
                </c:pt>
                <c:pt idx="987">
                  <c:v>-1.6178489702517146E-2</c:v>
                </c:pt>
                <c:pt idx="988">
                  <c:v>9.4899169632265343E-3</c:v>
                </c:pt>
                <c:pt idx="989">
                  <c:v>-2.3040943757035333E-5</c:v>
                </c:pt>
                <c:pt idx="990">
                  <c:v>-4.8387096774194071E-3</c:v>
                </c:pt>
                <c:pt idx="991">
                  <c:v>3.7392915026626616E-2</c:v>
                </c:pt>
                <c:pt idx="992">
                  <c:v>-4.5753822118067434E-3</c:v>
                </c:pt>
                <c:pt idx="993">
                  <c:v>-1.3452914798206279E-2</c:v>
                </c:pt>
                <c:pt idx="994">
                  <c:v>-1.7045454545454544E-2</c:v>
                </c:pt>
                <c:pt idx="995">
                  <c:v>1.1560693641618498E-3</c:v>
                </c:pt>
                <c:pt idx="996">
                  <c:v>-6.9745958429560783E-3</c:v>
                </c:pt>
                <c:pt idx="997">
                  <c:v>7.279408344574155E-3</c:v>
                </c:pt>
                <c:pt idx="998">
                  <c:v>-1.8840479323959328E-2</c:v>
                </c:pt>
                <c:pt idx="999">
                  <c:v>2.7532650900105867E-2</c:v>
                </c:pt>
                <c:pt idx="1000">
                  <c:v>-6.8017863277223646E-3</c:v>
                </c:pt>
                <c:pt idx="1001">
                  <c:v>5.3495665006456214E-3</c:v>
                </c:pt>
                <c:pt idx="1002">
                  <c:v>-1.7935779816513744E-2</c:v>
                </c:pt>
                <c:pt idx="1003">
                  <c:v>-1.7352515297304888E-2</c:v>
                </c:pt>
                <c:pt idx="1004">
                  <c:v>-7.3083778966131913E-2</c:v>
                </c:pt>
                <c:pt idx="1005">
                  <c:v>2.564102564102564E-2</c:v>
                </c:pt>
                <c:pt idx="1006">
                  <c:v>-0.02</c:v>
                </c:pt>
                <c:pt idx="1007">
                  <c:v>-1.6581632653061226E-2</c:v>
                </c:pt>
                <c:pt idx="1008">
                  <c:v>1.6809338521400825E-2</c:v>
                </c:pt>
                <c:pt idx="1009">
                  <c:v>5.2298586662583666E-3</c:v>
                </c:pt>
                <c:pt idx="1010">
                  <c:v>8.8064360581682297E-3</c:v>
                </c:pt>
                <c:pt idx="1011">
                  <c:v>1.3836477987421384E-2</c:v>
                </c:pt>
                <c:pt idx="1012">
                  <c:v>-1.2580645161290305E-2</c:v>
                </c:pt>
                <c:pt idx="1013">
                  <c:v>-4.850099263689611E-3</c:v>
                </c:pt>
                <c:pt idx="1014">
                  <c:v>3.2828282828282832E-2</c:v>
                </c:pt>
                <c:pt idx="1015">
                  <c:v>-8.4352078239608528E-3</c:v>
                </c:pt>
                <c:pt idx="1016">
                  <c:v>2.8233263469362564E-2</c:v>
                </c:pt>
                <c:pt idx="1017">
                  <c:v>-9.5923261390887284E-3</c:v>
                </c:pt>
                <c:pt idx="1018">
                  <c:v>2.6634382566585957E-2</c:v>
                </c:pt>
                <c:pt idx="1019">
                  <c:v>-1.3537735849056626E-2</c:v>
                </c:pt>
                <c:pt idx="1020">
                  <c:v>8.9418065318223328E-3</c:v>
                </c:pt>
                <c:pt idx="1021">
                  <c:v>2.2511848341232227E-2</c:v>
                </c:pt>
                <c:pt idx="1022">
                  <c:v>-4.0069524913093908E-2</c:v>
                </c:pt>
                <c:pt idx="1023">
                  <c:v>4.3214794427947675E-3</c:v>
                </c:pt>
                <c:pt idx="1024">
                  <c:v>-8.437499999999978E-3</c:v>
                </c:pt>
                <c:pt idx="1025">
                  <c:v>6.084995999903006E-3</c:v>
                </c:pt>
                <c:pt idx="1026">
                  <c:v>-1.0843373493975903E-2</c:v>
                </c:pt>
                <c:pt idx="1027">
                  <c:v>2.4360535931790498E-3</c:v>
                </c:pt>
                <c:pt idx="1028">
                  <c:v>-3.6452004860267314E-3</c:v>
                </c:pt>
                <c:pt idx="1029">
                  <c:v>1.0243902439024363E-2</c:v>
                </c:pt>
                <c:pt idx="1030">
                  <c:v>1.2071463061325778E-4</c:v>
                </c:pt>
                <c:pt idx="1031">
                  <c:v>-5.5522027761018271E-4</c:v>
                </c:pt>
                <c:pt idx="1032">
                  <c:v>4.2026955219554834E-3</c:v>
                </c:pt>
                <c:pt idx="1033">
                  <c:v>-1.3349047527419692E-2</c:v>
                </c:pt>
                <c:pt idx="1034">
                  <c:v>8.0202822944346087E-3</c:v>
                </c:pt>
                <c:pt idx="1035">
                  <c:v>-1.5719467956469165E-2</c:v>
                </c:pt>
                <c:pt idx="1036">
                  <c:v>-2.8206388206388253E-2</c:v>
                </c:pt>
                <c:pt idx="1037">
                  <c:v>2.3311084142394894E-2</c:v>
                </c:pt>
                <c:pt idx="1038">
                  <c:v>1.3119533527696799E-2</c:v>
                </c:pt>
                <c:pt idx="1039">
                  <c:v>8.5355444457992924E-3</c:v>
                </c:pt>
                <c:pt idx="1040">
                  <c:v>5.9243138677305971E-3</c:v>
                </c:pt>
                <c:pt idx="1041">
                  <c:v>1.194711538461545E-2</c:v>
                </c:pt>
                <c:pt idx="1042">
                  <c:v>-1.7815996389291397E-3</c:v>
                </c:pt>
                <c:pt idx="1043">
                  <c:v>6.4965970206081608E-3</c:v>
                </c:pt>
                <c:pt idx="1044">
                  <c:v>-1.9742286322260234E-2</c:v>
                </c:pt>
                <c:pt idx="1045">
                  <c:v>2.3878437047756818E-2</c:v>
                </c:pt>
                <c:pt idx="1046">
                  <c:v>-8.4805653710250562E-4</c:v>
                </c:pt>
                <c:pt idx="1047">
                  <c:v>-9.7137737539491793E-3</c:v>
                </c:pt>
                <c:pt idx="1048">
                  <c:v>-9.5709728108184892E-3</c:v>
                </c:pt>
                <c:pt idx="1049">
                  <c:v>-4.831730769230747E-3</c:v>
                </c:pt>
                <c:pt idx="1050">
                  <c:v>-2.1473948646102529E-2</c:v>
                </c:pt>
                <c:pt idx="1051">
                  <c:v>-8.8126388546039252E-3</c:v>
                </c:pt>
                <c:pt idx="1052">
                  <c:v>3.9598535601325724E-3</c:v>
                </c:pt>
                <c:pt idx="1053">
                  <c:v>-6.4993054177416264E-3</c:v>
                </c:pt>
                <c:pt idx="1054">
                  <c:v>-1.1460674157303308E-2</c:v>
                </c:pt>
                <c:pt idx="1055">
                  <c:v>6.5418908337752891E-3</c:v>
                </c:pt>
                <c:pt idx="1056">
                  <c:v>1.631116687578419E-2</c:v>
                </c:pt>
                <c:pt idx="1057">
                  <c:v>-1.2345679012345678E-2</c:v>
                </c:pt>
                <c:pt idx="1058">
                  <c:v>1.1700000000000018E-2</c:v>
                </c:pt>
                <c:pt idx="1059">
                  <c:v>-5.2634180092912802E-3</c:v>
                </c:pt>
                <c:pt idx="1060">
                  <c:v>1.651968699540424E-2</c:v>
                </c:pt>
                <c:pt idx="1061">
                  <c:v>-1.2707722385141713E-2</c:v>
                </c:pt>
                <c:pt idx="1062">
                  <c:v>-1.2351485148514875E-2</c:v>
                </c:pt>
                <c:pt idx="1063">
                  <c:v>-2.756823137265072E-4</c:v>
                </c:pt>
                <c:pt idx="1064">
                  <c:v>2.88292805214348E-3</c:v>
                </c:pt>
                <c:pt idx="1065">
                  <c:v>5.1493563304586985E-3</c:v>
                </c:pt>
                <c:pt idx="1066">
                  <c:v>-1.432443858645642E-2</c:v>
                </c:pt>
                <c:pt idx="1067">
                  <c:v>-9.7136369370506431E-3</c:v>
                </c:pt>
                <c:pt idx="1068">
                  <c:v>6.369426751592357E-3</c:v>
                </c:pt>
                <c:pt idx="1069">
                  <c:v>1.5443037974683603E-2</c:v>
                </c:pt>
                <c:pt idx="1070">
                  <c:v>-1.5208177511842488E-2</c:v>
                </c:pt>
                <c:pt idx="1071">
                  <c:v>2.0253164556962026E-2</c:v>
                </c:pt>
                <c:pt idx="1072">
                  <c:v>-2.5062034739453867E-3</c:v>
                </c:pt>
                <c:pt idx="1073">
                  <c:v>7.2787880295529711E-2</c:v>
                </c:pt>
                <c:pt idx="1074">
                  <c:v>6.689855072463774E-2</c:v>
                </c:pt>
                <c:pt idx="1075">
                  <c:v>-7.28102586394267E-3</c:v>
                </c:pt>
                <c:pt idx="1076">
                  <c:v>-3.3278598795839776E-3</c:v>
                </c:pt>
                <c:pt idx="1077">
                  <c:v>-2.0209564396019692E-2</c:v>
                </c:pt>
                <c:pt idx="1078">
                  <c:v>-7.914265856556673E-3</c:v>
                </c:pt>
                <c:pt idx="1079">
                  <c:v>3.3898305084745762E-3</c:v>
                </c:pt>
                <c:pt idx="1080">
                  <c:v>3.3783783783783786E-2</c:v>
                </c:pt>
                <c:pt idx="1081">
                  <c:v>1.2854030501089275E-2</c:v>
                </c:pt>
                <c:pt idx="1082">
                  <c:v>6.4099806409981036E-3</c:v>
                </c:pt>
                <c:pt idx="1083">
                  <c:v>-6.1554244678122495E-3</c:v>
                </c:pt>
                <c:pt idx="1084">
                  <c:v>2.5806451612902983E-3</c:v>
                </c:pt>
                <c:pt idx="1085">
                  <c:v>7.0785070785071031E-3</c:v>
                </c:pt>
                <c:pt idx="1086">
                  <c:v>8.136315228966972E-3</c:v>
                </c:pt>
                <c:pt idx="1087">
                  <c:v>-1.3098960534099649E-3</c:v>
                </c:pt>
                <c:pt idx="1088">
                  <c:v>-6.6638459911148237E-3</c:v>
                </c:pt>
                <c:pt idx="1089">
                  <c:v>-2.2361835800234508E-3</c:v>
                </c:pt>
                <c:pt idx="1090">
                  <c:v>2.7726787620064055E-2</c:v>
                </c:pt>
                <c:pt idx="1091">
                  <c:v>6.5401150595027949E-2</c:v>
                </c:pt>
                <c:pt idx="1092">
                  <c:v>-1.0721665562011544E-3</c:v>
                </c:pt>
                <c:pt idx="1093">
                  <c:v>4.7987042132584028E-2</c:v>
                </c:pt>
                <c:pt idx="1094">
                  <c:v>-3.9141931399202974E-2</c:v>
                </c:pt>
                <c:pt idx="1095">
                  <c:v>0</c:v>
                </c:pt>
                <c:pt idx="1096">
                  <c:v>-1.8992248062015857E-3</c:v>
                </c:pt>
                <c:pt idx="1097">
                  <c:v>-7.8443555590073464E-3</c:v>
                </c:pt>
                <c:pt idx="1098">
                  <c:v>8.8261771497905803E-3</c:v>
                </c:pt>
                <c:pt idx="1099">
                  <c:v>-3.8604046635240434E-3</c:v>
                </c:pt>
                <c:pt idx="1100">
                  <c:v>-1.3612463485881226E-2</c:v>
                </c:pt>
                <c:pt idx="1101">
                  <c:v>8.8645831276776554E-3</c:v>
                </c:pt>
                <c:pt idx="1102">
                  <c:v>4.1095890410958902E-2</c:v>
                </c:pt>
                <c:pt idx="1103">
                  <c:v>-4.0225563909774394E-2</c:v>
                </c:pt>
                <c:pt idx="1104">
                  <c:v>2.2522522522522076E-3</c:v>
                </c:pt>
                <c:pt idx="1105">
                  <c:v>-1.3190034196384953E-2</c:v>
                </c:pt>
                <c:pt idx="1106">
                  <c:v>1.0396039603960397E-2</c:v>
                </c:pt>
                <c:pt idx="1107">
                  <c:v>5.3895149436550714E-3</c:v>
                </c:pt>
                <c:pt idx="1108">
                  <c:v>-1.9493177387914229E-3</c:v>
                </c:pt>
                <c:pt idx="1109">
                  <c:v>0</c:v>
                </c:pt>
                <c:pt idx="1110">
                  <c:v>2.2460937499999556E-3</c:v>
                </c:pt>
                <c:pt idx="1111">
                  <c:v>1.6564357400370706E-3</c:v>
                </c:pt>
                <c:pt idx="1112">
                  <c:v>2.6926070038910569E-2</c:v>
                </c:pt>
                <c:pt idx="1113">
                  <c:v>-1.2011215519854561E-2</c:v>
                </c:pt>
                <c:pt idx="1114">
                  <c:v>7.6222435282837966E-2</c:v>
                </c:pt>
                <c:pt idx="1115">
                  <c:v>-2.6280623608017816E-2</c:v>
                </c:pt>
                <c:pt idx="1116">
                  <c:v>-6.4043915827996338E-3</c:v>
                </c:pt>
                <c:pt idx="1117">
                  <c:v>3.1289134438305728E-2</c:v>
                </c:pt>
                <c:pt idx="1118">
                  <c:v>-7.1251272344149165E-3</c:v>
                </c:pt>
                <c:pt idx="1119">
                  <c:v>1.9784172661870911E-3</c:v>
                </c:pt>
                <c:pt idx="1120">
                  <c:v>2.1360617483396117E-2</c:v>
                </c:pt>
                <c:pt idx="1121">
                  <c:v>2.0035149384885726E-2</c:v>
                </c:pt>
                <c:pt idx="1122">
                  <c:v>1.8952446588560007E-3</c:v>
                </c:pt>
                <c:pt idx="1123">
                  <c:v>-2.5795356835769563E-3</c:v>
                </c:pt>
                <c:pt idx="1124">
                  <c:v>1.7241379310348748E-4</c:v>
                </c:pt>
                <c:pt idx="1125">
                  <c:v>1.7238407171177382E-3</c:v>
                </c:pt>
                <c:pt idx="1126">
                  <c:v>1.5487867836860734E-3</c:v>
                </c:pt>
                <c:pt idx="1127">
                  <c:v>3.2302405498281709E-3</c:v>
                </c:pt>
                <c:pt idx="1128">
                  <c:v>2.0552168253751551E-4</c:v>
                </c:pt>
                <c:pt idx="1129">
                  <c:v>-8.5616438356164379E-4</c:v>
                </c:pt>
                <c:pt idx="1130">
                  <c:v>8.3976006855185793E-4</c:v>
                </c:pt>
                <c:pt idx="1131">
                  <c:v>1.2157742427096978E-3</c:v>
                </c:pt>
                <c:pt idx="1132">
                  <c:v>5.6439199589532309E-3</c:v>
                </c:pt>
                <c:pt idx="1133">
                  <c:v>2.5510204081632651E-3</c:v>
                </c:pt>
                <c:pt idx="1134">
                  <c:v>4.2408821034775231E-3</c:v>
                </c:pt>
                <c:pt idx="1135">
                  <c:v>1.8581081081081466E-3</c:v>
                </c:pt>
                <c:pt idx="1136">
                  <c:v>8.2616759399763567E-3</c:v>
                </c:pt>
                <c:pt idx="1137">
                  <c:v>8.5618729096990035E-3</c:v>
                </c:pt>
                <c:pt idx="1138">
                  <c:v>4.9575540522615886E-3</c:v>
                </c:pt>
                <c:pt idx="1139">
                  <c:v>-6.7644486974311963E-3</c:v>
                </c:pt>
                <c:pt idx="1140">
                  <c:v>9.9333898108005161E-3</c:v>
                </c:pt>
                <c:pt idx="1141">
                  <c:v>4.1283573742989044E-3</c:v>
                </c:pt>
                <c:pt idx="1142">
                  <c:v>9.0090090090090089E-3</c:v>
                </c:pt>
                <c:pt idx="1143">
                  <c:v>8.1168831168831161E-3</c:v>
                </c:pt>
                <c:pt idx="1144">
                  <c:v>1.0466988727858293E-2</c:v>
                </c:pt>
                <c:pt idx="1145">
                  <c:v>-7.1394422310757264E-3</c:v>
                </c:pt>
                <c:pt idx="1146">
                  <c:v>-1.5264357484510917E-2</c:v>
                </c:pt>
                <c:pt idx="1147">
                  <c:v>-1.3007122948281231E-2</c:v>
                </c:pt>
                <c:pt idx="1148">
                  <c:v>-4.1781579773090896E-3</c:v>
                </c:pt>
                <c:pt idx="1149">
                  <c:v>-3.3001658374792854E-3</c:v>
                </c:pt>
                <c:pt idx="1150">
                  <c:v>3.1447064108750043E-3</c:v>
                </c:pt>
                <c:pt idx="1151">
                  <c:v>-3.5660971968817009E-3</c:v>
                </c:pt>
                <c:pt idx="1152">
                  <c:v>-2.034124011652106E-2</c:v>
                </c:pt>
                <c:pt idx="1153">
                  <c:v>-5.9810035172378328E-3</c:v>
                </c:pt>
                <c:pt idx="1154">
                  <c:v>-6.8203962325430493E-3</c:v>
                </c:pt>
                <c:pt idx="1155">
                  <c:v>-4.3044989845444206E-2</c:v>
                </c:pt>
                <c:pt idx="1156">
                  <c:v>-1.7985288034371512E-5</c:v>
                </c:pt>
                <c:pt idx="1157">
                  <c:v>7.1942446043165471E-3</c:v>
                </c:pt>
                <c:pt idx="1158">
                  <c:v>-6.2500000000000003E-3</c:v>
                </c:pt>
                <c:pt idx="1159">
                  <c:v>-4.4923629829290209E-3</c:v>
                </c:pt>
                <c:pt idx="1160">
                  <c:v>-2.8158844765343E-2</c:v>
                </c:pt>
                <c:pt idx="1161">
                  <c:v>8.5252600297177419E-3</c:v>
                </c:pt>
                <c:pt idx="1162">
                  <c:v>-1.8232379970165363E-3</c:v>
                </c:pt>
                <c:pt idx="1163">
                  <c:v>-2.1217712177121772E-2</c:v>
                </c:pt>
                <c:pt idx="1164">
                  <c:v>2.7332704995287466E-2</c:v>
                </c:pt>
                <c:pt idx="1165">
                  <c:v>-3.4862385321100919E-2</c:v>
                </c:pt>
                <c:pt idx="1166">
                  <c:v>3.3174904942965863E-2</c:v>
                </c:pt>
                <c:pt idx="1167">
                  <c:v>-8.1700248412918466E-3</c:v>
                </c:pt>
                <c:pt idx="1168">
                  <c:v>-3.8032689560489686E-3</c:v>
                </c:pt>
                <c:pt idx="1169">
                  <c:v>-1.7878426698451212E-3</c:v>
                </c:pt>
                <c:pt idx="1170">
                  <c:v>4.1791044776119363E-2</c:v>
                </c:pt>
                <c:pt idx="1171">
                  <c:v>-1.5042979942693369E-2</c:v>
                </c:pt>
                <c:pt idx="1172">
                  <c:v>9.0909090909090905E-3</c:v>
                </c:pt>
                <c:pt idx="1173">
                  <c:v>7.2072072072072073E-3</c:v>
                </c:pt>
                <c:pt idx="1174">
                  <c:v>2.2361359570661895E-3</c:v>
                </c:pt>
                <c:pt idx="1175">
                  <c:v>5.0870147255689833E-3</c:v>
                </c:pt>
                <c:pt idx="1176">
                  <c:v>6.0380039069436635E-3</c:v>
                </c:pt>
                <c:pt idx="1177">
                  <c:v>4.4130626654898496E-3</c:v>
                </c:pt>
                <c:pt idx="1178">
                  <c:v>1.7574692442882249E-3</c:v>
                </c:pt>
                <c:pt idx="1179">
                  <c:v>2.1052631578947368E-2</c:v>
                </c:pt>
                <c:pt idx="1180">
                  <c:v>-1.718213058419244E-3</c:v>
                </c:pt>
                <c:pt idx="1181">
                  <c:v>-1.7211703958691911E-3</c:v>
                </c:pt>
                <c:pt idx="1182">
                  <c:v>3.620689655172453E-3</c:v>
                </c:pt>
                <c:pt idx="1183">
                  <c:v>-3.1781480845215989E-3</c:v>
                </c:pt>
                <c:pt idx="1184">
                  <c:v>9.0478242137009904E-3</c:v>
                </c:pt>
                <c:pt idx="1185">
                  <c:v>1.1101622544833475E-2</c:v>
                </c:pt>
                <c:pt idx="1186">
                  <c:v>-1.1385135135135151E-2</c:v>
                </c:pt>
                <c:pt idx="1187">
                  <c:v>1.1721286265933113E-2</c:v>
                </c:pt>
                <c:pt idx="1188">
                  <c:v>6.5527257988245548E-3</c:v>
                </c:pt>
                <c:pt idx="1189">
                  <c:v>4.5302013422819556E-3</c:v>
                </c:pt>
                <c:pt idx="1190">
                  <c:v>1.0957073659595699E-2</c:v>
                </c:pt>
                <c:pt idx="1191">
                  <c:v>4.5269801407659665E-3</c:v>
                </c:pt>
                <c:pt idx="1192">
                  <c:v>3.2072368421053377E-3</c:v>
                </c:pt>
                <c:pt idx="1193">
                  <c:v>-6.0660709894254372E-3</c:v>
                </c:pt>
                <c:pt idx="1194">
                  <c:v>6.1525773195876586E-3</c:v>
                </c:pt>
                <c:pt idx="1195">
                  <c:v>3.3115839863601788E-3</c:v>
                </c:pt>
                <c:pt idx="1196">
                  <c:v>3.349673202614379E-2</c:v>
                </c:pt>
                <c:pt idx="1197">
                  <c:v>3.952569169960474E-3</c:v>
                </c:pt>
                <c:pt idx="1198">
                  <c:v>4.7086614173228493E-3</c:v>
                </c:pt>
                <c:pt idx="1199">
                  <c:v>3.1364127964388144E-2</c:v>
                </c:pt>
                <c:pt idx="1200">
                  <c:v>1.1398176291793313E-2</c:v>
                </c:pt>
                <c:pt idx="1201">
                  <c:v>4.4327573253193087E-2</c:v>
                </c:pt>
                <c:pt idx="1202">
                  <c:v>3.3093525179856115E-2</c:v>
                </c:pt>
                <c:pt idx="1203">
                  <c:v>1.3927576601671309E-3</c:v>
                </c:pt>
                <c:pt idx="1204">
                  <c:v>1.3908205841446453E-3</c:v>
                </c:pt>
                <c:pt idx="1205">
                  <c:v>2.9861111111111113E-2</c:v>
                </c:pt>
                <c:pt idx="1206">
                  <c:v>-1.5509103169251517E-2</c:v>
                </c:pt>
                <c:pt idx="1207">
                  <c:v>-1.3698630136986301E-2</c:v>
                </c:pt>
                <c:pt idx="1208">
                  <c:v>-4.1666666666666666E-3</c:v>
                </c:pt>
                <c:pt idx="1209">
                  <c:v>-2.6499302649930265E-2</c:v>
                </c:pt>
                <c:pt idx="1210">
                  <c:v>-2.7363896848137569E-2</c:v>
                </c:pt>
                <c:pt idx="1211">
                  <c:v>1.4877006922963652E-2</c:v>
                </c:pt>
                <c:pt idx="1212">
                  <c:v>4.0638606676342524E-2</c:v>
                </c:pt>
                <c:pt idx="1213">
                  <c:v>1.5132496513249683E-2</c:v>
                </c:pt>
                <c:pt idx="1214">
                  <c:v>-1.2846053445078E-2</c:v>
                </c:pt>
                <c:pt idx="1215">
                  <c:v>1.8093249826026444E-2</c:v>
                </c:pt>
                <c:pt idx="1216">
                  <c:v>5.5365686944634313E-2</c:v>
                </c:pt>
                <c:pt idx="1217">
                  <c:v>-1.8134715025906734E-2</c:v>
                </c:pt>
                <c:pt idx="1218">
                  <c:v>4.0897097625329816E-2</c:v>
                </c:pt>
                <c:pt idx="1219">
                  <c:v>4.0557667934093787E-2</c:v>
                </c:pt>
                <c:pt idx="1220">
                  <c:v>-7.3081607795371494E-3</c:v>
                </c:pt>
                <c:pt idx="1221">
                  <c:v>-1.3496932515337423E-2</c:v>
                </c:pt>
                <c:pt idx="1222">
                  <c:v>5.1119402985074797E-3</c:v>
                </c:pt>
                <c:pt idx="1223">
                  <c:v>-7.5608518642264217E-3</c:v>
                </c:pt>
                <c:pt idx="1224">
                  <c:v>-8.6034912718204199E-3</c:v>
                </c:pt>
                <c:pt idx="1225">
                  <c:v>-7.6719909445353068E-3</c:v>
                </c:pt>
                <c:pt idx="1226">
                  <c:v>2.6615969581749048E-2</c:v>
                </c:pt>
                <c:pt idx="1227">
                  <c:v>-4.8148148148147865E-3</c:v>
                </c:pt>
                <c:pt idx="1228">
                  <c:v>8.745813174544044E-3</c:v>
                </c:pt>
                <c:pt idx="1229">
                  <c:v>-3.2589313164852456E-3</c:v>
                </c:pt>
                <c:pt idx="1230">
                  <c:v>-1.7853177051202995E-2</c:v>
                </c:pt>
                <c:pt idx="1231">
                  <c:v>-1.974799944725705E-2</c:v>
                </c:pt>
                <c:pt idx="1232">
                  <c:v>-1.0649613615101621E-2</c:v>
                </c:pt>
                <c:pt idx="1233">
                  <c:v>1.2953367875647669E-3</c:v>
                </c:pt>
                <c:pt idx="1234">
                  <c:v>-1.034928848641656E-2</c:v>
                </c:pt>
                <c:pt idx="1235">
                  <c:v>-3.2679738562091505E-2</c:v>
                </c:pt>
                <c:pt idx="1236">
                  <c:v>3.1067567567567581E-2</c:v>
                </c:pt>
                <c:pt idx="1237">
                  <c:v>2.6225769669327239E-2</c:v>
                </c:pt>
                <c:pt idx="1238">
                  <c:v>8.9399744572158362E-3</c:v>
                </c:pt>
                <c:pt idx="1239">
                  <c:v>2.7848101265822784E-2</c:v>
                </c:pt>
                <c:pt idx="1240">
                  <c:v>-1.2315270935960592E-2</c:v>
                </c:pt>
                <c:pt idx="1241">
                  <c:v>-1.2344139650872932E-3</c:v>
                </c:pt>
                <c:pt idx="1242">
                  <c:v>-9.9998751576135022E-3</c:v>
                </c:pt>
                <c:pt idx="1243">
                  <c:v>-2.5220680958385876E-3</c:v>
                </c:pt>
                <c:pt idx="1244">
                  <c:v>-7.5853350189633373E-3</c:v>
                </c:pt>
                <c:pt idx="1245">
                  <c:v>-3.5031847133757963E-3</c:v>
                </c:pt>
                <c:pt idx="1246">
                  <c:v>-4.0907638223075049E-3</c:v>
                </c:pt>
                <c:pt idx="1247">
                  <c:v>1.2771965855850134E-2</c:v>
                </c:pt>
                <c:pt idx="1248">
                  <c:v>0</c:v>
                </c:pt>
                <c:pt idx="1249">
                  <c:v>-1.48288973384031E-2</c:v>
                </c:pt>
                <c:pt idx="1250">
                  <c:v>-5.5319696384921587E-3</c:v>
                </c:pt>
                <c:pt idx="1251">
                  <c:v>-6.481241914618358E-3</c:v>
                </c:pt>
                <c:pt idx="1252">
                  <c:v>-2.1745074805661593E-2</c:v>
                </c:pt>
                <c:pt idx="1253">
                  <c:v>2.1429807397942389E-3</c:v>
                </c:pt>
                <c:pt idx="1254">
                  <c:v>1.3281976358085103E-4</c:v>
                </c:pt>
                <c:pt idx="1255">
                  <c:v>-1.7051792828685301E-2</c:v>
                </c:pt>
                <c:pt idx="1256">
                  <c:v>1.3307933419801155E-2</c:v>
                </c:pt>
                <c:pt idx="1257">
                  <c:v>-1.3333155557913768E-5</c:v>
                </c:pt>
                <c:pt idx="1258">
                  <c:v>-8.0000000000000002E-3</c:v>
                </c:pt>
                <c:pt idx="1259">
                  <c:v>-4.166666666666697E-3</c:v>
                </c:pt>
                <c:pt idx="1260">
                  <c:v>-1.0662707517883625E-2</c:v>
                </c:pt>
                <c:pt idx="1261">
                  <c:v>5.3888130968622718E-3</c:v>
                </c:pt>
                <c:pt idx="1262">
                  <c:v>-1.6201913291268136E-2</c:v>
                </c:pt>
                <c:pt idx="1263">
                  <c:v>2.2027282382312007E-2</c:v>
                </c:pt>
                <c:pt idx="1264">
                  <c:v>1.3522632189802668E-2</c:v>
                </c:pt>
                <c:pt idx="1265">
                  <c:v>9.2942743009321142E-3</c:v>
                </c:pt>
                <c:pt idx="1266">
                  <c:v>-1.0541175228897871E-2</c:v>
                </c:pt>
                <c:pt idx="1267">
                  <c:v>-3.4653795383938465E-2</c:v>
                </c:pt>
                <c:pt idx="1268">
                  <c:v>2.7486187845303994E-3</c:v>
                </c:pt>
                <c:pt idx="1269">
                  <c:v>1.0991886940591493E-2</c:v>
                </c:pt>
                <c:pt idx="1270">
                  <c:v>-1.7466653950434008E-2</c:v>
                </c:pt>
                <c:pt idx="1271">
                  <c:v>-2.5237467933162217E-2</c:v>
                </c:pt>
                <c:pt idx="1272">
                  <c:v>1.3585603527989123E-2</c:v>
                </c:pt>
                <c:pt idx="1273">
                  <c:v>-2.0350877192982456E-2</c:v>
                </c:pt>
                <c:pt idx="1274">
                  <c:v>4.2979942693409739E-2</c:v>
                </c:pt>
                <c:pt idx="1275">
                  <c:v>-1.7857142857142856E-2</c:v>
                </c:pt>
                <c:pt idx="1276">
                  <c:v>3.6363636363636362E-2</c:v>
                </c:pt>
                <c:pt idx="1277">
                  <c:v>-7.0445344129555021E-3</c:v>
                </c:pt>
                <c:pt idx="1278">
                  <c:v>2.9900241920142881E-4</c:v>
                </c:pt>
                <c:pt idx="1279">
                  <c:v>3.5597826086956587E-2</c:v>
                </c:pt>
                <c:pt idx="1280">
                  <c:v>-1.7121490422461385E-2</c:v>
                </c:pt>
                <c:pt idx="1281">
                  <c:v>3.8043115530935366E-3</c:v>
                </c:pt>
                <c:pt idx="1282">
                  <c:v>1.5864361702127593E-2</c:v>
                </c:pt>
                <c:pt idx="1283">
                  <c:v>9.1631432199350762E-5</c:v>
                </c:pt>
                <c:pt idx="1284">
                  <c:v>-6.5445026178010471E-3</c:v>
                </c:pt>
                <c:pt idx="1285">
                  <c:v>-1.0408432147562553E-2</c:v>
                </c:pt>
                <c:pt idx="1286">
                  <c:v>1.1516442550925279E-2</c:v>
                </c:pt>
                <c:pt idx="1287">
                  <c:v>3.1589338598222798E-3</c:v>
                </c:pt>
                <c:pt idx="1288">
                  <c:v>-8.0299153709899682E-3</c:v>
                </c:pt>
                <c:pt idx="1289">
                  <c:v>-3.9680965041033711E-5</c:v>
                </c:pt>
                <c:pt idx="1290">
                  <c:v>1.5476190476190536E-2</c:v>
                </c:pt>
                <c:pt idx="1291">
                  <c:v>7.7764751856192697E-3</c:v>
                </c:pt>
                <c:pt idx="1292">
                  <c:v>-1.7410523866764789E-2</c:v>
                </c:pt>
                <c:pt idx="1293">
                  <c:v>1.0523546435148047E-3</c:v>
                </c:pt>
                <c:pt idx="1294">
                  <c:v>-1.3009198423127584E-3</c:v>
                </c:pt>
                <c:pt idx="1295">
                  <c:v>-1.3184037052144028E-2</c:v>
                </c:pt>
                <c:pt idx="1296">
                  <c:v>-6.6000880011734099E-3</c:v>
                </c:pt>
                <c:pt idx="1297">
                  <c:v>-8.0532588854216467E-5</c:v>
                </c:pt>
                <c:pt idx="1298">
                  <c:v>7.423018067599093E-3</c:v>
                </c:pt>
                <c:pt idx="1299">
                  <c:v>1.4643375837763666E-2</c:v>
                </c:pt>
                <c:pt idx="1300">
                  <c:v>1.1162179908076166E-2</c:v>
                </c:pt>
                <c:pt idx="1301">
                  <c:v>-6.4935064935064939E-3</c:v>
                </c:pt>
                <c:pt idx="1302">
                  <c:v>-1.1764705882352941E-2</c:v>
                </c:pt>
                <c:pt idx="1303">
                  <c:v>6.6137566137566134E-3</c:v>
                </c:pt>
                <c:pt idx="1304">
                  <c:v>4.9934296977660969E-2</c:v>
                </c:pt>
                <c:pt idx="1305">
                  <c:v>-1.0012515644555695E-2</c:v>
                </c:pt>
                <c:pt idx="1306">
                  <c:v>1.0998735777496898E-2</c:v>
                </c:pt>
                <c:pt idx="1307">
                  <c:v>-2.1132924846818239E-3</c:v>
                </c:pt>
                <c:pt idx="1308">
                  <c:v>1.2531171288568947E-5</c:v>
                </c:pt>
                <c:pt idx="1309">
                  <c:v>2.4811408235382798E-3</c:v>
                </c:pt>
                <c:pt idx="1310">
                  <c:v>1.25E-3</c:v>
                </c:pt>
                <c:pt idx="1311">
                  <c:v>-1.1235955056179775E-2</c:v>
                </c:pt>
                <c:pt idx="1312">
                  <c:v>-6.313131313131313E-3</c:v>
                </c:pt>
                <c:pt idx="1313">
                  <c:v>2.5412960609911054E-2</c:v>
                </c:pt>
                <c:pt idx="1314">
                  <c:v>2.4163568773234202E-2</c:v>
                </c:pt>
                <c:pt idx="1315">
                  <c:v>4.2952208106473079E-2</c:v>
                </c:pt>
                <c:pt idx="1316">
                  <c:v>-1.7459396751740085E-2</c:v>
                </c:pt>
                <c:pt idx="1317">
                  <c:v>1.5408229529488109E-2</c:v>
                </c:pt>
                <c:pt idx="1318">
                  <c:v>-1.3953488372093023E-2</c:v>
                </c:pt>
                <c:pt idx="1319">
                  <c:v>-1.4150943396226415E-2</c:v>
                </c:pt>
                <c:pt idx="1320">
                  <c:v>-4.7248803827751743E-3</c:v>
                </c:pt>
                <c:pt idx="1321">
                  <c:v>1.6765819361817254E-2</c:v>
                </c:pt>
                <c:pt idx="1322">
                  <c:v>1.4302600472813266E-2</c:v>
                </c:pt>
                <c:pt idx="1323">
                  <c:v>-9.4394592704813221E-3</c:v>
                </c:pt>
                <c:pt idx="1324">
                  <c:v>-3.6588235294117808E-3</c:v>
                </c:pt>
                <c:pt idx="1325">
                  <c:v>-8.1238413489355121E-3</c:v>
                </c:pt>
                <c:pt idx="1326">
                  <c:v>2.6237782883537057E-2</c:v>
                </c:pt>
                <c:pt idx="1327">
                  <c:v>3.7120816657967006E-3</c:v>
                </c:pt>
                <c:pt idx="1328">
                  <c:v>1.7047096214966771E-2</c:v>
                </c:pt>
                <c:pt idx="1329">
                  <c:v>1.5909090909090907E-2</c:v>
                </c:pt>
                <c:pt idx="1330">
                  <c:v>1.1073825503355806E-3</c:v>
                </c:pt>
                <c:pt idx="1331">
                  <c:v>-1.2279466809685034E-2</c:v>
                </c:pt>
                <c:pt idx="1332">
                  <c:v>-3.2692307692307539E-3</c:v>
                </c:pt>
                <c:pt idx="1333">
                  <c:v>-1.2484252817470423E-4</c:v>
                </c:pt>
                <c:pt idx="1334">
                  <c:v>-4.5402951191827468E-3</c:v>
                </c:pt>
                <c:pt idx="1335">
                  <c:v>-6.8415051311288486E-3</c:v>
                </c:pt>
                <c:pt idx="1336">
                  <c:v>2.1814006888633754E-2</c:v>
                </c:pt>
                <c:pt idx="1337">
                  <c:v>-1.1235955056179776E-3</c:v>
                </c:pt>
                <c:pt idx="1338">
                  <c:v>-5.5905511811023927E-3</c:v>
                </c:pt>
                <c:pt idx="1339">
                  <c:v>1.6594459464045419E-2</c:v>
                </c:pt>
                <c:pt idx="1340">
                  <c:v>-1.3352620451764165E-3</c:v>
                </c:pt>
                <c:pt idx="1341">
                  <c:v>3.8997214484679664E-3</c:v>
                </c:pt>
                <c:pt idx="1342">
                  <c:v>5.0055493895671379E-3</c:v>
                </c:pt>
                <c:pt idx="1343">
                  <c:v>3.8541816214067311E-3</c:v>
                </c:pt>
                <c:pt idx="1344">
                  <c:v>6.7106710671067356E-3</c:v>
                </c:pt>
                <c:pt idx="1345">
                  <c:v>1.0053546060539383E-3</c:v>
                </c:pt>
                <c:pt idx="1346">
                  <c:v>-1.6397021899085155E-2</c:v>
                </c:pt>
                <c:pt idx="1347">
                  <c:v>-3.4406215316315457E-3</c:v>
                </c:pt>
                <c:pt idx="1348">
                  <c:v>-5.4571778594498018E-3</c:v>
                </c:pt>
                <c:pt idx="1349">
                  <c:v>7.5027995520716692E-2</c:v>
                </c:pt>
                <c:pt idx="1350">
                  <c:v>-1.0416666666666666E-2</c:v>
                </c:pt>
                <c:pt idx="1351">
                  <c:v>2.1052631578952156E-4</c:v>
                </c:pt>
                <c:pt idx="1352">
                  <c:v>-3.3887602609976891E-2</c:v>
                </c:pt>
                <c:pt idx="1353">
                  <c:v>-2.2875816993464051E-2</c:v>
                </c:pt>
                <c:pt idx="1354">
                  <c:v>8.8071348940913907E-3</c:v>
                </c:pt>
                <c:pt idx="1355">
                  <c:v>-4.309868493756191E-3</c:v>
                </c:pt>
                <c:pt idx="1356">
                  <c:v>2.2197558268590455E-3</c:v>
                </c:pt>
                <c:pt idx="1357">
                  <c:v>1.439645625692087E-4</c:v>
                </c:pt>
                <c:pt idx="1358">
                  <c:v>-4.5729850630584698E-3</c:v>
                </c:pt>
                <c:pt idx="1359">
                  <c:v>2.2246941045606229E-3</c:v>
                </c:pt>
                <c:pt idx="1360">
                  <c:v>1.5538290788013319E-2</c:v>
                </c:pt>
                <c:pt idx="1361">
                  <c:v>9.8360655737704927E-3</c:v>
                </c:pt>
                <c:pt idx="1362">
                  <c:v>-2.1753246753246653E-3</c:v>
                </c:pt>
                <c:pt idx="1363">
                  <c:v>9.7723402639941764E-3</c:v>
                </c:pt>
                <c:pt idx="1364">
                  <c:v>-6.44468313641246E-3</c:v>
                </c:pt>
                <c:pt idx="1365">
                  <c:v>-1.5135135135135135E-2</c:v>
                </c:pt>
                <c:pt idx="1366">
                  <c:v>-5.4884742041712408E-3</c:v>
                </c:pt>
                <c:pt idx="1367">
                  <c:v>-5.4083885209712775E-3</c:v>
                </c:pt>
                <c:pt idx="1368">
                  <c:v>3.207191210742423E-2</c:v>
                </c:pt>
                <c:pt idx="1369">
                  <c:v>-1.0752688172043011E-3</c:v>
                </c:pt>
                <c:pt idx="1370">
                  <c:v>-9.6878363832077503E-3</c:v>
                </c:pt>
                <c:pt idx="1371">
                  <c:v>-1.6304347826086956E-2</c:v>
                </c:pt>
                <c:pt idx="1372">
                  <c:v>-5.3038674033148671E-3</c:v>
                </c:pt>
                <c:pt idx="1373">
                  <c:v>1.4052432792712705E-2</c:v>
                </c:pt>
                <c:pt idx="1374">
                  <c:v>-9.6949115407789048E-3</c:v>
                </c:pt>
                <c:pt idx="1375">
                  <c:v>-2.4336283185841211E-3</c:v>
                </c:pt>
                <c:pt idx="1376">
                  <c:v>-1.8851186515856419E-3</c:v>
                </c:pt>
                <c:pt idx="1377">
                  <c:v>-5.6660371069881376E-3</c:v>
                </c:pt>
                <c:pt idx="1378">
                  <c:v>-2.5698324022346369E-2</c:v>
                </c:pt>
                <c:pt idx="1379">
                  <c:v>9.1743119266055051E-3</c:v>
                </c:pt>
                <c:pt idx="1380">
                  <c:v>5.681818181818182E-3</c:v>
                </c:pt>
                <c:pt idx="1381">
                  <c:v>-1.3559322033898305E-2</c:v>
                </c:pt>
                <c:pt idx="1382">
                  <c:v>-1.9473081328751432E-2</c:v>
                </c:pt>
                <c:pt idx="1383">
                  <c:v>4.6144859813084639E-3</c:v>
                </c:pt>
                <c:pt idx="1384">
                  <c:v>1.3744985173556528E-2</c:v>
                </c:pt>
                <c:pt idx="1385">
                  <c:v>9.4405634513690748E-3</c:v>
                </c:pt>
                <c:pt idx="1386">
                  <c:v>-2.4988636363636373E-2</c:v>
                </c:pt>
                <c:pt idx="1387">
                  <c:v>1.3857647346767504E-2</c:v>
                </c:pt>
                <c:pt idx="1388">
                  <c:v>-2.74054489021727E-2</c:v>
                </c:pt>
                <c:pt idx="1389">
                  <c:v>2.0613195281658576E-2</c:v>
                </c:pt>
                <c:pt idx="1390">
                  <c:v>-1.2159814707585408E-2</c:v>
                </c:pt>
                <c:pt idx="1391">
                  <c:v>-3.5169988276670576E-3</c:v>
                </c:pt>
                <c:pt idx="1392">
                  <c:v>0</c:v>
                </c:pt>
                <c:pt idx="1393">
                  <c:v>1.411764705882353E-2</c:v>
                </c:pt>
                <c:pt idx="1394">
                  <c:v>-1.0440835266821345E-2</c:v>
                </c:pt>
                <c:pt idx="1395">
                  <c:v>-1.1723329425556858E-2</c:v>
                </c:pt>
                <c:pt idx="1396">
                  <c:v>-1.0676156583629894E-2</c:v>
                </c:pt>
                <c:pt idx="1397">
                  <c:v>-3.5971223021582736E-3</c:v>
                </c:pt>
                <c:pt idx="1398">
                  <c:v>-1.8050541516245488E-3</c:v>
                </c:pt>
                <c:pt idx="1399">
                  <c:v>1.8083182640144665E-3</c:v>
                </c:pt>
                <c:pt idx="1400">
                  <c:v>-4.8134777376654635E-3</c:v>
                </c:pt>
                <c:pt idx="1401">
                  <c:v>-1.4510278113664394E-3</c:v>
                </c:pt>
                <c:pt idx="1402">
                  <c:v>2.3225962702833693E-2</c:v>
                </c:pt>
                <c:pt idx="1403">
                  <c:v>-1.159790764278466E-3</c:v>
                </c:pt>
                <c:pt idx="1404">
                  <c:v>5.3317535545023701E-3</c:v>
                </c:pt>
                <c:pt idx="1405">
                  <c:v>7.424867413081856E-3</c:v>
                </c:pt>
                <c:pt idx="1406">
                  <c:v>2.9129620963968289E-2</c:v>
                </c:pt>
                <c:pt idx="1407">
                  <c:v>-1.9324769807889568E-3</c:v>
                </c:pt>
                <c:pt idx="1408">
                  <c:v>-2.8462414578587711E-2</c:v>
                </c:pt>
                <c:pt idx="1409">
                  <c:v>-3.4583416372610466E-3</c:v>
                </c:pt>
                <c:pt idx="1410">
                  <c:v>-1.2469708020609669E-3</c:v>
                </c:pt>
                <c:pt idx="1411">
                  <c:v>7.0671378091872791E-3</c:v>
                </c:pt>
                <c:pt idx="1412">
                  <c:v>1.7543859649122806E-2</c:v>
                </c:pt>
                <c:pt idx="1413">
                  <c:v>2.528735632183908E-2</c:v>
                </c:pt>
                <c:pt idx="1414">
                  <c:v>2.2197309417040564E-3</c:v>
                </c:pt>
                <c:pt idx="1415">
                  <c:v>-1.0044967448936237E-2</c:v>
                </c:pt>
                <c:pt idx="1416">
                  <c:v>1.1322033898305064E-2</c:v>
                </c:pt>
                <c:pt idx="1417">
                  <c:v>-3.3742262742731803E-3</c:v>
                </c:pt>
                <c:pt idx="1418">
                  <c:v>4.4843049327354259E-3</c:v>
                </c:pt>
                <c:pt idx="1419">
                  <c:v>-1.4508928571428572E-2</c:v>
                </c:pt>
                <c:pt idx="1420">
                  <c:v>5.9456398640996598E-3</c:v>
                </c:pt>
                <c:pt idx="1421">
                  <c:v>5.3475935828877002E-3</c:v>
                </c:pt>
                <c:pt idx="1422">
                  <c:v>1.2094064949608012E-2</c:v>
                </c:pt>
                <c:pt idx="1423">
                  <c:v>2.8867005974773218E-2</c:v>
                </c:pt>
                <c:pt idx="1424">
                  <c:v>-5.2586865113077742E-3</c:v>
                </c:pt>
                <c:pt idx="1425">
                  <c:v>-2.3783783783783784E-2</c:v>
                </c:pt>
                <c:pt idx="1426">
                  <c:v>-1.1074197120708749E-2</c:v>
                </c:pt>
                <c:pt idx="1427">
                  <c:v>-2.3516237402015677E-2</c:v>
                </c:pt>
                <c:pt idx="1428">
                  <c:v>-3.096330275229358E-2</c:v>
                </c:pt>
                <c:pt idx="1429">
                  <c:v>-2.3668639053254438E-3</c:v>
                </c:pt>
                <c:pt idx="1430">
                  <c:v>2.3724792408066431E-3</c:v>
                </c:pt>
                <c:pt idx="1431">
                  <c:v>-2.3668639053254438E-3</c:v>
                </c:pt>
                <c:pt idx="1432">
                  <c:v>-2.3724792408066431E-3</c:v>
                </c:pt>
                <c:pt idx="1433">
                  <c:v>-4.4114149821641337E-3</c:v>
                </c:pt>
                <c:pt idx="1434">
                  <c:v>6.2224557799568092E-3</c:v>
                </c:pt>
                <c:pt idx="1435">
                  <c:v>3.0267062314540058E-2</c:v>
                </c:pt>
                <c:pt idx="1436">
                  <c:v>-5.9907834101380396E-4</c:v>
                </c:pt>
                <c:pt idx="1437">
                  <c:v>2.5960252685940866E-2</c:v>
                </c:pt>
                <c:pt idx="1438">
                  <c:v>2.247191011235955E-2</c:v>
                </c:pt>
                <c:pt idx="1439">
                  <c:v>2.1978021978021978E-3</c:v>
                </c:pt>
                <c:pt idx="1440">
                  <c:v>6.6337719298245118E-3</c:v>
                </c:pt>
                <c:pt idx="1441">
                  <c:v>-2.0587113991612633E-2</c:v>
                </c:pt>
                <c:pt idx="1442">
                  <c:v>-1.7961407996441057E-2</c:v>
                </c:pt>
                <c:pt idx="1443">
                  <c:v>5.8890147225368061E-2</c:v>
                </c:pt>
                <c:pt idx="1444">
                  <c:v>3.7326203208556126E-2</c:v>
                </c:pt>
                <c:pt idx="1445">
                  <c:v>2.0723785957315211E-2</c:v>
                </c:pt>
                <c:pt idx="1446">
                  <c:v>2.0202020202020204E-2</c:v>
                </c:pt>
                <c:pt idx="1447">
                  <c:v>3.9603960396039604E-3</c:v>
                </c:pt>
                <c:pt idx="1448">
                  <c:v>-9.9112426035502504E-3</c:v>
                </c:pt>
                <c:pt idx="1449">
                  <c:v>-1.1902983216295676E-2</c:v>
                </c:pt>
                <c:pt idx="1450">
                  <c:v>-2.0161290322580645E-3</c:v>
                </c:pt>
                <c:pt idx="1451">
                  <c:v>3.2323232323232323E-2</c:v>
                </c:pt>
                <c:pt idx="1452">
                  <c:v>2.2504892367906065E-2</c:v>
                </c:pt>
                <c:pt idx="1453">
                  <c:v>-1.3301435406699522E-3</c:v>
                </c:pt>
                <c:pt idx="1454">
                  <c:v>1.2830463487318157E-2</c:v>
                </c:pt>
                <c:pt idx="1455">
                  <c:v>-8.5146641438032175E-3</c:v>
                </c:pt>
                <c:pt idx="1456">
                  <c:v>-2.2900763358778626E-2</c:v>
                </c:pt>
                <c:pt idx="1457">
                  <c:v>1.46484375E-2</c:v>
                </c:pt>
                <c:pt idx="1458">
                  <c:v>-1.2512030798845043E-2</c:v>
                </c:pt>
                <c:pt idx="1459">
                  <c:v>-3.4103313840155955E-2</c:v>
                </c:pt>
                <c:pt idx="1460">
                  <c:v>-4.1382024399350147E-2</c:v>
                </c:pt>
                <c:pt idx="1461">
                  <c:v>5.0526315789473683E-2</c:v>
                </c:pt>
                <c:pt idx="1462">
                  <c:v>2.2064128256513008E-2</c:v>
                </c:pt>
                <c:pt idx="1463">
                  <c:v>1.9411384090508208E-3</c:v>
                </c:pt>
                <c:pt idx="1464">
                  <c:v>1.7602739726027408E-2</c:v>
                </c:pt>
                <c:pt idx="1465">
                  <c:v>1.5394378792103761E-2</c:v>
                </c:pt>
                <c:pt idx="1466">
                  <c:v>1.1363636363636364E-2</c:v>
                </c:pt>
                <c:pt idx="1467">
                  <c:v>4.6816479400749067E-2</c:v>
                </c:pt>
                <c:pt idx="1468">
                  <c:v>-7.1556350626118068E-3</c:v>
                </c:pt>
                <c:pt idx="1469">
                  <c:v>6.0360360360360361E-2</c:v>
                </c:pt>
                <c:pt idx="1470">
                  <c:v>2.0399320305862355E-2</c:v>
                </c:pt>
                <c:pt idx="1471">
                  <c:v>1.7476956894613708E-2</c:v>
                </c:pt>
                <c:pt idx="1472">
                  <c:v>1.4729950900163666E-2</c:v>
                </c:pt>
                <c:pt idx="1473">
                  <c:v>2.4193548387096774E-2</c:v>
                </c:pt>
                <c:pt idx="1474">
                  <c:v>-2.9133858267716535E-2</c:v>
                </c:pt>
                <c:pt idx="1475">
                  <c:v>-4.0551500405515001E-2</c:v>
                </c:pt>
                <c:pt idx="1476">
                  <c:v>-3.8038884192730348E-2</c:v>
                </c:pt>
                <c:pt idx="1477">
                  <c:v>-4.6572934973637958E-2</c:v>
                </c:pt>
                <c:pt idx="1478">
                  <c:v>2.3041474654377881E-2</c:v>
                </c:pt>
                <c:pt idx="1479">
                  <c:v>2.1621621621621623E-2</c:v>
                </c:pt>
                <c:pt idx="1480">
                  <c:v>-1.5873015873015872E-2</c:v>
                </c:pt>
                <c:pt idx="1481">
                  <c:v>-4.5698924731182797E-2</c:v>
                </c:pt>
                <c:pt idx="1482">
                  <c:v>9.3896713615023472E-4</c:v>
                </c:pt>
                <c:pt idx="1483">
                  <c:v>3.1894934333958722E-2</c:v>
                </c:pt>
                <c:pt idx="1484">
                  <c:v>-4.5454545454545452E-3</c:v>
                </c:pt>
                <c:pt idx="1485">
                  <c:v>8.2968036529680281E-2</c:v>
                </c:pt>
                <c:pt idx="1486">
                  <c:v>9.5711936585572682E-3</c:v>
                </c:pt>
                <c:pt idx="1487">
                  <c:v>-4.2766455061810926E-2</c:v>
                </c:pt>
                <c:pt idx="1488">
                  <c:v>4.3630017452006981E-3</c:v>
                </c:pt>
                <c:pt idx="1489">
                  <c:v>-4.3440486533409668E-5</c:v>
                </c:pt>
                <c:pt idx="1490">
                  <c:v>-1.4257787045484235E-2</c:v>
                </c:pt>
                <c:pt idx="1491">
                  <c:v>-2.8452059865672407E-2</c:v>
                </c:pt>
                <c:pt idx="1492">
                  <c:v>-6.8223468147260921E-3</c:v>
                </c:pt>
                <c:pt idx="1493">
                  <c:v>8.4586294462612038E-3</c:v>
                </c:pt>
                <c:pt idx="1494">
                  <c:v>1.1340579710144912E-2</c:v>
                </c:pt>
                <c:pt idx="1495">
                  <c:v>-5.2663633432449772E-3</c:v>
                </c:pt>
                <c:pt idx="1496">
                  <c:v>-1.0345386443852201E-2</c:v>
                </c:pt>
                <c:pt idx="1497">
                  <c:v>2.6520493108310842E-2</c:v>
                </c:pt>
                <c:pt idx="1498">
                  <c:v>4.1301072409820807E-3</c:v>
                </c:pt>
                <c:pt idx="1499">
                  <c:v>-2.7785623499505734E-2</c:v>
                </c:pt>
                <c:pt idx="1500">
                  <c:v>-3.6677924247375928E-3</c:v>
                </c:pt>
                <c:pt idx="1501">
                  <c:v>8.5562764251347432E-3</c:v>
                </c:pt>
                <c:pt idx="1502">
                  <c:v>2.096076181527573E-3</c:v>
                </c:pt>
                <c:pt idx="1503">
                  <c:v>-9.4576928278411465E-3</c:v>
                </c:pt>
                <c:pt idx="1504">
                  <c:v>-1.2597163817741744E-2</c:v>
                </c:pt>
                <c:pt idx="1505">
                  <c:v>-7.9921092900203227E-3</c:v>
                </c:pt>
                <c:pt idx="1506">
                  <c:v>3.4911490033917143E-2</c:v>
                </c:pt>
                <c:pt idx="1507">
                  <c:v>6.0266494271450533E-2</c:v>
                </c:pt>
                <c:pt idx="1508">
                  <c:v>1.5776904576403333E-2</c:v>
                </c:pt>
                <c:pt idx="1509">
                  <c:v>-3.1013697716491678E-3</c:v>
                </c:pt>
                <c:pt idx="1510">
                  <c:v>-1.0119172067740217E-3</c:v>
                </c:pt>
                <c:pt idx="1511">
                  <c:v>1.2389706497898735E-2</c:v>
                </c:pt>
                <c:pt idx="1512">
                  <c:v>-1.9845535581392257E-4</c:v>
                </c:pt>
                <c:pt idx="1513">
                  <c:v>7.8488131668183019E-3</c:v>
                </c:pt>
                <c:pt idx="1514">
                  <c:v>-8.6165158092549599E-3</c:v>
                </c:pt>
                <c:pt idx="1515">
                  <c:v>2.8193263746906418E-2</c:v>
                </c:pt>
                <c:pt idx="1516">
                  <c:v>0.10000402527875038</c:v>
                </c:pt>
                <c:pt idx="1517">
                  <c:v>2.7759684419300823E-2</c:v>
                </c:pt>
                <c:pt idx="1518">
                  <c:v>3.9414654988250475E-2</c:v>
                </c:pt>
                <c:pt idx="1519">
                  <c:v>-3.9379303257630262E-2</c:v>
                </c:pt>
                <c:pt idx="1520">
                  <c:v>-4.4573767802762862E-3</c:v>
                </c:pt>
                <c:pt idx="1521">
                  <c:v>1.9055533268382076E-2</c:v>
                </c:pt>
                <c:pt idx="1522">
                  <c:v>1.8874954306442024E-2</c:v>
                </c:pt>
                <c:pt idx="1523">
                  <c:v>4.7675886764594836E-3</c:v>
                </c:pt>
                <c:pt idx="1524">
                  <c:v>2.5063861345346302E-3</c:v>
                </c:pt>
                <c:pt idx="1525">
                  <c:v>-1.5754179994931262E-2</c:v>
                </c:pt>
                <c:pt idx="1526">
                  <c:v>-8.8870021504178914E-3</c:v>
                </c:pt>
                <c:pt idx="1527">
                  <c:v>-8.032805302775007E-3</c:v>
                </c:pt>
                <c:pt idx="1528">
                  <c:v>1.1353983804292403E-2</c:v>
                </c:pt>
                <c:pt idx="1529">
                  <c:v>3.8844872476832739E-3</c:v>
                </c:pt>
                <c:pt idx="1530">
                  <c:v>4.322635971304099E-4</c:v>
                </c:pt>
                <c:pt idx="1531">
                  <c:v>9.7705114535203679E-3</c:v>
                </c:pt>
                <c:pt idx="1532">
                  <c:v>-3.1747127230065657E-4</c:v>
                </c:pt>
                <c:pt idx="1533">
                  <c:v>-7.0418159600687926E-3</c:v>
                </c:pt>
                <c:pt idx="1534">
                  <c:v>-5.1380458739196354E-3</c:v>
                </c:pt>
                <c:pt idx="1535">
                  <c:v>2.8254944440561768E-2</c:v>
                </c:pt>
                <c:pt idx="1536">
                  <c:v>-4.9071248462275816E-3</c:v>
                </c:pt>
                <c:pt idx="1537">
                  <c:v>1.9725293864532114E-2</c:v>
                </c:pt>
                <c:pt idx="1538">
                  <c:v>1.5947863013148076E-2</c:v>
                </c:pt>
                <c:pt idx="1539">
                  <c:v>1.1748417721518946E-2</c:v>
                </c:pt>
                <c:pt idx="1540">
                  <c:v>9.6896951688366633E-3</c:v>
                </c:pt>
                <c:pt idx="1541">
                  <c:v>-1.4004607967782978E-2</c:v>
                </c:pt>
                <c:pt idx="1542">
                  <c:v>-2.0513290439130978E-2</c:v>
                </c:pt>
                <c:pt idx="1543">
                  <c:v>9.4891242607494095E-4</c:v>
                </c:pt>
                <c:pt idx="1544">
                  <c:v>-4.3995807379812128E-3</c:v>
                </c:pt>
                <c:pt idx="1545">
                  <c:v>3.5674051821253799E-3</c:v>
                </c:pt>
                <c:pt idx="1546">
                  <c:v>1.3136442603234053E-2</c:v>
                </c:pt>
                <c:pt idx="1547">
                  <c:v>-9.7938348304379922E-3</c:v>
                </c:pt>
                <c:pt idx="1548">
                  <c:v>-1.6884128918816403E-2</c:v>
                </c:pt>
                <c:pt idx="1549">
                  <c:v>6.6453938186794681E-2</c:v>
                </c:pt>
                <c:pt idx="1550">
                  <c:v>-8.3664199726837165E-3</c:v>
                </c:pt>
                <c:pt idx="1551">
                  <c:v>2.6169457648400306E-2</c:v>
                </c:pt>
                <c:pt idx="1552">
                  <c:v>6.9920028966876529E-4</c:v>
                </c:pt>
                <c:pt idx="1553">
                  <c:v>-0.78918868336504566</c:v>
                </c:pt>
                <c:pt idx="1554">
                  <c:v>1.5772964015151467E-2</c:v>
                </c:pt>
                <c:pt idx="1555">
                  <c:v>5.4187909686817587E-3</c:v>
                </c:pt>
                <c:pt idx="1556">
                  <c:v>7.3889484512184847E-3</c:v>
                </c:pt>
                <c:pt idx="1557">
                  <c:v>7.5648622217108531E-3</c:v>
                </c:pt>
                <c:pt idx="1558">
                  <c:v>2.4522538468126336E-2</c:v>
                </c:pt>
                <c:pt idx="1559">
                  <c:v>-2.7084262148907631E-2</c:v>
                </c:pt>
                <c:pt idx="1560">
                  <c:v>-6.2636040783594915E-2</c:v>
                </c:pt>
                <c:pt idx="1561">
                  <c:v>2.9056799780011581E-2</c:v>
                </c:pt>
                <c:pt idx="1562">
                  <c:v>-5.3147268408551673E-3</c:v>
                </c:pt>
                <c:pt idx="1563">
                  <c:v>-3.4924330616996471E-2</c:v>
                </c:pt>
                <c:pt idx="1564">
                  <c:v>-5.6880393430453702E-2</c:v>
                </c:pt>
                <c:pt idx="1565">
                  <c:v>-5.6539420175783839E-2</c:v>
                </c:pt>
                <c:pt idx="1566">
                  <c:v>6.740127919911007E-2</c:v>
                </c:pt>
                <c:pt idx="1567">
                  <c:v>0.1000097697593382</c:v>
                </c:pt>
                <c:pt idx="1568">
                  <c:v>3.9700396707916474E-2</c:v>
                </c:pt>
                <c:pt idx="1569">
                  <c:v>-2.562715339274324E-4</c:v>
                </c:pt>
                <c:pt idx="1570">
                  <c:v>-1.0281970948447773E-2</c:v>
                </c:pt>
                <c:pt idx="1571">
                  <c:v>-1.4734236956459191E-2</c:v>
                </c:pt>
                <c:pt idx="1572">
                  <c:v>-1.2325846306627412E-2</c:v>
                </c:pt>
                <c:pt idx="1573">
                  <c:v>-2.8981221351470098E-3</c:v>
                </c:pt>
                <c:pt idx="1574">
                  <c:v>-5.279235993712458E-3</c:v>
                </c:pt>
                <c:pt idx="1575">
                  <c:v>-3.1008676466203457E-2</c:v>
                </c:pt>
                <c:pt idx="1576">
                  <c:v>-5.2309301824676421E-4</c:v>
                </c:pt>
                <c:pt idx="1577">
                  <c:v>-5.9725386367834423E-3</c:v>
                </c:pt>
                <c:pt idx="1578">
                  <c:v>4.1811199207136482E-3</c:v>
                </c:pt>
                <c:pt idx="1579">
                  <c:v>2.8220707522437705E-2</c:v>
                </c:pt>
                <c:pt idx="1580">
                  <c:v>6.7190593316935904E-3</c:v>
                </c:pt>
                <c:pt idx="1581">
                  <c:v>-1.1471306835111205E-2</c:v>
                </c:pt>
                <c:pt idx="1582">
                  <c:v>2.2575880881333481E-2</c:v>
                </c:pt>
                <c:pt idx="1583">
                  <c:v>1.8717208041030546E-2</c:v>
                </c:pt>
                <c:pt idx="1584">
                  <c:v>-1.0271693527386393E-2</c:v>
                </c:pt>
                <c:pt idx="1585">
                  <c:v>-1.9236391276384213E-2</c:v>
                </c:pt>
                <c:pt idx="1586">
                  <c:v>4.9630380350542437E-2</c:v>
                </c:pt>
                <c:pt idx="1587">
                  <c:v>1.0990259279243474E-2</c:v>
                </c:pt>
                <c:pt idx="1588">
                  <c:v>-2.8876404494381946E-2</c:v>
                </c:pt>
                <c:pt idx="1589">
                  <c:v>-1.408654402406573E-2</c:v>
                </c:pt>
                <c:pt idx="1590">
                  <c:v>-1.6488191286489672E-2</c:v>
                </c:pt>
                <c:pt idx="1591">
                  <c:v>-1.1037198341437357E-2</c:v>
                </c:pt>
                <c:pt idx="1592">
                  <c:v>-9.2902603082676803E-3</c:v>
                </c:pt>
                <c:pt idx="1593">
                  <c:v>4.5060130917948492E-3</c:v>
                </c:pt>
                <c:pt idx="1594">
                  <c:v>-4.0220652865759349E-2</c:v>
                </c:pt>
                <c:pt idx="1595">
                  <c:v>9.398092591422974E-2</c:v>
                </c:pt>
                <c:pt idx="1596">
                  <c:v>3.8104035563766327E-3</c:v>
                </c:pt>
                <c:pt idx="1597">
                  <c:v>-1.8577097831713452E-2</c:v>
                </c:pt>
                <c:pt idx="1598">
                  <c:v>4.2809423347398075E-2</c:v>
                </c:pt>
                <c:pt idx="1599">
                  <c:v>-1.8264070358818098E-3</c:v>
                </c:pt>
                <c:pt idx="1600">
                  <c:v>-1.5426190744285605E-2</c:v>
                </c:pt>
                <c:pt idx="1601">
                  <c:v>-2.7447392497712132E-3</c:v>
                </c:pt>
                <c:pt idx="1602">
                  <c:v>2.4655963302752685E-3</c:v>
                </c:pt>
                <c:pt idx="1603">
                  <c:v>9.7809300463306027E-3</c:v>
                </c:pt>
                <c:pt idx="1604">
                  <c:v>9.9410898379970296E-3</c:v>
                </c:pt>
                <c:pt idx="1605">
                  <c:v>-4.3747721472840026E-3</c:v>
                </c:pt>
                <c:pt idx="1606">
                  <c:v>-7.3514914232598854E-3</c:v>
                </c:pt>
                <c:pt idx="1607">
                  <c:v>2.7240224731853455E-3</c:v>
                </c:pt>
                <c:pt idx="1608">
                  <c:v>-3.9617409021449352E-3</c:v>
                </c:pt>
                <c:pt idx="1609">
                  <c:v>3.4376953235978735E-3</c:v>
                </c:pt>
                <c:pt idx="1610">
                  <c:v>-9.400039638721349E-3</c:v>
                </c:pt>
                <c:pt idx="1611">
                  <c:v>-7.1455111898705232E-4</c:v>
                </c:pt>
                <c:pt idx="1612">
                  <c:v>2.4826954979692256E-2</c:v>
                </c:pt>
                <c:pt idx="1613">
                  <c:v>1.1442924923247785E-3</c:v>
                </c:pt>
                <c:pt idx="1614">
                  <c:v>-2.7320119316438388E-3</c:v>
                </c:pt>
                <c:pt idx="1615">
                  <c:v>-1.8170128309060857E-3</c:v>
                </c:pt>
                <c:pt idx="1616">
                  <c:v>-8.6815279489190736E-4</c:v>
                </c:pt>
                <c:pt idx="1617">
                  <c:v>-9.1935981164334799E-3</c:v>
                </c:pt>
                <c:pt idx="1618">
                  <c:v>1.4286118419191522E-2</c:v>
                </c:pt>
                <c:pt idx="1619">
                  <c:v>3.0010598538517293E-2</c:v>
                </c:pt>
                <c:pt idx="1620">
                  <c:v>-2.0092066070945075E-2</c:v>
                </c:pt>
                <c:pt idx="1621">
                  <c:v>-1.506024096385539E-2</c:v>
                </c:pt>
                <c:pt idx="1622">
                  <c:v>1.4589119883286531E-3</c:v>
                </c:pt>
                <c:pt idx="1623">
                  <c:v>8.2924779380866686E-3</c:v>
                </c:pt>
                <c:pt idx="1624">
                  <c:v>3.3897363229696276E-2</c:v>
                </c:pt>
                <c:pt idx="1625">
                  <c:v>7.6052780091907879E-3</c:v>
                </c:pt>
                <c:pt idx="1626">
                  <c:v>1.5709180135488308E-2</c:v>
                </c:pt>
                <c:pt idx="1627">
                  <c:v>3.8337315862721857E-3</c:v>
                </c:pt>
                <c:pt idx="1628">
                  <c:v>-1.9775563054225856E-2</c:v>
                </c:pt>
                <c:pt idx="1629">
                  <c:v>3.0688762575720578E-3</c:v>
                </c:pt>
                <c:pt idx="1630">
                  <c:v>6.7042673193571933E-3</c:v>
                </c:pt>
                <c:pt idx="1631">
                  <c:v>1.8551797040169238E-2</c:v>
                </c:pt>
                <c:pt idx="1632">
                  <c:v>2.3143583623060449E-2</c:v>
                </c:pt>
                <c:pt idx="1633">
                  <c:v>4.2298524116244886E-2</c:v>
                </c:pt>
                <c:pt idx="1634">
                  <c:v>3.6397255607999703E-2</c:v>
                </c:pt>
                <c:pt idx="1635">
                  <c:v>-3.1926381520259485E-3</c:v>
                </c:pt>
                <c:pt idx="1636">
                  <c:v>-1.1092270736187602E-2</c:v>
                </c:pt>
                <c:pt idx="1637">
                  <c:v>-6.7395394251150023E-3</c:v>
                </c:pt>
                <c:pt idx="1638">
                  <c:v>-8.391675457945719E-3</c:v>
                </c:pt>
                <c:pt idx="1639">
                  <c:v>4.4973161178007001E-3</c:v>
                </c:pt>
                <c:pt idx="1640">
                  <c:v>-1.9497400346620505E-3</c:v>
                </c:pt>
                <c:pt idx="1641">
                  <c:v>8.7547934302872332E-3</c:v>
                </c:pt>
                <c:pt idx="1642">
                  <c:v>2.1900253430880375E-2</c:v>
                </c:pt>
                <c:pt idx="1643">
                  <c:v>4.2417294464461172E-2</c:v>
                </c:pt>
                <c:pt idx="1644">
                  <c:v>-1.0840534171248983E-2</c:v>
                </c:pt>
                <c:pt idx="1645">
                  <c:v>5.5590851334180172E-3</c:v>
                </c:pt>
                <c:pt idx="1646">
                  <c:v>2.1978021978021997E-2</c:v>
                </c:pt>
                <c:pt idx="1647">
                  <c:v>2.9299419310679784E-2</c:v>
                </c:pt>
                <c:pt idx="1648">
                  <c:v>2.6577716761765811E-2</c:v>
                </c:pt>
                <c:pt idx="1649">
                  <c:v>5.0985226821572555E-3</c:v>
                </c:pt>
                <c:pt idx="1650">
                  <c:v>4.5737094862892428E-3</c:v>
                </c:pt>
                <c:pt idx="1651">
                  <c:v>-5.3185985389375082E-3</c:v>
                </c:pt>
                <c:pt idx="1652">
                  <c:v>-1.3461218375499273E-2</c:v>
                </c:pt>
                <c:pt idx="1653">
                  <c:v>5.1036548073474892E-3</c:v>
                </c:pt>
                <c:pt idx="1654">
                  <c:v>1.9513628066052727E-3</c:v>
                </c:pt>
                <c:pt idx="1655">
                  <c:v>6.3662254984084869E-3</c:v>
                </c:pt>
                <c:pt idx="1656">
                  <c:v>8.0947228233727037E-3</c:v>
                </c:pt>
                <c:pt idx="1657">
                  <c:v>7.3072556507379925E-3</c:v>
                </c:pt>
                <c:pt idx="1658">
                  <c:v>-1.1455152769524031E-2</c:v>
                </c:pt>
                <c:pt idx="1659">
                  <c:v>-1.2769485903814196E-2</c:v>
                </c:pt>
                <c:pt idx="1660">
                  <c:v>-2.960692088022898E-3</c:v>
                </c:pt>
                <c:pt idx="1661">
                  <c:v>-2.1502432449508203E-2</c:v>
                </c:pt>
                <c:pt idx="1662">
                  <c:v>1.2784641212173384E-2</c:v>
                </c:pt>
                <c:pt idx="1663">
                  <c:v>-7.3529411764705448E-3</c:v>
                </c:pt>
                <c:pt idx="1664">
                  <c:v>1.8818240205523362E-2</c:v>
                </c:pt>
                <c:pt idx="1665">
                  <c:v>6.6822164785980097E-3</c:v>
                </c:pt>
                <c:pt idx="1666">
                  <c:v>-1.4465526958482073E-2</c:v>
                </c:pt>
                <c:pt idx="1667">
                  <c:v>4.1936713686618766E-3</c:v>
                </c:pt>
                <c:pt idx="1668">
                  <c:v>-7.3188222390956452E-3</c:v>
                </c:pt>
                <c:pt idx="1669">
                  <c:v>-3.0893445235312789E-2</c:v>
                </c:pt>
                <c:pt idx="1670">
                  <c:v>-2.6660235469513988E-2</c:v>
                </c:pt>
                <c:pt idx="1671">
                  <c:v>1.5609865975898203E-2</c:v>
                </c:pt>
                <c:pt idx="1672">
                  <c:v>-5.6334279630944383E-3</c:v>
                </c:pt>
                <c:pt idx="1673">
                  <c:v>-3.7828433777936342E-2</c:v>
                </c:pt>
                <c:pt idx="1674">
                  <c:v>8.294311280077897E-2</c:v>
                </c:pt>
                <c:pt idx="1675">
                  <c:v>-1.8430516311328055E-2</c:v>
                </c:pt>
                <c:pt idx="1676">
                  <c:v>-8.6359175662414928E-3</c:v>
                </c:pt>
                <c:pt idx="1677">
                  <c:v>1.1658857431971693E-2</c:v>
                </c:pt>
                <c:pt idx="1678">
                  <c:v>5.5665485224727701E-3</c:v>
                </c:pt>
                <c:pt idx="1679">
                  <c:v>-8.6495837387747052E-5</c:v>
                </c:pt>
                <c:pt idx="1680">
                  <c:v>-5.5362124521528564E-3</c:v>
                </c:pt>
                <c:pt idx="1681">
                  <c:v>-1.7549200826356529E-2</c:v>
                </c:pt>
                <c:pt idx="1682">
                  <c:v>1.1952720350613584E-3</c:v>
                </c:pt>
                <c:pt idx="1683">
                  <c:v>-1.5741068270251159E-2</c:v>
                </c:pt>
                <c:pt idx="1684">
                  <c:v>1.6711590296495951E-2</c:v>
                </c:pt>
                <c:pt idx="1685">
                  <c:v>-2.2887946270767085E-2</c:v>
                </c:pt>
                <c:pt idx="1686">
                  <c:v>8.2526906032378451E-3</c:v>
                </c:pt>
                <c:pt idx="1687">
                  <c:v>3.126051173951068E-2</c:v>
                </c:pt>
                <c:pt idx="1688">
                  <c:v>1.087263791941448E-4</c:v>
                </c:pt>
                <c:pt idx="1689">
                  <c:v>-1.1219342494346897E-2</c:v>
                </c:pt>
                <c:pt idx="1690">
                  <c:v>-2.8014777025244107E-2</c:v>
                </c:pt>
                <c:pt idx="1691">
                  <c:v>-5.3391249264738176E-3</c:v>
                </c:pt>
                <c:pt idx="1692">
                  <c:v>4.0940726925340026E-4</c:v>
                </c:pt>
                <c:pt idx="1693">
                  <c:v>3.5922153510368339E-3</c:v>
                </c:pt>
                <c:pt idx="1694">
                  <c:v>-2.4466494495038762E-2</c:v>
                </c:pt>
                <c:pt idx="1695">
                  <c:v>-1.4583623612465816E-2</c:v>
                </c:pt>
                <c:pt idx="1696">
                  <c:v>5.080831408775982E-2</c:v>
                </c:pt>
                <c:pt idx="1697">
                  <c:v>-7.8268670105403736E-3</c:v>
                </c:pt>
                <c:pt idx="1698">
                  <c:v>-2.2106191089713227E-2</c:v>
                </c:pt>
                <c:pt idx="1699">
                  <c:v>-5.5243510621084679E-3</c:v>
                </c:pt>
                <c:pt idx="1700">
                  <c:v>-5.0204537002603777E-3</c:v>
                </c:pt>
                <c:pt idx="1701">
                  <c:v>3.9712203326480768E-3</c:v>
                </c:pt>
                <c:pt idx="1702">
                  <c:v>-3.1644096979849151E-3</c:v>
                </c:pt>
                <c:pt idx="1703">
                  <c:v>-3.3611876196255955E-3</c:v>
                </c:pt>
                <c:pt idx="1704">
                  <c:v>8.3142067544146204E-3</c:v>
                </c:pt>
                <c:pt idx="1705">
                  <c:v>1.433117320511931E-2</c:v>
                </c:pt>
                <c:pt idx="1706">
                  <c:v>3.4073734829402326E-2</c:v>
                </c:pt>
                <c:pt idx="1707">
                  <c:v>1.4748217370122736E-2</c:v>
                </c:pt>
                <c:pt idx="1708">
                  <c:v>1.551588687150841E-2</c:v>
                </c:pt>
                <c:pt idx="1709">
                  <c:v>2.441173310411509E-2</c:v>
                </c:pt>
                <c:pt idx="1710">
                  <c:v>-1.1705229594512354E-2</c:v>
                </c:pt>
                <c:pt idx="1711">
                  <c:v>6.5799248615032425E-4</c:v>
                </c:pt>
                <c:pt idx="1712">
                  <c:v>8.8240285083998494E-3</c:v>
                </c:pt>
                <c:pt idx="1713">
                  <c:v>9.6719932716564242E-4</c:v>
                </c:pt>
                <c:pt idx="1714">
                  <c:v>2.0711674998949742E-2</c:v>
                </c:pt>
                <c:pt idx="1715">
                  <c:v>2.3378333882120423E-2</c:v>
                </c:pt>
                <c:pt idx="1716">
                  <c:v>-2.0189832689832619E-2</c:v>
                </c:pt>
                <c:pt idx="1717">
                  <c:v>3.2427551104178311E-3</c:v>
                </c:pt>
                <c:pt idx="1718">
                  <c:v>-4.5006341802702516E-4</c:v>
                </c:pt>
                <c:pt idx="1719">
                  <c:v>-6.1399918133444816E-4</c:v>
                </c:pt>
                <c:pt idx="1720">
                  <c:v>-2.3899242269096899E-2</c:v>
                </c:pt>
                <c:pt idx="1721">
                  <c:v>1.8588842498374031E-2</c:v>
                </c:pt>
                <c:pt idx="1722">
                  <c:v>2.7909946651836312E-2</c:v>
                </c:pt>
                <c:pt idx="1723">
                  <c:v>2.7372555306187929E-2</c:v>
                </c:pt>
                <c:pt idx="1724">
                  <c:v>-6.8266042519993303E-3</c:v>
                </c:pt>
                <c:pt idx="1725">
                  <c:v>-3.6881382560879757E-2</c:v>
                </c:pt>
                <c:pt idx="1726">
                  <c:v>-8.2786183271481625E-3</c:v>
                </c:pt>
                <c:pt idx="1727">
                  <c:v>7.8131425281683417E-4</c:v>
                </c:pt>
                <c:pt idx="1728">
                  <c:v>1.0272424703126927E-3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03-4E3F-BB50-78A3DEA8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993519"/>
        <c:axId val="443994479"/>
      </c:scatterChart>
      <c:valAx>
        <c:axId val="44399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KSE_100 Returns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94479"/>
        <c:crosses val="autoZero"/>
        <c:crossBetween val="midCat"/>
      </c:valAx>
      <c:valAx>
        <c:axId val="4439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LUCK Returns</a:t>
                </a:r>
                <a:endParaRPr lang="en-P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9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Fauji Fertilizer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'[3]Fauji Fertilizer Company Stock '!$J$4:$J$1737</c:f>
              <c:numCache>
                <c:formatCode>General</c:formatCode>
                <c:ptCount val="1734"/>
                <c:pt idx="0">
                  <c:v>-5.277167768193136E-3</c:v>
                </c:pt>
                <c:pt idx="1">
                  <c:v>-6.700312870003452E-3</c:v>
                </c:pt>
                <c:pt idx="2">
                  <c:v>1.4596980822273301E-4</c:v>
                </c:pt>
                <c:pt idx="3">
                  <c:v>2.7030035829292545E-2</c:v>
                </c:pt>
                <c:pt idx="4">
                  <c:v>1.2709271207186236E-2</c:v>
                </c:pt>
                <c:pt idx="5">
                  <c:v>-3.3495934959348996E-3</c:v>
                </c:pt>
                <c:pt idx="6">
                  <c:v>4.3315179787927118E-3</c:v>
                </c:pt>
                <c:pt idx="7">
                  <c:v>-1.0539704499429804E-3</c:v>
                </c:pt>
                <c:pt idx="8">
                  <c:v>9.3080297922512167E-3</c:v>
                </c:pt>
                <c:pt idx="9">
                  <c:v>5.1156294124586037E-3</c:v>
                </c:pt>
                <c:pt idx="10">
                  <c:v>-8.6390804098633381E-3</c:v>
                </c:pt>
                <c:pt idx="11">
                  <c:v>-7.1425042918691847E-4</c:v>
                </c:pt>
                <c:pt idx="12">
                  <c:v>1.5954075908377224E-3</c:v>
                </c:pt>
                <c:pt idx="13">
                  <c:v>6.0364061923599607E-3</c:v>
                </c:pt>
                <c:pt idx="14">
                  <c:v>9.0643861220111883E-3</c:v>
                </c:pt>
                <c:pt idx="15">
                  <c:v>3.9005358349825593E-3</c:v>
                </c:pt>
                <c:pt idx="16">
                  <c:v>5.7743987757706656E-3</c:v>
                </c:pt>
                <c:pt idx="17">
                  <c:v>-6.0512554741783283E-4</c:v>
                </c:pt>
                <c:pt idx="18">
                  <c:v>3.8572171510684442E-3</c:v>
                </c:pt>
                <c:pt idx="19">
                  <c:v>5.0544172464732987E-3</c:v>
                </c:pt>
                <c:pt idx="20">
                  <c:v>-4.2511407555896342E-4</c:v>
                </c:pt>
                <c:pt idx="21">
                  <c:v>4.7380853406987292E-3</c:v>
                </c:pt>
                <c:pt idx="22">
                  <c:v>7.6763157997937811E-3</c:v>
                </c:pt>
                <c:pt idx="23">
                  <c:v>1.2202552446676474E-2</c:v>
                </c:pt>
                <c:pt idx="24">
                  <c:v>-2.6123175180508265E-3</c:v>
                </c:pt>
                <c:pt idx="25">
                  <c:v>-4.1664177047575244E-3</c:v>
                </c:pt>
                <c:pt idx="26">
                  <c:v>-1.0775958531672861E-2</c:v>
                </c:pt>
                <c:pt idx="27">
                  <c:v>-1.3716222743709233E-2</c:v>
                </c:pt>
                <c:pt idx="28">
                  <c:v>6.6891448383979485E-3</c:v>
                </c:pt>
                <c:pt idx="29">
                  <c:v>-1.2850931169062351E-3</c:v>
                </c:pt>
                <c:pt idx="30">
                  <c:v>-9.1579270083860223E-4</c:v>
                </c:pt>
                <c:pt idx="31">
                  <c:v>-5.0139506820811989E-4</c:v>
                </c:pt>
                <c:pt idx="32">
                  <c:v>-6.5997030627610795E-3</c:v>
                </c:pt>
                <c:pt idx="33">
                  <c:v>-6.5242033273934606E-3</c:v>
                </c:pt>
                <c:pt idx="34">
                  <c:v>8.0664072716041917E-3</c:v>
                </c:pt>
                <c:pt idx="35">
                  <c:v>-5.1805663344370806E-3</c:v>
                </c:pt>
                <c:pt idx="36">
                  <c:v>-1.3620921615814081E-3</c:v>
                </c:pt>
                <c:pt idx="37">
                  <c:v>-1.0229375004529338E-2</c:v>
                </c:pt>
                <c:pt idx="38">
                  <c:v>-1.9822863705945434E-2</c:v>
                </c:pt>
                <c:pt idx="39">
                  <c:v>-3.3223712426589565E-3</c:v>
                </c:pt>
                <c:pt idx="40">
                  <c:v>9.353446348651288E-3</c:v>
                </c:pt>
                <c:pt idx="41">
                  <c:v>1.2403404464518994E-2</c:v>
                </c:pt>
                <c:pt idx="42">
                  <c:v>5.3296731506427683E-3</c:v>
                </c:pt>
                <c:pt idx="43">
                  <c:v>-1.5403874339805978E-3</c:v>
                </c:pt>
                <c:pt idx="44">
                  <c:v>-3.0338755473562368E-3</c:v>
                </c:pt>
                <c:pt idx="45">
                  <c:v>-6.9247702063025517E-3</c:v>
                </c:pt>
                <c:pt idx="46">
                  <c:v>-8.7511865649040274E-3</c:v>
                </c:pt>
                <c:pt idx="47">
                  <c:v>-6.7059937771876102E-4</c:v>
                </c:pt>
                <c:pt idx="48">
                  <c:v>-7.095859096072491E-4</c:v>
                </c:pt>
                <c:pt idx="49">
                  <c:v>8.3400841566944289E-4</c:v>
                </c:pt>
                <c:pt idx="50">
                  <c:v>-3.0907605218021585E-3</c:v>
                </c:pt>
                <c:pt idx="51">
                  <c:v>-1.2926512956789833E-2</c:v>
                </c:pt>
                <c:pt idx="52">
                  <c:v>1.4227183317909675E-2</c:v>
                </c:pt>
                <c:pt idx="53">
                  <c:v>-6.1664858520613375E-3</c:v>
                </c:pt>
                <c:pt idx="54">
                  <c:v>-1.6732979612492209E-3</c:v>
                </c:pt>
                <c:pt idx="55">
                  <c:v>-4.2298177637300561E-3</c:v>
                </c:pt>
                <c:pt idx="56">
                  <c:v>3.8338182052177414E-3</c:v>
                </c:pt>
                <c:pt idx="57">
                  <c:v>-1.046432472651857E-2</c:v>
                </c:pt>
                <c:pt idx="58">
                  <c:v>5.2577247666189654E-3</c:v>
                </c:pt>
                <c:pt idx="59">
                  <c:v>1.658999304184584E-2</c:v>
                </c:pt>
                <c:pt idx="60">
                  <c:v>-1.0575128814287611E-2</c:v>
                </c:pt>
                <c:pt idx="61">
                  <c:v>2.5001977799364102E-3</c:v>
                </c:pt>
                <c:pt idx="62">
                  <c:v>-7.6195350295761325E-3</c:v>
                </c:pt>
                <c:pt idx="63">
                  <c:v>-8.3123777045145449E-3</c:v>
                </c:pt>
                <c:pt idx="64">
                  <c:v>-3.4782809877886638E-4</c:v>
                </c:pt>
                <c:pt idx="65">
                  <c:v>-1.3325951797342707E-2</c:v>
                </c:pt>
                <c:pt idx="66">
                  <c:v>1.5193472884041256E-4</c:v>
                </c:pt>
                <c:pt idx="67">
                  <c:v>-1.5988034692356105E-2</c:v>
                </c:pt>
                <c:pt idx="68">
                  <c:v>5.6351364271241024E-3</c:v>
                </c:pt>
                <c:pt idx="69">
                  <c:v>-1.483033786453373E-2</c:v>
                </c:pt>
                <c:pt idx="70">
                  <c:v>5.6950211212236784E-3</c:v>
                </c:pt>
                <c:pt idx="71">
                  <c:v>1.4956925750061793E-2</c:v>
                </c:pt>
                <c:pt idx="72">
                  <c:v>4.4515126331523226E-3</c:v>
                </c:pt>
                <c:pt idx="73">
                  <c:v>-3.2564456987081046E-3</c:v>
                </c:pt>
                <c:pt idx="74">
                  <c:v>-1.6836467867513531E-2</c:v>
                </c:pt>
                <c:pt idx="75">
                  <c:v>1.6132205176400147E-3</c:v>
                </c:pt>
                <c:pt idx="76">
                  <c:v>1.3055846675500792E-2</c:v>
                </c:pt>
                <c:pt idx="77">
                  <c:v>-1.0478791026713941E-2</c:v>
                </c:pt>
                <c:pt idx="78">
                  <c:v>-1.3486103210991243E-2</c:v>
                </c:pt>
                <c:pt idx="79">
                  <c:v>2.7529919077640902E-3</c:v>
                </c:pt>
                <c:pt idx="80">
                  <c:v>7.9930419060793966E-3</c:v>
                </c:pt>
                <c:pt idx="81">
                  <c:v>9.0933723013052921E-3</c:v>
                </c:pt>
                <c:pt idx="82">
                  <c:v>-2.8106175413668065E-3</c:v>
                </c:pt>
                <c:pt idx="83">
                  <c:v>-6.5313087167568999E-3</c:v>
                </c:pt>
                <c:pt idx="84">
                  <c:v>-6.437776407633362E-3</c:v>
                </c:pt>
                <c:pt idx="85">
                  <c:v>-1.1619905312601674E-2</c:v>
                </c:pt>
                <c:pt idx="86">
                  <c:v>-1.4326902979961462E-2</c:v>
                </c:pt>
                <c:pt idx="87">
                  <c:v>7.2011508360242404E-4</c:v>
                </c:pt>
                <c:pt idx="88">
                  <c:v>-1.6727821176243392E-2</c:v>
                </c:pt>
                <c:pt idx="89">
                  <c:v>-4.2069323188819712E-3</c:v>
                </c:pt>
                <c:pt idx="90">
                  <c:v>-4.9046023176116411E-3</c:v>
                </c:pt>
                <c:pt idx="91">
                  <c:v>-2.3508973967156323E-2</c:v>
                </c:pt>
                <c:pt idx="92">
                  <c:v>-4.5102739261332391E-4</c:v>
                </c:pt>
                <c:pt idx="93">
                  <c:v>1.1998197437280084E-2</c:v>
                </c:pt>
                <c:pt idx="94">
                  <c:v>-9.3471734372653058E-3</c:v>
                </c:pt>
                <c:pt idx="95">
                  <c:v>-2.3681880373682115E-2</c:v>
                </c:pt>
                <c:pt idx="96">
                  <c:v>2.5302548164388848E-3</c:v>
                </c:pt>
                <c:pt idx="97">
                  <c:v>5.7611094436360328E-3</c:v>
                </c:pt>
                <c:pt idx="98">
                  <c:v>3.573459800670415E-2</c:v>
                </c:pt>
                <c:pt idx="99">
                  <c:v>2.7259756434855682E-2</c:v>
                </c:pt>
                <c:pt idx="100">
                  <c:v>3.4419726744411867E-3</c:v>
                </c:pt>
                <c:pt idx="101">
                  <c:v>-1.8037290698093712E-4</c:v>
                </c:pt>
                <c:pt idx="102">
                  <c:v>-2.0956445810994023E-2</c:v>
                </c:pt>
                <c:pt idx="103">
                  <c:v>2.8903313601882544E-2</c:v>
                </c:pt>
                <c:pt idx="104">
                  <c:v>4.271480387759367E-4</c:v>
                </c:pt>
                <c:pt idx="105">
                  <c:v>-1.3050805855989708E-2</c:v>
                </c:pt>
                <c:pt idx="106">
                  <c:v>-2.6411275615549061E-2</c:v>
                </c:pt>
                <c:pt idx="107">
                  <c:v>2.6701342733284721E-3</c:v>
                </c:pt>
                <c:pt idx="108">
                  <c:v>8.0231160838838533E-3</c:v>
                </c:pt>
                <c:pt idx="109">
                  <c:v>1.3313324515791274E-2</c:v>
                </c:pt>
                <c:pt idx="110">
                  <c:v>4.798453919391662E-3</c:v>
                </c:pt>
                <c:pt idx="111">
                  <c:v>-1.1360598432235657E-2</c:v>
                </c:pt>
                <c:pt idx="112">
                  <c:v>-1.3850336747152692E-2</c:v>
                </c:pt>
                <c:pt idx="113">
                  <c:v>-7.381410149207866E-4</c:v>
                </c:pt>
                <c:pt idx="114">
                  <c:v>9.8046174817031113E-3</c:v>
                </c:pt>
                <c:pt idx="115">
                  <c:v>3.6958604591221232E-3</c:v>
                </c:pt>
                <c:pt idx="116">
                  <c:v>-1.8599155877894191E-2</c:v>
                </c:pt>
                <c:pt idx="117">
                  <c:v>-8.1611281056045426E-3</c:v>
                </c:pt>
                <c:pt idx="118">
                  <c:v>-2.9850292273145367E-3</c:v>
                </c:pt>
                <c:pt idx="119">
                  <c:v>-9.2154083364037499E-3</c:v>
                </c:pt>
                <c:pt idx="120">
                  <c:v>3.7649795318469865E-3</c:v>
                </c:pt>
                <c:pt idx="121">
                  <c:v>2.7948549890595069E-3</c:v>
                </c:pt>
                <c:pt idx="122">
                  <c:v>9.141574987653044E-3</c:v>
                </c:pt>
                <c:pt idx="123">
                  <c:v>1.7181278166537559E-2</c:v>
                </c:pt>
                <c:pt idx="124">
                  <c:v>-9.3398917658049363E-3</c:v>
                </c:pt>
                <c:pt idx="125">
                  <c:v>-1.1009348400462757E-2</c:v>
                </c:pt>
                <c:pt idx="126">
                  <c:v>-1.3083935019634283E-2</c:v>
                </c:pt>
                <c:pt idx="127">
                  <c:v>3.345910876077462E-3</c:v>
                </c:pt>
                <c:pt idx="128">
                  <c:v>-4.5871315747651747E-4</c:v>
                </c:pt>
                <c:pt idx="129">
                  <c:v>1.0446202059393689E-3</c:v>
                </c:pt>
                <c:pt idx="130">
                  <c:v>-5.9898923702746973E-3</c:v>
                </c:pt>
                <c:pt idx="131">
                  <c:v>-2.1208410782808145E-2</c:v>
                </c:pt>
                <c:pt idx="132">
                  <c:v>4.14765909094304E-4</c:v>
                </c:pt>
                <c:pt idx="133">
                  <c:v>3.023775916671519E-4</c:v>
                </c:pt>
                <c:pt idx="134">
                  <c:v>-2.0388399850948872E-2</c:v>
                </c:pt>
                <c:pt idx="135">
                  <c:v>4.6187596604594051E-3</c:v>
                </c:pt>
                <c:pt idx="136">
                  <c:v>3.8750698193430878E-3</c:v>
                </c:pt>
                <c:pt idx="137">
                  <c:v>4.0304377381305484E-3</c:v>
                </c:pt>
                <c:pt idx="138">
                  <c:v>-9.6124573143072899E-3</c:v>
                </c:pt>
                <c:pt idx="139">
                  <c:v>1.3888288777645409E-3</c:v>
                </c:pt>
                <c:pt idx="140">
                  <c:v>-1.0575287242960729E-2</c:v>
                </c:pt>
                <c:pt idx="141">
                  <c:v>-1.1495402181771541E-2</c:v>
                </c:pt>
                <c:pt idx="142">
                  <c:v>-2.3983566010582448E-3</c:v>
                </c:pt>
                <c:pt idx="143">
                  <c:v>8.8558638352498695E-3</c:v>
                </c:pt>
                <c:pt idx="144">
                  <c:v>-3.1112939626431499E-3</c:v>
                </c:pt>
                <c:pt idx="145">
                  <c:v>-5.4241465920373006E-3</c:v>
                </c:pt>
                <c:pt idx="146">
                  <c:v>-1.5335176927223533E-2</c:v>
                </c:pt>
                <c:pt idx="147">
                  <c:v>-5.7769524835796712E-3</c:v>
                </c:pt>
                <c:pt idx="148">
                  <c:v>-2.3329173208191875E-2</c:v>
                </c:pt>
                <c:pt idx="149">
                  <c:v>-1.7817550685411129E-2</c:v>
                </c:pt>
                <c:pt idx="150">
                  <c:v>-1.0387726402398545E-2</c:v>
                </c:pt>
                <c:pt idx="151">
                  <c:v>-2.2577675747143852E-2</c:v>
                </c:pt>
                <c:pt idx="152">
                  <c:v>2.7735103841071387E-2</c:v>
                </c:pt>
                <c:pt idx="153">
                  <c:v>2.8982742278879842E-2</c:v>
                </c:pt>
                <c:pt idx="154">
                  <c:v>1.8196719048022888E-2</c:v>
                </c:pt>
                <c:pt idx="155">
                  <c:v>2.9435552219289559E-2</c:v>
                </c:pt>
                <c:pt idx="156">
                  <c:v>-1.6761775724530369E-2</c:v>
                </c:pt>
                <c:pt idx="157">
                  <c:v>-2.6456450891084241E-2</c:v>
                </c:pt>
                <c:pt idx="158">
                  <c:v>2.1051355477939493E-3</c:v>
                </c:pt>
                <c:pt idx="159">
                  <c:v>1.7283066616315132E-3</c:v>
                </c:pt>
                <c:pt idx="160">
                  <c:v>-1.5626167882651806E-2</c:v>
                </c:pt>
                <c:pt idx="161">
                  <c:v>-1.6142466451097789E-2</c:v>
                </c:pt>
                <c:pt idx="162">
                  <c:v>1.2980872280106777E-2</c:v>
                </c:pt>
                <c:pt idx="163">
                  <c:v>-8.2379349568773696E-3</c:v>
                </c:pt>
                <c:pt idx="164">
                  <c:v>1.4594252605193992E-2</c:v>
                </c:pt>
                <c:pt idx="165">
                  <c:v>-9.9058579792245228E-4</c:v>
                </c:pt>
                <c:pt idx="166">
                  <c:v>8.354523301021332E-3</c:v>
                </c:pt>
                <c:pt idx="167">
                  <c:v>1.6005080873857821E-2</c:v>
                </c:pt>
                <c:pt idx="168">
                  <c:v>1.9117533515771168E-2</c:v>
                </c:pt>
                <c:pt idx="169">
                  <c:v>-2.0699529997042243E-3</c:v>
                </c:pt>
                <c:pt idx="170">
                  <c:v>1.4206524442597781E-2</c:v>
                </c:pt>
                <c:pt idx="171">
                  <c:v>-6.1481025602481228E-4</c:v>
                </c:pt>
                <c:pt idx="172">
                  <c:v>-1.1076839955723889E-2</c:v>
                </c:pt>
                <c:pt idx="173">
                  <c:v>1.9919208935883309E-2</c:v>
                </c:pt>
                <c:pt idx="174">
                  <c:v>-2.2660306990765389E-3</c:v>
                </c:pt>
                <c:pt idx="175">
                  <c:v>-1.1207650936903421E-2</c:v>
                </c:pt>
                <c:pt idx="176">
                  <c:v>2.4575441376880592E-3</c:v>
                </c:pt>
                <c:pt idx="177">
                  <c:v>-8.295202775812506E-3</c:v>
                </c:pt>
                <c:pt idx="178">
                  <c:v>-4.1602764562630725E-3</c:v>
                </c:pt>
                <c:pt idx="179">
                  <c:v>2.0262207445530984E-2</c:v>
                </c:pt>
                <c:pt idx="180">
                  <c:v>2.5069525839843877E-4</c:v>
                </c:pt>
                <c:pt idx="181">
                  <c:v>5.4699591787112437E-3</c:v>
                </c:pt>
                <c:pt idx="182">
                  <c:v>3.3803223878227425E-3</c:v>
                </c:pt>
                <c:pt idx="183">
                  <c:v>1.2016679361067427E-2</c:v>
                </c:pt>
                <c:pt idx="184">
                  <c:v>8.5817004938591908E-3</c:v>
                </c:pt>
                <c:pt idx="185">
                  <c:v>1.8269432197550835E-2</c:v>
                </c:pt>
                <c:pt idx="186">
                  <c:v>-4.7626380852885944E-3</c:v>
                </c:pt>
                <c:pt idx="187">
                  <c:v>1.4075495076861207E-3</c:v>
                </c:pt>
                <c:pt idx="188">
                  <c:v>1.5032928903517304E-2</c:v>
                </c:pt>
                <c:pt idx="189">
                  <c:v>1.3165450500621708E-2</c:v>
                </c:pt>
                <c:pt idx="190">
                  <c:v>-8.3951909301887874E-3</c:v>
                </c:pt>
                <c:pt idx="191">
                  <c:v>-3.0050084449133423E-3</c:v>
                </c:pt>
                <c:pt idx="192">
                  <c:v>5.7963479721730021E-3</c:v>
                </c:pt>
                <c:pt idx="193">
                  <c:v>-1.1158630020223945E-2</c:v>
                </c:pt>
                <c:pt idx="194">
                  <c:v>-8.3808869757288267E-4</c:v>
                </c:pt>
                <c:pt idx="195">
                  <c:v>-2.318915032853407E-2</c:v>
                </c:pt>
                <c:pt idx="196">
                  <c:v>3.4526502105350692E-3</c:v>
                </c:pt>
                <c:pt idx="197">
                  <c:v>7.2511307583130076E-3</c:v>
                </c:pt>
                <c:pt idx="198">
                  <c:v>9.65290049040529E-3</c:v>
                </c:pt>
                <c:pt idx="199">
                  <c:v>-3.110553490146579E-3</c:v>
                </c:pt>
                <c:pt idx="200">
                  <c:v>6.0649258737883781E-3</c:v>
                </c:pt>
                <c:pt idx="201">
                  <c:v>-1.8924096594399281E-3</c:v>
                </c:pt>
                <c:pt idx="202">
                  <c:v>-1.0681260246686382E-3</c:v>
                </c:pt>
                <c:pt idx="203">
                  <c:v>1.3099867570696744E-2</c:v>
                </c:pt>
                <c:pt idx="204">
                  <c:v>5.0851253432379288E-3</c:v>
                </c:pt>
                <c:pt idx="205">
                  <c:v>2.6175467113624201E-2</c:v>
                </c:pt>
                <c:pt idx="206">
                  <c:v>2.2918316681529382E-3</c:v>
                </c:pt>
                <c:pt idx="207">
                  <c:v>8.3437245728091667E-3</c:v>
                </c:pt>
                <c:pt idx="208">
                  <c:v>2.9503555488363934E-3</c:v>
                </c:pt>
                <c:pt idx="209">
                  <c:v>6.14231237758181E-3</c:v>
                </c:pt>
                <c:pt idx="210">
                  <c:v>2.2928910205524546E-2</c:v>
                </c:pt>
                <c:pt idx="211">
                  <c:v>-1.0200227698210444E-3</c:v>
                </c:pt>
                <c:pt idx="212">
                  <c:v>1.0917826357058113E-2</c:v>
                </c:pt>
                <c:pt idx="213">
                  <c:v>2.0512842589223861E-3</c:v>
                </c:pt>
                <c:pt idx="214">
                  <c:v>9.1477101860205981E-3</c:v>
                </c:pt>
                <c:pt idx="215">
                  <c:v>2.2021935462241887E-2</c:v>
                </c:pt>
                <c:pt idx="216">
                  <c:v>3.9782294705032794E-3</c:v>
                </c:pt>
                <c:pt idx="217">
                  <c:v>-1.3657425234743944E-2</c:v>
                </c:pt>
                <c:pt idx="218">
                  <c:v>-2.4616906183552799E-2</c:v>
                </c:pt>
                <c:pt idx="219">
                  <c:v>2.2222395920791026E-2</c:v>
                </c:pt>
                <c:pt idx="220">
                  <c:v>7.5539626201589459E-3</c:v>
                </c:pt>
                <c:pt idx="221">
                  <c:v>-1.0918741305151013E-2</c:v>
                </c:pt>
                <c:pt idx="222">
                  <c:v>8.6696538303295857E-3</c:v>
                </c:pt>
                <c:pt idx="223">
                  <c:v>1.5307144925650521E-2</c:v>
                </c:pt>
                <c:pt idx="224">
                  <c:v>1.5020305495724716E-2</c:v>
                </c:pt>
                <c:pt idx="225">
                  <c:v>2.1293459904066538E-2</c:v>
                </c:pt>
                <c:pt idx="226">
                  <c:v>-8.3612840324372145E-3</c:v>
                </c:pt>
                <c:pt idx="227">
                  <c:v>1.2108705153444041E-2</c:v>
                </c:pt>
                <c:pt idx="228">
                  <c:v>9.2022650812555139E-3</c:v>
                </c:pt>
                <c:pt idx="229">
                  <c:v>2.2428034674258682E-3</c:v>
                </c:pt>
                <c:pt idx="230">
                  <c:v>-7.1061628071122287E-3</c:v>
                </c:pt>
                <c:pt idx="231">
                  <c:v>5.4842889216373649E-3</c:v>
                </c:pt>
                <c:pt idx="232">
                  <c:v>-3.2750844715059364E-3</c:v>
                </c:pt>
                <c:pt idx="233">
                  <c:v>-4.2559574769401122E-4</c:v>
                </c:pt>
                <c:pt idx="234">
                  <c:v>9.9328210352081329E-3</c:v>
                </c:pt>
                <c:pt idx="235">
                  <c:v>1.7799381620022609E-2</c:v>
                </c:pt>
                <c:pt idx="236">
                  <c:v>2.9722741427038839E-3</c:v>
                </c:pt>
                <c:pt idx="237">
                  <c:v>-3.9491331539006601E-3</c:v>
                </c:pt>
                <c:pt idx="238">
                  <c:v>-2.2794601731432041E-2</c:v>
                </c:pt>
                <c:pt idx="239">
                  <c:v>4.3689185463075438E-3</c:v>
                </c:pt>
                <c:pt idx="240">
                  <c:v>-2.0196904512748078E-2</c:v>
                </c:pt>
                <c:pt idx="241">
                  <c:v>7.9990921881439771E-3</c:v>
                </c:pt>
                <c:pt idx="242">
                  <c:v>1.9824034326250167E-2</c:v>
                </c:pt>
                <c:pt idx="243">
                  <c:v>-6.7900560667130917E-3</c:v>
                </c:pt>
                <c:pt idx="244">
                  <c:v>9.5694998081947589E-4</c:v>
                </c:pt>
                <c:pt idx="245">
                  <c:v>-3.7307135998622776E-3</c:v>
                </c:pt>
                <c:pt idx="246">
                  <c:v>1.6323031647415404E-2</c:v>
                </c:pt>
                <c:pt idx="247">
                  <c:v>2.6105314009661883E-2</c:v>
                </c:pt>
                <c:pt idx="248">
                  <c:v>-3.7066191847791594E-3</c:v>
                </c:pt>
                <c:pt idx="249">
                  <c:v>-2.4267011315280352E-2</c:v>
                </c:pt>
                <c:pt idx="250">
                  <c:v>1.4728459540142232E-2</c:v>
                </c:pt>
                <c:pt idx="251">
                  <c:v>-1.305135227816993E-2</c:v>
                </c:pt>
                <c:pt idx="252">
                  <c:v>2.8181304699793751E-2</c:v>
                </c:pt>
                <c:pt idx="253">
                  <c:v>1.6084915788065236E-2</c:v>
                </c:pt>
                <c:pt idx="254">
                  <c:v>2.6893759236039816E-4</c:v>
                </c:pt>
                <c:pt idx="255">
                  <c:v>-2.6909666586216979E-4</c:v>
                </c:pt>
                <c:pt idx="256">
                  <c:v>-4.9531280087689884E-3</c:v>
                </c:pt>
                <c:pt idx="257">
                  <c:v>1.676318231117921E-3</c:v>
                </c:pt>
                <c:pt idx="258">
                  <c:v>2.3840650549980902E-3</c:v>
                </c:pt>
                <c:pt idx="259">
                  <c:v>-9.7327242060453768E-3</c:v>
                </c:pt>
                <c:pt idx="260">
                  <c:v>-2.8340752458088131E-3</c:v>
                </c:pt>
                <c:pt idx="261">
                  <c:v>-1.5298002556159082E-3</c:v>
                </c:pt>
                <c:pt idx="262">
                  <c:v>-1.2762777050590764E-3</c:v>
                </c:pt>
                <c:pt idx="263">
                  <c:v>2.9661031901842346E-3</c:v>
                </c:pt>
                <c:pt idx="264">
                  <c:v>-2.2001720262433996E-3</c:v>
                </c:pt>
                <c:pt idx="265">
                  <c:v>-5.6427913716350971E-3</c:v>
                </c:pt>
                <c:pt idx="266">
                  <c:v>-9.4680300024658909E-3</c:v>
                </c:pt>
                <c:pt idx="267">
                  <c:v>1.1480069787379914E-4</c:v>
                </c:pt>
                <c:pt idx="268">
                  <c:v>-6.5047056917188961E-3</c:v>
                </c:pt>
                <c:pt idx="269">
                  <c:v>-2.9342599518531288E-2</c:v>
                </c:pt>
                <c:pt idx="270">
                  <c:v>1.1751479483228959E-2</c:v>
                </c:pt>
                <c:pt idx="271">
                  <c:v>-3.9095739802001142E-3</c:v>
                </c:pt>
                <c:pt idx="272">
                  <c:v>-1.4261225638382632E-2</c:v>
                </c:pt>
                <c:pt idx="273">
                  <c:v>-2.109749417279903E-2</c:v>
                </c:pt>
                <c:pt idx="274">
                  <c:v>1.0630918117806382E-2</c:v>
                </c:pt>
                <c:pt idx="275">
                  <c:v>2.0563542850639244E-2</c:v>
                </c:pt>
                <c:pt idx="276">
                  <c:v>-1.867453485752681E-3</c:v>
                </c:pt>
                <c:pt idx="277">
                  <c:v>-5.2447829018792101E-3</c:v>
                </c:pt>
                <c:pt idx="278">
                  <c:v>8.3666184101383067E-4</c:v>
                </c:pt>
                <c:pt idx="279">
                  <c:v>-2.5220392914753371E-3</c:v>
                </c:pt>
                <c:pt idx="280">
                  <c:v>9.9356943996753797E-3</c:v>
                </c:pt>
                <c:pt idx="281">
                  <c:v>-2.2888748899554537E-3</c:v>
                </c:pt>
                <c:pt idx="282">
                  <c:v>-5.7416137929160562E-3</c:v>
                </c:pt>
                <c:pt idx="283">
                  <c:v>-2.7466122324854941E-2</c:v>
                </c:pt>
                <c:pt idx="284">
                  <c:v>-7.2880126651191923E-3</c:v>
                </c:pt>
                <c:pt idx="285">
                  <c:v>-1.3384990909313043E-2</c:v>
                </c:pt>
                <c:pt idx="286">
                  <c:v>-6.5472335388631177E-3</c:v>
                </c:pt>
                <c:pt idx="287">
                  <c:v>-2.7226909113058383E-3</c:v>
                </c:pt>
                <c:pt idx="288">
                  <c:v>3.4559107320471301E-2</c:v>
                </c:pt>
                <c:pt idx="289">
                  <c:v>-2.4587556589297874E-3</c:v>
                </c:pt>
                <c:pt idx="290">
                  <c:v>-7.4816937281120361E-3</c:v>
                </c:pt>
                <c:pt idx="291">
                  <c:v>1.2227037196965001E-2</c:v>
                </c:pt>
                <c:pt idx="292">
                  <c:v>-2.9516955795410717E-2</c:v>
                </c:pt>
                <c:pt idx="293">
                  <c:v>-3.0369702302505523E-2</c:v>
                </c:pt>
                <c:pt idx="294">
                  <c:v>1.7183433421616181E-2</c:v>
                </c:pt>
                <c:pt idx="295">
                  <c:v>-5.9688426414118299E-4</c:v>
                </c:pt>
                <c:pt idx="296">
                  <c:v>-4.55644256866609E-2</c:v>
                </c:pt>
                <c:pt idx="297">
                  <c:v>2.8976527038499663E-3</c:v>
                </c:pt>
                <c:pt idx="298">
                  <c:v>-6.5887743172102123E-2</c:v>
                </c:pt>
                <c:pt idx="299">
                  <c:v>-3.1704997875903577E-2</c:v>
                </c:pt>
                <c:pt idx="300">
                  <c:v>-6.7476614138731045E-2</c:v>
                </c:pt>
                <c:pt idx="301">
                  <c:v>-9.4101633841342826E-3</c:v>
                </c:pt>
                <c:pt idx="302">
                  <c:v>1.7842118591442371E-2</c:v>
                </c:pt>
                <c:pt idx="303">
                  <c:v>-6.8560729451883878E-2</c:v>
                </c:pt>
                <c:pt idx="304">
                  <c:v>-4.6771851959210062E-2</c:v>
                </c:pt>
                <c:pt idx="305">
                  <c:v>1.4102714772594258E-3</c:v>
                </c:pt>
                <c:pt idx="306">
                  <c:v>3.089316101396546E-2</c:v>
                </c:pt>
                <c:pt idx="307">
                  <c:v>-3.0658597765814378E-3</c:v>
                </c:pt>
                <c:pt idx="308">
                  <c:v>4.3115411804210753E-2</c:v>
                </c:pt>
                <c:pt idx="309">
                  <c:v>9.3713556171858593E-3</c:v>
                </c:pt>
                <c:pt idx="310">
                  <c:v>4.3283014020742527E-2</c:v>
                </c:pt>
                <c:pt idx="311">
                  <c:v>2.7259827448310219E-2</c:v>
                </c:pt>
                <c:pt idx="312">
                  <c:v>-3.2972200498453737E-2</c:v>
                </c:pt>
                <c:pt idx="313">
                  <c:v>2.1334798383866059E-2</c:v>
                </c:pt>
                <c:pt idx="314">
                  <c:v>-8.3338803229426276E-3</c:v>
                </c:pt>
                <c:pt idx="315">
                  <c:v>2.7962366412484823E-2</c:v>
                </c:pt>
                <c:pt idx="316">
                  <c:v>6.1531599727364271E-3</c:v>
                </c:pt>
                <c:pt idx="317">
                  <c:v>-3.1224167426295191E-2</c:v>
                </c:pt>
                <c:pt idx="318">
                  <c:v>6.1144607722298109E-3</c:v>
                </c:pt>
                <c:pt idx="319">
                  <c:v>6.2294340599182158E-4</c:v>
                </c:pt>
                <c:pt idx="320">
                  <c:v>2.7933381110607303E-3</c:v>
                </c:pt>
                <c:pt idx="321">
                  <c:v>4.7953906642502063E-2</c:v>
                </c:pt>
                <c:pt idx="322">
                  <c:v>2.0340626763722877E-2</c:v>
                </c:pt>
                <c:pt idx="323">
                  <c:v>-3.2144216432111967E-2</c:v>
                </c:pt>
                <c:pt idx="324">
                  <c:v>1.2768780516690806E-3</c:v>
                </c:pt>
                <c:pt idx="325">
                  <c:v>1.190849128409952E-2</c:v>
                </c:pt>
                <c:pt idx="326">
                  <c:v>-1.3530860559688861E-3</c:v>
                </c:pt>
                <c:pt idx="327">
                  <c:v>-1.4991291328089162E-2</c:v>
                </c:pt>
                <c:pt idx="328">
                  <c:v>7.3904743278341541E-3</c:v>
                </c:pt>
                <c:pt idx="329">
                  <c:v>1.859867743420876E-2</c:v>
                </c:pt>
                <c:pt idx="330">
                  <c:v>2.873441893624756E-2</c:v>
                </c:pt>
                <c:pt idx="331">
                  <c:v>-5.7165237438012361E-3</c:v>
                </c:pt>
                <c:pt idx="332">
                  <c:v>2.2440312483783943E-3</c:v>
                </c:pt>
                <c:pt idx="333">
                  <c:v>-7.7831302262982459E-3</c:v>
                </c:pt>
                <c:pt idx="334">
                  <c:v>-1.2571683381670662E-2</c:v>
                </c:pt>
                <c:pt idx="335">
                  <c:v>-1.0950583951074328E-3</c:v>
                </c:pt>
                <c:pt idx="336">
                  <c:v>4.8395304873883769E-4</c:v>
                </c:pt>
                <c:pt idx="337">
                  <c:v>9.5911553341730595E-3</c:v>
                </c:pt>
                <c:pt idx="338">
                  <c:v>2.6789258822571328E-3</c:v>
                </c:pt>
                <c:pt idx="339">
                  <c:v>3.3199735019458195E-3</c:v>
                </c:pt>
                <c:pt idx="340">
                  <c:v>6.017766655129886E-3</c:v>
                </c:pt>
                <c:pt idx="341">
                  <c:v>-5.9797114412851373E-3</c:v>
                </c:pt>
                <c:pt idx="342">
                  <c:v>1.0459408779241683E-2</c:v>
                </c:pt>
                <c:pt idx="343">
                  <c:v>-6.6085943343615356E-3</c:v>
                </c:pt>
                <c:pt idx="344">
                  <c:v>-2.8350142531666871E-3</c:v>
                </c:pt>
                <c:pt idx="345">
                  <c:v>-4.1726993336508094E-3</c:v>
                </c:pt>
                <c:pt idx="346">
                  <c:v>6.9982804784746696E-3</c:v>
                </c:pt>
                <c:pt idx="347">
                  <c:v>2.6742325580298137E-3</c:v>
                </c:pt>
                <c:pt idx="348">
                  <c:v>1.1347961332045197E-2</c:v>
                </c:pt>
                <c:pt idx="349">
                  <c:v>-1.9268746703183284E-4</c:v>
                </c:pt>
                <c:pt idx="350">
                  <c:v>-8.1982080972238594E-3</c:v>
                </c:pt>
                <c:pt idx="351">
                  <c:v>6.7712230494155626E-3</c:v>
                </c:pt>
                <c:pt idx="352">
                  <c:v>1.1619945258311296E-2</c:v>
                </c:pt>
                <c:pt idx="353">
                  <c:v>1.554839383623994E-3</c:v>
                </c:pt>
                <c:pt idx="354">
                  <c:v>7.5130158949075158E-3</c:v>
                </c:pt>
                <c:pt idx="355">
                  <c:v>1.8109184407963704E-3</c:v>
                </c:pt>
                <c:pt idx="356">
                  <c:v>-1.4788243646626342E-2</c:v>
                </c:pt>
                <c:pt idx="357">
                  <c:v>-2.2669766815596553E-2</c:v>
                </c:pt>
                <c:pt idx="358">
                  <c:v>5.7535201544678862E-3</c:v>
                </c:pt>
                <c:pt idx="359">
                  <c:v>-5.0101237186618089E-3</c:v>
                </c:pt>
                <c:pt idx="360">
                  <c:v>-9.1238417569016496E-3</c:v>
                </c:pt>
                <c:pt idx="361">
                  <c:v>-3.0086598479121471E-3</c:v>
                </c:pt>
                <c:pt idx="362">
                  <c:v>8.9410728928607155E-3</c:v>
                </c:pt>
                <c:pt idx="363">
                  <c:v>9.3274866974609686E-3</c:v>
                </c:pt>
                <c:pt idx="364">
                  <c:v>-5.2741919048199617E-4</c:v>
                </c:pt>
                <c:pt idx="365">
                  <c:v>-9.5496795177856704E-3</c:v>
                </c:pt>
                <c:pt idx="366">
                  <c:v>6.8188229891577154E-3</c:v>
                </c:pt>
                <c:pt idx="367">
                  <c:v>7.1394708641763609E-3</c:v>
                </c:pt>
                <c:pt idx="368">
                  <c:v>7.0247909706333579E-3</c:v>
                </c:pt>
                <c:pt idx="369">
                  <c:v>1.3581171532558476E-2</c:v>
                </c:pt>
                <c:pt idx="370">
                  <c:v>2.5443250545078518E-3</c:v>
                </c:pt>
                <c:pt idx="371">
                  <c:v>2.0927332411233828E-3</c:v>
                </c:pt>
                <c:pt idx="372">
                  <c:v>4.3190881500243198E-3</c:v>
                </c:pt>
                <c:pt idx="373">
                  <c:v>4.8456414083324056E-3</c:v>
                </c:pt>
                <c:pt idx="374">
                  <c:v>9.0898939455833529E-3</c:v>
                </c:pt>
                <c:pt idx="375">
                  <c:v>1.2530645142764099E-2</c:v>
                </c:pt>
                <c:pt idx="376">
                  <c:v>1.3344522478866987E-3</c:v>
                </c:pt>
                <c:pt idx="377">
                  <c:v>1.1831038065343247E-2</c:v>
                </c:pt>
                <c:pt idx="378">
                  <c:v>3.4586276853520348E-3</c:v>
                </c:pt>
                <c:pt idx="379">
                  <c:v>-1.801322729868057E-3</c:v>
                </c:pt>
                <c:pt idx="380">
                  <c:v>8.790036159625909E-3</c:v>
                </c:pt>
                <c:pt idx="381">
                  <c:v>8.9026264923742476E-3</c:v>
                </c:pt>
                <c:pt idx="382">
                  <c:v>8.5644982635005949E-3</c:v>
                </c:pt>
                <c:pt idx="383">
                  <c:v>1.3210955371989843E-3</c:v>
                </c:pt>
                <c:pt idx="384">
                  <c:v>2.7665555004720895E-3</c:v>
                </c:pt>
                <c:pt idx="385">
                  <c:v>-5.9886876230174427E-3</c:v>
                </c:pt>
                <c:pt idx="386">
                  <c:v>7.8263440435304111E-4</c:v>
                </c:pt>
                <c:pt idx="387">
                  <c:v>1.6314246953144092E-2</c:v>
                </c:pt>
                <c:pt idx="388">
                  <c:v>1.0625266213793439E-2</c:v>
                </c:pt>
                <c:pt idx="389">
                  <c:v>5.4106852490481468E-3</c:v>
                </c:pt>
                <c:pt idx="390">
                  <c:v>1.0870508419063046E-2</c:v>
                </c:pt>
                <c:pt idx="391">
                  <c:v>1.5618807064162464E-2</c:v>
                </c:pt>
                <c:pt idx="392">
                  <c:v>-7.3734168246528788E-3</c:v>
                </c:pt>
                <c:pt idx="393">
                  <c:v>7.7104181605664058E-3</c:v>
                </c:pt>
                <c:pt idx="394">
                  <c:v>7.1043192074374904E-3</c:v>
                </c:pt>
                <c:pt idx="395">
                  <c:v>-3.3966437385537932E-3</c:v>
                </c:pt>
                <c:pt idx="396">
                  <c:v>-2.8711189119875842E-3</c:v>
                </c:pt>
                <c:pt idx="397">
                  <c:v>1.6144153190448832E-2</c:v>
                </c:pt>
                <c:pt idx="398">
                  <c:v>-2.1196203569355167E-3</c:v>
                </c:pt>
                <c:pt idx="399">
                  <c:v>-4.507676441534921E-3</c:v>
                </c:pt>
                <c:pt idx="400">
                  <c:v>-4.1756492931129575E-3</c:v>
                </c:pt>
                <c:pt idx="401">
                  <c:v>1.5330550190043501E-3</c:v>
                </c:pt>
                <c:pt idx="402">
                  <c:v>-7.4407705950703905E-4</c:v>
                </c:pt>
                <c:pt idx="403">
                  <c:v>-7.1116007800944327E-3</c:v>
                </c:pt>
                <c:pt idx="404">
                  <c:v>-6.1943562030725065E-3</c:v>
                </c:pt>
                <c:pt idx="405">
                  <c:v>4.568468857509304E-3</c:v>
                </c:pt>
                <c:pt idx="406">
                  <c:v>1.2316280845974916E-2</c:v>
                </c:pt>
                <c:pt idx="407">
                  <c:v>1.4140732765787969E-2</c:v>
                </c:pt>
                <c:pt idx="408">
                  <c:v>5.367990624187205E-3</c:v>
                </c:pt>
                <c:pt idx="409">
                  <c:v>-6.2606585764939928E-4</c:v>
                </c:pt>
                <c:pt idx="410">
                  <c:v>1.3325630075052971E-3</c:v>
                </c:pt>
                <c:pt idx="411">
                  <c:v>6.4783258369489997E-3</c:v>
                </c:pt>
                <c:pt idx="412">
                  <c:v>1.1058972972110684E-2</c:v>
                </c:pt>
                <c:pt idx="413">
                  <c:v>8.4441560086865874E-3</c:v>
                </c:pt>
                <c:pt idx="414">
                  <c:v>-3.9136619298660354E-3</c:v>
                </c:pt>
                <c:pt idx="415">
                  <c:v>6.49049330128739E-3</c:v>
                </c:pt>
                <c:pt idx="416">
                  <c:v>-7.3425817014711329E-3</c:v>
                </c:pt>
                <c:pt idx="417">
                  <c:v>8.8269220646608167E-4</c:v>
                </c:pt>
                <c:pt idx="418">
                  <c:v>1.4875452885078704E-2</c:v>
                </c:pt>
                <c:pt idx="419">
                  <c:v>-2.735926147814584E-3</c:v>
                </c:pt>
                <c:pt idx="420">
                  <c:v>1.5047964210284436E-5</c:v>
                </c:pt>
                <c:pt idx="421">
                  <c:v>-4.3471503699274586E-3</c:v>
                </c:pt>
                <c:pt idx="422">
                  <c:v>-1.5146498806746691E-3</c:v>
                </c:pt>
                <c:pt idx="423">
                  <c:v>1.2411818851775071E-3</c:v>
                </c:pt>
                <c:pt idx="424">
                  <c:v>4.0156127021860992E-3</c:v>
                </c:pt>
                <c:pt idx="425">
                  <c:v>-7.7786582020461861E-3</c:v>
                </c:pt>
                <c:pt idx="426">
                  <c:v>-8.1855867566205612E-3</c:v>
                </c:pt>
                <c:pt idx="427">
                  <c:v>1.1319922034783727E-3</c:v>
                </c:pt>
                <c:pt idx="428">
                  <c:v>-1.6689647069723851E-3</c:v>
                </c:pt>
                <c:pt idx="429">
                  <c:v>-2.5149277490487554E-3</c:v>
                </c:pt>
                <c:pt idx="430">
                  <c:v>-2.3027618130208774E-2</c:v>
                </c:pt>
                <c:pt idx="431">
                  <c:v>1.1374550667080751E-2</c:v>
                </c:pt>
                <c:pt idx="432">
                  <c:v>-1.5359539621535133E-2</c:v>
                </c:pt>
                <c:pt idx="433">
                  <c:v>2.5988699450943138E-3</c:v>
                </c:pt>
                <c:pt idx="434">
                  <c:v>-1.490009568079384E-2</c:v>
                </c:pt>
                <c:pt idx="435">
                  <c:v>-2.4914881972746772E-2</c:v>
                </c:pt>
                <c:pt idx="436">
                  <c:v>1.4078966597197986E-3</c:v>
                </c:pt>
                <c:pt idx="437">
                  <c:v>1.8464772073233337E-2</c:v>
                </c:pt>
                <c:pt idx="438">
                  <c:v>1.2638908545955969E-2</c:v>
                </c:pt>
                <c:pt idx="439">
                  <c:v>1.1022802910866426E-2</c:v>
                </c:pt>
                <c:pt idx="440">
                  <c:v>-1.4427270853314713E-2</c:v>
                </c:pt>
                <c:pt idx="441">
                  <c:v>-5.0522484308559816E-3</c:v>
                </c:pt>
                <c:pt idx="442">
                  <c:v>3.439926392274154E-3</c:v>
                </c:pt>
                <c:pt idx="443">
                  <c:v>-1.8881888308400251E-3</c:v>
                </c:pt>
                <c:pt idx="444">
                  <c:v>2.3841677088405088E-3</c:v>
                </c:pt>
                <c:pt idx="445">
                  <c:v>4.3857661658370222E-3</c:v>
                </c:pt>
                <c:pt idx="446">
                  <c:v>1.5280302487570169E-2</c:v>
                </c:pt>
                <c:pt idx="447">
                  <c:v>1.4145224039702448E-2</c:v>
                </c:pt>
                <c:pt idx="448">
                  <c:v>-8.1110518317639643E-3</c:v>
                </c:pt>
                <c:pt idx="449">
                  <c:v>1.6257668264925526E-3</c:v>
                </c:pt>
                <c:pt idx="450">
                  <c:v>1.4163475985072485E-2</c:v>
                </c:pt>
                <c:pt idx="451">
                  <c:v>-1.119796265131549E-2</c:v>
                </c:pt>
                <c:pt idx="452">
                  <c:v>-4.7114881096365522E-3</c:v>
                </c:pt>
                <c:pt idx="453">
                  <c:v>-3.153578592784205E-2</c:v>
                </c:pt>
                <c:pt idx="454">
                  <c:v>-1.9449959887685511E-2</c:v>
                </c:pt>
                <c:pt idx="455">
                  <c:v>3.4994214078581075E-2</c:v>
                </c:pt>
                <c:pt idx="456">
                  <c:v>-4.9139247961012275E-3</c:v>
                </c:pt>
                <c:pt idx="457">
                  <c:v>1.9595372221212767E-2</c:v>
                </c:pt>
                <c:pt idx="458">
                  <c:v>-8.2707389344871558E-3</c:v>
                </c:pt>
                <c:pt idx="459">
                  <c:v>1.2872066682362983E-3</c:v>
                </c:pt>
                <c:pt idx="460">
                  <c:v>9.0479020714966454E-3</c:v>
                </c:pt>
                <c:pt idx="461">
                  <c:v>1.0757404372214647E-3</c:v>
                </c:pt>
                <c:pt idx="462">
                  <c:v>-1.5359494258364302E-2</c:v>
                </c:pt>
                <c:pt idx="463">
                  <c:v>1.1832992107630022E-4</c:v>
                </c:pt>
                <c:pt idx="464">
                  <c:v>-1.5923351002665447E-3</c:v>
                </c:pt>
                <c:pt idx="465">
                  <c:v>3.6519173677160891E-3</c:v>
                </c:pt>
                <c:pt idx="466">
                  <c:v>-3.3946109812713408E-3</c:v>
                </c:pt>
                <c:pt idx="467">
                  <c:v>6.4248332764400742E-4</c:v>
                </c:pt>
                <c:pt idx="468">
                  <c:v>-8.7201257008388319E-3</c:v>
                </c:pt>
                <c:pt idx="469">
                  <c:v>-1.380191394370054E-2</c:v>
                </c:pt>
                <c:pt idx="470">
                  <c:v>5.824509771268741E-3</c:v>
                </c:pt>
                <c:pt idx="471">
                  <c:v>1.2898310629108992E-2</c:v>
                </c:pt>
                <c:pt idx="472">
                  <c:v>1.6184744336763542E-2</c:v>
                </c:pt>
                <c:pt idx="473">
                  <c:v>-5.4578205811553438E-3</c:v>
                </c:pt>
                <c:pt idx="474">
                  <c:v>6.4138364191125424E-3</c:v>
                </c:pt>
                <c:pt idx="475">
                  <c:v>1.4523183281136325E-2</c:v>
                </c:pt>
                <c:pt idx="476">
                  <c:v>8.6909313200178619E-3</c:v>
                </c:pt>
                <c:pt idx="477">
                  <c:v>4.8397021180011186E-4</c:v>
                </c:pt>
                <c:pt idx="478">
                  <c:v>3.7880769753984005E-3</c:v>
                </c:pt>
                <c:pt idx="479">
                  <c:v>-2.1723884663681931E-3</c:v>
                </c:pt>
                <c:pt idx="480">
                  <c:v>-3.2126084314703697E-4</c:v>
                </c:pt>
                <c:pt idx="481">
                  <c:v>2.428638409112394E-3</c:v>
                </c:pt>
                <c:pt idx="482">
                  <c:v>2.4123288700154386E-3</c:v>
                </c:pt>
                <c:pt idx="483">
                  <c:v>3.8895339272309194E-3</c:v>
                </c:pt>
                <c:pt idx="484">
                  <c:v>1.8738466964866623E-2</c:v>
                </c:pt>
                <c:pt idx="485">
                  <c:v>-3.5547362353366337E-4</c:v>
                </c:pt>
                <c:pt idx="486">
                  <c:v>2.5282745953605947E-3</c:v>
                </c:pt>
                <c:pt idx="487">
                  <c:v>9.3749589196910794E-3</c:v>
                </c:pt>
                <c:pt idx="488">
                  <c:v>-5.9725786894095523E-4</c:v>
                </c:pt>
                <c:pt idx="489">
                  <c:v>-9.3000659571038959E-3</c:v>
                </c:pt>
                <c:pt idx="490">
                  <c:v>-9.8495953270613876E-3</c:v>
                </c:pt>
                <c:pt idx="491">
                  <c:v>4.2128382960890422E-3</c:v>
                </c:pt>
                <c:pt idx="492">
                  <c:v>7.6372143326285625E-3</c:v>
                </c:pt>
                <c:pt idx="493">
                  <c:v>5.9311183213307224E-3</c:v>
                </c:pt>
                <c:pt idx="494">
                  <c:v>-9.5875650382787284E-3</c:v>
                </c:pt>
                <c:pt idx="495">
                  <c:v>1.0153841530162005E-2</c:v>
                </c:pt>
                <c:pt idx="496">
                  <c:v>1.3873517099074429E-3</c:v>
                </c:pt>
                <c:pt idx="497">
                  <c:v>1.552769053771229E-2</c:v>
                </c:pt>
                <c:pt idx="498">
                  <c:v>5.6635789966421862E-3</c:v>
                </c:pt>
                <c:pt idx="499">
                  <c:v>-8.0628449870495081E-4</c:v>
                </c:pt>
                <c:pt idx="500">
                  <c:v>1.1265065084479544E-2</c:v>
                </c:pt>
                <c:pt idx="501">
                  <c:v>4.2326804924190152E-3</c:v>
                </c:pt>
                <c:pt idx="502">
                  <c:v>6.8321345855530922E-3</c:v>
                </c:pt>
                <c:pt idx="503">
                  <c:v>-1.0715301108284176E-3</c:v>
                </c:pt>
                <c:pt idx="504">
                  <c:v>6.9425958581239384E-3</c:v>
                </c:pt>
                <c:pt idx="505">
                  <c:v>3.7001840510569269E-3</c:v>
                </c:pt>
                <c:pt idx="506">
                  <c:v>-2.2262017063279711E-3</c:v>
                </c:pt>
                <c:pt idx="507">
                  <c:v>-1.268772009171657E-3</c:v>
                </c:pt>
                <c:pt idx="508">
                  <c:v>-4.4484117480568615E-3</c:v>
                </c:pt>
                <c:pt idx="509">
                  <c:v>3.8609844405936076E-3</c:v>
                </c:pt>
                <c:pt idx="510">
                  <c:v>-4.9297184533637576E-3</c:v>
                </c:pt>
                <c:pt idx="511">
                  <c:v>6.7325000317446128E-3</c:v>
                </c:pt>
                <c:pt idx="512">
                  <c:v>-2.5317248479159752E-3</c:v>
                </c:pt>
                <c:pt idx="513">
                  <c:v>4.7876473466055783E-3</c:v>
                </c:pt>
                <c:pt idx="514">
                  <c:v>4.3339168592706843E-3</c:v>
                </c:pt>
                <c:pt idx="515">
                  <c:v>3.6889104546422805E-3</c:v>
                </c:pt>
                <c:pt idx="516">
                  <c:v>-6.2869512828001147E-3</c:v>
                </c:pt>
                <c:pt idx="517">
                  <c:v>4.7543595347663047E-3</c:v>
                </c:pt>
                <c:pt idx="518">
                  <c:v>-2.9554468914235726E-3</c:v>
                </c:pt>
                <c:pt idx="519">
                  <c:v>7.1762405010329959E-3</c:v>
                </c:pt>
                <c:pt idx="520">
                  <c:v>7.5845302975461517E-3</c:v>
                </c:pt>
                <c:pt idx="521">
                  <c:v>-5.9317806868969031E-4</c:v>
                </c:pt>
                <c:pt idx="522">
                  <c:v>-3.9210511111740839E-3</c:v>
                </c:pt>
                <c:pt idx="523">
                  <c:v>-1.0080932120226742E-3</c:v>
                </c:pt>
                <c:pt idx="524">
                  <c:v>-6.5302946324097429E-4</c:v>
                </c:pt>
                <c:pt idx="525">
                  <c:v>-1.2622552513930517E-2</c:v>
                </c:pt>
                <c:pt idx="526">
                  <c:v>-5.3665662661065653E-3</c:v>
                </c:pt>
                <c:pt idx="527">
                  <c:v>1.238267425421901E-2</c:v>
                </c:pt>
                <c:pt idx="528">
                  <c:v>1.0616792152940816E-2</c:v>
                </c:pt>
                <c:pt idx="529">
                  <c:v>-2.1296002918838497E-3</c:v>
                </c:pt>
                <c:pt idx="530">
                  <c:v>-1.3372351348589049E-2</c:v>
                </c:pt>
                <c:pt idx="531">
                  <c:v>1.8401594703739634E-3</c:v>
                </c:pt>
                <c:pt idx="532">
                  <c:v>-7.3032049000976811E-3</c:v>
                </c:pt>
                <c:pt idx="533">
                  <c:v>-3.5147060233549779E-3</c:v>
                </c:pt>
                <c:pt idx="534">
                  <c:v>-8.0074351474728311E-3</c:v>
                </c:pt>
                <c:pt idx="535">
                  <c:v>1.329377650036662E-2</c:v>
                </c:pt>
                <c:pt idx="536">
                  <c:v>-2.1885922565605732E-3</c:v>
                </c:pt>
                <c:pt idx="537">
                  <c:v>-5.9215061936089101E-3</c:v>
                </c:pt>
                <c:pt idx="538">
                  <c:v>8.133628024914916E-3</c:v>
                </c:pt>
                <c:pt idx="539">
                  <c:v>4.275277296909144E-3</c:v>
                </c:pt>
                <c:pt idx="540">
                  <c:v>-1.9112545325273966E-2</c:v>
                </c:pt>
                <c:pt idx="541">
                  <c:v>1.2341831768831711E-2</c:v>
                </c:pt>
                <c:pt idx="542">
                  <c:v>-1.7154133037795501E-2</c:v>
                </c:pt>
                <c:pt idx="543">
                  <c:v>-1.8382257461257826E-2</c:v>
                </c:pt>
                <c:pt idx="544">
                  <c:v>-1.2012551865085385E-2</c:v>
                </c:pt>
                <c:pt idx="545">
                  <c:v>-2.0871708297781139E-2</c:v>
                </c:pt>
                <c:pt idx="546">
                  <c:v>2.3570024703270884E-2</c:v>
                </c:pt>
                <c:pt idx="547">
                  <c:v>2.2346492470096763E-2</c:v>
                </c:pt>
                <c:pt idx="548">
                  <c:v>2.0209267670376761E-3</c:v>
                </c:pt>
                <c:pt idx="549">
                  <c:v>1.3225342900314912E-2</c:v>
                </c:pt>
                <c:pt idx="550">
                  <c:v>-1.5978328860683264E-2</c:v>
                </c:pt>
                <c:pt idx="551">
                  <c:v>3.9625177393212739E-3</c:v>
                </c:pt>
                <c:pt idx="552">
                  <c:v>1.1269604383480217E-2</c:v>
                </c:pt>
                <c:pt idx="553">
                  <c:v>3.014050815143735E-3</c:v>
                </c:pt>
                <c:pt idx="554">
                  <c:v>3.9954602332372396E-3</c:v>
                </c:pt>
                <c:pt idx="555">
                  <c:v>-4.4729319059375657E-3</c:v>
                </c:pt>
                <c:pt idx="556">
                  <c:v>-2.3940926544150431E-2</c:v>
                </c:pt>
                <c:pt idx="557">
                  <c:v>1.3330542539351528E-3</c:v>
                </c:pt>
                <c:pt idx="558">
                  <c:v>2.1761689940646397E-3</c:v>
                </c:pt>
                <c:pt idx="559">
                  <c:v>-3.5828146008385696E-3</c:v>
                </c:pt>
                <c:pt idx="560">
                  <c:v>-2.8619274738285335E-3</c:v>
                </c:pt>
                <c:pt idx="561">
                  <c:v>-1.69915092114277E-2</c:v>
                </c:pt>
                <c:pt idx="562">
                  <c:v>1.9667628129835829E-2</c:v>
                </c:pt>
                <c:pt idx="563">
                  <c:v>-1.015928494055799E-2</c:v>
                </c:pt>
                <c:pt idx="564">
                  <c:v>1.7922999673746685E-2</c:v>
                </c:pt>
                <c:pt idx="565">
                  <c:v>9.948736471131021E-3</c:v>
                </c:pt>
                <c:pt idx="566">
                  <c:v>-4.6126629027089579E-3</c:v>
                </c:pt>
                <c:pt idx="567">
                  <c:v>1.5678758861266062E-3</c:v>
                </c:pt>
                <c:pt idx="568">
                  <c:v>5.8303737499326054E-3</c:v>
                </c:pt>
                <c:pt idx="569">
                  <c:v>-1.7885194881091455E-3</c:v>
                </c:pt>
                <c:pt idx="570">
                  <c:v>1.6681339760309839E-3</c:v>
                </c:pt>
                <c:pt idx="571">
                  <c:v>-8.653670636519074E-3</c:v>
                </c:pt>
                <c:pt idx="572">
                  <c:v>1.0825458764466934E-2</c:v>
                </c:pt>
                <c:pt idx="573">
                  <c:v>-2.0537544455060787E-3</c:v>
                </c:pt>
                <c:pt idx="574">
                  <c:v>-8.3195494513595668E-3</c:v>
                </c:pt>
                <c:pt idx="575">
                  <c:v>-4.9599807343085897E-3</c:v>
                </c:pt>
                <c:pt idx="576">
                  <c:v>2.1831374047235692E-2</c:v>
                </c:pt>
                <c:pt idx="577">
                  <c:v>-8.5349465454917506E-3</c:v>
                </c:pt>
                <c:pt idx="578">
                  <c:v>-5.1608564438508754E-3</c:v>
                </c:pt>
                <c:pt idx="579">
                  <c:v>-4.3500627619891827E-3</c:v>
                </c:pt>
                <c:pt idx="580">
                  <c:v>-1.3390957514982845E-2</c:v>
                </c:pt>
                <c:pt idx="581">
                  <c:v>-4.2056058930445735E-3</c:v>
                </c:pt>
                <c:pt idx="582">
                  <c:v>1.1057895190601718E-2</c:v>
                </c:pt>
                <c:pt idx="583">
                  <c:v>8.5275894513885467E-3</c:v>
                </c:pt>
                <c:pt idx="584">
                  <c:v>5.1411090475375178E-3</c:v>
                </c:pt>
                <c:pt idx="585">
                  <c:v>1.376080887807259E-2</c:v>
                </c:pt>
                <c:pt idx="586">
                  <c:v>4.0507630418259036E-3</c:v>
                </c:pt>
                <c:pt idx="587">
                  <c:v>-6.5180108138390156E-3</c:v>
                </c:pt>
                <c:pt idx="588">
                  <c:v>-2.3650396183539E-3</c:v>
                </c:pt>
                <c:pt idx="589">
                  <c:v>7.4803501201451501E-3</c:v>
                </c:pt>
                <c:pt idx="590">
                  <c:v>3.966679284189983E-3</c:v>
                </c:pt>
                <c:pt idx="591">
                  <c:v>4.4156781195177509E-3</c:v>
                </c:pt>
                <c:pt idx="592">
                  <c:v>1.1050598414795689E-2</c:v>
                </c:pt>
                <c:pt idx="593">
                  <c:v>-4.6056261696971742E-4</c:v>
                </c:pt>
                <c:pt idx="594">
                  <c:v>7.171075479662131E-3</c:v>
                </c:pt>
                <c:pt idx="595">
                  <c:v>1.6340136259399916E-2</c:v>
                </c:pt>
                <c:pt idx="596">
                  <c:v>6.157464223780054E-3</c:v>
                </c:pt>
                <c:pt idx="597">
                  <c:v>-1.3355118749748519E-3</c:v>
                </c:pt>
                <c:pt idx="598">
                  <c:v>-6.9337522258866905E-4</c:v>
                </c:pt>
                <c:pt idx="599">
                  <c:v>2.4570872630891986E-3</c:v>
                </c:pt>
                <c:pt idx="600">
                  <c:v>1.8866789596717478E-3</c:v>
                </c:pt>
                <c:pt idx="601">
                  <c:v>-3.2023081130521649E-3</c:v>
                </c:pt>
                <c:pt idx="602">
                  <c:v>-7.6921191709392704E-3</c:v>
                </c:pt>
                <c:pt idx="603">
                  <c:v>9.9182420555899466E-3</c:v>
                </c:pt>
                <c:pt idx="604">
                  <c:v>1.1031783681706658E-3</c:v>
                </c:pt>
                <c:pt idx="605">
                  <c:v>8.7229570940479638E-3</c:v>
                </c:pt>
                <c:pt idx="606">
                  <c:v>-1.9193007112413736E-3</c:v>
                </c:pt>
                <c:pt idx="607">
                  <c:v>-3.1184868738145027E-3</c:v>
                </c:pt>
                <c:pt idx="608">
                  <c:v>-7.2121185869074515E-3</c:v>
                </c:pt>
                <c:pt idx="609">
                  <c:v>2.2318140501233243E-3</c:v>
                </c:pt>
                <c:pt idx="610">
                  <c:v>-4.6881474966038962E-3</c:v>
                </c:pt>
                <c:pt idx="611">
                  <c:v>-5.2861212033855718E-4</c:v>
                </c:pt>
                <c:pt idx="612">
                  <c:v>-1.8013159358945402E-3</c:v>
                </c:pt>
                <c:pt idx="613">
                  <c:v>1.2910040980612764E-3</c:v>
                </c:pt>
                <c:pt idx="614">
                  <c:v>-5.3917077786121946E-3</c:v>
                </c:pt>
                <c:pt idx="615">
                  <c:v>-1.4707170938081923E-2</c:v>
                </c:pt>
                <c:pt idx="616">
                  <c:v>2.8811325391176878E-3</c:v>
                </c:pt>
                <c:pt idx="617">
                  <c:v>4.6300450785007443E-3</c:v>
                </c:pt>
                <c:pt idx="618">
                  <c:v>9.3874020663054659E-3</c:v>
                </c:pt>
                <c:pt idx="619">
                  <c:v>-2.3930676977282784E-3</c:v>
                </c:pt>
                <c:pt idx="620">
                  <c:v>-5.3906603548448976E-3</c:v>
                </c:pt>
                <c:pt idx="621">
                  <c:v>-1.7491363955308285E-3</c:v>
                </c:pt>
                <c:pt idx="622">
                  <c:v>-2.0749306807564803E-3</c:v>
                </c:pt>
                <c:pt idx="623">
                  <c:v>1.7043078298473246E-2</c:v>
                </c:pt>
                <c:pt idx="624">
                  <c:v>-1.0191211110526135E-2</c:v>
                </c:pt>
                <c:pt idx="625">
                  <c:v>-2.4466265588386745E-3</c:v>
                </c:pt>
                <c:pt idx="626">
                  <c:v>7.0415292152849478E-4</c:v>
                </c:pt>
                <c:pt idx="627">
                  <c:v>2.3125287881408136E-4</c:v>
                </c:pt>
                <c:pt idx="628">
                  <c:v>2.8803067161324099E-3</c:v>
                </c:pt>
                <c:pt idx="629">
                  <c:v>4.3266329695856977E-3</c:v>
                </c:pt>
                <c:pt idx="630">
                  <c:v>8.1385063823409445E-4</c:v>
                </c:pt>
                <c:pt idx="631">
                  <c:v>-1.6750478241925101E-3</c:v>
                </c:pt>
                <c:pt idx="632">
                  <c:v>-2.5189844469082948E-3</c:v>
                </c:pt>
                <c:pt idx="633">
                  <c:v>3.0017192236722737E-4</c:v>
                </c:pt>
                <c:pt idx="634">
                  <c:v>-7.7371207534801239E-3</c:v>
                </c:pt>
                <c:pt idx="635">
                  <c:v>-1.2046148159585447E-4</c:v>
                </c:pt>
                <c:pt idx="636">
                  <c:v>-5.4328332593216368E-3</c:v>
                </c:pt>
                <c:pt idx="637">
                  <c:v>8.4572850363901515E-3</c:v>
                </c:pt>
                <c:pt idx="638">
                  <c:v>6.428853661234999E-3</c:v>
                </c:pt>
                <c:pt idx="639">
                  <c:v>6.6082726528063948E-4</c:v>
                </c:pt>
                <c:pt idx="640">
                  <c:v>-3.1178149013975347E-3</c:v>
                </c:pt>
                <c:pt idx="641">
                  <c:v>-3.1680774998278853E-3</c:v>
                </c:pt>
                <c:pt idx="642">
                  <c:v>-7.7138426130159013E-3</c:v>
                </c:pt>
                <c:pt idx="643">
                  <c:v>2.5167845763972676E-4</c:v>
                </c:pt>
                <c:pt idx="644">
                  <c:v>5.1320152038335908E-3</c:v>
                </c:pt>
                <c:pt idx="645">
                  <c:v>-2.2504410332524795E-3</c:v>
                </c:pt>
                <c:pt idx="646">
                  <c:v>-2.1349349999874243E-3</c:v>
                </c:pt>
                <c:pt idx="647">
                  <c:v>-5.4494566867302422E-3</c:v>
                </c:pt>
                <c:pt idx="648">
                  <c:v>7.3681399038512995E-3</c:v>
                </c:pt>
                <c:pt idx="649">
                  <c:v>7.2234700884181062E-3</c:v>
                </c:pt>
                <c:pt idx="650">
                  <c:v>1.0764536504549794E-2</c:v>
                </c:pt>
                <c:pt idx="651">
                  <c:v>-5.8924751118271225E-3</c:v>
                </c:pt>
                <c:pt idx="652">
                  <c:v>-4.0312607218550879E-3</c:v>
                </c:pt>
                <c:pt idx="653">
                  <c:v>-5.7232045579070547E-3</c:v>
                </c:pt>
                <c:pt idx="654">
                  <c:v>-4.7872539206013009E-3</c:v>
                </c:pt>
                <c:pt idx="655">
                  <c:v>4.8618343352809009E-3</c:v>
                </c:pt>
                <c:pt idx="656">
                  <c:v>1.1409099833846197E-3</c:v>
                </c:pt>
                <c:pt idx="657">
                  <c:v>-1.3243429845880293E-4</c:v>
                </c:pt>
                <c:pt idx="658">
                  <c:v>-1.0764875628144445E-2</c:v>
                </c:pt>
                <c:pt idx="659">
                  <c:v>1.1600522439261637E-3</c:v>
                </c:pt>
                <c:pt idx="660">
                  <c:v>-8.2947398997442509E-4</c:v>
                </c:pt>
                <c:pt idx="661">
                  <c:v>-4.018882096025145E-3</c:v>
                </c:pt>
                <c:pt idx="662">
                  <c:v>-7.1313992136950262E-3</c:v>
                </c:pt>
                <c:pt idx="663">
                  <c:v>4.9229783749753699E-3</c:v>
                </c:pt>
                <c:pt idx="664">
                  <c:v>1.2293158709296582E-2</c:v>
                </c:pt>
                <c:pt idx="665">
                  <c:v>1.5290808205127399E-3</c:v>
                </c:pt>
                <c:pt idx="666">
                  <c:v>-8.0202308164549832E-3</c:v>
                </c:pt>
                <c:pt idx="667">
                  <c:v>-3.7239285548247365E-3</c:v>
                </c:pt>
                <c:pt idx="668">
                  <c:v>4.3611794663666022E-3</c:v>
                </c:pt>
                <c:pt idx="669">
                  <c:v>-6.0608953961661374E-3</c:v>
                </c:pt>
                <c:pt idx="670">
                  <c:v>-2.3130160167836281E-3</c:v>
                </c:pt>
                <c:pt idx="671">
                  <c:v>-1.1162260486702595E-2</c:v>
                </c:pt>
                <c:pt idx="672">
                  <c:v>-8.9463222836476154E-3</c:v>
                </c:pt>
                <c:pt idx="673">
                  <c:v>-6.5872408066804172E-3</c:v>
                </c:pt>
                <c:pt idx="674">
                  <c:v>-4.9310239469031996E-3</c:v>
                </c:pt>
                <c:pt idx="675">
                  <c:v>-5.6742850347608698E-3</c:v>
                </c:pt>
                <c:pt idx="676">
                  <c:v>1.0200643673400862E-2</c:v>
                </c:pt>
                <c:pt idx="677">
                  <c:v>-2.0059445702069606E-2</c:v>
                </c:pt>
                <c:pt idx="678">
                  <c:v>1.2010348292437096E-2</c:v>
                </c:pt>
                <c:pt idx="679">
                  <c:v>-6.2138638206134255E-4</c:v>
                </c:pt>
                <c:pt idx="680">
                  <c:v>3.8509795706425857E-3</c:v>
                </c:pt>
                <c:pt idx="681">
                  <c:v>-8.3901475207850077E-3</c:v>
                </c:pt>
                <c:pt idx="682">
                  <c:v>-6.5673276457090058E-3</c:v>
                </c:pt>
                <c:pt idx="683">
                  <c:v>4.7959096058591555E-3</c:v>
                </c:pt>
                <c:pt idx="684">
                  <c:v>-2.4404499704391257E-3</c:v>
                </c:pt>
                <c:pt idx="685">
                  <c:v>-1.4566554616823138E-2</c:v>
                </c:pt>
                <c:pt idx="686">
                  <c:v>1.2258908699308386E-3</c:v>
                </c:pt>
                <c:pt idx="687">
                  <c:v>-1.5069589463638443E-2</c:v>
                </c:pt>
                <c:pt idx="688">
                  <c:v>2.5725456008521663E-2</c:v>
                </c:pt>
                <c:pt idx="689">
                  <c:v>1.1004049291644604E-2</c:v>
                </c:pt>
                <c:pt idx="690">
                  <c:v>-4.2854405014733261E-3</c:v>
                </c:pt>
                <c:pt idx="691">
                  <c:v>1.9494078461643648E-2</c:v>
                </c:pt>
                <c:pt idx="692">
                  <c:v>7.0756883708070891E-3</c:v>
                </c:pt>
                <c:pt idx="693">
                  <c:v>-5.3040718965374446E-3</c:v>
                </c:pt>
                <c:pt idx="694">
                  <c:v>-3.2721668791944121E-3</c:v>
                </c:pt>
                <c:pt idx="695">
                  <c:v>-3.8134046765495415E-3</c:v>
                </c:pt>
                <c:pt idx="696">
                  <c:v>1.3148759567243878E-2</c:v>
                </c:pt>
                <c:pt idx="697">
                  <c:v>3.0466048316461812E-3</c:v>
                </c:pt>
                <c:pt idx="698">
                  <c:v>4.9618694897862478E-3</c:v>
                </c:pt>
                <c:pt idx="699">
                  <c:v>1.5735543856164536E-2</c:v>
                </c:pt>
                <c:pt idx="700">
                  <c:v>3.5510853804811746E-3</c:v>
                </c:pt>
                <c:pt idx="701">
                  <c:v>-1.7082362969647377E-3</c:v>
                </c:pt>
                <c:pt idx="702">
                  <c:v>3.9704510333718164E-3</c:v>
                </c:pt>
                <c:pt idx="703">
                  <c:v>1.6226457130344622E-3</c:v>
                </c:pt>
                <c:pt idx="704">
                  <c:v>-3.8219038476989928E-3</c:v>
                </c:pt>
                <c:pt idx="705">
                  <c:v>-1.5178380406766022E-2</c:v>
                </c:pt>
                <c:pt idx="706">
                  <c:v>4.9562596134344631E-3</c:v>
                </c:pt>
                <c:pt idx="707">
                  <c:v>-6.0411907557985801E-3</c:v>
                </c:pt>
                <c:pt idx="708">
                  <c:v>-1.2924563596671948E-2</c:v>
                </c:pt>
                <c:pt idx="709">
                  <c:v>-2.8175386865109884E-4</c:v>
                </c:pt>
                <c:pt idx="710">
                  <c:v>1.7636990868951711E-2</c:v>
                </c:pt>
                <c:pt idx="711">
                  <c:v>-7.4874991701207594E-3</c:v>
                </c:pt>
                <c:pt idx="712">
                  <c:v>-1.8166696323927924E-3</c:v>
                </c:pt>
                <c:pt idx="713">
                  <c:v>8.2174342069594453E-3</c:v>
                </c:pt>
                <c:pt idx="714">
                  <c:v>-1.601246391382475E-2</c:v>
                </c:pt>
                <c:pt idx="715">
                  <c:v>-1.7411301781615547E-2</c:v>
                </c:pt>
                <c:pt idx="716">
                  <c:v>-1.3010884451812869E-2</c:v>
                </c:pt>
                <c:pt idx="717">
                  <c:v>-9.6464000973768439E-3</c:v>
                </c:pt>
                <c:pt idx="718">
                  <c:v>4.060702275481891E-3</c:v>
                </c:pt>
                <c:pt idx="719">
                  <c:v>2.7562351861624462E-2</c:v>
                </c:pt>
                <c:pt idx="720">
                  <c:v>-5.6843087532443826E-3</c:v>
                </c:pt>
                <c:pt idx="721">
                  <c:v>6.5840765453255862E-3</c:v>
                </c:pt>
                <c:pt idx="722">
                  <c:v>-4.7058198590495613E-2</c:v>
                </c:pt>
                <c:pt idx="723">
                  <c:v>-3.0531420185194089E-5</c:v>
                </c:pt>
                <c:pt idx="724">
                  <c:v>1.1088795251200316E-3</c:v>
                </c:pt>
                <c:pt idx="725">
                  <c:v>1.3232666609212388E-2</c:v>
                </c:pt>
                <c:pt idx="726">
                  <c:v>-1.5095719861738129E-4</c:v>
                </c:pt>
                <c:pt idx="727">
                  <c:v>-7.4812637709374945E-3</c:v>
                </c:pt>
                <c:pt idx="728">
                  <c:v>-2.8277408129444093E-3</c:v>
                </c:pt>
                <c:pt idx="729">
                  <c:v>-1.1969136169461552E-2</c:v>
                </c:pt>
                <c:pt idx="730">
                  <c:v>8.6373916448616445E-3</c:v>
                </c:pt>
                <c:pt idx="731">
                  <c:v>2.5901392267758668E-2</c:v>
                </c:pt>
                <c:pt idx="732">
                  <c:v>-1.4327360556956329E-2</c:v>
                </c:pt>
                <c:pt idx="733">
                  <c:v>3.8754939265330749E-3</c:v>
                </c:pt>
                <c:pt idx="734">
                  <c:v>1.0005995351324782E-2</c:v>
                </c:pt>
                <c:pt idx="735">
                  <c:v>-3.6734367088821118E-3</c:v>
                </c:pt>
                <c:pt idx="736">
                  <c:v>-4.7535972847419367E-5</c:v>
                </c:pt>
                <c:pt idx="737">
                  <c:v>2.081042726231626E-3</c:v>
                </c:pt>
                <c:pt idx="738">
                  <c:v>-3.3548768944742465E-3</c:v>
                </c:pt>
                <c:pt idx="739">
                  <c:v>-4.6454551038693183E-3</c:v>
                </c:pt>
                <c:pt idx="740">
                  <c:v>2.9672009298291283E-3</c:v>
                </c:pt>
                <c:pt idx="741">
                  <c:v>4.9126164126843596E-3</c:v>
                </c:pt>
                <c:pt idx="742">
                  <c:v>3.5266518768253515E-3</c:v>
                </c:pt>
                <c:pt idx="743">
                  <c:v>4.0496485516546355E-3</c:v>
                </c:pt>
                <c:pt idx="744">
                  <c:v>6.5212024288238786E-3</c:v>
                </c:pt>
                <c:pt idx="745">
                  <c:v>1.1227108850713362E-2</c:v>
                </c:pt>
                <c:pt idx="746">
                  <c:v>3.7562644797943621E-4</c:v>
                </c:pt>
                <c:pt idx="747">
                  <c:v>-7.1703397801570722E-3</c:v>
                </c:pt>
                <c:pt idx="748">
                  <c:v>5.8415386970052221E-3</c:v>
                </c:pt>
                <c:pt idx="749">
                  <c:v>1.1952193870856321E-2</c:v>
                </c:pt>
                <c:pt idx="750">
                  <c:v>-1.4165037505750461E-4</c:v>
                </c:pt>
                <c:pt idx="751">
                  <c:v>7.6545629979040666E-4</c:v>
                </c:pt>
                <c:pt idx="752">
                  <c:v>-3.3332425884083066E-3</c:v>
                </c:pt>
                <c:pt idx="753">
                  <c:v>5.4629046919795826E-6</c:v>
                </c:pt>
                <c:pt idx="754">
                  <c:v>-3.3050392835330378E-3</c:v>
                </c:pt>
                <c:pt idx="755">
                  <c:v>-2.2974116574073079E-3</c:v>
                </c:pt>
                <c:pt idx="756">
                  <c:v>-1.4810335283858236E-2</c:v>
                </c:pt>
                <c:pt idx="757">
                  <c:v>-1.6639369327751919E-4</c:v>
                </c:pt>
                <c:pt idx="758">
                  <c:v>4.2901469839915938E-3</c:v>
                </c:pt>
                <c:pt idx="759">
                  <c:v>-2.0962595638926084E-3</c:v>
                </c:pt>
                <c:pt idx="760">
                  <c:v>-8.0447138283392273E-4</c:v>
                </c:pt>
                <c:pt idx="761">
                  <c:v>1.4988492411185969E-3</c:v>
                </c:pt>
                <c:pt idx="762">
                  <c:v>2.8470661249403117E-3</c:v>
                </c:pt>
                <c:pt idx="763">
                  <c:v>-1.1379001948398733E-4</c:v>
                </c:pt>
                <c:pt idx="764">
                  <c:v>6.5834906720386279E-3</c:v>
                </c:pt>
                <c:pt idx="765">
                  <c:v>6.607649905189408E-3</c:v>
                </c:pt>
                <c:pt idx="766">
                  <c:v>9.7351914087729797E-3</c:v>
                </c:pt>
                <c:pt idx="767">
                  <c:v>-5.5556097629726733E-3</c:v>
                </c:pt>
                <c:pt idx="768">
                  <c:v>1.0186876416312949E-3</c:v>
                </c:pt>
                <c:pt idx="769">
                  <c:v>-1.4898828459812142E-3</c:v>
                </c:pt>
                <c:pt idx="770">
                  <c:v>2.3275979603522394E-3</c:v>
                </c:pt>
                <c:pt idx="771">
                  <c:v>8.5272574728579836E-3</c:v>
                </c:pt>
                <c:pt idx="772">
                  <c:v>-8.6258539103353394E-3</c:v>
                </c:pt>
                <c:pt idx="773">
                  <c:v>3.032866318792969E-3</c:v>
                </c:pt>
                <c:pt idx="774">
                  <c:v>-9.446309704321176E-3</c:v>
                </c:pt>
                <c:pt idx="775">
                  <c:v>1.9194160733624131E-3</c:v>
                </c:pt>
                <c:pt idx="776">
                  <c:v>-1.0255468307540324E-3</c:v>
                </c:pt>
                <c:pt idx="777">
                  <c:v>-5.3343781739222749E-3</c:v>
                </c:pt>
                <c:pt idx="778">
                  <c:v>5.1664682413058681E-3</c:v>
                </c:pt>
                <c:pt idx="779">
                  <c:v>-6.853071435749424E-3</c:v>
                </c:pt>
                <c:pt idx="780">
                  <c:v>-7.730334403592329E-3</c:v>
                </c:pt>
                <c:pt idx="781">
                  <c:v>2.6823850788830483E-3</c:v>
                </c:pt>
                <c:pt idx="782">
                  <c:v>-2.885720666865774E-2</c:v>
                </c:pt>
                <c:pt idx="783">
                  <c:v>3.5073742012127151E-3</c:v>
                </c:pt>
                <c:pt idx="784">
                  <c:v>1.0839564353050186E-2</c:v>
                </c:pt>
                <c:pt idx="785">
                  <c:v>7.7049531713292091E-3</c:v>
                </c:pt>
                <c:pt idx="786">
                  <c:v>-6.4606444395737825E-3</c:v>
                </c:pt>
                <c:pt idx="787">
                  <c:v>2.605914707512705E-4</c:v>
                </c:pt>
                <c:pt idx="788">
                  <c:v>5.7562235939132218E-4</c:v>
                </c:pt>
                <c:pt idx="789">
                  <c:v>-2.8829204951140591E-2</c:v>
                </c:pt>
                <c:pt idx="790">
                  <c:v>-8.9819092947808141E-3</c:v>
                </c:pt>
                <c:pt idx="791">
                  <c:v>3.8390003346677423E-3</c:v>
                </c:pt>
                <c:pt idx="792">
                  <c:v>1.8833741917377512E-2</c:v>
                </c:pt>
                <c:pt idx="793">
                  <c:v>-4.567239831056156E-3</c:v>
                </c:pt>
                <c:pt idx="794">
                  <c:v>-6.5616987295127847E-3</c:v>
                </c:pt>
                <c:pt idx="795">
                  <c:v>8.1382363365231011E-3</c:v>
                </c:pt>
                <c:pt idx="796">
                  <c:v>5.8524943606813257E-3</c:v>
                </c:pt>
                <c:pt idx="797">
                  <c:v>-3.8307528545885039E-3</c:v>
                </c:pt>
                <c:pt idx="798">
                  <c:v>-1.7742733334200816E-2</c:v>
                </c:pt>
                <c:pt idx="799">
                  <c:v>4.6537332003717411E-3</c:v>
                </c:pt>
                <c:pt idx="800">
                  <c:v>-6.1137787408901208E-4</c:v>
                </c:pt>
                <c:pt idx="801">
                  <c:v>7.3780564158839315E-3</c:v>
                </c:pt>
                <c:pt idx="802">
                  <c:v>6.5690084795115415E-4</c:v>
                </c:pt>
                <c:pt idx="803">
                  <c:v>8.7809412107237202E-3</c:v>
                </c:pt>
                <c:pt idx="804">
                  <c:v>1.1497816247988997E-2</c:v>
                </c:pt>
                <c:pt idx="805">
                  <c:v>-2.2759441657834146E-3</c:v>
                </c:pt>
                <c:pt idx="806">
                  <c:v>1.3335645894812526E-2</c:v>
                </c:pt>
                <c:pt idx="807">
                  <c:v>4.9696375356313265E-3</c:v>
                </c:pt>
                <c:pt idx="808">
                  <c:v>-2.7685749348147843E-2</c:v>
                </c:pt>
                <c:pt idx="809">
                  <c:v>5.9313872430531408E-4</c:v>
                </c:pt>
                <c:pt idx="810">
                  <c:v>4.1663555520750463E-3</c:v>
                </c:pt>
                <c:pt idx="811">
                  <c:v>-7.3512109197004108E-3</c:v>
                </c:pt>
                <c:pt idx="812">
                  <c:v>1.5021640068486346E-2</c:v>
                </c:pt>
                <c:pt idx="813">
                  <c:v>3.8258433311778341E-2</c:v>
                </c:pt>
                <c:pt idx="814">
                  <c:v>5.6842610763993056E-3</c:v>
                </c:pt>
                <c:pt idx="815">
                  <c:v>-5.20952971582468E-3</c:v>
                </c:pt>
                <c:pt idx="816">
                  <c:v>6.9084056275790428E-3</c:v>
                </c:pt>
                <c:pt idx="817">
                  <c:v>2.5193381956065846E-3</c:v>
                </c:pt>
                <c:pt idx="818">
                  <c:v>-1.3293552101498012E-3</c:v>
                </c:pt>
                <c:pt idx="819">
                  <c:v>-4.4312809803437447E-3</c:v>
                </c:pt>
                <c:pt idx="820">
                  <c:v>-8.4215778868615854E-3</c:v>
                </c:pt>
                <c:pt idx="821">
                  <c:v>-6.32390109866193E-3</c:v>
                </c:pt>
                <c:pt idx="822">
                  <c:v>-2.181692967457417E-3</c:v>
                </c:pt>
                <c:pt idx="823">
                  <c:v>1.1420318565048009E-2</c:v>
                </c:pt>
                <c:pt idx="824">
                  <c:v>-5.5472535581926989E-3</c:v>
                </c:pt>
                <c:pt idx="825">
                  <c:v>-6.206557426425118E-3</c:v>
                </c:pt>
                <c:pt idx="826">
                  <c:v>-6.234777624288145E-3</c:v>
                </c:pt>
                <c:pt idx="827">
                  <c:v>-9.0299519927443429E-3</c:v>
                </c:pt>
                <c:pt idx="828">
                  <c:v>-3.2284653198726747E-2</c:v>
                </c:pt>
                <c:pt idx="829">
                  <c:v>2.563077942734754E-3</c:v>
                </c:pt>
                <c:pt idx="830">
                  <c:v>-1.4738982483594728E-2</c:v>
                </c:pt>
                <c:pt idx="831">
                  <c:v>8.2331793160327397E-4</c:v>
                </c:pt>
                <c:pt idx="832">
                  <c:v>1.3707258352518105E-2</c:v>
                </c:pt>
                <c:pt idx="833">
                  <c:v>-1.8836667781189809E-2</c:v>
                </c:pt>
                <c:pt idx="834">
                  <c:v>1.3766976693168908E-3</c:v>
                </c:pt>
                <c:pt idx="835">
                  <c:v>7.040667920234155E-3</c:v>
                </c:pt>
                <c:pt idx="836">
                  <c:v>-1.0093690269896468E-3</c:v>
                </c:pt>
                <c:pt idx="837">
                  <c:v>2.7277940695779423E-3</c:v>
                </c:pt>
                <c:pt idx="838">
                  <c:v>-1.5323417021069197E-2</c:v>
                </c:pt>
                <c:pt idx="839">
                  <c:v>-1.1543994203615678E-2</c:v>
                </c:pt>
                <c:pt idx="840">
                  <c:v>1.4860434914442556E-3</c:v>
                </c:pt>
                <c:pt idx="841">
                  <c:v>1.2592632792115414E-2</c:v>
                </c:pt>
                <c:pt idx="842">
                  <c:v>7.5159179073901348E-3</c:v>
                </c:pt>
                <c:pt idx="843">
                  <c:v>4.1690143473914754E-3</c:v>
                </c:pt>
                <c:pt idx="844">
                  <c:v>8.8289675637672187E-4</c:v>
                </c:pt>
                <c:pt idx="845">
                  <c:v>-7.4771102002082392E-3</c:v>
                </c:pt>
                <c:pt idx="846">
                  <c:v>-1.21182878489214E-2</c:v>
                </c:pt>
                <c:pt idx="847">
                  <c:v>-2.1853117258879666E-2</c:v>
                </c:pt>
                <c:pt idx="848">
                  <c:v>6.3495283055403223E-3</c:v>
                </c:pt>
                <c:pt idx="849">
                  <c:v>-2.1165441355963121E-4</c:v>
                </c:pt>
                <c:pt idx="850">
                  <c:v>-3.6686512666710125E-4</c:v>
                </c:pt>
                <c:pt idx="851">
                  <c:v>4.399184081306828E-3</c:v>
                </c:pt>
                <c:pt idx="852">
                  <c:v>6.6793719372935014E-3</c:v>
                </c:pt>
                <c:pt idx="853">
                  <c:v>-2.7009574975252793E-2</c:v>
                </c:pt>
                <c:pt idx="854">
                  <c:v>4.2747137776410083E-3</c:v>
                </c:pt>
                <c:pt idx="855">
                  <c:v>9.3560587976815445E-3</c:v>
                </c:pt>
                <c:pt idx="856">
                  <c:v>7.0313346504567971E-3</c:v>
                </c:pt>
                <c:pt idx="857">
                  <c:v>9.8394063190747061E-3</c:v>
                </c:pt>
                <c:pt idx="858">
                  <c:v>-8.6324973730895881E-3</c:v>
                </c:pt>
                <c:pt idx="859">
                  <c:v>1.7927815749247403E-2</c:v>
                </c:pt>
                <c:pt idx="860">
                  <c:v>-1.5945557947558532E-3</c:v>
                </c:pt>
                <c:pt idx="861">
                  <c:v>6.0961219686025284E-3</c:v>
                </c:pt>
                <c:pt idx="862">
                  <c:v>-3.8981697437809854E-2</c:v>
                </c:pt>
                <c:pt idx="863">
                  <c:v>2.0139925688989417E-2</c:v>
                </c:pt>
                <c:pt idx="864">
                  <c:v>-2.6970834964039386E-3</c:v>
                </c:pt>
                <c:pt idx="865">
                  <c:v>-1.120275480167658E-2</c:v>
                </c:pt>
                <c:pt idx="866">
                  <c:v>5.8865220921343261E-3</c:v>
                </c:pt>
                <c:pt idx="867">
                  <c:v>2.1549882368743427E-3</c:v>
                </c:pt>
                <c:pt idx="868">
                  <c:v>-6.7777474847075803E-3</c:v>
                </c:pt>
                <c:pt idx="869">
                  <c:v>-5.9402842059108904E-3</c:v>
                </c:pt>
                <c:pt idx="870">
                  <c:v>1.392127061641186E-3</c:v>
                </c:pt>
                <c:pt idx="871">
                  <c:v>4.4757274028852231E-3</c:v>
                </c:pt>
                <c:pt idx="872">
                  <c:v>1.2547404085863823E-2</c:v>
                </c:pt>
                <c:pt idx="873">
                  <c:v>1.1612705036002317E-2</c:v>
                </c:pt>
                <c:pt idx="874">
                  <c:v>-6.4700602683752662E-3</c:v>
                </c:pt>
                <c:pt idx="875">
                  <c:v>-1.682237704132945E-2</c:v>
                </c:pt>
                <c:pt idx="876">
                  <c:v>-2.3642937589790556E-2</c:v>
                </c:pt>
                <c:pt idx="877">
                  <c:v>1.7487404389355185E-3</c:v>
                </c:pt>
                <c:pt idx="878">
                  <c:v>-1.5520382009752844E-2</c:v>
                </c:pt>
                <c:pt idx="879">
                  <c:v>6.1646801860325727E-3</c:v>
                </c:pt>
                <c:pt idx="880">
                  <c:v>-5.8207513979236652E-3</c:v>
                </c:pt>
                <c:pt idx="881">
                  <c:v>1.2556463931100857E-3</c:v>
                </c:pt>
                <c:pt idx="882">
                  <c:v>1.9699679526144001E-3</c:v>
                </c:pt>
                <c:pt idx="883">
                  <c:v>7.6052019581393671E-3</c:v>
                </c:pt>
                <c:pt idx="884">
                  <c:v>-3.1353161534824862E-3</c:v>
                </c:pt>
                <c:pt idx="885">
                  <c:v>-1.8530344435268189E-3</c:v>
                </c:pt>
                <c:pt idx="886">
                  <c:v>2.885769922916418E-3</c:v>
                </c:pt>
                <c:pt idx="887">
                  <c:v>2.1826943483975934E-2</c:v>
                </c:pt>
                <c:pt idx="888">
                  <c:v>8.6805407599478621E-3</c:v>
                </c:pt>
                <c:pt idx="889">
                  <c:v>1.6194665249821435E-2</c:v>
                </c:pt>
                <c:pt idx="890">
                  <c:v>9.4690167102810269E-3</c:v>
                </c:pt>
                <c:pt idx="891">
                  <c:v>-5.9188348705783598E-3</c:v>
                </c:pt>
                <c:pt idx="892">
                  <c:v>1.454052036143926E-2</c:v>
                </c:pt>
                <c:pt idx="893">
                  <c:v>1.7832322271188032E-2</c:v>
                </c:pt>
                <c:pt idx="894">
                  <c:v>-4.2487910866625123E-3</c:v>
                </c:pt>
                <c:pt idx="895">
                  <c:v>5.5271513713817154E-3</c:v>
                </c:pt>
                <c:pt idx="896">
                  <c:v>-4.4660110594789901E-3</c:v>
                </c:pt>
                <c:pt idx="897">
                  <c:v>-4.8491887354391765E-3</c:v>
                </c:pt>
                <c:pt idx="898">
                  <c:v>-1.0260765669108229E-2</c:v>
                </c:pt>
                <c:pt idx="899">
                  <c:v>1.2611770331844588E-2</c:v>
                </c:pt>
                <c:pt idx="900">
                  <c:v>-6.6433339067363713E-4</c:v>
                </c:pt>
                <c:pt idx="901">
                  <c:v>-7.0469382852958147E-3</c:v>
                </c:pt>
                <c:pt idx="902">
                  <c:v>-1.0249445942921783E-2</c:v>
                </c:pt>
                <c:pt idx="903">
                  <c:v>-2.0466520205554002E-3</c:v>
                </c:pt>
                <c:pt idx="904">
                  <c:v>-7.2719632865725367E-3</c:v>
                </c:pt>
                <c:pt idx="905">
                  <c:v>3.694728672066203E-3</c:v>
                </c:pt>
                <c:pt idx="906">
                  <c:v>2.5720671103382146E-3</c:v>
                </c:pt>
                <c:pt idx="907">
                  <c:v>-3.5555750248233435E-3</c:v>
                </c:pt>
                <c:pt idx="908">
                  <c:v>-1.0631516474820616E-2</c:v>
                </c:pt>
                <c:pt idx="909">
                  <c:v>2.5322927043635981E-5</c:v>
                </c:pt>
                <c:pt idx="910">
                  <c:v>-2.2529667685609409E-3</c:v>
                </c:pt>
                <c:pt idx="911">
                  <c:v>1.406405441740312E-3</c:v>
                </c:pt>
                <c:pt idx="912">
                  <c:v>2.9496860593921123E-3</c:v>
                </c:pt>
                <c:pt idx="913">
                  <c:v>-2.0470504546564764E-3</c:v>
                </c:pt>
                <c:pt idx="914">
                  <c:v>3.3216051964666919E-3</c:v>
                </c:pt>
                <c:pt idx="915">
                  <c:v>-1.5170944546053506E-3</c:v>
                </c:pt>
                <c:pt idx="916">
                  <c:v>-3.9470527893572908E-3</c:v>
                </c:pt>
                <c:pt idx="917">
                  <c:v>-2.2167911636692956E-3</c:v>
                </c:pt>
                <c:pt idx="918">
                  <c:v>-3.8124266875626707E-3</c:v>
                </c:pt>
                <c:pt idx="919">
                  <c:v>-7.2176238343432267E-3</c:v>
                </c:pt>
                <c:pt idx="920">
                  <c:v>-6.1941863971465387E-3</c:v>
                </c:pt>
                <c:pt idx="921">
                  <c:v>-9.1857603383144225E-4</c:v>
                </c:pt>
                <c:pt idx="922">
                  <c:v>-7.5190670434262643E-3</c:v>
                </c:pt>
                <c:pt idx="923">
                  <c:v>1.3080434591549422E-2</c:v>
                </c:pt>
                <c:pt idx="924">
                  <c:v>8.9107236327000718E-3</c:v>
                </c:pt>
                <c:pt idx="925">
                  <c:v>-2.001530412062504E-3</c:v>
                </c:pt>
                <c:pt idx="926">
                  <c:v>-1.0166976669314102E-2</c:v>
                </c:pt>
                <c:pt idx="927">
                  <c:v>2.7992976032979503E-3</c:v>
                </c:pt>
                <c:pt idx="928">
                  <c:v>2.018786408604967E-3</c:v>
                </c:pt>
                <c:pt idx="929">
                  <c:v>3.3662770523905398E-3</c:v>
                </c:pt>
                <c:pt idx="930">
                  <c:v>6.3116635062802967E-3</c:v>
                </c:pt>
                <c:pt idx="931">
                  <c:v>1.3197098296573428E-2</c:v>
                </c:pt>
                <c:pt idx="932">
                  <c:v>-1.7865033608416515E-3</c:v>
                </c:pt>
                <c:pt idx="933">
                  <c:v>3.0031899537248659E-3</c:v>
                </c:pt>
                <c:pt idx="934">
                  <c:v>-1.3304387131131655E-3</c:v>
                </c:pt>
                <c:pt idx="935">
                  <c:v>-3.5188782099030485E-3</c:v>
                </c:pt>
                <c:pt idx="936">
                  <c:v>1.8706343731089939E-3</c:v>
                </c:pt>
                <c:pt idx="937">
                  <c:v>-3.260488355670312E-3</c:v>
                </c:pt>
                <c:pt idx="938">
                  <c:v>-4.6020715877803237E-3</c:v>
                </c:pt>
                <c:pt idx="939">
                  <c:v>2.0071631367882506E-3</c:v>
                </c:pt>
                <c:pt idx="940">
                  <c:v>9.2446663731624527E-3</c:v>
                </c:pt>
                <c:pt idx="941">
                  <c:v>-2.1079404775014958E-3</c:v>
                </c:pt>
                <c:pt idx="942">
                  <c:v>1.8140809131349123E-3</c:v>
                </c:pt>
                <c:pt idx="943">
                  <c:v>3.1684191874254385E-3</c:v>
                </c:pt>
                <c:pt idx="944">
                  <c:v>-3.7124033850621727E-3</c:v>
                </c:pt>
                <c:pt idx="945">
                  <c:v>-1.5406250103697462E-2</c:v>
                </c:pt>
                <c:pt idx="946">
                  <c:v>1.512276230903052E-3</c:v>
                </c:pt>
                <c:pt idx="947">
                  <c:v>-1.1117507574601183E-2</c:v>
                </c:pt>
                <c:pt idx="948">
                  <c:v>3.0220953502317978E-3</c:v>
                </c:pt>
                <c:pt idx="949">
                  <c:v>1.3183920575136177E-2</c:v>
                </c:pt>
                <c:pt idx="950">
                  <c:v>3.2505204061642249E-3</c:v>
                </c:pt>
                <c:pt idx="951">
                  <c:v>3.4836435402039365E-3</c:v>
                </c:pt>
                <c:pt idx="952">
                  <c:v>-5.5689248292557069E-3</c:v>
                </c:pt>
                <c:pt idx="953">
                  <c:v>4.5644252921483745E-3</c:v>
                </c:pt>
                <c:pt idx="954">
                  <c:v>5.1846299030426646E-3</c:v>
                </c:pt>
                <c:pt idx="955">
                  <c:v>1.5045654408243446E-2</c:v>
                </c:pt>
                <c:pt idx="956">
                  <c:v>4.4679330005848381E-3</c:v>
                </c:pt>
                <c:pt idx="957">
                  <c:v>-5.6185524546357437E-3</c:v>
                </c:pt>
                <c:pt idx="958">
                  <c:v>-1.259718889925894E-3</c:v>
                </c:pt>
                <c:pt idx="959">
                  <c:v>4.3671438435305748E-3</c:v>
                </c:pt>
                <c:pt idx="960">
                  <c:v>-3.8160932910692724E-3</c:v>
                </c:pt>
                <c:pt idx="961">
                  <c:v>-2.0896913851842841E-3</c:v>
                </c:pt>
                <c:pt idx="962">
                  <c:v>7.2431140101259363E-4</c:v>
                </c:pt>
                <c:pt idx="963">
                  <c:v>3.9154663375832221E-3</c:v>
                </c:pt>
                <c:pt idx="964">
                  <c:v>-1.1253564638230846E-3</c:v>
                </c:pt>
                <c:pt idx="965">
                  <c:v>5.4430576644627301E-4</c:v>
                </c:pt>
                <c:pt idx="966">
                  <c:v>7.7102997064356401E-4</c:v>
                </c:pt>
                <c:pt idx="967">
                  <c:v>-2.0155004817553796E-2</c:v>
                </c:pt>
                <c:pt idx="968">
                  <c:v>7.1842256510013715E-3</c:v>
                </c:pt>
                <c:pt idx="969">
                  <c:v>-5.8904614879218709E-4</c:v>
                </c:pt>
                <c:pt idx="970">
                  <c:v>1.0600106780313653E-3</c:v>
                </c:pt>
                <c:pt idx="971">
                  <c:v>-5.7419152738436979E-3</c:v>
                </c:pt>
                <c:pt idx="972">
                  <c:v>-1.2750384933843581E-2</c:v>
                </c:pt>
                <c:pt idx="973">
                  <c:v>-1.7477849895235257E-3</c:v>
                </c:pt>
                <c:pt idx="974">
                  <c:v>6.7248532376310254E-3</c:v>
                </c:pt>
                <c:pt idx="975">
                  <c:v>-4.0096328751635978E-3</c:v>
                </c:pt>
                <c:pt idx="976">
                  <c:v>1.1204848984228521E-3</c:v>
                </c:pt>
                <c:pt idx="977">
                  <c:v>-3.7826500277708319E-3</c:v>
                </c:pt>
                <c:pt idx="978">
                  <c:v>4.1826600755165734E-3</c:v>
                </c:pt>
                <c:pt idx="979">
                  <c:v>5.5904090443803945E-4</c:v>
                </c:pt>
                <c:pt idx="980">
                  <c:v>-1.3365879511098154E-2</c:v>
                </c:pt>
                <c:pt idx="981">
                  <c:v>2.9558210149840882E-3</c:v>
                </c:pt>
                <c:pt idx="982">
                  <c:v>-8.0060085013903496E-3</c:v>
                </c:pt>
                <c:pt idx="983">
                  <c:v>-2.7784896665480521E-2</c:v>
                </c:pt>
                <c:pt idx="984">
                  <c:v>-1.2290481755453097E-2</c:v>
                </c:pt>
                <c:pt idx="985">
                  <c:v>1.2592872562234302E-2</c:v>
                </c:pt>
                <c:pt idx="986">
                  <c:v>-4.245408881346298E-3</c:v>
                </c:pt>
                <c:pt idx="987">
                  <c:v>1.2250310064231355E-2</c:v>
                </c:pt>
                <c:pt idx="988">
                  <c:v>-8.7722225487334628E-3</c:v>
                </c:pt>
                <c:pt idx="989">
                  <c:v>-1.3151802217476138E-2</c:v>
                </c:pt>
                <c:pt idx="990">
                  <c:v>1.1912596491344152E-2</c:v>
                </c:pt>
                <c:pt idx="991">
                  <c:v>1.6934462297486463E-2</c:v>
                </c:pt>
                <c:pt idx="992">
                  <c:v>9.783414088660675E-3</c:v>
                </c:pt>
                <c:pt idx="993">
                  <c:v>-4.5389174316872111E-3</c:v>
                </c:pt>
                <c:pt idx="994">
                  <c:v>-2.248057131268336E-3</c:v>
                </c:pt>
                <c:pt idx="995">
                  <c:v>4.3769872691436472E-3</c:v>
                </c:pt>
                <c:pt idx="996">
                  <c:v>7.1415344155744999E-3</c:v>
                </c:pt>
                <c:pt idx="997">
                  <c:v>-1.2260190326066896E-2</c:v>
                </c:pt>
                <c:pt idx="998">
                  <c:v>7.3260525429603325E-3</c:v>
                </c:pt>
                <c:pt idx="999">
                  <c:v>-1.0612354937931917E-3</c:v>
                </c:pt>
                <c:pt idx="1000">
                  <c:v>1.1210014181196012E-3</c:v>
                </c:pt>
                <c:pt idx="1001">
                  <c:v>-1.1774367590933177E-2</c:v>
                </c:pt>
                <c:pt idx="1002">
                  <c:v>-1.4946637750490028E-2</c:v>
                </c:pt>
                <c:pt idx="1003">
                  <c:v>-3.4705789795006409E-2</c:v>
                </c:pt>
                <c:pt idx="1004">
                  <c:v>1.1707202062687503E-2</c:v>
                </c:pt>
                <c:pt idx="1005">
                  <c:v>1.0437963975749389E-3</c:v>
                </c:pt>
                <c:pt idx="1006">
                  <c:v>-1.0908647034192235E-2</c:v>
                </c:pt>
                <c:pt idx="1007">
                  <c:v>9.2715107641675777E-4</c:v>
                </c:pt>
                <c:pt idx="1008">
                  <c:v>1.5920989689048422E-2</c:v>
                </c:pt>
                <c:pt idx="1009">
                  <c:v>1.8672074334955376E-2</c:v>
                </c:pt>
                <c:pt idx="1010">
                  <c:v>2.668424452493276E-2</c:v>
                </c:pt>
                <c:pt idx="1011">
                  <c:v>-9.6948259742014806E-3</c:v>
                </c:pt>
                <c:pt idx="1012">
                  <c:v>-1.4320207918165771E-2</c:v>
                </c:pt>
                <c:pt idx="1013">
                  <c:v>2.0109467293116093E-2</c:v>
                </c:pt>
                <c:pt idx="1014">
                  <c:v>-1.3060241840666855E-3</c:v>
                </c:pt>
                <c:pt idx="1015">
                  <c:v>2.7959174730440199E-3</c:v>
                </c:pt>
                <c:pt idx="1016">
                  <c:v>-6.4406430970470885E-3</c:v>
                </c:pt>
                <c:pt idx="1017">
                  <c:v>1.7780809840884058E-2</c:v>
                </c:pt>
                <c:pt idx="1018">
                  <c:v>8.0598153421265317E-3</c:v>
                </c:pt>
                <c:pt idx="1019">
                  <c:v>4.8301220824434037E-3</c:v>
                </c:pt>
                <c:pt idx="1020">
                  <c:v>1.7814258309261987E-2</c:v>
                </c:pt>
                <c:pt idx="1021">
                  <c:v>-1.7067770216539584E-2</c:v>
                </c:pt>
                <c:pt idx="1022">
                  <c:v>-5.9484765623319725E-4</c:v>
                </c:pt>
                <c:pt idx="1023">
                  <c:v>-1.3586563734884588E-2</c:v>
                </c:pt>
                <c:pt idx="1024">
                  <c:v>4.2937864640136278E-3</c:v>
                </c:pt>
                <c:pt idx="1025">
                  <c:v>-6.005780745447502E-3</c:v>
                </c:pt>
                <c:pt idx="1026">
                  <c:v>9.7276809242755361E-4</c:v>
                </c:pt>
                <c:pt idx="1027">
                  <c:v>-1.0821620672488715E-2</c:v>
                </c:pt>
                <c:pt idx="1028">
                  <c:v>6.7906388511084102E-3</c:v>
                </c:pt>
                <c:pt idx="1029">
                  <c:v>5.3177252951416183E-3</c:v>
                </c:pt>
                <c:pt idx="1030">
                  <c:v>-7.993907830429671E-3</c:v>
                </c:pt>
                <c:pt idx="1031">
                  <c:v>-3.201634927425119E-3</c:v>
                </c:pt>
                <c:pt idx="1032">
                  <c:v>1.8760550813897729E-3</c:v>
                </c:pt>
                <c:pt idx="1033">
                  <c:v>-6.7124148535225537E-3</c:v>
                </c:pt>
                <c:pt idx="1034">
                  <c:v>-2.4092596537628715E-3</c:v>
                </c:pt>
                <c:pt idx="1035">
                  <c:v>6.3868425747604183E-3</c:v>
                </c:pt>
                <c:pt idx="1036">
                  <c:v>1.6378303100400154E-2</c:v>
                </c:pt>
                <c:pt idx="1037">
                  <c:v>2.3545491932167729E-3</c:v>
                </c:pt>
                <c:pt idx="1038">
                  <c:v>-2.4047691853590829E-3</c:v>
                </c:pt>
                <c:pt idx="1039">
                  <c:v>5.8643236467959383E-4</c:v>
                </c:pt>
                <c:pt idx="1040">
                  <c:v>5.4791069304742793E-3</c:v>
                </c:pt>
                <c:pt idx="1041">
                  <c:v>5.009674035734578E-3</c:v>
                </c:pt>
                <c:pt idx="1042">
                  <c:v>1.5069195554275284E-3</c:v>
                </c:pt>
                <c:pt idx="1043">
                  <c:v>-9.6567228542038534E-4</c:v>
                </c:pt>
                <c:pt idx="1044">
                  <c:v>1.3776881479361242E-3</c:v>
                </c:pt>
                <c:pt idx="1045">
                  <c:v>-4.2974119526084506E-3</c:v>
                </c:pt>
                <c:pt idx="1046">
                  <c:v>-8.7336118860010959E-3</c:v>
                </c:pt>
                <c:pt idx="1047">
                  <c:v>-9.9564601457296717E-3</c:v>
                </c:pt>
                <c:pt idx="1048">
                  <c:v>-9.8904039620254175E-4</c:v>
                </c:pt>
                <c:pt idx="1049">
                  <c:v>-1.2277514691283782E-2</c:v>
                </c:pt>
                <c:pt idx="1050">
                  <c:v>-1.0750171512354974E-2</c:v>
                </c:pt>
                <c:pt idx="1051">
                  <c:v>1.4601153421018628E-3</c:v>
                </c:pt>
                <c:pt idx="1052">
                  <c:v>2.0499810376754012E-3</c:v>
                </c:pt>
                <c:pt idx="1053">
                  <c:v>-5.0515974978526269E-3</c:v>
                </c:pt>
                <c:pt idx="1054">
                  <c:v>-7.9087479930363077E-4</c:v>
                </c:pt>
                <c:pt idx="1055">
                  <c:v>3.8265072455949422E-3</c:v>
                </c:pt>
                <c:pt idx="1056">
                  <c:v>-2.7731924562565398E-3</c:v>
                </c:pt>
                <c:pt idx="1057">
                  <c:v>-5.0799826522503044E-3</c:v>
                </c:pt>
                <c:pt idx="1058">
                  <c:v>7.5313841267952021E-4</c:v>
                </c:pt>
                <c:pt idx="1059">
                  <c:v>1.5956331207047786E-2</c:v>
                </c:pt>
                <c:pt idx="1060">
                  <c:v>-7.4655106739900398E-3</c:v>
                </c:pt>
                <c:pt idx="1061">
                  <c:v>-5.337125293229778E-3</c:v>
                </c:pt>
                <c:pt idx="1062">
                  <c:v>-7.8296210202361005E-4</c:v>
                </c:pt>
                <c:pt idx="1063">
                  <c:v>8.0729139842999429E-3</c:v>
                </c:pt>
                <c:pt idx="1064">
                  <c:v>1.9810073505864135E-3</c:v>
                </c:pt>
                <c:pt idx="1065">
                  <c:v>1.0227446267355846E-3</c:v>
                </c:pt>
                <c:pt idx="1066">
                  <c:v>5.0038934907890341E-3</c:v>
                </c:pt>
                <c:pt idx="1067">
                  <c:v>1.2680462964220424E-3</c:v>
                </c:pt>
                <c:pt idx="1068">
                  <c:v>1.255526633273538E-2</c:v>
                </c:pt>
                <c:pt idx="1069">
                  <c:v>2.2376219950244135E-3</c:v>
                </c:pt>
                <c:pt idx="1070">
                  <c:v>8.8645674724656971E-3</c:v>
                </c:pt>
                <c:pt idx="1071">
                  <c:v>2.8202839529604187E-3</c:v>
                </c:pt>
                <c:pt idx="1072">
                  <c:v>8.3401373468796544E-3</c:v>
                </c:pt>
                <c:pt idx="1073">
                  <c:v>3.8230150802668807E-3</c:v>
                </c:pt>
                <c:pt idx="1074">
                  <c:v>1.3946991453375396E-4</c:v>
                </c:pt>
                <c:pt idx="1075">
                  <c:v>3.520233383538675E-3</c:v>
                </c:pt>
                <c:pt idx="1076">
                  <c:v>-9.7649305264574538E-3</c:v>
                </c:pt>
                <c:pt idx="1077">
                  <c:v>-1.0893749840124761E-2</c:v>
                </c:pt>
                <c:pt idx="1078">
                  <c:v>-7.2234101717971004E-3</c:v>
                </c:pt>
                <c:pt idx="1079">
                  <c:v>6.102989778441612E-3</c:v>
                </c:pt>
                <c:pt idx="1080">
                  <c:v>3.9188755259146535E-3</c:v>
                </c:pt>
                <c:pt idx="1081">
                  <c:v>5.5120110645161821E-3</c:v>
                </c:pt>
                <c:pt idx="1082">
                  <c:v>6.3253513138520883E-3</c:v>
                </c:pt>
                <c:pt idx="1083">
                  <c:v>-3.44353388138621E-3</c:v>
                </c:pt>
                <c:pt idx="1084">
                  <c:v>-8.685671068901479E-3</c:v>
                </c:pt>
                <c:pt idx="1085">
                  <c:v>3.440135801814361E-3</c:v>
                </c:pt>
                <c:pt idx="1086">
                  <c:v>-9.8851684506043782E-3</c:v>
                </c:pt>
                <c:pt idx="1087">
                  <c:v>-2.1083160411130759E-3</c:v>
                </c:pt>
                <c:pt idx="1088">
                  <c:v>-4.4142722786362065E-4</c:v>
                </c:pt>
                <c:pt idx="1089">
                  <c:v>-6.8567012697307267E-4</c:v>
                </c:pt>
                <c:pt idx="1090">
                  <c:v>-1.648393121063259E-3</c:v>
                </c:pt>
                <c:pt idx="1091">
                  <c:v>8.4787306170828556E-3</c:v>
                </c:pt>
                <c:pt idx="1092">
                  <c:v>7.6323601429253403E-3</c:v>
                </c:pt>
                <c:pt idx="1093">
                  <c:v>-7.8728743083364156E-3</c:v>
                </c:pt>
                <c:pt idx="1094">
                  <c:v>-1.5506381323446314E-3</c:v>
                </c:pt>
                <c:pt idx="1095">
                  <c:v>1.9993351701760053E-3</c:v>
                </c:pt>
                <c:pt idx="1096">
                  <c:v>6.8258139521388036E-3</c:v>
                </c:pt>
                <c:pt idx="1097">
                  <c:v>6.5888493181675374E-3</c:v>
                </c:pt>
                <c:pt idx="1098">
                  <c:v>4.9230689945430565E-3</c:v>
                </c:pt>
                <c:pt idx="1099">
                  <c:v>-1.0711261984433744E-2</c:v>
                </c:pt>
                <c:pt idx="1100">
                  <c:v>5.6827686043534262E-3</c:v>
                </c:pt>
                <c:pt idx="1101">
                  <c:v>-3.162640323819214E-3</c:v>
                </c:pt>
                <c:pt idx="1102">
                  <c:v>-5.6537425611642503E-3</c:v>
                </c:pt>
                <c:pt idx="1103">
                  <c:v>1.7093539701289834E-5</c:v>
                </c:pt>
                <c:pt idx="1104">
                  <c:v>-3.1868072871163045E-3</c:v>
                </c:pt>
                <c:pt idx="1105">
                  <c:v>-1.6657609680107515E-3</c:v>
                </c:pt>
                <c:pt idx="1106">
                  <c:v>-1.6573635320510025E-2</c:v>
                </c:pt>
                <c:pt idx="1107">
                  <c:v>-7.3061921823593299E-5</c:v>
                </c:pt>
                <c:pt idx="1108">
                  <c:v>-1.0276651836719056E-2</c:v>
                </c:pt>
                <c:pt idx="1109">
                  <c:v>-1.1911579885141132E-3</c:v>
                </c:pt>
                <c:pt idx="1110">
                  <c:v>-2.276650347520072E-3</c:v>
                </c:pt>
                <c:pt idx="1111">
                  <c:v>3.2332211534144346E-2</c:v>
                </c:pt>
                <c:pt idx="1112">
                  <c:v>1.597378086659527E-3</c:v>
                </c:pt>
                <c:pt idx="1113">
                  <c:v>5.9118252426622372E-2</c:v>
                </c:pt>
                <c:pt idx="1114">
                  <c:v>-9.1200454453413734E-3</c:v>
                </c:pt>
                <c:pt idx="1115">
                  <c:v>1.17049694859349E-3</c:v>
                </c:pt>
                <c:pt idx="1116">
                  <c:v>1.5105681913935968E-2</c:v>
                </c:pt>
                <c:pt idx="1117">
                  <c:v>1.6556695826354887E-3</c:v>
                </c:pt>
                <c:pt idx="1118">
                  <c:v>6.2526927902320124E-3</c:v>
                </c:pt>
                <c:pt idx="1119">
                  <c:v>1.3855134283115085E-2</c:v>
                </c:pt>
                <c:pt idx="1120">
                  <c:v>8.895680603675498E-3</c:v>
                </c:pt>
                <c:pt idx="1121">
                  <c:v>-6.2440312471410998E-3</c:v>
                </c:pt>
                <c:pt idx="1122">
                  <c:v>-4.9579967732619303E-3</c:v>
                </c:pt>
                <c:pt idx="1123">
                  <c:v>-5.455722562641808E-4</c:v>
                </c:pt>
                <c:pt idx="1124">
                  <c:v>-6.1624046697535009E-4</c:v>
                </c:pt>
                <c:pt idx="1125">
                  <c:v>1.482465744357184E-3</c:v>
                </c:pt>
                <c:pt idx="1126">
                  <c:v>7.5466333143549271E-3</c:v>
                </c:pt>
                <c:pt idx="1127">
                  <c:v>1.0163212815052339E-2</c:v>
                </c:pt>
                <c:pt idx="1128">
                  <c:v>3.863515417668939E-3</c:v>
                </c:pt>
                <c:pt idx="1129">
                  <c:v>7.2433738444455395E-3</c:v>
                </c:pt>
                <c:pt idx="1130">
                  <c:v>7.012186842796077E-3</c:v>
                </c:pt>
                <c:pt idx="1131">
                  <c:v>8.8707057398909935E-3</c:v>
                </c:pt>
                <c:pt idx="1132">
                  <c:v>1.8997621081116148E-2</c:v>
                </c:pt>
                <c:pt idx="1133">
                  <c:v>4.0785192503985882E-3</c:v>
                </c:pt>
                <c:pt idx="1134">
                  <c:v>1.1072868827816483E-2</c:v>
                </c:pt>
                <c:pt idx="1135">
                  <c:v>-3.1451125869100117E-3</c:v>
                </c:pt>
                <c:pt idx="1136">
                  <c:v>-5.2395354319728844E-4</c:v>
                </c:pt>
                <c:pt idx="1137">
                  <c:v>-4.1053223262559942E-3</c:v>
                </c:pt>
                <c:pt idx="1138">
                  <c:v>-1.9766565914903517E-2</c:v>
                </c:pt>
                <c:pt idx="1139">
                  <c:v>1.6820219853248417E-2</c:v>
                </c:pt>
                <c:pt idx="1140">
                  <c:v>-8.6933623070607289E-3</c:v>
                </c:pt>
                <c:pt idx="1141">
                  <c:v>1.288603620205188E-2</c:v>
                </c:pt>
                <c:pt idx="1142">
                  <c:v>2.9189829920453023E-3</c:v>
                </c:pt>
                <c:pt idx="1143">
                  <c:v>-8.6340682476848344E-3</c:v>
                </c:pt>
                <c:pt idx="1144">
                  <c:v>3.7263406653410486E-3</c:v>
                </c:pt>
                <c:pt idx="1145">
                  <c:v>-2.2213788730831899E-3</c:v>
                </c:pt>
                <c:pt idx="1146">
                  <c:v>-1.5980176898944803E-2</c:v>
                </c:pt>
                <c:pt idx="1147">
                  <c:v>-6.3332557044078056E-4</c:v>
                </c:pt>
                <c:pt idx="1148">
                  <c:v>1.5395030146757352E-5</c:v>
                </c:pt>
                <c:pt idx="1149">
                  <c:v>7.0042091051556038E-3</c:v>
                </c:pt>
                <c:pt idx="1150">
                  <c:v>-1.6659420708697182E-3</c:v>
                </c:pt>
                <c:pt idx="1151">
                  <c:v>-4.0401743526123747E-3</c:v>
                </c:pt>
                <c:pt idx="1152">
                  <c:v>-1.4916190680392646E-2</c:v>
                </c:pt>
                <c:pt idx="1153">
                  <c:v>-1.1243433615399149E-2</c:v>
                </c:pt>
                <c:pt idx="1154">
                  <c:v>-2.6860246234421122E-2</c:v>
                </c:pt>
                <c:pt idx="1155">
                  <c:v>6.8938530180938738E-3</c:v>
                </c:pt>
                <c:pt idx="1156">
                  <c:v>8.7121366770647225E-3</c:v>
                </c:pt>
                <c:pt idx="1157">
                  <c:v>-4.724397045381145E-3</c:v>
                </c:pt>
                <c:pt idx="1158">
                  <c:v>6.9483340616747682E-3</c:v>
                </c:pt>
                <c:pt idx="1159">
                  <c:v>-1.0989449997019381E-3</c:v>
                </c:pt>
                <c:pt idx="1160">
                  <c:v>5.6002078797164944E-3</c:v>
                </c:pt>
                <c:pt idx="1161">
                  <c:v>-3.2110155545722685E-3</c:v>
                </c:pt>
                <c:pt idx="1162">
                  <c:v>-7.7910021272964312E-3</c:v>
                </c:pt>
                <c:pt idx="1163">
                  <c:v>1.8135117502508622E-3</c:v>
                </c:pt>
                <c:pt idx="1164">
                  <c:v>1.2969687823804533E-3</c:v>
                </c:pt>
                <c:pt idx="1165">
                  <c:v>2.2663721069308604E-3</c:v>
                </c:pt>
                <c:pt idx="1166">
                  <c:v>1.833957657019018E-3</c:v>
                </c:pt>
                <c:pt idx="1167">
                  <c:v>1.674614321661255E-3</c:v>
                </c:pt>
                <c:pt idx="1168">
                  <c:v>3.9944086990111787E-4</c:v>
                </c:pt>
                <c:pt idx="1169">
                  <c:v>8.103409087940449E-3</c:v>
                </c:pt>
                <c:pt idx="1170">
                  <c:v>2.8437699561146405E-3</c:v>
                </c:pt>
                <c:pt idx="1171">
                  <c:v>-9.0640081780662594E-4</c:v>
                </c:pt>
                <c:pt idx="1172">
                  <c:v>-1.8489332314817598E-3</c:v>
                </c:pt>
                <c:pt idx="1173">
                  <c:v>2.1481998784672529E-3</c:v>
                </c:pt>
                <c:pt idx="1174">
                  <c:v>-3.7801655834487293E-3</c:v>
                </c:pt>
                <c:pt idx="1175">
                  <c:v>8.532725508131932E-3</c:v>
                </c:pt>
                <c:pt idx="1176">
                  <c:v>2.7820742795817617E-3</c:v>
                </c:pt>
                <c:pt idx="1177">
                  <c:v>6.9087277144714524E-3</c:v>
                </c:pt>
                <c:pt idx="1178">
                  <c:v>8.5966750517152656E-3</c:v>
                </c:pt>
                <c:pt idx="1179">
                  <c:v>5.0774399088884012E-4</c:v>
                </c:pt>
                <c:pt idx="1180">
                  <c:v>4.7978611061939291E-3</c:v>
                </c:pt>
                <c:pt idx="1181">
                  <c:v>8.5236467357024184E-3</c:v>
                </c:pt>
                <c:pt idx="1182">
                  <c:v>7.4423338560761663E-3</c:v>
                </c:pt>
                <c:pt idx="1183">
                  <c:v>5.5649481050187048E-3</c:v>
                </c:pt>
                <c:pt idx="1184">
                  <c:v>1.4798742959801943E-2</c:v>
                </c:pt>
                <c:pt idx="1185">
                  <c:v>4.5743408170815557E-3</c:v>
                </c:pt>
                <c:pt idx="1186">
                  <c:v>-3.8614340705236203E-3</c:v>
                </c:pt>
                <c:pt idx="1187">
                  <c:v>-2.4569999765787485E-3</c:v>
                </c:pt>
                <c:pt idx="1188">
                  <c:v>1.8576214842715027E-2</c:v>
                </c:pt>
                <c:pt idx="1189">
                  <c:v>6.965865371909164E-3</c:v>
                </c:pt>
                <c:pt idx="1190">
                  <c:v>7.858189875306296E-3</c:v>
                </c:pt>
                <c:pt idx="1191">
                  <c:v>-8.9676036507187803E-5</c:v>
                </c:pt>
                <c:pt idx="1192">
                  <c:v>1.1194844536173379E-3</c:v>
                </c:pt>
                <c:pt idx="1193">
                  <c:v>6.4703751487524665E-4</c:v>
                </c:pt>
                <c:pt idx="1194">
                  <c:v>-3.9084490523551233E-3</c:v>
                </c:pt>
                <c:pt idx="1195">
                  <c:v>1.0292306771497233E-2</c:v>
                </c:pt>
                <c:pt idx="1196">
                  <c:v>9.583370643434579E-3</c:v>
                </c:pt>
                <c:pt idx="1197">
                  <c:v>7.3252602964697811E-3</c:v>
                </c:pt>
                <c:pt idx="1198">
                  <c:v>6.577528718672984E-3</c:v>
                </c:pt>
                <c:pt idx="1199">
                  <c:v>8.9995660459308378E-3</c:v>
                </c:pt>
                <c:pt idx="1200">
                  <c:v>1.4392282793726154E-2</c:v>
                </c:pt>
                <c:pt idx="1201">
                  <c:v>-2.4141173399697367E-3</c:v>
                </c:pt>
                <c:pt idx="1202">
                  <c:v>9.2276980726181627E-3</c:v>
                </c:pt>
                <c:pt idx="1203">
                  <c:v>2.0113108036717682E-2</c:v>
                </c:pt>
                <c:pt idx="1204">
                  <c:v>2.0343987670682375E-2</c:v>
                </c:pt>
                <c:pt idx="1205">
                  <c:v>2.0852089215877348E-3</c:v>
                </c:pt>
                <c:pt idx="1206">
                  <c:v>2.1308305225318483E-3</c:v>
                </c:pt>
                <c:pt idx="1207">
                  <c:v>1.0197782870092506E-2</c:v>
                </c:pt>
                <c:pt idx="1208">
                  <c:v>-5.705899258093664E-3</c:v>
                </c:pt>
                <c:pt idx="1209">
                  <c:v>8.599195748071949E-4</c:v>
                </c:pt>
                <c:pt idx="1210">
                  <c:v>5.9963911955264832E-3</c:v>
                </c:pt>
                <c:pt idx="1211">
                  <c:v>1.341429043735573E-2</c:v>
                </c:pt>
                <c:pt idx="1212">
                  <c:v>1.25911272370252E-2</c:v>
                </c:pt>
                <c:pt idx="1213">
                  <c:v>4.4565682353659023E-3</c:v>
                </c:pt>
                <c:pt idx="1214">
                  <c:v>1.0151869068063443E-2</c:v>
                </c:pt>
                <c:pt idx="1215">
                  <c:v>1.7925334166693733E-2</c:v>
                </c:pt>
                <c:pt idx="1216">
                  <c:v>-5.6958991071324339E-3</c:v>
                </c:pt>
                <c:pt idx="1217">
                  <c:v>4.5967732337874357E-4</c:v>
                </c:pt>
                <c:pt idx="1218">
                  <c:v>1.9239090405782488E-2</c:v>
                </c:pt>
                <c:pt idx="1219">
                  <c:v>1.433104370554979E-2</c:v>
                </c:pt>
                <c:pt idx="1220">
                  <c:v>7.2357565718769263E-3</c:v>
                </c:pt>
                <c:pt idx="1221">
                  <c:v>1.190928558407179E-2</c:v>
                </c:pt>
                <c:pt idx="1222">
                  <c:v>1.4727946220332034E-2</c:v>
                </c:pt>
                <c:pt idx="1223">
                  <c:v>2.3263205583354804E-2</c:v>
                </c:pt>
                <c:pt idx="1224">
                  <c:v>-3.190703982853294E-3</c:v>
                </c:pt>
                <c:pt idx="1225">
                  <c:v>6.2783725404026349E-3</c:v>
                </c:pt>
                <c:pt idx="1226">
                  <c:v>-1.726141173785626E-2</c:v>
                </c:pt>
                <c:pt idx="1227">
                  <c:v>2.6046198416180173E-3</c:v>
                </c:pt>
                <c:pt idx="1228">
                  <c:v>1.0386982833816094E-2</c:v>
                </c:pt>
                <c:pt idx="1229">
                  <c:v>-1.3992737337747724E-2</c:v>
                </c:pt>
                <c:pt idx="1230">
                  <c:v>-3.6372389221141818E-2</c:v>
                </c:pt>
                <c:pt idx="1231">
                  <c:v>-6.1276688391439472E-3</c:v>
                </c:pt>
                <c:pt idx="1232">
                  <c:v>3.932230987024209E-3</c:v>
                </c:pt>
                <c:pt idx="1233">
                  <c:v>-1.5766848179167389E-2</c:v>
                </c:pt>
                <c:pt idx="1234">
                  <c:v>-4.1068086927674739E-2</c:v>
                </c:pt>
                <c:pt idx="1235">
                  <c:v>2.8605914588536462E-2</c:v>
                </c:pt>
                <c:pt idx="1236">
                  <c:v>1.9529236019809458E-2</c:v>
                </c:pt>
                <c:pt idx="1237">
                  <c:v>6.426842931052979E-3</c:v>
                </c:pt>
                <c:pt idx="1238">
                  <c:v>3.5399570607631159E-2</c:v>
                </c:pt>
                <c:pt idx="1239">
                  <c:v>-4.8278906024548087E-3</c:v>
                </c:pt>
                <c:pt idx="1240">
                  <c:v>4.6192983328567699E-3</c:v>
                </c:pt>
                <c:pt idx="1241">
                  <c:v>-1.1895397842269272E-4</c:v>
                </c:pt>
                <c:pt idx="1242">
                  <c:v>-1.9223640901274402E-3</c:v>
                </c:pt>
                <c:pt idx="1243">
                  <c:v>-4.3070670496273356E-3</c:v>
                </c:pt>
                <c:pt idx="1244">
                  <c:v>-1.034450067196399E-3</c:v>
                </c:pt>
                <c:pt idx="1245">
                  <c:v>-3.9072422284480391E-3</c:v>
                </c:pt>
                <c:pt idx="1246">
                  <c:v>1.0915545014576868E-2</c:v>
                </c:pt>
                <c:pt idx="1247">
                  <c:v>3.1059663803513054E-4</c:v>
                </c:pt>
                <c:pt idx="1248">
                  <c:v>-5.6972995920024621E-3</c:v>
                </c:pt>
                <c:pt idx="1249">
                  <c:v>-8.2764140559625481E-3</c:v>
                </c:pt>
                <c:pt idx="1250">
                  <c:v>-2.6690740421724153E-3</c:v>
                </c:pt>
                <c:pt idx="1251">
                  <c:v>-5.7409984435402685E-3</c:v>
                </c:pt>
                <c:pt idx="1252">
                  <c:v>1.2630849461413133E-3</c:v>
                </c:pt>
                <c:pt idx="1253">
                  <c:v>1.038490584165571E-2</c:v>
                </c:pt>
                <c:pt idx="1254">
                  <c:v>8.0515287832652448E-3</c:v>
                </c:pt>
                <c:pt idx="1255">
                  <c:v>5.7127368851876432E-3</c:v>
                </c:pt>
                <c:pt idx="1256">
                  <c:v>-8.0901009110580738E-3</c:v>
                </c:pt>
                <c:pt idx="1257">
                  <c:v>-7.5422240906056716E-3</c:v>
                </c:pt>
                <c:pt idx="1258">
                  <c:v>-1.6287261573101126E-2</c:v>
                </c:pt>
                <c:pt idx="1259">
                  <c:v>-1.4846658761022976E-2</c:v>
                </c:pt>
                <c:pt idx="1260">
                  <c:v>2.2224471691773603E-3</c:v>
                </c:pt>
                <c:pt idx="1261">
                  <c:v>6.6886977207507052E-3</c:v>
                </c:pt>
                <c:pt idx="1262">
                  <c:v>9.7634794772680777E-3</c:v>
                </c:pt>
                <c:pt idx="1263">
                  <c:v>1.2635922271539137E-2</c:v>
                </c:pt>
                <c:pt idx="1264">
                  <c:v>5.4052554412278722E-3</c:v>
                </c:pt>
                <c:pt idx="1265">
                  <c:v>-1.8709815918497005E-2</c:v>
                </c:pt>
                <c:pt idx="1266">
                  <c:v>-2.9842994737364716E-2</c:v>
                </c:pt>
                <c:pt idx="1267">
                  <c:v>2.6465103269744691E-3</c:v>
                </c:pt>
                <c:pt idx="1268">
                  <c:v>1.5138926612848238E-2</c:v>
                </c:pt>
                <c:pt idx="1269">
                  <c:v>-1.8241511707080351E-2</c:v>
                </c:pt>
                <c:pt idx="1270">
                  <c:v>-1.8798736022219556E-2</c:v>
                </c:pt>
                <c:pt idx="1271">
                  <c:v>9.8005844374489063E-3</c:v>
                </c:pt>
                <c:pt idx="1272">
                  <c:v>7.4264283262798192E-5</c:v>
                </c:pt>
                <c:pt idx="1273">
                  <c:v>1.8108554742439591E-2</c:v>
                </c:pt>
                <c:pt idx="1274">
                  <c:v>5.769734349851314E-3</c:v>
                </c:pt>
                <c:pt idx="1275">
                  <c:v>1.4560116444752592E-2</c:v>
                </c:pt>
                <c:pt idx="1276">
                  <c:v>7.8023338706714419E-3</c:v>
                </c:pt>
                <c:pt idx="1277">
                  <c:v>-1.3715934668363887E-3</c:v>
                </c:pt>
                <c:pt idx="1278">
                  <c:v>7.6614504160925825E-3</c:v>
                </c:pt>
                <c:pt idx="1279">
                  <c:v>1.3736618660370823E-2</c:v>
                </c:pt>
                <c:pt idx="1280">
                  <c:v>1.1569946167858997E-2</c:v>
                </c:pt>
                <c:pt idx="1281">
                  <c:v>9.5833660539979531E-3</c:v>
                </c:pt>
                <c:pt idx="1282">
                  <c:v>-3.4220482161726818E-3</c:v>
                </c:pt>
                <c:pt idx="1283">
                  <c:v>-1.05620238188697E-3</c:v>
                </c:pt>
                <c:pt idx="1284">
                  <c:v>-8.1530240210353261E-4</c:v>
                </c:pt>
                <c:pt idx="1285">
                  <c:v>2.9064179751288888E-3</c:v>
                </c:pt>
                <c:pt idx="1286">
                  <c:v>-5.8440192504573523E-4</c:v>
                </c:pt>
                <c:pt idx="1287">
                  <c:v>-1.4502402923809509E-2</c:v>
                </c:pt>
                <c:pt idx="1288">
                  <c:v>-1.162407776339193E-2</c:v>
                </c:pt>
                <c:pt idx="1289">
                  <c:v>1.5860339455574475E-2</c:v>
                </c:pt>
                <c:pt idx="1290">
                  <c:v>-3.8085419232398313E-3</c:v>
                </c:pt>
                <c:pt idx="1291">
                  <c:v>1.1423022574355078E-3</c:v>
                </c:pt>
                <c:pt idx="1292">
                  <c:v>9.4326581806799866E-3</c:v>
                </c:pt>
                <c:pt idx="1293">
                  <c:v>3.4989450800425488E-3</c:v>
                </c:pt>
                <c:pt idx="1294">
                  <c:v>-4.7829216274194297E-3</c:v>
                </c:pt>
                <c:pt idx="1295">
                  <c:v>-4.0596232806562127E-3</c:v>
                </c:pt>
                <c:pt idx="1296">
                  <c:v>5.7376745979353105E-3</c:v>
                </c:pt>
                <c:pt idx="1297">
                  <c:v>5.8088702668343982E-3</c:v>
                </c:pt>
                <c:pt idx="1298">
                  <c:v>9.7336702966696765E-3</c:v>
                </c:pt>
                <c:pt idx="1299">
                  <c:v>8.9308750899166119E-3</c:v>
                </c:pt>
                <c:pt idx="1300">
                  <c:v>-2.0405968712336573E-3</c:v>
                </c:pt>
                <c:pt idx="1301">
                  <c:v>-3.1160310012175729E-3</c:v>
                </c:pt>
                <c:pt idx="1302">
                  <c:v>1.3464813630449666E-3</c:v>
                </c:pt>
                <c:pt idx="1303">
                  <c:v>1.3003866563925071E-2</c:v>
                </c:pt>
                <c:pt idx="1304">
                  <c:v>9.7517505450437376E-3</c:v>
                </c:pt>
                <c:pt idx="1305">
                  <c:v>1.7586475130808646E-2</c:v>
                </c:pt>
                <c:pt idx="1306">
                  <c:v>9.9788868111011769E-3</c:v>
                </c:pt>
                <c:pt idx="1307">
                  <c:v>3.2690167862433439E-3</c:v>
                </c:pt>
                <c:pt idx="1308">
                  <c:v>-8.6356740659591783E-4</c:v>
                </c:pt>
                <c:pt idx="1309">
                  <c:v>-2.1329766360032453E-3</c:v>
                </c:pt>
                <c:pt idx="1310">
                  <c:v>-6.1421812591829362E-4</c:v>
                </c:pt>
                <c:pt idx="1311">
                  <c:v>8.8174554261679864E-3</c:v>
                </c:pt>
                <c:pt idx="1312">
                  <c:v>7.3834542144328545E-3</c:v>
                </c:pt>
                <c:pt idx="1313">
                  <c:v>-1.036629053107646E-3</c:v>
                </c:pt>
                <c:pt idx="1314">
                  <c:v>9.7041161074621542E-3</c:v>
                </c:pt>
                <c:pt idx="1315">
                  <c:v>-1.1171115705640093E-3</c:v>
                </c:pt>
                <c:pt idx="1316">
                  <c:v>1.0717451654407248E-2</c:v>
                </c:pt>
                <c:pt idx="1317">
                  <c:v>-1.4403084843506758E-2</c:v>
                </c:pt>
                <c:pt idx="1318">
                  <c:v>-8.2638922112173736E-3</c:v>
                </c:pt>
                <c:pt idx="1319">
                  <c:v>-6.2573001952813713E-3</c:v>
                </c:pt>
                <c:pt idx="1320">
                  <c:v>1.7612391243183288E-2</c:v>
                </c:pt>
                <c:pt idx="1321">
                  <c:v>1.1990611121318015E-2</c:v>
                </c:pt>
                <c:pt idx="1322">
                  <c:v>-4.177876385444483E-5</c:v>
                </c:pt>
                <c:pt idx="1323">
                  <c:v>-2.1904531536037081E-3</c:v>
                </c:pt>
                <c:pt idx="1324">
                  <c:v>7.744984905336522E-4</c:v>
                </c:pt>
                <c:pt idx="1325">
                  <c:v>5.8830370482004001E-3</c:v>
                </c:pt>
                <c:pt idx="1326">
                  <c:v>9.764043483317492E-3</c:v>
                </c:pt>
                <c:pt idx="1327">
                  <c:v>9.9199028280964607E-3</c:v>
                </c:pt>
                <c:pt idx="1328">
                  <c:v>1.7816701974031756E-3</c:v>
                </c:pt>
                <c:pt idx="1329">
                  <c:v>3.5722713951225368E-3</c:v>
                </c:pt>
                <c:pt idx="1330">
                  <c:v>5.4937428850926088E-3</c:v>
                </c:pt>
                <c:pt idx="1331">
                  <c:v>-3.429014359122138E-3</c:v>
                </c:pt>
                <c:pt idx="1332">
                  <c:v>1.635102019072027E-3</c:v>
                </c:pt>
                <c:pt idx="1333">
                  <c:v>-3.3254984890323811E-3</c:v>
                </c:pt>
                <c:pt idx="1334">
                  <c:v>2.1052162536036208E-3</c:v>
                </c:pt>
                <c:pt idx="1335">
                  <c:v>1.1563284677372981E-2</c:v>
                </c:pt>
                <c:pt idx="1336">
                  <c:v>-6.1270251887788167E-3</c:v>
                </c:pt>
                <c:pt idx="1337">
                  <c:v>-9.0202945039619606E-3</c:v>
                </c:pt>
                <c:pt idx="1338">
                  <c:v>5.5881971716924045E-4</c:v>
                </c:pt>
                <c:pt idx="1339">
                  <c:v>1.3359843970441574E-2</c:v>
                </c:pt>
                <c:pt idx="1340">
                  <c:v>-3.996126437957128E-3</c:v>
                </c:pt>
                <c:pt idx="1341">
                  <c:v>-1.2022452850310953E-2</c:v>
                </c:pt>
                <c:pt idx="1342">
                  <c:v>-5.9895541062102032E-3</c:v>
                </c:pt>
                <c:pt idx="1343">
                  <c:v>-4.8034585008996204E-3</c:v>
                </c:pt>
                <c:pt idx="1344">
                  <c:v>-1.4744879467953539E-3</c:v>
                </c:pt>
                <c:pt idx="1345">
                  <c:v>-6.7990870192567998E-3</c:v>
                </c:pt>
                <c:pt idx="1346">
                  <c:v>-9.0518338198691279E-3</c:v>
                </c:pt>
                <c:pt idx="1347">
                  <c:v>2.8646020243424737E-3</c:v>
                </c:pt>
                <c:pt idx="1348">
                  <c:v>4.6852340803789513E-2</c:v>
                </c:pt>
                <c:pt idx="1349">
                  <c:v>6.5427376805843439E-3</c:v>
                </c:pt>
                <c:pt idx="1350">
                  <c:v>2.7308671711766701E-2</c:v>
                </c:pt>
                <c:pt idx="1351">
                  <c:v>1.1370337606397239E-4</c:v>
                </c:pt>
                <c:pt idx="1352">
                  <c:v>-7.3389976385123271E-3</c:v>
                </c:pt>
                <c:pt idx="1353">
                  <c:v>-3.7263476245684834E-3</c:v>
                </c:pt>
                <c:pt idx="1354">
                  <c:v>4.2990442206100139E-3</c:v>
                </c:pt>
                <c:pt idx="1355">
                  <c:v>3.2270572010581304E-3</c:v>
                </c:pt>
                <c:pt idx="1356">
                  <c:v>-1.0606374139242069E-3</c:v>
                </c:pt>
                <c:pt idx="1357">
                  <c:v>4.8361296888926363E-3</c:v>
                </c:pt>
                <c:pt idx="1358">
                  <c:v>9.2428314963158929E-3</c:v>
                </c:pt>
                <c:pt idx="1359">
                  <c:v>8.5575772294381614E-3</c:v>
                </c:pt>
                <c:pt idx="1360">
                  <c:v>6.123364417956284E-4</c:v>
                </c:pt>
                <c:pt idx="1361">
                  <c:v>-8.7204233036228566E-4</c:v>
                </c:pt>
                <c:pt idx="1362">
                  <c:v>4.4060305095984425E-3</c:v>
                </c:pt>
                <c:pt idx="1363">
                  <c:v>1.3138262306243681E-3</c:v>
                </c:pt>
                <c:pt idx="1364">
                  <c:v>-1.0294766242488415E-2</c:v>
                </c:pt>
                <c:pt idx="1365">
                  <c:v>1.888615402805358E-3</c:v>
                </c:pt>
                <c:pt idx="1366">
                  <c:v>-6.0318267934371221E-4</c:v>
                </c:pt>
                <c:pt idx="1367">
                  <c:v>1.5154464181846999E-2</c:v>
                </c:pt>
                <c:pt idx="1368">
                  <c:v>8.4313333360441743E-3</c:v>
                </c:pt>
                <c:pt idx="1369">
                  <c:v>-2.1040725142980464E-2</c:v>
                </c:pt>
                <c:pt idx="1370">
                  <c:v>-1.9704712642831673E-2</c:v>
                </c:pt>
                <c:pt idx="1371">
                  <c:v>5.7028854002695237E-3</c:v>
                </c:pt>
                <c:pt idx="1372">
                  <c:v>5.1897088498892453E-3</c:v>
                </c:pt>
                <c:pt idx="1373">
                  <c:v>-1.1684067195981222E-2</c:v>
                </c:pt>
                <c:pt idx="1374">
                  <c:v>-5.6049924218800765E-3</c:v>
                </c:pt>
                <c:pt idx="1375">
                  <c:v>1.0229847656354762E-2</c:v>
                </c:pt>
                <c:pt idx="1376">
                  <c:v>-2.5236040003177506E-3</c:v>
                </c:pt>
                <c:pt idx="1377">
                  <c:v>-9.4344553860091791E-3</c:v>
                </c:pt>
                <c:pt idx="1378">
                  <c:v>-1.8832413474960011E-3</c:v>
                </c:pt>
                <c:pt idx="1379">
                  <c:v>6.2473380926831691E-3</c:v>
                </c:pt>
                <c:pt idx="1380">
                  <c:v>-1.4592210925321623E-2</c:v>
                </c:pt>
                <c:pt idx="1381">
                  <c:v>1.3861413625489546E-3</c:v>
                </c:pt>
                <c:pt idx="1382">
                  <c:v>-9.9557800136636145E-4</c:v>
                </c:pt>
                <c:pt idx="1383">
                  <c:v>9.8519746418603803E-3</c:v>
                </c:pt>
                <c:pt idx="1384">
                  <c:v>8.9293992286535312E-3</c:v>
                </c:pt>
                <c:pt idx="1385">
                  <c:v>-7.5003573265432968E-3</c:v>
                </c:pt>
                <c:pt idx="1386">
                  <c:v>-1.3191795003583001E-3</c:v>
                </c:pt>
                <c:pt idx="1387">
                  <c:v>2.9348686692496706E-3</c:v>
                </c:pt>
                <c:pt idx="1388">
                  <c:v>-7.7676510812614162E-4</c:v>
                </c:pt>
                <c:pt idx="1389">
                  <c:v>-2.7544256022559352E-3</c:v>
                </c:pt>
                <c:pt idx="1390">
                  <c:v>-1.0898063660006168E-3</c:v>
                </c:pt>
                <c:pt idx="1391">
                  <c:v>6.6285491434104043E-3</c:v>
                </c:pt>
                <c:pt idx="1392">
                  <c:v>6.8048063872541515E-3</c:v>
                </c:pt>
                <c:pt idx="1393">
                  <c:v>1.0178516198232216E-4</c:v>
                </c:pt>
                <c:pt idx="1394">
                  <c:v>-2.9234241053746786E-3</c:v>
                </c:pt>
                <c:pt idx="1395">
                  <c:v>-6.1959199735881435E-3</c:v>
                </c:pt>
                <c:pt idx="1396">
                  <c:v>-1.1711710327207082E-3</c:v>
                </c:pt>
                <c:pt idx="1397">
                  <c:v>4.5756793672852318E-3</c:v>
                </c:pt>
                <c:pt idx="1398">
                  <c:v>1.7684824669309052E-3</c:v>
                </c:pt>
                <c:pt idx="1399">
                  <c:v>-2.6108376518157532E-3</c:v>
                </c:pt>
                <c:pt idx="1400">
                  <c:v>9.3276599223594391E-4</c:v>
                </c:pt>
                <c:pt idx="1401">
                  <c:v>6.2750522229730512E-3</c:v>
                </c:pt>
                <c:pt idx="1402">
                  <c:v>1.9442469125094909E-4</c:v>
                </c:pt>
                <c:pt idx="1403">
                  <c:v>4.3607080298652606E-4</c:v>
                </c:pt>
                <c:pt idx="1404">
                  <c:v>-3.5834998041134507E-3</c:v>
                </c:pt>
                <c:pt idx="1405">
                  <c:v>8.5446797684920854E-3</c:v>
                </c:pt>
                <c:pt idx="1406">
                  <c:v>-8.0081486513381966E-3</c:v>
                </c:pt>
                <c:pt idx="1407">
                  <c:v>4.6511332226343511E-3</c:v>
                </c:pt>
                <c:pt idx="1408">
                  <c:v>3.9920210201218713E-3</c:v>
                </c:pt>
                <c:pt idx="1409">
                  <c:v>1.9926119073183581E-3</c:v>
                </c:pt>
                <c:pt idx="1410">
                  <c:v>1.2205133804849158E-2</c:v>
                </c:pt>
                <c:pt idx="1411">
                  <c:v>1.2402850859804188E-2</c:v>
                </c:pt>
                <c:pt idx="1412">
                  <c:v>7.5517476275573179E-3</c:v>
                </c:pt>
                <c:pt idx="1413">
                  <c:v>-2.7286201735131589E-3</c:v>
                </c:pt>
                <c:pt idx="1414">
                  <c:v>-4.4820740252044956E-3</c:v>
                </c:pt>
                <c:pt idx="1415">
                  <c:v>9.3795515271531665E-3</c:v>
                </c:pt>
                <c:pt idx="1416">
                  <c:v>-7.1728257687245717E-3</c:v>
                </c:pt>
                <c:pt idx="1417">
                  <c:v>-4.4801505597064986E-3</c:v>
                </c:pt>
                <c:pt idx="1418">
                  <c:v>-2.1887727631199668E-3</c:v>
                </c:pt>
                <c:pt idx="1419">
                  <c:v>8.5113334040155669E-3</c:v>
                </c:pt>
                <c:pt idx="1420">
                  <c:v>1.9854631628860712E-3</c:v>
                </c:pt>
                <c:pt idx="1421">
                  <c:v>9.2080948176590724E-3</c:v>
                </c:pt>
                <c:pt idx="1422">
                  <c:v>9.7941569673860012E-3</c:v>
                </c:pt>
                <c:pt idx="1423">
                  <c:v>1.6500750132045224E-2</c:v>
                </c:pt>
                <c:pt idx="1424">
                  <c:v>8.8761905210556664E-3</c:v>
                </c:pt>
                <c:pt idx="1425">
                  <c:v>6.1869644627799341E-5</c:v>
                </c:pt>
                <c:pt idx="1426">
                  <c:v>-2.522024230856121E-3</c:v>
                </c:pt>
                <c:pt idx="1427">
                  <c:v>3.5317569074627046E-4</c:v>
                </c:pt>
                <c:pt idx="1428">
                  <c:v>-2.5971124218268668E-3</c:v>
                </c:pt>
                <c:pt idx="1429">
                  <c:v>6.7902951148227477E-3</c:v>
                </c:pt>
                <c:pt idx="1430">
                  <c:v>4.2558079336592449E-3</c:v>
                </c:pt>
                <c:pt idx="1431">
                  <c:v>-7.1947712017982396E-3</c:v>
                </c:pt>
                <c:pt idx="1432">
                  <c:v>-3.9181902807521856E-3</c:v>
                </c:pt>
                <c:pt idx="1433">
                  <c:v>9.4713096490573519E-3</c:v>
                </c:pt>
                <c:pt idx="1434">
                  <c:v>4.7533324223147221E-3</c:v>
                </c:pt>
                <c:pt idx="1435">
                  <c:v>8.4189752850175395E-3</c:v>
                </c:pt>
                <c:pt idx="1436">
                  <c:v>2.0086693501680401E-2</c:v>
                </c:pt>
                <c:pt idx="1437">
                  <c:v>1.1782206257977407E-2</c:v>
                </c:pt>
                <c:pt idx="1438">
                  <c:v>2.239594497275794E-3</c:v>
                </c:pt>
                <c:pt idx="1439">
                  <c:v>7.4124524144879083E-3</c:v>
                </c:pt>
                <c:pt idx="1440">
                  <c:v>-6.3558662173361282E-3</c:v>
                </c:pt>
                <c:pt idx="1441">
                  <c:v>-1.4617899428453233E-2</c:v>
                </c:pt>
                <c:pt idx="1442">
                  <c:v>2.1278506570486955E-2</c:v>
                </c:pt>
                <c:pt idx="1443">
                  <c:v>1.1866187320361951E-2</c:v>
                </c:pt>
                <c:pt idx="1444">
                  <c:v>3.9843150836091868E-3</c:v>
                </c:pt>
                <c:pt idx="1445">
                  <c:v>-3.0646452950414955E-3</c:v>
                </c:pt>
                <c:pt idx="1446">
                  <c:v>5.423192682053257E-3</c:v>
                </c:pt>
                <c:pt idx="1447">
                  <c:v>8.3353427981195053E-3</c:v>
                </c:pt>
                <c:pt idx="1448">
                  <c:v>3.8229561307075695E-3</c:v>
                </c:pt>
                <c:pt idx="1449">
                  <c:v>-4.5251207362694461E-3</c:v>
                </c:pt>
                <c:pt idx="1450">
                  <c:v>1.4038146170922701E-3</c:v>
                </c:pt>
                <c:pt idx="1451">
                  <c:v>8.9599501603710302E-3</c:v>
                </c:pt>
                <c:pt idx="1452">
                  <c:v>6.0700555005319462E-3</c:v>
                </c:pt>
                <c:pt idx="1453">
                  <c:v>2.4485129528582783E-3</c:v>
                </c:pt>
                <c:pt idx="1454">
                  <c:v>9.0635710027625466E-3</c:v>
                </c:pt>
                <c:pt idx="1455">
                  <c:v>-3.2361858595754667E-3</c:v>
                </c:pt>
                <c:pt idx="1456">
                  <c:v>1.8649984520619473E-2</c:v>
                </c:pt>
                <c:pt idx="1457">
                  <c:v>4.8272652175521411E-3</c:v>
                </c:pt>
                <c:pt idx="1458">
                  <c:v>2.8788864583745833E-3</c:v>
                </c:pt>
                <c:pt idx="1459">
                  <c:v>-3.5742535311559583E-2</c:v>
                </c:pt>
                <c:pt idx="1460">
                  <c:v>4.9644532925272572E-2</c:v>
                </c:pt>
                <c:pt idx="1461">
                  <c:v>8.1950855879338678E-3</c:v>
                </c:pt>
                <c:pt idx="1462">
                  <c:v>1.2734959274208766E-2</c:v>
                </c:pt>
                <c:pt idx="1463">
                  <c:v>1.8919501817924841E-2</c:v>
                </c:pt>
                <c:pt idx="1464">
                  <c:v>1.2433992947951172E-2</c:v>
                </c:pt>
                <c:pt idx="1465">
                  <c:v>5.2149469194780473E-3</c:v>
                </c:pt>
                <c:pt idx="1466">
                  <c:v>2.9823982530122018E-2</c:v>
                </c:pt>
                <c:pt idx="1467">
                  <c:v>7.5294508068581576E-3</c:v>
                </c:pt>
                <c:pt idx="1468">
                  <c:v>8.403547051711582E-3</c:v>
                </c:pt>
                <c:pt idx="1469">
                  <c:v>-9.7639009918943209E-3</c:v>
                </c:pt>
                <c:pt idx="1470">
                  <c:v>1.7572349562635831E-2</c:v>
                </c:pt>
                <c:pt idx="1471">
                  <c:v>3.0414974358863232E-2</c:v>
                </c:pt>
                <c:pt idx="1472">
                  <c:v>1.0622653550943866E-3</c:v>
                </c:pt>
                <c:pt idx="1473">
                  <c:v>1.6339287745249859E-2</c:v>
                </c:pt>
                <c:pt idx="1474">
                  <c:v>-1.1265616309835792E-2</c:v>
                </c:pt>
                <c:pt idx="1475">
                  <c:v>-3.2999975883829434E-2</c:v>
                </c:pt>
                <c:pt idx="1476">
                  <c:v>-4.3173651567849497E-2</c:v>
                </c:pt>
                <c:pt idx="1477">
                  <c:v>3.0469730504771662E-2</c:v>
                </c:pt>
                <c:pt idx="1478">
                  <c:v>4.02807334096408E-2</c:v>
                </c:pt>
                <c:pt idx="1479">
                  <c:v>-1.3250978148495298E-2</c:v>
                </c:pt>
                <c:pt idx="1480">
                  <c:v>-1.7715548333889376E-2</c:v>
                </c:pt>
                <c:pt idx="1481">
                  <c:v>8.4027540559366079E-3</c:v>
                </c:pt>
                <c:pt idx="1482">
                  <c:v>3.5094554004726372E-2</c:v>
                </c:pt>
                <c:pt idx="1483">
                  <c:v>-1.1461144032136824E-3</c:v>
                </c:pt>
                <c:pt idx="1484">
                  <c:v>1.6340056059878341E-2</c:v>
                </c:pt>
                <c:pt idx="1485">
                  <c:v>9.5360935757600452E-4</c:v>
                </c:pt>
                <c:pt idx="1486">
                  <c:v>3.9901072117182754E-3</c:v>
                </c:pt>
                <c:pt idx="1487">
                  <c:v>-1.1326509108406315E-2</c:v>
                </c:pt>
                <c:pt idx="1488">
                  <c:v>-1.7414285287884641E-3</c:v>
                </c:pt>
                <c:pt idx="1489">
                  <c:v>-1.6408238051891493E-2</c:v>
                </c:pt>
                <c:pt idx="1490">
                  <c:v>-1.3230139066265209E-2</c:v>
                </c:pt>
                <c:pt idx="1491">
                  <c:v>5.4069549724933509E-3</c:v>
                </c:pt>
                <c:pt idx="1492">
                  <c:v>8.6780884558032619E-3</c:v>
                </c:pt>
                <c:pt idx="1493">
                  <c:v>5.0259099925186118E-3</c:v>
                </c:pt>
                <c:pt idx="1494">
                  <c:v>-2.6868362011588241E-3</c:v>
                </c:pt>
                <c:pt idx="1495">
                  <c:v>-5.7554121460096728E-3</c:v>
                </c:pt>
                <c:pt idx="1496">
                  <c:v>1.2608758824260045E-2</c:v>
                </c:pt>
                <c:pt idx="1497">
                  <c:v>4.9685925681223521E-3</c:v>
                </c:pt>
                <c:pt idx="1498">
                  <c:v>-6.9279748546374961E-3</c:v>
                </c:pt>
                <c:pt idx="1499">
                  <c:v>-1.3897676723117003E-2</c:v>
                </c:pt>
                <c:pt idx="1500">
                  <c:v>5.2392633050675624E-3</c:v>
                </c:pt>
                <c:pt idx="1501">
                  <c:v>7.3896556571292002E-3</c:v>
                </c:pt>
                <c:pt idx="1502">
                  <c:v>-1.1839869415598751E-2</c:v>
                </c:pt>
                <c:pt idx="1503">
                  <c:v>-1.3125051092174567E-2</c:v>
                </c:pt>
                <c:pt idx="1504">
                  <c:v>-4.8469004294907202E-3</c:v>
                </c:pt>
                <c:pt idx="1505">
                  <c:v>1.5419147067434313E-2</c:v>
                </c:pt>
                <c:pt idx="1506">
                  <c:v>9.2691755943127042E-3</c:v>
                </c:pt>
                <c:pt idx="1507">
                  <c:v>-1.3222269027557753E-2</c:v>
                </c:pt>
                <c:pt idx="1508">
                  <c:v>-7.1810716944367657E-3</c:v>
                </c:pt>
                <c:pt idx="1509">
                  <c:v>-1.4599673490186937E-2</c:v>
                </c:pt>
                <c:pt idx="1510">
                  <c:v>1.9745939208616514E-4</c:v>
                </c:pt>
                <c:pt idx="1511">
                  <c:v>9.563106276899427E-3</c:v>
                </c:pt>
                <c:pt idx="1512">
                  <c:v>1.4656489070504729E-2</c:v>
                </c:pt>
                <c:pt idx="1513">
                  <c:v>-7.5603674635907185E-4</c:v>
                </c:pt>
                <c:pt idx="1514">
                  <c:v>-3.1955739803802472E-3</c:v>
                </c:pt>
                <c:pt idx="1515">
                  <c:v>-4.2533994858750578E-3</c:v>
                </c:pt>
                <c:pt idx="1516">
                  <c:v>-3.0491955680183223E-3</c:v>
                </c:pt>
                <c:pt idx="1517">
                  <c:v>1.2036043608072854E-2</c:v>
                </c:pt>
                <c:pt idx="1518">
                  <c:v>2.2456752447287858E-3</c:v>
                </c:pt>
                <c:pt idx="1519">
                  <c:v>3.5001893377273434E-3</c:v>
                </c:pt>
                <c:pt idx="1520">
                  <c:v>-8.2489619230528034E-3</c:v>
                </c:pt>
                <c:pt idx="1521">
                  <c:v>1.3556359863345213E-2</c:v>
                </c:pt>
                <c:pt idx="1522">
                  <c:v>1.7317399355024677E-3</c:v>
                </c:pt>
                <c:pt idx="1523">
                  <c:v>-5.8130717101804001E-3</c:v>
                </c:pt>
                <c:pt idx="1524">
                  <c:v>-6.8521345031323413E-4</c:v>
                </c:pt>
                <c:pt idx="1525">
                  <c:v>-4.6811374960220743E-3</c:v>
                </c:pt>
                <c:pt idx="1526">
                  <c:v>-1.1167870637139381E-2</c:v>
                </c:pt>
                <c:pt idx="1527">
                  <c:v>6.7589161552749927E-3</c:v>
                </c:pt>
                <c:pt idx="1528">
                  <c:v>-4.3464917804793531E-3</c:v>
                </c:pt>
                <c:pt idx="1529">
                  <c:v>1.3001078983902173E-2</c:v>
                </c:pt>
                <c:pt idx="1530">
                  <c:v>6.0285008298950407E-3</c:v>
                </c:pt>
                <c:pt idx="1531">
                  <c:v>-3.7028392805163506E-4</c:v>
                </c:pt>
                <c:pt idx="1532">
                  <c:v>-1.5624844236882102E-3</c:v>
                </c:pt>
                <c:pt idx="1533">
                  <c:v>-8.1557110208783305E-4</c:v>
                </c:pt>
                <c:pt idx="1534">
                  <c:v>8.8504542333256702E-3</c:v>
                </c:pt>
                <c:pt idx="1535">
                  <c:v>3.8397229956945978E-3</c:v>
                </c:pt>
                <c:pt idx="1536">
                  <c:v>5.7420979075210668E-3</c:v>
                </c:pt>
                <c:pt idx="1537">
                  <c:v>6.8976146989847388E-3</c:v>
                </c:pt>
                <c:pt idx="1538">
                  <c:v>8.3156490251501281E-3</c:v>
                </c:pt>
                <c:pt idx="1539">
                  <c:v>6.7450438032845474E-3</c:v>
                </c:pt>
                <c:pt idx="1540">
                  <c:v>-2.7581934359223819E-3</c:v>
                </c:pt>
                <c:pt idx="1541">
                  <c:v>-1.6907490220122577E-2</c:v>
                </c:pt>
                <c:pt idx="1542">
                  <c:v>1.6622348990833439E-3</c:v>
                </c:pt>
                <c:pt idx="1543">
                  <c:v>9.7668613482768188E-3</c:v>
                </c:pt>
                <c:pt idx="1544">
                  <c:v>2.9242867020271853E-4</c:v>
                </c:pt>
                <c:pt idx="1545">
                  <c:v>9.6035244160457747E-3</c:v>
                </c:pt>
                <c:pt idx="1546">
                  <c:v>-1.2313126549597694E-3</c:v>
                </c:pt>
                <c:pt idx="1547">
                  <c:v>-3.2680492889820702E-2</c:v>
                </c:pt>
                <c:pt idx="1548">
                  <c:v>5.4211362351359125E-3</c:v>
                </c:pt>
                <c:pt idx="1549">
                  <c:v>-1.1938379552823303E-2</c:v>
                </c:pt>
                <c:pt idx="1550">
                  <c:v>1.7836124729267266E-2</c:v>
                </c:pt>
                <c:pt idx="1551">
                  <c:v>-1.1497453162819547E-2</c:v>
                </c:pt>
                <c:pt idx="1552">
                  <c:v>1.3379760081836476E-2</c:v>
                </c:pt>
                <c:pt idx="1553">
                  <c:v>3.3117954079232761E-3</c:v>
                </c:pt>
                <c:pt idx="1554">
                  <c:v>-6.4687370210360856E-3</c:v>
                </c:pt>
                <c:pt idx="1555">
                  <c:v>7.5936835433098974E-3</c:v>
                </c:pt>
                <c:pt idx="1556">
                  <c:v>3.5453891677522009E-3</c:v>
                </c:pt>
                <c:pt idx="1557">
                  <c:v>9.1018593521969941E-3</c:v>
                </c:pt>
                <c:pt idx="1558">
                  <c:v>3.9676177517486969E-4</c:v>
                </c:pt>
                <c:pt idx="1559">
                  <c:v>-1.0168001698888939E-2</c:v>
                </c:pt>
                <c:pt idx="1560">
                  <c:v>-1.8821141869796009E-2</c:v>
                </c:pt>
                <c:pt idx="1561">
                  <c:v>3.9082829376710796E-3</c:v>
                </c:pt>
                <c:pt idx="1562">
                  <c:v>-1.2171628228616612E-2</c:v>
                </c:pt>
                <c:pt idx="1563">
                  <c:v>7.0862034350920745E-3</c:v>
                </c:pt>
                <c:pt idx="1564">
                  <c:v>-3.0865610803242276E-2</c:v>
                </c:pt>
                <c:pt idx="1565">
                  <c:v>2.5037686417744984E-2</c:v>
                </c:pt>
                <c:pt idx="1566">
                  <c:v>-1.0252910380622287E-4</c:v>
                </c:pt>
                <c:pt idx="1567">
                  <c:v>-4.6776469944850374E-3</c:v>
                </c:pt>
                <c:pt idx="1568">
                  <c:v>-3.1342138767163505E-2</c:v>
                </c:pt>
                <c:pt idx="1569">
                  <c:v>-5.8924344665160597E-2</c:v>
                </c:pt>
                <c:pt idx="1570">
                  <c:v>3.5235507088887619E-2</c:v>
                </c:pt>
                <c:pt idx="1571">
                  <c:v>9.4454154452956379E-2</c:v>
                </c:pt>
                <c:pt idx="1572">
                  <c:v>1.0896715563037781E-2</c:v>
                </c:pt>
                <c:pt idx="1573">
                  <c:v>-3.3193931751219059E-4</c:v>
                </c:pt>
                <c:pt idx="1574">
                  <c:v>1.2024816316117948E-2</c:v>
                </c:pt>
                <c:pt idx="1575">
                  <c:v>-2.6072442494455453E-3</c:v>
                </c:pt>
                <c:pt idx="1576">
                  <c:v>3.3840610973054412E-4</c:v>
                </c:pt>
                <c:pt idx="1577">
                  <c:v>-6.0030263273434794E-3</c:v>
                </c:pt>
                <c:pt idx="1578">
                  <c:v>8.0719582977820063E-3</c:v>
                </c:pt>
                <c:pt idx="1579">
                  <c:v>-6.4905405137235285E-3</c:v>
                </c:pt>
                <c:pt idx="1580">
                  <c:v>-4.2273365413081652E-4</c:v>
                </c:pt>
                <c:pt idx="1581">
                  <c:v>-7.4015972941664778E-3</c:v>
                </c:pt>
                <c:pt idx="1582">
                  <c:v>9.4560092139211798E-4</c:v>
                </c:pt>
                <c:pt idx="1583">
                  <c:v>5.395793951150191E-3</c:v>
                </c:pt>
                <c:pt idx="1584">
                  <c:v>6.0491844217026008E-3</c:v>
                </c:pt>
                <c:pt idx="1585">
                  <c:v>-6.7948249113613957E-3</c:v>
                </c:pt>
                <c:pt idx="1586">
                  <c:v>1.3232578897609214E-2</c:v>
                </c:pt>
                <c:pt idx="1587">
                  <c:v>1.1191284878224624E-2</c:v>
                </c:pt>
                <c:pt idx="1588">
                  <c:v>-1.2961532401737008E-3</c:v>
                </c:pt>
                <c:pt idx="1589">
                  <c:v>3.152226634111873E-3</c:v>
                </c:pt>
                <c:pt idx="1590">
                  <c:v>1.9080112148025352E-2</c:v>
                </c:pt>
                <c:pt idx="1591">
                  <c:v>-2.0872891521115404E-3</c:v>
                </c:pt>
                <c:pt idx="1592">
                  <c:v>-1.5710379431188356E-2</c:v>
                </c:pt>
                <c:pt idx="1593">
                  <c:v>6.696218229088407E-4</c:v>
                </c:pt>
                <c:pt idx="1594">
                  <c:v>-2.080746581560545E-3</c:v>
                </c:pt>
                <c:pt idx="1595">
                  <c:v>-1.2339896421314441E-2</c:v>
                </c:pt>
                <c:pt idx="1596">
                  <c:v>-3.8462327066249896E-3</c:v>
                </c:pt>
                <c:pt idx="1597">
                  <c:v>1.7207961928162327E-4</c:v>
                </c:pt>
                <c:pt idx="1598">
                  <c:v>-3.2125195087218145E-2</c:v>
                </c:pt>
                <c:pt idx="1599">
                  <c:v>5.2331087179569274E-2</c:v>
                </c:pt>
                <c:pt idx="1600">
                  <c:v>4.2127947238468069E-3</c:v>
                </c:pt>
                <c:pt idx="1601">
                  <c:v>-5.825761206839474E-3</c:v>
                </c:pt>
                <c:pt idx="1602">
                  <c:v>1.9112475691634156E-2</c:v>
                </c:pt>
                <c:pt idx="1603">
                  <c:v>1.0035772095739184E-2</c:v>
                </c:pt>
                <c:pt idx="1604">
                  <c:v>2.0474210583670025E-2</c:v>
                </c:pt>
                <c:pt idx="1605">
                  <c:v>1.6728623520401033E-2</c:v>
                </c:pt>
                <c:pt idx="1606">
                  <c:v>2.6286589420321336E-3</c:v>
                </c:pt>
                <c:pt idx="1607">
                  <c:v>9.6597464500201794E-3</c:v>
                </c:pt>
                <c:pt idx="1608">
                  <c:v>1.0770065357040103E-2</c:v>
                </c:pt>
                <c:pt idx="1609">
                  <c:v>2.4765659724783139E-4</c:v>
                </c:pt>
                <c:pt idx="1610">
                  <c:v>-6.193330159496125E-3</c:v>
                </c:pt>
                <c:pt idx="1611">
                  <c:v>9.0917744543584107E-3</c:v>
                </c:pt>
                <c:pt idx="1612">
                  <c:v>3.8677003257679078E-3</c:v>
                </c:pt>
                <c:pt idx="1613">
                  <c:v>1.640196405399651E-2</c:v>
                </c:pt>
                <c:pt idx="1614">
                  <c:v>-4.1220475368407682E-3</c:v>
                </c:pt>
                <c:pt idx="1615">
                  <c:v>3.23738699784049E-3</c:v>
                </c:pt>
                <c:pt idx="1616">
                  <c:v>1.675854599469408E-2</c:v>
                </c:pt>
                <c:pt idx="1617">
                  <c:v>-4.9139836513057659E-4</c:v>
                </c:pt>
                <c:pt idx="1618">
                  <c:v>-2.7401676337846471E-3</c:v>
                </c:pt>
                <c:pt idx="1619">
                  <c:v>8.6967952991219896E-3</c:v>
                </c:pt>
                <c:pt idx="1620">
                  <c:v>-1.185414134293848E-3</c:v>
                </c:pt>
                <c:pt idx="1621">
                  <c:v>-4.0335541379097452E-3</c:v>
                </c:pt>
                <c:pt idx="1622">
                  <c:v>3.7105782158492985E-3</c:v>
                </c:pt>
                <c:pt idx="1623">
                  <c:v>1.2410268714356885E-3</c:v>
                </c:pt>
                <c:pt idx="1624">
                  <c:v>-1.0153891453339883E-2</c:v>
                </c:pt>
                <c:pt idx="1625">
                  <c:v>3.2431458427696334E-3</c:v>
                </c:pt>
                <c:pt idx="1626">
                  <c:v>7.0670767941422297E-3</c:v>
                </c:pt>
                <c:pt idx="1627">
                  <c:v>1.1798228314399207E-2</c:v>
                </c:pt>
                <c:pt idx="1628">
                  <c:v>7.2157985203386635E-3</c:v>
                </c:pt>
                <c:pt idx="1629">
                  <c:v>6.9305988356712879E-3</c:v>
                </c:pt>
                <c:pt idx="1630">
                  <c:v>1.4341237316146475E-2</c:v>
                </c:pt>
                <c:pt idx="1631">
                  <c:v>3.8503396203008093E-3</c:v>
                </c:pt>
                <c:pt idx="1632">
                  <c:v>-1.8149343680900674E-3</c:v>
                </c:pt>
                <c:pt idx="1633">
                  <c:v>1.0641148746619327E-2</c:v>
                </c:pt>
                <c:pt idx="1634">
                  <c:v>5.1364651319297128E-4</c:v>
                </c:pt>
                <c:pt idx="1635">
                  <c:v>-3.2379782743902244E-3</c:v>
                </c:pt>
                <c:pt idx="1636">
                  <c:v>-2.5714991765123996E-4</c:v>
                </c:pt>
                <c:pt idx="1637">
                  <c:v>1.1637456692918279E-2</c:v>
                </c:pt>
                <c:pt idx="1638">
                  <c:v>1.0623266068100613E-2</c:v>
                </c:pt>
                <c:pt idx="1639">
                  <c:v>5.4767035619438372E-3</c:v>
                </c:pt>
                <c:pt idx="1640">
                  <c:v>-9.0027292467678051E-3</c:v>
                </c:pt>
                <c:pt idx="1641">
                  <c:v>1.7274066646578129E-3</c:v>
                </c:pt>
                <c:pt idx="1642">
                  <c:v>-4.5336552746997084E-3</c:v>
                </c:pt>
                <c:pt idx="1643">
                  <c:v>-2.55518064639989E-3</c:v>
                </c:pt>
                <c:pt idx="1644">
                  <c:v>-6.3396747372217784E-3</c:v>
                </c:pt>
                <c:pt idx="1645">
                  <c:v>-1.0204480818648003E-3</c:v>
                </c:pt>
                <c:pt idx="1646">
                  <c:v>8.6482255887466875E-3</c:v>
                </c:pt>
                <c:pt idx="1647">
                  <c:v>9.1062455649654154E-3</c:v>
                </c:pt>
                <c:pt idx="1648">
                  <c:v>6.6969556073892744E-3</c:v>
                </c:pt>
                <c:pt idx="1649">
                  <c:v>8.1231733788824124E-3</c:v>
                </c:pt>
                <c:pt idx="1650">
                  <c:v>3.0475313445536712E-3</c:v>
                </c:pt>
                <c:pt idx="1651">
                  <c:v>1.0555545802947781E-2</c:v>
                </c:pt>
                <c:pt idx="1652">
                  <c:v>1.1732907502398736E-2</c:v>
                </c:pt>
                <c:pt idx="1653">
                  <c:v>3.0509847341209299E-3</c:v>
                </c:pt>
                <c:pt idx="1654">
                  <c:v>2.9206674121360801E-3</c:v>
                </c:pt>
                <c:pt idx="1655">
                  <c:v>-5.6014871915057649E-3</c:v>
                </c:pt>
                <c:pt idx="1656">
                  <c:v>-1.0897568707820628E-2</c:v>
                </c:pt>
                <c:pt idx="1657">
                  <c:v>6.1177926477318572E-3</c:v>
                </c:pt>
                <c:pt idx="1658">
                  <c:v>5.1254783938581069E-3</c:v>
                </c:pt>
                <c:pt idx="1659">
                  <c:v>-2.0040857738496492E-5</c:v>
                </c:pt>
                <c:pt idx="1660">
                  <c:v>1.1369476880230319E-2</c:v>
                </c:pt>
                <c:pt idx="1661">
                  <c:v>5.3123239394489718E-4</c:v>
                </c:pt>
                <c:pt idx="1662">
                  <c:v>-3.0544672405984023E-3</c:v>
                </c:pt>
                <c:pt idx="1663">
                  <c:v>2.4776798096609477E-3</c:v>
                </c:pt>
                <c:pt idx="1664">
                  <c:v>1.8465918174190318E-3</c:v>
                </c:pt>
                <c:pt idx="1665">
                  <c:v>6.5939195265016862E-3</c:v>
                </c:pt>
                <c:pt idx="1666">
                  <c:v>1.8689906566476656E-2</c:v>
                </c:pt>
                <c:pt idx="1667">
                  <c:v>9.8033971041746795E-3</c:v>
                </c:pt>
                <c:pt idx="1668">
                  <c:v>1.0045304880404442E-2</c:v>
                </c:pt>
                <c:pt idx="1669">
                  <c:v>8.8674129312198743E-4</c:v>
                </c:pt>
                <c:pt idx="1670">
                  <c:v>1.7201667178418062E-2</c:v>
                </c:pt>
                <c:pt idx="1671">
                  <c:v>2.970093767788516E-3</c:v>
                </c:pt>
                <c:pt idx="1672">
                  <c:v>-7.3238035420544511E-3</c:v>
                </c:pt>
                <c:pt idx="1673">
                  <c:v>-9.4106546666006367E-3</c:v>
                </c:pt>
                <c:pt idx="1674">
                  <c:v>-5.4581424563145504E-3</c:v>
                </c:pt>
                <c:pt idx="1675">
                  <c:v>-4.4530433375134584E-3</c:v>
                </c:pt>
                <c:pt idx="1676">
                  <c:v>-8.7073053369152893E-3</c:v>
                </c:pt>
                <c:pt idx="1677">
                  <c:v>-2.8539679073078552E-2</c:v>
                </c:pt>
                <c:pt idx="1678">
                  <c:v>4.4385560473259013E-2</c:v>
                </c:pt>
                <c:pt idx="1679">
                  <c:v>1.2712415974230897E-3</c:v>
                </c:pt>
                <c:pt idx="1680">
                  <c:v>-7.494037832198419E-3</c:v>
                </c:pt>
                <c:pt idx="1681">
                  <c:v>-3.8827637640174765E-3</c:v>
                </c:pt>
                <c:pt idx="1682">
                  <c:v>1.4875442458778441E-2</c:v>
                </c:pt>
                <c:pt idx="1683">
                  <c:v>6.6404034914931635E-3</c:v>
                </c:pt>
                <c:pt idx="1684">
                  <c:v>-4.7419482042174834E-3</c:v>
                </c:pt>
                <c:pt idx="1685">
                  <c:v>-1.1785237732934443E-2</c:v>
                </c:pt>
                <c:pt idx="1686">
                  <c:v>-7.8150361251302473E-3</c:v>
                </c:pt>
                <c:pt idx="1687">
                  <c:v>-6.9827995164605267E-3</c:v>
                </c:pt>
                <c:pt idx="1688">
                  <c:v>-1.2720347406736427E-2</c:v>
                </c:pt>
                <c:pt idx="1689">
                  <c:v>-1.0218360244153339E-2</c:v>
                </c:pt>
                <c:pt idx="1690">
                  <c:v>-1.0930990087026081E-2</c:v>
                </c:pt>
                <c:pt idx="1691">
                  <c:v>3.1256045317357824E-2</c:v>
                </c:pt>
                <c:pt idx="1692">
                  <c:v>7.2475249754487747E-3</c:v>
                </c:pt>
                <c:pt idx="1693">
                  <c:v>-9.3449660313719585E-3</c:v>
                </c:pt>
                <c:pt idx="1694">
                  <c:v>-1.0562756100704918E-2</c:v>
                </c:pt>
                <c:pt idx="1695">
                  <c:v>-3.0166403065482444E-3</c:v>
                </c:pt>
                <c:pt idx="1696">
                  <c:v>3.1182902484526097E-3</c:v>
                </c:pt>
                <c:pt idx="1697">
                  <c:v>1.2190391164620031E-2</c:v>
                </c:pt>
                <c:pt idx="1698">
                  <c:v>-2.2706116768142038E-2</c:v>
                </c:pt>
                <c:pt idx="1699">
                  <c:v>1.985488105757641E-3</c:v>
                </c:pt>
                <c:pt idx="1700">
                  <c:v>1.5637174315093209E-2</c:v>
                </c:pt>
                <c:pt idx="1701">
                  <c:v>7.952881129110077E-3</c:v>
                </c:pt>
                <c:pt idx="1702">
                  <c:v>-1.5314768828196021E-3</c:v>
                </c:pt>
                <c:pt idx="1703">
                  <c:v>-4.6513270469973386E-3</c:v>
                </c:pt>
                <c:pt idx="1704">
                  <c:v>8.0227977570838278E-3</c:v>
                </c:pt>
                <c:pt idx="1705">
                  <c:v>4.3806712451275069E-3</c:v>
                </c:pt>
                <c:pt idx="1706">
                  <c:v>-5.118667381380732E-3</c:v>
                </c:pt>
                <c:pt idx="1707">
                  <c:v>-7.3305280373738046E-4</c:v>
                </c:pt>
                <c:pt idx="1708">
                  <c:v>-1.8002385295987158E-3</c:v>
                </c:pt>
                <c:pt idx="1709">
                  <c:v>9.2524401876944943E-3</c:v>
                </c:pt>
                <c:pt idx="1710">
                  <c:v>1.3388073291670676E-2</c:v>
                </c:pt>
                <c:pt idx="1711">
                  <c:v>7.8875484804652816E-3</c:v>
                </c:pt>
                <c:pt idx="1712">
                  <c:v>8.3063901169741997E-3</c:v>
                </c:pt>
                <c:pt idx="1713">
                  <c:v>-2.4985393799759688E-3</c:v>
                </c:pt>
                <c:pt idx="1714">
                  <c:v>-8.9293703235246054E-3</c:v>
                </c:pt>
                <c:pt idx="1715">
                  <c:v>8.3186203115893508E-4</c:v>
                </c:pt>
                <c:pt idx="1716">
                  <c:v>4.8232672444147298E-3</c:v>
                </c:pt>
                <c:pt idx="1717">
                  <c:v>7.2877025055065369E-3</c:v>
                </c:pt>
                <c:pt idx="1718">
                  <c:v>6.8515610958196829E-3</c:v>
                </c:pt>
                <c:pt idx="1719">
                  <c:v>-2.6732541629312057E-5</c:v>
                </c:pt>
                <c:pt idx="1720">
                  <c:v>-5.1765144389679984E-3</c:v>
                </c:pt>
                <c:pt idx="1721">
                  <c:v>7.6514451843274723E-3</c:v>
                </c:pt>
                <c:pt idx="1722">
                  <c:v>5.1618192450183552E-3</c:v>
                </c:pt>
                <c:pt idx="1723">
                  <c:v>-1.7221371227378686E-3</c:v>
                </c:pt>
                <c:pt idx="1724">
                  <c:v>-7.8288127767352331E-4</c:v>
                </c:pt>
                <c:pt idx="1725">
                  <c:v>9.6692071919456096E-3</c:v>
                </c:pt>
                <c:pt idx="1726">
                  <c:v>-3.2343444134256814E-3</c:v>
                </c:pt>
                <c:pt idx="1727">
                  <c:v>-1.1685225497023656E-3</c:v>
                </c:pt>
                <c:pt idx="1728">
                  <c:v>-7.6201406052031704E-4</c:v>
                </c:pt>
                <c:pt idx="1729">
                  <c:v>-1.4234213517178196E-3</c:v>
                </c:pt>
                <c:pt idx="1730">
                  <c:v>9.1933968123439121E-3</c:v>
                </c:pt>
                <c:pt idx="1731">
                  <c:v>8.6751952848458692E-3</c:v>
                </c:pt>
                <c:pt idx="1732">
                  <c:v>3.3149633856583288E-3</c:v>
                </c:pt>
                <c:pt idx="1733">
                  <c:v>-2.3985973744904119E-3</c:v>
                </c:pt>
              </c:numCache>
            </c:numRef>
          </c:xVal>
          <c:yVal>
            <c:numRef>
              <c:f>'[3]Fauji Fertilizer Company Stock '!$C$4:$C$1737</c:f>
              <c:numCache>
                <c:formatCode>General</c:formatCode>
                <c:ptCount val="1734"/>
                <c:pt idx="0">
                  <c:v>-3.083794130157446E-3</c:v>
                </c:pt>
                <c:pt idx="1">
                  <c:v>-4.6933333333333089E-3</c:v>
                </c:pt>
                <c:pt idx="2">
                  <c:v>-3.2150894866573481E-3</c:v>
                </c:pt>
                <c:pt idx="3">
                  <c:v>1.4407053005053103E-2</c:v>
                </c:pt>
                <c:pt idx="4">
                  <c:v>2.056173820879716E-2</c:v>
                </c:pt>
                <c:pt idx="5">
                  <c:v>1.3500882750025491E-3</c:v>
                </c:pt>
                <c:pt idx="6">
                  <c:v>-1.8668326073429456E-3</c:v>
                </c:pt>
                <c:pt idx="7">
                  <c:v>4.9979218620116402E-2</c:v>
                </c:pt>
                <c:pt idx="8">
                  <c:v>2.8302820385947548E-2</c:v>
                </c:pt>
                <c:pt idx="9">
                  <c:v>1.5109229140602516E-2</c:v>
                </c:pt>
                <c:pt idx="10">
                  <c:v>-1.166097838452791E-2</c:v>
                </c:pt>
                <c:pt idx="11">
                  <c:v>-4.7961630695443642E-3</c:v>
                </c:pt>
                <c:pt idx="12">
                  <c:v>1.1951807228915614E-2</c:v>
                </c:pt>
                <c:pt idx="13">
                  <c:v>1.7334984284217616E-2</c:v>
                </c:pt>
                <c:pt idx="14">
                  <c:v>3.9322160846362855E-3</c:v>
                </c:pt>
                <c:pt idx="15">
                  <c:v>-1.5760514781311179E-2</c:v>
                </c:pt>
                <c:pt idx="16">
                  <c:v>5.1165434906195947E-3</c:v>
                </c:pt>
                <c:pt idx="17">
                  <c:v>4.7134238310708896E-3</c:v>
                </c:pt>
                <c:pt idx="18">
                  <c:v>-4.4098329893037984E-3</c:v>
                </c:pt>
                <c:pt idx="19">
                  <c:v>6.4084440674772106E-3</c:v>
                </c:pt>
                <c:pt idx="20">
                  <c:v>-1.1798857570933656E-2</c:v>
                </c:pt>
                <c:pt idx="21">
                  <c:v>1.1844972993461576E-2</c:v>
                </c:pt>
                <c:pt idx="22">
                  <c:v>-5.7126802772054638E-3</c:v>
                </c:pt>
                <c:pt idx="23">
                  <c:v>-5.6513139304890524E-4</c:v>
                </c:pt>
                <c:pt idx="24">
                  <c:v>1.7246253887475246E-2</c:v>
                </c:pt>
                <c:pt idx="25">
                  <c:v>-3.8910505836576032E-3</c:v>
                </c:pt>
                <c:pt idx="26">
                  <c:v>1.2462797619047651E-2</c:v>
                </c:pt>
                <c:pt idx="27">
                  <c:v>-1.2033804887010861E-2</c:v>
                </c:pt>
                <c:pt idx="28">
                  <c:v>1.4597861459786214E-2</c:v>
                </c:pt>
                <c:pt idx="29">
                  <c:v>-1.6495601173021153E-3</c:v>
                </c:pt>
                <c:pt idx="30">
                  <c:v>-4.1307141545805295E-3</c:v>
                </c:pt>
                <c:pt idx="31">
                  <c:v>-1.0047008940916114E-2</c:v>
                </c:pt>
                <c:pt idx="32">
                  <c:v>-4.2830540037244683E-3</c:v>
                </c:pt>
                <c:pt idx="33">
                  <c:v>-1.3091453151299847E-3</c:v>
                </c:pt>
                <c:pt idx="34">
                  <c:v>8.426966292134885E-3</c:v>
                </c:pt>
                <c:pt idx="35">
                  <c:v>-1.6713091922006204E-3</c:v>
                </c:pt>
                <c:pt idx="36">
                  <c:v>4.3712797619047516E-3</c:v>
                </c:pt>
                <c:pt idx="37">
                  <c:v>2.7780350032411463E-4</c:v>
                </c:pt>
                <c:pt idx="38">
                  <c:v>-1.3978892797629984E-2</c:v>
                </c:pt>
                <c:pt idx="39">
                  <c:v>1.0327668763496331E-3</c:v>
                </c:pt>
                <c:pt idx="40">
                  <c:v>4.8771337460138432E-3</c:v>
                </c:pt>
                <c:pt idx="41">
                  <c:v>3.453425424678034E-3</c:v>
                </c:pt>
                <c:pt idx="42">
                  <c:v>7.9062412798808889E-3</c:v>
                </c:pt>
                <c:pt idx="43">
                  <c:v>-3.3222591362126195E-3</c:v>
                </c:pt>
                <c:pt idx="44">
                  <c:v>-3.981481481481545E-3</c:v>
                </c:pt>
                <c:pt idx="45">
                  <c:v>-4.6481360974249325E-3</c:v>
                </c:pt>
                <c:pt idx="46">
                  <c:v>-9.8066685346035048E-3</c:v>
                </c:pt>
                <c:pt idx="47">
                  <c:v>-1.6977928692698794E-3</c:v>
                </c:pt>
                <c:pt idx="48">
                  <c:v>1.5117157974300509E-3</c:v>
                </c:pt>
                <c:pt idx="49">
                  <c:v>-1.6981132075472342E-3</c:v>
                </c:pt>
                <c:pt idx="50">
                  <c:v>5.0085050085050195E-3</c:v>
                </c:pt>
                <c:pt idx="51">
                  <c:v>5.0775740479549253E-3</c:v>
                </c:pt>
                <c:pt idx="52">
                  <c:v>-1.0758723921788808E-2</c:v>
                </c:pt>
                <c:pt idx="53">
                  <c:v>-6.5254397578967064E-3</c:v>
                </c:pt>
                <c:pt idx="54">
                  <c:v>2.6653974297953464E-3</c:v>
                </c:pt>
                <c:pt idx="55">
                  <c:v>-7.1204784961549413E-3</c:v>
                </c:pt>
                <c:pt idx="56">
                  <c:v>1.5299292407725817E-3</c:v>
                </c:pt>
                <c:pt idx="57">
                  <c:v>-6.7786900897459784E-3</c:v>
                </c:pt>
                <c:pt idx="58">
                  <c:v>0</c:v>
                </c:pt>
                <c:pt idx="59">
                  <c:v>1.1342881861001563E-2</c:v>
                </c:pt>
                <c:pt idx="60">
                  <c:v>-8.6493679308050249E-3</c:v>
                </c:pt>
                <c:pt idx="61">
                  <c:v>1.5340364333652598E-3</c:v>
                </c:pt>
                <c:pt idx="62">
                  <c:v>-1.0051694428489348E-2</c:v>
                </c:pt>
                <c:pt idx="63">
                  <c:v>5.0285272217388093E-3</c:v>
                </c:pt>
                <c:pt idx="64">
                  <c:v>-7.9861445203503554E-3</c:v>
                </c:pt>
                <c:pt idx="65">
                  <c:v>7.7594568380225516E-4</c:v>
                </c:pt>
                <c:pt idx="66">
                  <c:v>-3.7798022872649792E-3</c:v>
                </c:pt>
                <c:pt idx="67">
                  <c:v>-3.794143399163348E-3</c:v>
                </c:pt>
                <c:pt idx="68">
                  <c:v>-8.5937500000000944E-3</c:v>
                </c:pt>
                <c:pt idx="69">
                  <c:v>-1.5070921985815614E-2</c:v>
                </c:pt>
                <c:pt idx="70">
                  <c:v>3.100310031003123E-3</c:v>
                </c:pt>
                <c:pt idx="71">
                  <c:v>1.0468594217347927E-2</c:v>
                </c:pt>
                <c:pt idx="72">
                  <c:v>-8.8801184015776223E-4</c:v>
                </c:pt>
                <c:pt idx="73">
                  <c:v>1.0369346237408622E-2</c:v>
                </c:pt>
                <c:pt idx="74">
                  <c:v>-7.3306617143974193E-3</c:v>
                </c:pt>
                <c:pt idx="75">
                  <c:v>2.4714454509649379E-2</c:v>
                </c:pt>
                <c:pt idx="76">
                  <c:v>2.4694916882867374E-2</c:v>
                </c:pt>
                <c:pt idx="77">
                  <c:v>-1.0690172543135789E-2</c:v>
                </c:pt>
                <c:pt idx="78">
                  <c:v>-5.0236966824644654E-3</c:v>
                </c:pt>
                <c:pt idx="79">
                  <c:v>-3.1437553586738907E-3</c:v>
                </c:pt>
                <c:pt idx="80">
                  <c:v>2.9625382262997157E-3</c:v>
                </c:pt>
                <c:pt idx="81">
                  <c:v>-3.1443544545021276E-3</c:v>
                </c:pt>
                <c:pt idx="82">
                  <c:v>-4.1101127891417207E-3</c:v>
                </c:pt>
                <c:pt idx="83">
                  <c:v>-2.6873980228428944E-3</c:v>
                </c:pt>
                <c:pt idx="84">
                  <c:v>-3.9457222596477395E-3</c:v>
                </c:pt>
                <c:pt idx="85">
                  <c:v>-1.4106280193236655E-2</c:v>
                </c:pt>
                <c:pt idx="86">
                  <c:v>-9.1140729125833674E-3</c:v>
                </c:pt>
                <c:pt idx="87">
                  <c:v>2.3736524577192648E-3</c:v>
                </c:pt>
                <c:pt idx="88">
                  <c:v>-2.2890971879624997E-2</c:v>
                </c:pt>
                <c:pt idx="89">
                  <c:v>-6.0587700696757979E-3</c:v>
                </c:pt>
                <c:pt idx="90">
                  <c:v>-4.3685868129635964E-3</c:v>
                </c:pt>
                <c:pt idx="91">
                  <c:v>-4.9897959183673478E-2</c:v>
                </c:pt>
                <c:pt idx="92">
                  <c:v>-7.4105896251745003E-3</c:v>
                </c:pt>
                <c:pt idx="93">
                  <c:v>-2.4886388227656781E-3</c:v>
                </c:pt>
                <c:pt idx="94">
                  <c:v>-7.7014860613948775E-3</c:v>
                </c:pt>
                <c:pt idx="95">
                  <c:v>-4.7332750327940515E-2</c:v>
                </c:pt>
                <c:pt idx="96">
                  <c:v>-7.6878944348824059E-3</c:v>
                </c:pt>
                <c:pt idx="97">
                  <c:v>-1.8501387604070402E-2</c:v>
                </c:pt>
                <c:pt idx="98">
                  <c:v>4.995287464655996E-2</c:v>
                </c:pt>
                <c:pt idx="99">
                  <c:v>4.9708258527827565E-2</c:v>
                </c:pt>
                <c:pt idx="100">
                  <c:v>4.4147514698022555E-2</c:v>
                </c:pt>
                <c:pt idx="101">
                  <c:v>-3.5012285012285024E-2</c:v>
                </c:pt>
                <c:pt idx="102">
                  <c:v>-4.4451517080415996E-2</c:v>
                </c:pt>
                <c:pt idx="103">
                  <c:v>4.9961141334517602E-2</c:v>
                </c:pt>
                <c:pt idx="104">
                  <c:v>-2.506080152268151E-2</c:v>
                </c:pt>
                <c:pt idx="105">
                  <c:v>-1.2364425162689811E-2</c:v>
                </c:pt>
                <c:pt idx="106">
                  <c:v>0</c:v>
                </c:pt>
                <c:pt idx="107">
                  <c:v>4.9857236986602153E-2</c:v>
                </c:pt>
                <c:pt idx="108">
                  <c:v>2.3326359832636027E-2</c:v>
                </c:pt>
                <c:pt idx="109">
                  <c:v>-1.23683941531227E-2</c:v>
                </c:pt>
                <c:pt idx="110">
                  <c:v>8.2798592423927024E-4</c:v>
                </c:pt>
                <c:pt idx="111">
                  <c:v>-2.0992761116856266E-2</c:v>
                </c:pt>
                <c:pt idx="112">
                  <c:v>-1.6267032850956018E-2</c:v>
                </c:pt>
                <c:pt idx="113">
                  <c:v>-1.4281112423494023E-2</c:v>
                </c:pt>
                <c:pt idx="114">
                  <c:v>1.5468409586056664E-2</c:v>
                </c:pt>
                <c:pt idx="115">
                  <c:v>-7.187298862904974E-3</c:v>
                </c:pt>
                <c:pt idx="116">
                  <c:v>-1.7396002160994052E-2</c:v>
                </c:pt>
                <c:pt idx="117">
                  <c:v>-1.539476577963483E-2</c:v>
                </c:pt>
                <c:pt idx="118">
                  <c:v>5.3607326334597916E-3</c:v>
                </c:pt>
                <c:pt idx="119">
                  <c:v>-2.9660075538769183E-2</c:v>
                </c:pt>
                <c:pt idx="120">
                  <c:v>-1.7172295363479277E-3</c:v>
                </c:pt>
                <c:pt idx="121">
                  <c:v>3.1422018348623793E-2</c:v>
                </c:pt>
                <c:pt idx="122">
                  <c:v>2.9908828107627284E-2</c:v>
                </c:pt>
                <c:pt idx="123">
                  <c:v>4.9983806542157075E-2</c:v>
                </c:pt>
                <c:pt idx="124">
                  <c:v>-1.2338062924120942E-2</c:v>
                </c:pt>
                <c:pt idx="125">
                  <c:v>-1.374141161773899E-2</c:v>
                </c:pt>
                <c:pt idx="126">
                  <c:v>1.5832805573148163E-3</c:v>
                </c:pt>
                <c:pt idx="127">
                  <c:v>9.4846664558966606E-4</c:v>
                </c:pt>
                <c:pt idx="128">
                  <c:v>-1.0528532322599616E-4</c:v>
                </c:pt>
                <c:pt idx="129">
                  <c:v>7.3707486574715582E-4</c:v>
                </c:pt>
                <c:pt idx="130">
                  <c:v>2.0833333333333225E-2</c:v>
                </c:pt>
                <c:pt idx="131">
                  <c:v>-3.1333745619459827E-2</c:v>
                </c:pt>
                <c:pt idx="132">
                  <c:v>-5.320280910831789E-4</c:v>
                </c:pt>
                <c:pt idx="133">
                  <c:v>-9.6880655807517375E-3</c:v>
                </c:pt>
                <c:pt idx="134">
                  <c:v>-5.1601806063211117E-3</c:v>
                </c:pt>
                <c:pt idx="135">
                  <c:v>1.6749513723795083E-2</c:v>
                </c:pt>
                <c:pt idx="136">
                  <c:v>9.565309809756525E-3</c:v>
                </c:pt>
                <c:pt idx="137">
                  <c:v>1.8212443415096369E-2</c:v>
                </c:pt>
                <c:pt idx="138">
                  <c:v>-1.2096774193548404E-2</c:v>
                </c:pt>
                <c:pt idx="139">
                  <c:v>8.7912087912088276E-3</c:v>
                </c:pt>
                <c:pt idx="140">
                  <c:v>-1.3901857039111976E-2</c:v>
                </c:pt>
                <c:pt idx="141">
                  <c:v>-4.8395581273013542E-3</c:v>
                </c:pt>
                <c:pt idx="142">
                  <c:v>-6.5546040807696855E-3</c:v>
                </c:pt>
                <c:pt idx="143">
                  <c:v>1.3727785463445847E-2</c:v>
                </c:pt>
                <c:pt idx="144">
                  <c:v>-7.3483098887256225E-3</c:v>
                </c:pt>
                <c:pt idx="145">
                  <c:v>-1.7978003384094934E-3</c:v>
                </c:pt>
                <c:pt idx="146">
                  <c:v>-2.118868524208103E-3</c:v>
                </c:pt>
                <c:pt idx="147">
                  <c:v>1.3164879498885328E-2</c:v>
                </c:pt>
                <c:pt idx="148">
                  <c:v>-2.0852981242795859E-2</c:v>
                </c:pt>
                <c:pt idx="149">
                  <c:v>2.4614726027397688E-3</c:v>
                </c:pt>
                <c:pt idx="150">
                  <c:v>-2.1351553325504734E-3</c:v>
                </c:pt>
                <c:pt idx="151">
                  <c:v>-3.7124210976783985E-2</c:v>
                </c:pt>
                <c:pt idx="152">
                  <c:v>6.0000000000000695E-3</c:v>
                </c:pt>
                <c:pt idx="153">
                  <c:v>6.737353655842715E-3</c:v>
                </c:pt>
                <c:pt idx="154">
                  <c:v>2.8524410312670422E-3</c:v>
                </c:pt>
                <c:pt idx="155">
                  <c:v>1.6737774860518556E-2</c:v>
                </c:pt>
                <c:pt idx="156">
                  <c:v>-3.0234559931138393E-2</c:v>
                </c:pt>
                <c:pt idx="157">
                  <c:v>-1.8972595140352756E-2</c:v>
                </c:pt>
                <c:pt idx="158">
                  <c:v>1.2893010631078948E-2</c:v>
                </c:pt>
                <c:pt idx="159">
                  <c:v>-8.9325591782043654E-4</c:v>
                </c:pt>
                <c:pt idx="160">
                  <c:v>4.9508270004470188E-2</c:v>
                </c:pt>
                <c:pt idx="161">
                  <c:v>-2.7686082419337604E-2</c:v>
                </c:pt>
                <c:pt idx="162">
                  <c:v>1.9274997262074153E-2</c:v>
                </c:pt>
                <c:pt idx="163">
                  <c:v>-5.5871924358009677E-3</c:v>
                </c:pt>
                <c:pt idx="164">
                  <c:v>-1.2425715829281378E-2</c:v>
                </c:pt>
                <c:pt idx="165">
                  <c:v>-2.5164113785558421E-3</c:v>
                </c:pt>
                <c:pt idx="166">
                  <c:v>-2.5227596797192495E-3</c:v>
                </c:pt>
                <c:pt idx="167">
                  <c:v>2.2542335605893964E-2</c:v>
                </c:pt>
                <c:pt idx="168">
                  <c:v>-1.1829228949349331E-3</c:v>
                </c:pt>
                <c:pt idx="169">
                  <c:v>-5.3832902670108919E-4</c:v>
                </c:pt>
                <c:pt idx="170">
                  <c:v>0</c:v>
                </c:pt>
                <c:pt idx="171">
                  <c:v>-1.4327264892814804E-2</c:v>
                </c:pt>
                <c:pt idx="172">
                  <c:v>-1.3224043715846926E-2</c:v>
                </c:pt>
                <c:pt idx="173">
                  <c:v>1.7388415106877761E-2</c:v>
                </c:pt>
                <c:pt idx="174">
                  <c:v>-7.6202917483119076E-4</c:v>
                </c:pt>
                <c:pt idx="175">
                  <c:v>1.6341649417146908E-3</c:v>
                </c:pt>
                <c:pt idx="176">
                  <c:v>2.3928649118990521E-3</c:v>
                </c:pt>
                <c:pt idx="177">
                  <c:v>-9.7656250000003708E-4</c:v>
                </c:pt>
                <c:pt idx="178">
                  <c:v>-6.5167807103278018E-4</c:v>
                </c:pt>
                <c:pt idx="179">
                  <c:v>1.0107597000325971E-2</c:v>
                </c:pt>
                <c:pt idx="180">
                  <c:v>9.683666881859631E-4</c:v>
                </c:pt>
                <c:pt idx="181">
                  <c:v>-6.3420402020853851E-3</c:v>
                </c:pt>
                <c:pt idx="182">
                  <c:v>-3.6780614452618285E-3</c:v>
                </c:pt>
                <c:pt idx="183">
                  <c:v>1.4115092290988181E-2</c:v>
                </c:pt>
                <c:pt idx="184">
                  <c:v>1.3918629550320712E-3</c:v>
                </c:pt>
                <c:pt idx="185">
                  <c:v>2.2987276809579873E-2</c:v>
                </c:pt>
                <c:pt idx="186">
                  <c:v>9.5108695652173555E-3</c:v>
                </c:pt>
                <c:pt idx="187">
                  <c:v>-3.0023811988819367E-3</c:v>
                </c:pt>
                <c:pt idx="188">
                  <c:v>1.8691588785047439E-3</c:v>
                </c:pt>
                <c:pt idx="189">
                  <c:v>-5.4933665008291988E-3</c:v>
                </c:pt>
                <c:pt idx="190">
                  <c:v>-7.3996873371548512E-3</c:v>
                </c:pt>
                <c:pt idx="191">
                  <c:v>1.0499790004205287E-4</c:v>
                </c:pt>
                <c:pt idx="192">
                  <c:v>9.9737532808399244E-3</c:v>
                </c:pt>
                <c:pt idx="193">
                  <c:v>-3.6382536382537269E-3</c:v>
                </c:pt>
                <c:pt idx="194">
                  <c:v>7.1987480438185916E-3</c:v>
                </c:pt>
                <c:pt idx="195">
                  <c:v>-5.489952351356962E-3</c:v>
                </c:pt>
                <c:pt idx="196">
                  <c:v>2.8122070617643581E-3</c:v>
                </c:pt>
                <c:pt idx="197">
                  <c:v>7.6859160781054727E-3</c:v>
                </c:pt>
                <c:pt idx="198">
                  <c:v>7.1119356833642313E-3</c:v>
                </c:pt>
                <c:pt idx="199">
                  <c:v>-3.8890594616722493E-3</c:v>
                </c:pt>
                <c:pt idx="200">
                  <c:v>-1.1609986643378152E-2</c:v>
                </c:pt>
                <c:pt idx="201">
                  <c:v>-5.5093555093555209E-3</c:v>
                </c:pt>
                <c:pt idx="202">
                  <c:v>-8.0485000522629458E-3</c:v>
                </c:pt>
                <c:pt idx="203">
                  <c:v>-7.7976817702846051E-3</c:v>
                </c:pt>
                <c:pt idx="204">
                  <c:v>4.7790994052676599E-3</c:v>
                </c:pt>
                <c:pt idx="205">
                  <c:v>3.044075679103684E-2</c:v>
                </c:pt>
                <c:pt idx="206">
                  <c:v>-8.5136937121755903E-3</c:v>
                </c:pt>
                <c:pt idx="207">
                  <c:v>-4.5520380715911206E-3</c:v>
                </c:pt>
                <c:pt idx="208">
                  <c:v>8.7299937642902042E-3</c:v>
                </c:pt>
                <c:pt idx="209">
                  <c:v>7.7271790644961877E-3</c:v>
                </c:pt>
                <c:pt idx="210">
                  <c:v>1.9425416624066836E-3</c:v>
                </c:pt>
                <c:pt idx="211">
                  <c:v>-2.2959183673469389E-2</c:v>
                </c:pt>
                <c:pt idx="212">
                  <c:v>3.1331592689296228E-4</c:v>
                </c:pt>
                <c:pt idx="213">
                  <c:v>3.0277719774482359E-3</c:v>
                </c:pt>
                <c:pt idx="214">
                  <c:v>-3.2268137816174464E-3</c:v>
                </c:pt>
                <c:pt idx="215">
                  <c:v>2.3182957393483698E-2</c:v>
                </c:pt>
                <c:pt idx="216">
                  <c:v>9.1855480710348169E-3</c:v>
                </c:pt>
                <c:pt idx="217">
                  <c:v>1.5473300970873799E-2</c:v>
                </c:pt>
                <c:pt idx="218">
                  <c:v>-2.1013843242704906E-2</c:v>
                </c:pt>
                <c:pt idx="219">
                  <c:v>3.5605289928789419E-2</c:v>
                </c:pt>
                <c:pt idx="220">
                  <c:v>1.1296660117878249E-2</c:v>
                </c:pt>
                <c:pt idx="221">
                  <c:v>-8.547838756678092E-3</c:v>
                </c:pt>
                <c:pt idx="222">
                  <c:v>2.4688938963456555E-2</c:v>
                </c:pt>
                <c:pt idx="223">
                  <c:v>1.1473372215316979E-2</c:v>
                </c:pt>
                <c:pt idx="224">
                  <c:v>5.4825597882597436E-3</c:v>
                </c:pt>
                <c:pt idx="225">
                  <c:v>1.3161605715897393E-3</c:v>
                </c:pt>
                <c:pt idx="226">
                  <c:v>-5.4454980752980777E-3</c:v>
                </c:pt>
                <c:pt idx="227">
                  <c:v>-1.2177853299348685E-2</c:v>
                </c:pt>
                <c:pt idx="228">
                  <c:v>5.1605504587156565E-3</c:v>
                </c:pt>
                <c:pt idx="229">
                  <c:v>-4.4685301388097841E-3</c:v>
                </c:pt>
                <c:pt idx="230">
                  <c:v>2.1965428325852734E-3</c:v>
                </c:pt>
                <c:pt idx="231">
                  <c:v>-9.5292548122731383E-4</c:v>
                </c:pt>
                <c:pt idx="232">
                  <c:v>8.2983594048072328E-3</c:v>
                </c:pt>
                <c:pt idx="233">
                  <c:v>1.513574874657183E-3</c:v>
                </c:pt>
                <c:pt idx="234">
                  <c:v>-5.4784169264191773E-3</c:v>
                </c:pt>
                <c:pt idx="235">
                  <c:v>9.7825054611072933E-3</c:v>
                </c:pt>
                <c:pt idx="236">
                  <c:v>-2.8969149736644079E-2</c:v>
                </c:pt>
                <c:pt idx="237">
                  <c:v>3.0027121270825483E-3</c:v>
                </c:pt>
                <c:pt idx="238">
                  <c:v>-1.5644616127474559E-2</c:v>
                </c:pt>
                <c:pt idx="239">
                  <c:v>1.1380359069949931E-2</c:v>
                </c:pt>
                <c:pt idx="240">
                  <c:v>-1.2028324764768736E-2</c:v>
                </c:pt>
                <c:pt idx="241">
                  <c:v>7.8546882670606298E-4</c:v>
                </c:pt>
                <c:pt idx="242">
                  <c:v>7.0636711468654847E-3</c:v>
                </c:pt>
                <c:pt idx="243">
                  <c:v>-1.5684364344861174E-2</c:v>
                </c:pt>
                <c:pt idx="244">
                  <c:v>-1.7418844022169488E-2</c:v>
                </c:pt>
                <c:pt idx="245">
                  <c:v>2.2058823529411742E-2</c:v>
                </c:pt>
                <c:pt idx="246">
                  <c:v>8.6725140435596274E-3</c:v>
                </c:pt>
                <c:pt idx="247">
                  <c:v>1.0747435271128425E-3</c:v>
                </c:pt>
                <c:pt idx="248">
                  <c:v>-3.3183681436657155E-3</c:v>
                </c:pt>
                <c:pt idx="249">
                  <c:v>-2.2326674500587555E-2</c:v>
                </c:pt>
                <c:pt idx="250">
                  <c:v>1.3922275641025647E-2</c:v>
                </c:pt>
                <c:pt idx="251">
                  <c:v>-2.3214462115973607E-2</c:v>
                </c:pt>
                <c:pt idx="252">
                  <c:v>2.862055016181228E-2</c:v>
                </c:pt>
                <c:pt idx="253">
                  <c:v>1.3174712417658082E-2</c:v>
                </c:pt>
                <c:pt idx="254">
                  <c:v>-5.5312954876272991E-3</c:v>
                </c:pt>
                <c:pt idx="255">
                  <c:v>8.782201405151171E-4</c:v>
                </c:pt>
                <c:pt idx="256">
                  <c:v>-6.1421468265574286E-3</c:v>
                </c:pt>
                <c:pt idx="257">
                  <c:v>1.0986855012752645E-2</c:v>
                </c:pt>
                <c:pt idx="258">
                  <c:v>-5.821851348729116E-4</c:v>
                </c:pt>
                <c:pt idx="259">
                  <c:v>3.5339805825242723E-2</c:v>
                </c:pt>
                <c:pt idx="260">
                  <c:v>-1.1065266316579208E-2</c:v>
                </c:pt>
                <c:pt idx="261">
                  <c:v>1.2516593969277522E-2</c:v>
                </c:pt>
                <c:pt idx="262">
                  <c:v>-5.8063307735531427E-3</c:v>
                </c:pt>
                <c:pt idx="263">
                  <c:v>4.4272795779954676E-3</c:v>
                </c:pt>
                <c:pt idx="264">
                  <c:v>8.9093125761980953E-3</c:v>
                </c:pt>
                <c:pt idx="265">
                  <c:v>-1.022494887525557E-2</c:v>
                </c:pt>
                <c:pt idx="266">
                  <c:v>-8.7340345604809046E-3</c:v>
                </c:pt>
                <c:pt idx="267">
                  <c:v>-3.7896731406908613E-4</c:v>
                </c:pt>
                <c:pt idx="268">
                  <c:v>-3.5067766088522846E-3</c:v>
                </c:pt>
                <c:pt idx="269">
                  <c:v>-6.7529008940459745E-3</c:v>
                </c:pt>
                <c:pt idx="270">
                  <c:v>1.1490950876184079E-3</c:v>
                </c:pt>
                <c:pt idx="271">
                  <c:v>6.3127690100430092E-3</c:v>
                </c:pt>
                <c:pt idx="272">
                  <c:v>4.7523999619808006E-3</c:v>
                </c:pt>
                <c:pt idx="273">
                  <c:v>-6.3380947876264075E-3</c:v>
                </c:pt>
                <c:pt idx="274">
                  <c:v>4.6648895658796159E-3</c:v>
                </c:pt>
                <c:pt idx="275">
                  <c:v>-1.895195678953475E-4</c:v>
                </c:pt>
                <c:pt idx="276">
                  <c:v>-1.6112216851483434E-3</c:v>
                </c:pt>
                <c:pt idx="277">
                  <c:v>1.0442377064742684E-3</c:v>
                </c:pt>
                <c:pt idx="278">
                  <c:v>4.7415836889518401E-4</c:v>
                </c:pt>
                <c:pt idx="279">
                  <c:v>1.0805687203791475E-2</c:v>
                </c:pt>
                <c:pt idx="280">
                  <c:v>1.2565641410352621E-2</c:v>
                </c:pt>
                <c:pt idx="281">
                  <c:v>4.6304871272455231E-4</c:v>
                </c:pt>
                <c:pt idx="282">
                  <c:v>-9.4418217161899107E-3</c:v>
                </c:pt>
                <c:pt idx="283">
                  <c:v>-1.8502943650126193E-2</c:v>
                </c:pt>
                <c:pt idx="284">
                  <c:v>-7.8072931543369268E-3</c:v>
                </c:pt>
                <c:pt idx="285">
                  <c:v>-7.1010459648785619E-3</c:v>
                </c:pt>
                <c:pt idx="286">
                  <c:v>-1.043780806030732E-2</c:v>
                </c:pt>
                <c:pt idx="287">
                  <c:v>1.1426897157925595E-2</c:v>
                </c:pt>
                <c:pt idx="288">
                  <c:v>2.1533410583236809E-2</c:v>
                </c:pt>
                <c:pt idx="289">
                  <c:v>-2.7129218262595751E-2</c:v>
                </c:pt>
                <c:pt idx="290">
                  <c:v>1.2534006995724756E-2</c:v>
                </c:pt>
                <c:pt idx="291">
                  <c:v>2.3702139909797651E-2</c:v>
                </c:pt>
                <c:pt idx="292">
                  <c:v>-5.3805774278215306E-2</c:v>
                </c:pt>
                <c:pt idx="293">
                  <c:v>-2.1795125817317247E-2</c:v>
                </c:pt>
                <c:pt idx="294">
                  <c:v>2.6939436905003149E-2</c:v>
                </c:pt>
                <c:pt idx="295">
                  <c:v>-1.1143984220907392E-2</c:v>
                </c:pt>
                <c:pt idx="296">
                  <c:v>-3.8994714271467008E-2</c:v>
                </c:pt>
                <c:pt idx="297">
                  <c:v>-1.0896637608966347E-2</c:v>
                </c:pt>
                <c:pt idx="298">
                  <c:v>-6.8408351694470626E-2</c:v>
                </c:pt>
                <c:pt idx="299">
                  <c:v>9.2352742425948087E-3</c:v>
                </c:pt>
                <c:pt idx="300">
                  <c:v>-7.2648141948443309E-2</c:v>
                </c:pt>
                <c:pt idx="301">
                  <c:v>7.0998796630565658E-2</c:v>
                </c:pt>
                <c:pt idx="302">
                  <c:v>4.6067415730336693E-3</c:v>
                </c:pt>
                <c:pt idx="303">
                  <c:v>-7.4935689520187934E-2</c:v>
                </c:pt>
                <c:pt idx="304">
                  <c:v>3.1193326079071607E-2</c:v>
                </c:pt>
                <c:pt idx="305">
                  <c:v>5.3933638175635325E-3</c:v>
                </c:pt>
                <c:pt idx="306">
                  <c:v>3.3002915451895022E-2</c:v>
                </c:pt>
                <c:pt idx="307">
                  <c:v>2.7319936780311603E-2</c:v>
                </c:pt>
                <c:pt idx="308">
                  <c:v>2.2087912087912144E-2</c:v>
                </c:pt>
                <c:pt idx="309">
                  <c:v>1.1289108697989433E-2</c:v>
                </c:pt>
                <c:pt idx="310">
                  <c:v>-5.9536466085477599E-3</c:v>
                </c:pt>
                <c:pt idx="311">
                  <c:v>-5.7754010695187834E-3</c:v>
                </c:pt>
                <c:pt idx="312">
                  <c:v>-3.0658347676419905E-2</c:v>
                </c:pt>
                <c:pt idx="313">
                  <c:v>9.8768172233936365E-3</c:v>
                </c:pt>
                <c:pt idx="314">
                  <c:v>3.95604395604395E-3</c:v>
                </c:pt>
                <c:pt idx="315">
                  <c:v>3.5026269702276736E-2</c:v>
                </c:pt>
                <c:pt idx="316">
                  <c:v>1.2161590524534596E-2</c:v>
                </c:pt>
                <c:pt idx="317">
                  <c:v>-1.6299237279281037E-2</c:v>
                </c:pt>
                <c:pt idx="318">
                  <c:v>4.0361125862984114E-3</c:v>
                </c:pt>
                <c:pt idx="319">
                  <c:v>9.6265735745265698E-3</c:v>
                </c:pt>
                <c:pt idx="320">
                  <c:v>1.2992455993294311E-2</c:v>
                </c:pt>
                <c:pt idx="321">
                  <c:v>7.498965659908978E-2</c:v>
                </c:pt>
                <c:pt idx="322">
                  <c:v>4.3394592514192157E-2</c:v>
                </c:pt>
                <c:pt idx="323">
                  <c:v>-3.6978974548137138E-2</c:v>
                </c:pt>
                <c:pt idx="324">
                  <c:v>8.4266973092022926E-3</c:v>
                </c:pt>
                <c:pt idx="325">
                  <c:v>-3.0386478017283012E-3</c:v>
                </c:pt>
                <c:pt idx="326">
                  <c:v>1.5906276788265568E-2</c:v>
                </c:pt>
                <c:pt idx="327">
                  <c:v>3.937746109131837E-3</c:v>
                </c:pt>
                <c:pt idx="328">
                  <c:v>-9.3388121031052633E-5</c:v>
                </c:pt>
                <c:pt idx="329">
                  <c:v>2.7458671896889997E-2</c:v>
                </c:pt>
                <c:pt idx="330">
                  <c:v>1.6180347241159906E-2</c:v>
                </c:pt>
                <c:pt idx="331">
                  <c:v>-2.2005546113248124E-2</c:v>
                </c:pt>
                <c:pt idx="332">
                  <c:v>0</c:v>
                </c:pt>
                <c:pt idx="333">
                  <c:v>-1.0061282356169344E-2</c:v>
                </c:pt>
                <c:pt idx="334">
                  <c:v>-6.4677076596138111E-3</c:v>
                </c:pt>
                <c:pt idx="335">
                  <c:v>-2.7899190923464279E-4</c:v>
                </c:pt>
                <c:pt idx="336">
                  <c:v>2.3255813953488372E-3</c:v>
                </c:pt>
                <c:pt idx="337">
                  <c:v>2.2273781902551731E-3</c:v>
                </c:pt>
                <c:pt idx="338">
                  <c:v>2.4076303361422829E-3</c:v>
                </c:pt>
                <c:pt idx="339">
                  <c:v>2.771362586605081E-2</c:v>
                </c:pt>
                <c:pt idx="340">
                  <c:v>6.2921348314606993E-3</c:v>
                </c:pt>
                <c:pt idx="341">
                  <c:v>-1.6525234479678505E-2</c:v>
                </c:pt>
                <c:pt idx="342">
                  <c:v>3.6330608537693525E-3</c:v>
                </c:pt>
                <c:pt idx="343">
                  <c:v>-1.8099547511312219E-2</c:v>
                </c:pt>
                <c:pt idx="344">
                  <c:v>4.608294930875576E-3</c:v>
                </c:pt>
                <c:pt idx="345">
                  <c:v>-3.6697247706422541E-3</c:v>
                </c:pt>
                <c:pt idx="346">
                  <c:v>2.7624309392266242E-3</c:v>
                </c:pt>
                <c:pt idx="347">
                  <c:v>3.2139577594122526E-3</c:v>
                </c:pt>
                <c:pt idx="348">
                  <c:v>-1.1441647597254004E-2</c:v>
                </c:pt>
                <c:pt idx="349">
                  <c:v>2.2222222222221749E-3</c:v>
                </c:pt>
                <c:pt idx="350">
                  <c:v>2.4020694752402544E-3</c:v>
                </c:pt>
                <c:pt idx="351">
                  <c:v>-1.6589861751152703E-3</c:v>
                </c:pt>
                <c:pt idx="352">
                  <c:v>-7.3855243722302716E-4</c:v>
                </c:pt>
                <c:pt idx="353">
                  <c:v>-2.1249076127123965E-3</c:v>
                </c:pt>
                <c:pt idx="354">
                  <c:v>3.6107767799277895E-3</c:v>
                </c:pt>
                <c:pt idx="355">
                  <c:v>1.4944649446494375E-2</c:v>
                </c:pt>
                <c:pt idx="356">
                  <c:v>-1.8360298127613126E-2</c:v>
                </c:pt>
                <c:pt idx="357">
                  <c:v>-9.7222222222221964E-3</c:v>
                </c:pt>
                <c:pt idx="358">
                  <c:v>-6.8256194483403828E-3</c:v>
                </c:pt>
                <c:pt idx="359">
                  <c:v>-1.1485595932969299E-2</c:v>
                </c:pt>
                <c:pt idx="360">
                  <c:v>-1.5142857142857175E-2</c:v>
                </c:pt>
                <c:pt idx="361">
                  <c:v>8.7032201914711746E-4</c:v>
                </c:pt>
                <c:pt idx="362">
                  <c:v>3.140096618357488E-2</c:v>
                </c:pt>
                <c:pt idx="363">
                  <c:v>7.0257611241217799E-3</c:v>
                </c:pt>
                <c:pt idx="364">
                  <c:v>-6.9767441860465115E-3</c:v>
                </c:pt>
                <c:pt idx="365">
                  <c:v>-7.9625292740046309E-3</c:v>
                </c:pt>
                <c:pt idx="366">
                  <c:v>3.3994334277620344E-2</c:v>
                </c:pt>
                <c:pt idx="367">
                  <c:v>-4.2922374429223637E-3</c:v>
                </c:pt>
                <c:pt idx="368">
                  <c:v>9.3552233330275701E-3</c:v>
                </c:pt>
                <c:pt idx="369">
                  <c:v>8.7233075874603178E-3</c:v>
                </c:pt>
                <c:pt idx="370">
                  <c:v>-7.2065579677507551E-3</c:v>
                </c:pt>
                <c:pt idx="371">
                  <c:v>1.6241720352055226E-2</c:v>
                </c:pt>
                <c:pt idx="372">
                  <c:v>-9.8214285714285209E-3</c:v>
                </c:pt>
                <c:pt idx="373">
                  <c:v>9.0171325518479989E-4</c:v>
                </c:pt>
                <c:pt idx="374">
                  <c:v>0</c:v>
                </c:pt>
                <c:pt idx="375">
                  <c:v>-3.8738738738739354E-3</c:v>
                </c:pt>
                <c:pt idx="376">
                  <c:v>-7.2352355973589848E-4</c:v>
                </c:pt>
                <c:pt idx="377">
                  <c:v>5.068331975744432E-3</c:v>
                </c:pt>
                <c:pt idx="378">
                  <c:v>4.0522287257992156E-3</c:v>
                </c:pt>
                <c:pt idx="379">
                  <c:v>-1.7937219730941958E-3</c:v>
                </c:pt>
                <c:pt idx="380">
                  <c:v>-1.8867924528301325E-3</c:v>
                </c:pt>
                <c:pt idx="381">
                  <c:v>9.0017103249535551E-5</c:v>
                </c:pt>
                <c:pt idx="382">
                  <c:v>-1.3501350135012734E-3</c:v>
                </c:pt>
                <c:pt idx="383">
                  <c:v>1.5322217214961847E-3</c:v>
                </c:pt>
                <c:pt idx="384">
                  <c:v>-5.4895608351331841E-3</c:v>
                </c:pt>
                <c:pt idx="385">
                  <c:v>7.1486743281150306E-3</c:v>
                </c:pt>
                <c:pt idx="386">
                  <c:v>-2.695417789757387E-3</c:v>
                </c:pt>
                <c:pt idx="387">
                  <c:v>1.3423423423423377E-2</c:v>
                </c:pt>
                <c:pt idx="388">
                  <c:v>-6.5783625211129427E-3</c:v>
                </c:pt>
                <c:pt idx="389">
                  <c:v>-1.029082774049222E-2</c:v>
                </c:pt>
                <c:pt idx="390">
                  <c:v>-2.2603978300180833E-3</c:v>
                </c:pt>
                <c:pt idx="391">
                  <c:v>5.8903488898958377E-3</c:v>
                </c:pt>
                <c:pt idx="392">
                  <c:v>-1.3513513513513514E-2</c:v>
                </c:pt>
                <c:pt idx="393">
                  <c:v>-5.0228310502282844E-3</c:v>
                </c:pt>
                <c:pt idx="394">
                  <c:v>4.5892611289579765E-4</c:v>
                </c:pt>
                <c:pt idx="395">
                  <c:v>-3.7614678899082258E-3</c:v>
                </c:pt>
                <c:pt idx="396">
                  <c:v>1.068238327654477E-2</c:v>
                </c:pt>
                <c:pt idx="397">
                  <c:v>5.466970387243684E-3</c:v>
                </c:pt>
                <c:pt idx="398">
                  <c:v>3.5251472587222478E-2</c:v>
                </c:pt>
                <c:pt idx="399">
                  <c:v>-6.1186974789915922E-2</c:v>
                </c:pt>
                <c:pt idx="400">
                  <c:v>1.0722610722610776E-2</c:v>
                </c:pt>
                <c:pt idx="401">
                  <c:v>-3.6900369003690561E-3</c:v>
                </c:pt>
                <c:pt idx="402">
                  <c:v>7.4074074074073808E-3</c:v>
                </c:pt>
                <c:pt idx="403">
                  <c:v>1.8382352941176733E-3</c:v>
                </c:pt>
                <c:pt idx="404">
                  <c:v>2.7522935779816255E-3</c:v>
                </c:pt>
                <c:pt idx="405">
                  <c:v>-1.1893870082342151E-2</c:v>
                </c:pt>
                <c:pt idx="406">
                  <c:v>4.6296296296296294E-3</c:v>
                </c:pt>
                <c:pt idx="407">
                  <c:v>-1.8433179723502567E-3</c:v>
                </c:pt>
                <c:pt idx="408">
                  <c:v>3.1394275161588498E-3</c:v>
                </c:pt>
                <c:pt idx="409">
                  <c:v>3.2216494845360303E-3</c:v>
                </c:pt>
                <c:pt idx="410">
                  <c:v>-9.0834021469859156E-3</c:v>
                </c:pt>
                <c:pt idx="411">
                  <c:v>-2.7777777777777514E-3</c:v>
                </c:pt>
                <c:pt idx="412">
                  <c:v>6.4995357474466374E-3</c:v>
                </c:pt>
                <c:pt idx="413">
                  <c:v>9.6863468634686076E-3</c:v>
                </c:pt>
                <c:pt idx="414">
                  <c:v>-4.1114664230242374E-3</c:v>
                </c:pt>
                <c:pt idx="415">
                  <c:v>1.3761467889908258E-2</c:v>
                </c:pt>
                <c:pt idx="416">
                  <c:v>4.6153846153846618E-3</c:v>
                </c:pt>
                <c:pt idx="417">
                  <c:v>-2.3421313395190083E-3</c:v>
                </c:pt>
                <c:pt idx="418">
                  <c:v>-1.580135440180587E-2</c:v>
                </c:pt>
                <c:pt idx="419">
                  <c:v>4.5871559633027525E-3</c:v>
                </c:pt>
                <c:pt idx="420">
                  <c:v>2.1917808219177617E-3</c:v>
                </c:pt>
                <c:pt idx="421">
                  <c:v>1.4579916165483034E-3</c:v>
                </c:pt>
                <c:pt idx="422">
                  <c:v>1.091901728844316E-3</c:v>
                </c:pt>
                <c:pt idx="423">
                  <c:v>-3.8174877295037422E-3</c:v>
                </c:pt>
                <c:pt idx="424">
                  <c:v>1.8795620437956226E-2</c:v>
                </c:pt>
                <c:pt idx="425">
                  <c:v>-1.1194698190936773E-2</c:v>
                </c:pt>
                <c:pt idx="426">
                  <c:v>-1.0506294719681158E-2</c:v>
                </c:pt>
                <c:pt idx="427">
                  <c:v>-1.3729977116705326E-3</c:v>
                </c:pt>
                <c:pt idx="428">
                  <c:v>8.2493125572869457E-3</c:v>
                </c:pt>
                <c:pt idx="429">
                  <c:v>4.5454545454542869E-4</c:v>
                </c:pt>
                <c:pt idx="430">
                  <c:v>-9.5411176737846184E-3</c:v>
                </c:pt>
                <c:pt idx="431">
                  <c:v>7.3394495412843772E-3</c:v>
                </c:pt>
                <c:pt idx="432">
                  <c:v>-1.6393442622950793E-2</c:v>
                </c:pt>
                <c:pt idx="433">
                  <c:v>-2.4999999999999632E-3</c:v>
                </c:pt>
                <c:pt idx="434">
                  <c:v>-2.2277917014759964E-3</c:v>
                </c:pt>
                <c:pt idx="435">
                  <c:v>-1.5257233230998238E-2</c:v>
                </c:pt>
                <c:pt idx="436">
                  <c:v>1.3226263580538552E-3</c:v>
                </c:pt>
                <c:pt idx="437">
                  <c:v>-8.9631097273326597E-3</c:v>
                </c:pt>
                <c:pt idx="438">
                  <c:v>2.0087585681645082E-2</c:v>
                </c:pt>
                <c:pt idx="439">
                  <c:v>1.8665422305178593E-3</c:v>
                </c:pt>
                <c:pt idx="440">
                  <c:v>-9.0358639962738602E-3</c:v>
                </c:pt>
                <c:pt idx="441">
                  <c:v>-3.5721000188004837E-3</c:v>
                </c:pt>
                <c:pt idx="442">
                  <c:v>4.1509433962263935E-3</c:v>
                </c:pt>
                <c:pt idx="443">
                  <c:v>5.6369785794816113E-4</c:v>
                </c:pt>
                <c:pt idx="444">
                  <c:v>-4.6948356807511738E-3</c:v>
                </c:pt>
                <c:pt idx="445">
                  <c:v>-1.8867924528302156E-3</c:v>
                </c:pt>
                <c:pt idx="446">
                  <c:v>1.0396975425330893E-2</c:v>
                </c:pt>
                <c:pt idx="447">
                  <c:v>1.0289990645462996E-2</c:v>
                </c:pt>
                <c:pt idx="448">
                  <c:v>3.2407407407406882E-3</c:v>
                </c:pt>
                <c:pt idx="449">
                  <c:v>-4.6146746654358249E-4</c:v>
                </c:pt>
                <c:pt idx="450">
                  <c:v>-2.7700831024930488E-3</c:v>
                </c:pt>
                <c:pt idx="451">
                  <c:v>9.2592592592639968E-5</c:v>
                </c:pt>
                <c:pt idx="452">
                  <c:v>-5.5550411998891091E-4</c:v>
                </c:pt>
                <c:pt idx="453">
                  <c:v>-1.8249189439555339E-2</c:v>
                </c:pt>
                <c:pt idx="454">
                  <c:v>-1.3964899037554292E-2</c:v>
                </c:pt>
                <c:pt idx="455">
                  <c:v>1.9138755980861516E-3</c:v>
                </c:pt>
                <c:pt idx="456">
                  <c:v>1.3371537726838639E-3</c:v>
                </c:pt>
                <c:pt idx="457">
                  <c:v>6.2953071346813867E-3</c:v>
                </c:pt>
                <c:pt idx="458">
                  <c:v>-2.3696682464454978E-3</c:v>
                </c:pt>
                <c:pt idx="459">
                  <c:v>-1.4251781472684627E-3</c:v>
                </c:pt>
                <c:pt idx="460">
                  <c:v>-2.5689819219790297E-3</c:v>
                </c:pt>
                <c:pt idx="461">
                  <c:v>4.0064866927406444E-3</c:v>
                </c:pt>
                <c:pt idx="462">
                  <c:v>-5.2256532066508043E-3</c:v>
                </c:pt>
                <c:pt idx="463">
                  <c:v>-9.55109837631409E-4</c:v>
                </c:pt>
                <c:pt idx="464">
                  <c:v>6.2141491395794049E-3</c:v>
                </c:pt>
                <c:pt idx="465">
                  <c:v>-9.0261282660332818E-3</c:v>
                </c:pt>
                <c:pt idx="466">
                  <c:v>5.2732502396931656E-3</c:v>
                </c:pt>
                <c:pt idx="467">
                  <c:v>-6.3900810681925373E-3</c:v>
                </c:pt>
                <c:pt idx="468">
                  <c:v>-7.4870416586677009E-3</c:v>
                </c:pt>
                <c:pt idx="469">
                  <c:v>7.7369439071565081E-4</c:v>
                </c:pt>
                <c:pt idx="470">
                  <c:v>7.8275995361422705E-3</c:v>
                </c:pt>
                <c:pt idx="471">
                  <c:v>1.0547511746092572E-3</c:v>
                </c:pt>
                <c:pt idx="472">
                  <c:v>5.7471264367815545E-3</c:v>
                </c:pt>
                <c:pt idx="473">
                  <c:v>-8.3809523809523379E-3</c:v>
                </c:pt>
                <c:pt idx="474">
                  <c:v>-8.3557433730311621E-3</c:v>
                </c:pt>
                <c:pt idx="475">
                  <c:v>7.2639225181598066E-3</c:v>
                </c:pt>
                <c:pt idx="476">
                  <c:v>-2.8846153846153575E-3</c:v>
                </c:pt>
                <c:pt idx="477">
                  <c:v>-1.3018322082931615E-2</c:v>
                </c:pt>
                <c:pt idx="478">
                  <c:v>-6.3507572056667469E-3</c:v>
                </c:pt>
                <c:pt idx="479">
                  <c:v>-4.4247787610619746E-3</c:v>
                </c:pt>
                <c:pt idx="480">
                  <c:v>-8.3950617283950063E-3</c:v>
                </c:pt>
                <c:pt idx="481">
                  <c:v>-3.9840637450199766E-3</c:v>
                </c:pt>
                <c:pt idx="482">
                  <c:v>2.2399999999999948E-2</c:v>
                </c:pt>
                <c:pt idx="483">
                  <c:v>-1.3693270735524313E-3</c:v>
                </c:pt>
                <c:pt idx="484">
                  <c:v>4.3095004897159707E-2</c:v>
                </c:pt>
                <c:pt idx="485">
                  <c:v>6.5727699530516697E-3</c:v>
                </c:pt>
                <c:pt idx="486">
                  <c:v>7.4626865671641521E-3</c:v>
                </c:pt>
                <c:pt idx="487">
                  <c:v>4.6296296296296294E-3</c:v>
                </c:pt>
                <c:pt idx="488">
                  <c:v>4.3317972350230306E-3</c:v>
                </c:pt>
                <c:pt idx="489">
                  <c:v>-4.3131137010186185E-3</c:v>
                </c:pt>
                <c:pt idx="490">
                  <c:v>8.2949308755760898E-3</c:v>
                </c:pt>
                <c:pt idx="491">
                  <c:v>-3.5648994515539356E-3</c:v>
                </c:pt>
                <c:pt idx="492">
                  <c:v>-2.3851022841941574E-3</c:v>
                </c:pt>
                <c:pt idx="493">
                  <c:v>2.3908045977011965E-3</c:v>
                </c:pt>
                <c:pt idx="494">
                  <c:v>-1.3301531969544103E-2</c:v>
                </c:pt>
                <c:pt idx="495">
                  <c:v>8.646336928226037E-3</c:v>
                </c:pt>
                <c:pt idx="496">
                  <c:v>3.3182781823209461E-3</c:v>
                </c:pt>
                <c:pt idx="497">
                  <c:v>2.3886081763895739E-3</c:v>
                </c:pt>
                <c:pt idx="498">
                  <c:v>1.2739437265145271E-2</c:v>
                </c:pt>
                <c:pt idx="499">
                  <c:v>4.4343891402714468E-3</c:v>
                </c:pt>
                <c:pt idx="500">
                  <c:v>9.0098207045725891E-5</c:v>
                </c:pt>
                <c:pt idx="501">
                  <c:v>1.7117117117117168E-2</c:v>
                </c:pt>
                <c:pt idx="502">
                  <c:v>-4.871567759078931E-3</c:v>
                </c:pt>
                <c:pt idx="503">
                  <c:v>-1.7801513128614921E-3</c:v>
                </c:pt>
                <c:pt idx="504">
                  <c:v>-1.3374944271066043E-3</c:v>
                </c:pt>
                <c:pt idx="505">
                  <c:v>-3.1249999999999494E-3</c:v>
                </c:pt>
                <c:pt idx="506">
                  <c:v>-2.2391401701746527E-3</c:v>
                </c:pt>
                <c:pt idx="507">
                  <c:v>4.4883303411128508E-4</c:v>
                </c:pt>
                <c:pt idx="508">
                  <c:v>-3.768506056527606E-3</c:v>
                </c:pt>
                <c:pt idx="509">
                  <c:v>4.4132216518057718E-3</c:v>
                </c:pt>
                <c:pt idx="510">
                  <c:v>-4.6628407460544835E-3</c:v>
                </c:pt>
                <c:pt idx="511">
                  <c:v>0</c:v>
                </c:pt>
                <c:pt idx="512">
                  <c:v>-8.1081081081084156E-4</c:v>
                </c:pt>
                <c:pt idx="513">
                  <c:v>9.73762510143358E-3</c:v>
                </c:pt>
                <c:pt idx="514">
                  <c:v>4.5539780337530596E-3</c:v>
                </c:pt>
                <c:pt idx="515">
                  <c:v>9.5111111111110501E-3</c:v>
                </c:pt>
                <c:pt idx="516">
                  <c:v>-1.8666901470458665E-2</c:v>
                </c:pt>
                <c:pt idx="517">
                  <c:v>-1.202332884701663E-2</c:v>
                </c:pt>
                <c:pt idx="518">
                  <c:v>3.0878212696394823E-3</c:v>
                </c:pt>
                <c:pt idx="519">
                  <c:v>-4.5269352648254555E-4</c:v>
                </c:pt>
                <c:pt idx="520">
                  <c:v>9.9637681159419765E-4</c:v>
                </c:pt>
                <c:pt idx="521">
                  <c:v>1.8097909691429611E-3</c:v>
                </c:pt>
                <c:pt idx="522">
                  <c:v>-1.0929455333754799E-2</c:v>
                </c:pt>
                <c:pt idx="523">
                  <c:v>1.8264840182648661E-3</c:v>
                </c:pt>
                <c:pt idx="524">
                  <c:v>-6.3810391978122412E-3</c:v>
                </c:pt>
                <c:pt idx="525">
                  <c:v>-1.8348623853207358E-4</c:v>
                </c:pt>
                <c:pt idx="526">
                  <c:v>-7.0655166085521219E-3</c:v>
                </c:pt>
                <c:pt idx="527">
                  <c:v>-1.9406709176600476E-3</c:v>
                </c:pt>
                <c:pt idx="528">
                  <c:v>6.4814814814815082E-3</c:v>
                </c:pt>
                <c:pt idx="529">
                  <c:v>2.9438822447101489E-3</c:v>
                </c:pt>
                <c:pt idx="530">
                  <c:v>-1.8345257750867751E-4</c:v>
                </c:pt>
                <c:pt idx="531">
                  <c:v>3.119266055045903E-3</c:v>
                </c:pt>
                <c:pt idx="532">
                  <c:v>-3.1095664898482113E-3</c:v>
                </c:pt>
                <c:pt idx="533">
                  <c:v>3.6697247706422541E-3</c:v>
                </c:pt>
                <c:pt idx="534">
                  <c:v>-8.2266910420475837E-3</c:v>
                </c:pt>
                <c:pt idx="535">
                  <c:v>8.2949308755760898E-3</c:v>
                </c:pt>
                <c:pt idx="536">
                  <c:v>1.2340036563071245E-2</c:v>
                </c:pt>
                <c:pt idx="537">
                  <c:v>-2.257336343115124E-3</c:v>
                </c:pt>
                <c:pt idx="538">
                  <c:v>0</c:v>
                </c:pt>
                <c:pt idx="539">
                  <c:v>0</c:v>
                </c:pt>
                <c:pt idx="540">
                  <c:v>-1.8009049773755611E-2</c:v>
                </c:pt>
                <c:pt idx="541">
                  <c:v>1.1243203391392488E-2</c:v>
                </c:pt>
                <c:pt idx="542">
                  <c:v>-6.6526929736626626E-3</c:v>
                </c:pt>
                <c:pt idx="543">
                  <c:v>-9.2660550458716073E-3</c:v>
                </c:pt>
                <c:pt idx="544">
                  <c:v>-4.1670525048615611E-2</c:v>
                </c:pt>
                <c:pt idx="545">
                  <c:v>-1.1981833993622524E-2</c:v>
                </c:pt>
                <c:pt idx="546">
                  <c:v>1.2224938875305624E-2</c:v>
                </c:pt>
                <c:pt idx="547">
                  <c:v>2.4154589371980675E-3</c:v>
                </c:pt>
                <c:pt idx="548">
                  <c:v>2.6024096385541787E-3</c:v>
                </c:pt>
                <c:pt idx="549">
                  <c:v>7.4985579696212378E-3</c:v>
                </c:pt>
                <c:pt idx="550">
                  <c:v>1.1450381679389341E-2</c:v>
                </c:pt>
                <c:pt idx="551">
                  <c:v>-9.9056603773584641E-3</c:v>
                </c:pt>
                <c:pt idx="552">
                  <c:v>3.8113387327291131E-4</c:v>
                </c:pt>
                <c:pt idx="553">
                  <c:v>1.9049433279369685E-4</c:v>
                </c:pt>
                <c:pt idx="554">
                  <c:v>-4.8566803161604142E-3</c:v>
                </c:pt>
                <c:pt idx="555">
                  <c:v>8.8995215311005443E-3</c:v>
                </c:pt>
                <c:pt idx="556">
                  <c:v>-1.4986246798823983E-2</c:v>
                </c:pt>
                <c:pt idx="557">
                  <c:v>1.3769860375541712E-2</c:v>
                </c:pt>
                <c:pt idx="558">
                  <c:v>-1.2158054711246211E-2</c:v>
                </c:pt>
                <c:pt idx="559">
                  <c:v>4.807692307692308E-3</c:v>
                </c:pt>
                <c:pt idx="560">
                  <c:v>-4.784688995215039E-4</c:v>
                </c:pt>
                <c:pt idx="561">
                  <c:v>-1.3882240306366709E-2</c:v>
                </c:pt>
                <c:pt idx="562">
                  <c:v>9.7087378640776691E-3</c:v>
                </c:pt>
                <c:pt idx="563">
                  <c:v>-1.9230769230769232E-2</c:v>
                </c:pt>
                <c:pt idx="564">
                  <c:v>4.9019607843137254E-3</c:v>
                </c:pt>
                <c:pt idx="565">
                  <c:v>0</c:v>
                </c:pt>
                <c:pt idx="566">
                  <c:v>1.4536585365853609E-2</c:v>
                </c:pt>
                <c:pt idx="567">
                  <c:v>2.500240407731562E-3</c:v>
                </c:pt>
                <c:pt idx="568">
                  <c:v>8.1534772182253658E-3</c:v>
                </c:pt>
                <c:pt idx="569">
                  <c:v>8.5632730732636136E-3</c:v>
                </c:pt>
                <c:pt idx="570">
                  <c:v>0</c:v>
                </c:pt>
                <c:pt idx="571">
                  <c:v>-1.8867924528301886E-2</c:v>
                </c:pt>
                <c:pt idx="572">
                  <c:v>9.6153846153846159E-3</c:v>
                </c:pt>
                <c:pt idx="573">
                  <c:v>-5.7142857142856605E-3</c:v>
                </c:pt>
                <c:pt idx="574">
                  <c:v>-7.6628352490422545E-3</c:v>
                </c:pt>
                <c:pt idx="575">
                  <c:v>-9.6525096525091041E-4</c:v>
                </c:pt>
                <c:pt idx="576">
                  <c:v>1.2560386473429924E-2</c:v>
                </c:pt>
                <c:pt idx="577">
                  <c:v>-5.3435114503817011E-3</c:v>
                </c:pt>
                <c:pt idx="578">
                  <c:v>1.2087490406753694E-2</c:v>
                </c:pt>
                <c:pt idx="579">
                  <c:v>-4.6445497630331267E-3</c:v>
                </c:pt>
                <c:pt idx="580">
                  <c:v>-9.5229025807114711E-5</c:v>
                </c:pt>
                <c:pt idx="581">
                  <c:v>1.1904761904761904E-2</c:v>
                </c:pt>
                <c:pt idx="582">
                  <c:v>1.129411764705885E-2</c:v>
                </c:pt>
                <c:pt idx="583">
                  <c:v>5.4909260120986824E-3</c:v>
                </c:pt>
                <c:pt idx="584">
                  <c:v>-3.7023324694563357E-4</c:v>
                </c:pt>
                <c:pt idx="585">
                  <c:v>1.1574074074074073E-2</c:v>
                </c:pt>
                <c:pt idx="586">
                  <c:v>2.1967963386727222E-3</c:v>
                </c:pt>
                <c:pt idx="587">
                  <c:v>-8.1285962188327749E-3</c:v>
                </c:pt>
                <c:pt idx="588">
                  <c:v>0</c:v>
                </c:pt>
                <c:pt idx="589">
                  <c:v>5.5248618784532483E-4</c:v>
                </c:pt>
                <c:pt idx="590">
                  <c:v>5.2457205963556729E-3</c:v>
                </c:pt>
                <c:pt idx="591">
                  <c:v>-1.1901492264030913E-3</c:v>
                </c:pt>
                <c:pt idx="592">
                  <c:v>-1.3290559120073224E-2</c:v>
                </c:pt>
                <c:pt idx="593">
                  <c:v>-1.0682768230376271E-2</c:v>
                </c:pt>
                <c:pt idx="594">
                  <c:v>1.399061032863845E-2</c:v>
                </c:pt>
                <c:pt idx="595">
                  <c:v>-5.5560700064820291E-3</c:v>
                </c:pt>
                <c:pt idx="596">
                  <c:v>5.6802309339789503E-3</c:v>
                </c:pt>
                <c:pt idx="597">
                  <c:v>-9.2592592592639968E-5</c:v>
                </c:pt>
                <c:pt idx="598">
                  <c:v>-4.722659505509685E-3</c:v>
                </c:pt>
                <c:pt idx="599">
                  <c:v>1.8608113137324171E-4</c:v>
                </c:pt>
                <c:pt idx="600">
                  <c:v>4.5581395348836731E-3</c:v>
                </c:pt>
                <c:pt idx="601">
                  <c:v>9.2601166774748745E-5</c:v>
                </c:pt>
                <c:pt idx="602">
                  <c:v>1.8518518518518782E-3</c:v>
                </c:pt>
                <c:pt idx="603">
                  <c:v>-2.13493530499076E-2</c:v>
                </c:pt>
                <c:pt idx="604">
                  <c:v>8.7826990272924042E-3</c:v>
                </c:pt>
                <c:pt idx="605">
                  <c:v>-1.0765774199588013E-2</c:v>
                </c:pt>
                <c:pt idx="606">
                  <c:v>6.9082994227311813E-3</c:v>
                </c:pt>
                <c:pt idx="607">
                  <c:v>5.2631578947367292E-3</c:v>
                </c:pt>
                <c:pt idx="608">
                  <c:v>-8.8818249813013145E-3</c:v>
                </c:pt>
                <c:pt idx="609">
                  <c:v>8.6784265635317572E-3</c:v>
                </c:pt>
                <c:pt idx="610">
                  <c:v>-8.5102403441504795E-3</c:v>
                </c:pt>
                <c:pt idx="611">
                  <c:v>-9.4321826070466948E-5</c:v>
                </c:pt>
                <c:pt idx="612">
                  <c:v>4.7165361758324687E-3</c:v>
                </c:pt>
                <c:pt idx="613">
                  <c:v>4.6005069946483419E-3</c:v>
                </c:pt>
                <c:pt idx="614">
                  <c:v>0</c:v>
                </c:pt>
                <c:pt idx="615">
                  <c:v>0</c:v>
                </c:pt>
                <c:pt idx="616">
                  <c:v>-6.3551401869159519E-3</c:v>
                </c:pt>
                <c:pt idx="617">
                  <c:v>-2.7276147479307002E-3</c:v>
                </c:pt>
                <c:pt idx="618">
                  <c:v>4.9042723757426769E-3</c:v>
                </c:pt>
                <c:pt idx="619">
                  <c:v>3.2848427968090901E-3</c:v>
                </c:pt>
                <c:pt idx="620">
                  <c:v>0</c:v>
                </c:pt>
                <c:pt idx="621">
                  <c:v>-3.7418147801684346E-3</c:v>
                </c:pt>
                <c:pt idx="622">
                  <c:v>-4.6948356807511738E-3</c:v>
                </c:pt>
                <c:pt idx="623">
                  <c:v>9.433962264150943E-3</c:v>
                </c:pt>
                <c:pt idx="624">
                  <c:v>0</c:v>
                </c:pt>
                <c:pt idx="625">
                  <c:v>2.8037383177569827E-3</c:v>
                </c:pt>
                <c:pt idx="626">
                  <c:v>1.8639328984156836E-3</c:v>
                </c:pt>
                <c:pt idx="627">
                  <c:v>-4.6511627906976744E-3</c:v>
                </c:pt>
                <c:pt idx="628">
                  <c:v>-4.6728971962616819E-3</c:v>
                </c:pt>
                <c:pt idx="629">
                  <c:v>4.2253521126760828E-3</c:v>
                </c:pt>
                <c:pt idx="630">
                  <c:v>7.4801309022907636E-3</c:v>
                </c:pt>
                <c:pt idx="631">
                  <c:v>9.2807424593962238E-4</c:v>
                </c:pt>
                <c:pt idx="632">
                  <c:v>-2.781641168289396E-4</c:v>
                </c:pt>
                <c:pt idx="633">
                  <c:v>1.5488777592283452E-2</c:v>
                </c:pt>
                <c:pt idx="634">
                  <c:v>-1.7353182939080988E-3</c:v>
                </c:pt>
                <c:pt idx="635">
                  <c:v>-3.6596523330276344E-4</c:v>
                </c:pt>
                <c:pt idx="636">
                  <c:v>-2.5260845689181813E-2</c:v>
                </c:pt>
                <c:pt idx="637">
                  <c:v>0</c:v>
                </c:pt>
                <c:pt idx="638">
                  <c:v>-8.450704225352433E-4</c:v>
                </c:pt>
                <c:pt idx="639">
                  <c:v>-3.7590452025178126E-4</c:v>
                </c:pt>
                <c:pt idx="640">
                  <c:v>-6.5808028579493645E-4</c:v>
                </c:pt>
                <c:pt idx="641">
                  <c:v>1.4111006585136941E-3</c:v>
                </c:pt>
                <c:pt idx="642">
                  <c:v>5.6364490371068362E-4</c:v>
                </c:pt>
                <c:pt idx="643">
                  <c:v>-4.3188433010985629E-3</c:v>
                </c:pt>
                <c:pt idx="644">
                  <c:v>1.8859028760019128E-3</c:v>
                </c:pt>
                <c:pt idx="645">
                  <c:v>-2.352941176470588E-3</c:v>
                </c:pt>
                <c:pt idx="646">
                  <c:v>1.8867924528302156E-3</c:v>
                </c:pt>
                <c:pt idx="647">
                  <c:v>-5.178907721280576E-3</c:v>
                </c:pt>
                <c:pt idx="648">
                  <c:v>-1.1358258400379038E-3</c:v>
                </c:pt>
                <c:pt idx="649">
                  <c:v>1.3929688240310802E-2</c:v>
                </c:pt>
                <c:pt idx="650">
                  <c:v>-9.3457943925233638E-3</c:v>
                </c:pt>
                <c:pt idx="651">
                  <c:v>0</c:v>
                </c:pt>
                <c:pt idx="652">
                  <c:v>9.4339622641504068E-4</c:v>
                </c:pt>
                <c:pt idx="653">
                  <c:v>-9.4250706880296255E-4</c:v>
                </c:pt>
                <c:pt idx="654">
                  <c:v>-6.1320754716981665E-3</c:v>
                </c:pt>
                <c:pt idx="655">
                  <c:v>3.3222591362127058E-3</c:v>
                </c:pt>
                <c:pt idx="656">
                  <c:v>2.3651844843897824E-3</c:v>
                </c:pt>
                <c:pt idx="657">
                  <c:v>-4.7192071731946351E-4</c:v>
                </c:pt>
                <c:pt idx="658">
                  <c:v>0</c:v>
                </c:pt>
                <c:pt idx="659">
                  <c:v>-1.3220018885741318E-3</c:v>
                </c:pt>
                <c:pt idx="660">
                  <c:v>-2.1747352496218229E-3</c:v>
                </c:pt>
                <c:pt idx="661">
                  <c:v>3.411352222116928E-3</c:v>
                </c:pt>
                <c:pt idx="662">
                  <c:v>-3.6830673340258811E-3</c:v>
                </c:pt>
                <c:pt idx="663">
                  <c:v>1.4218009478672985E-2</c:v>
                </c:pt>
                <c:pt idx="664">
                  <c:v>-8.8785046728972229E-3</c:v>
                </c:pt>
                <c:pt idx="665">
                  <c:v>4.7147571900044469E-4</c:v>
                </c:pt>
                <c:pt idx="666">
                  <c:v>3.7700282752121178E-3</c:v>
                </c:pt>
                <c:pt idx="667">
                  <c:v>-9.3896713615018138E-4</c:v>
                </c:pt>
                <c:pt idx="668">
                  <c:v>9.3984962406009687E-4</c:v>
                </c:pt>
                <c:pt idx="669">
                  <c:v>2.384976525821602E-2</c:v>
                </c:pt>
                <c:pt idx="670">
                  <c:v>-2.787967718268531E-2</c:v>
                </c:pt>
                <c:pt idx="671">
                  <c:v>-9.3396226415093861E-3</c:v>
                </c:pt>
                <c:pt idx="672">
                  <c:v>-8.4753832968288787E-3</c:v>
                </c:pt>
                <c:pt idx="673">
                  <c:v>7.4913561275451509E-3</c:v>
                </c:pt>
                <c:pt idx="674">
                  <c:v>-8.4842707340324168E-3</c:v>
                </c:pt>
                <c:pt idx="675">
                  <c:v>9.51831554658201E-3</c:v>
                </c:pt>
                <c:pt idx="676">
                  <c:v>-3.8095238095238637E-3</c:v>
                </c:pt>
                <c:pt idx="677">
                  <c:v>-8.1261950286806352E-3</c:v>
                </c:pt>
                <c:pt idx="678">
                  <c:v>-1.6963855421686796E-2</c:v>
                </c:pt>
                <c:pt idx="679">
                  <c:v>-4.804392587508529E-3</c:v>
                </c:pt>
                <c:pt idx="680">
                  <c:v>-5.4187192118226321E-3</c:v>
                </c:pt>
                <c:pt idx="681">
                  <c:v>-1.2382367508667657E-2</c:v>
                </c:pt>
                <c:pt idx="682">
                  <c:v>-4.5135406218656249E-3</c:v>
                </c:pt>
                <c:pt idx="683">
                  <c:v>6.549118387909377E-3</c:v>
                </c:pt>
                <c:pt idx="684">
                  <c:v>-1.001001001001001E-2</c:v>
                </c:pt>
                <c:pt idx="685">
                  <c:v>-1.2133468149646135E-2</c:v>
                </c:pt>
                <c:pt idx="686">
                  <c:v>-1.2384851586489333E-2</c:v>
                </c:pt>
                <c:pt idx="687">
                  <c:v>-4.9746087677478472E-3</c:v>
                </c:pt>
                <c:pt idx="688">
                  <c:v>2.9580252057077275E-2</c:v>
                </c:pt>
                <c:pt idx="689">
                  <c:v>1.5680323722812459E-2</c:v>
                </c:pt>
                <c:pt idx="690">
                  <c:v>-1.2948207171314853E-2</c:v>
                </c:pt>
                <c:pt idx="691">
                  <c:v>5.2472250252271471E-3</c:v>
                </c:pt>
                <c:pt idx="692">
                  <c:v>4.0152579803251504E-3</c:v>
                </c:pt>
                <c:pt idx="693">
                  <c:v>-4.6990601879623962E-3</c:v>
                </c:pt>
                <c:pt idx="694">
                  <c:v>3.5158211953792923E-3</c:v>
                </c:pt>
                <c:pt idx="695">
                  <c:v>6.0060060060048109E-4</c:v>
                </c:pt>
                <c:pt idx="696">
                  <c:v>2.0708283313325405E-2</c:v>
                </c:pt>
                <c:pt idx="697">
                  <c:v>3.6263843967460998E-3</c:v>
                </c:pt>
                <c:pt idx="698">
                  <c:v>5.8593749999999445E-3</c:v>
                </c:pt>
                <c:pt idx="699">
                  <c:v>9.7087378640776691E-3</c:v>
                </c:pt>
                <c:pt idx="700">
                  <c:v>-3.8461538461544473E-4</c:v>
                </c:pt>
                <c:pt idx="701">
                  <c:v>8.560984994228556E-3</c:v>
                </c:pt>
                <c:pt idx="702">
                  <c:v>6.103958035288513E-3</c:v>
                </c:pt>
                <c:pt idx="703">
                  <c:v>-3.5169210351692043E-2</c:v>
                </c:pt>
                <c:pt idx="704">
                  <c:v>2.1811750835134591E-2</c:v>
                </c:pt>
                <c:pt idx="705">
                  <c:v>2.8846153846153575E-3</c:v>
                </c:pt>
                <c:pt idx="706">
                  <c:v>6.711409395973182E-3</c:v>
                </c:pt>
                <c:pt idx="707">
                  <c:v>4.7619047619047623E-3</c:v>
                </c:pt>
                <c:pt idx="708">
                  <c:v>-9.4786729857819912E-3</c:v>
                </c:pt>
                <c:pt idx="709">
                  <c:v>1.4258373205741578E-2</c:v>
                </c:pt>
                <c:pt idx="710">
                  <c:v>9.4348523445656352E-5</c:v>
                </c:pt>
                <c:pt idx="711">
                  <c:v>-9.4339622641504068E-4</c:v>
                </c:pt>
                <c:pt idx="712">
                  <c:v>-3.7771482530689865E-3</c:v>
                </c:pt>
                <c:pt idx="713">
                  <c:v>7.4881516587678321E-3</c:v>
                </c:pt>
                <c:pt idx="714">
                  <c:v>-1.2136607394863169E-2</c:v>
                </c:pt>
                <c:pt idx="715">
                  <c:v>-8.0952380952380408E-3</c:v>
                </c:pt>
                <c:pt idx="716">
                  <c:v>-2.9284685549688057E-2</c:v>
                </c:pt>
                <c:pt idx="717">
                  <c:v>-1.0089020771513314E-2</c:v>
                </c:pt>
                <c:pt idx="718">
                  <c:v>8.1934452438050306E-3</c:v>
                </c:pt>
                <c:pt idx="719">
                  <c:v>2.0911793855302271E-2</c:v>
                </c:pt>
                <c:pt idx="720">
                  <c:v>-2.4366566352781331E-2</c:v>
                </c:pt>
                <c:pt idx="721">
                  <c:v>1.1940298507462714E-2</c:v>
                </c:pt>
                <c:pt idx="722">
                  <c:v>-2.7531956735496528E-2</c:v>
                </c:pt>
                <c:pt idx="723">
                  <c:v>8.5945399393326013E-3</c:v>
                </c:pt>
                <c:pt idx="724">
                  <c:v>-1.0225563909774396E-2</c:v>
                </c:pt>
                <c:pt idx="725">
                  <c:v>5.7733211789728874E-3</c:v>
                </c:pt>
                <c:pt idx="726">
                  <c:v>-5.0352467270896274E-3</c:v>
                </c:pt>
                <c:pt idx="727">
                  <c:v>1.2145748987854281E-2</c:v>
                </c:pt>
                <c:pt idx="728">
                  <c:v>5.0000000000000001E-3</c:v>
                </c:pt>
                <c:pt idx="729">
                  <c:v>-3.3830845771144619E-3</c:v>
                </c:pt>
                <c:pt idx="730">
                  <c:v>2.3961661341853945E-3</c:v>
                </c:pt>
                <c:pt idx="731">
                  <c:v>-1.4940239043825267E-3</c:v>
                </c:pt>
                <c:pt idx="732">
                  <c:v>-6.48379052369083E-3</c:v>
                </c:pt>
                <c:pt idx="733">
                  <c:v>-6.9277108433734719E-3</c:v>
                </c:pt>
                <c:pt idx="734">
                  <c:v>3.9429784652714652E-3</c:v>
                </c:pt>
                <c:pt idx="735">
                  <c:v>-3.0211480362537478E-3</c:v>
                </c:pt>
                <c:pt idx="736">
                  <c:v>4.9494949494948981E-3</c:v>
                </c:pt>
                <c:pt idx="737">
                  <c:v>-4.92511810232179E-3</c:v>
                </c:pt>
                <c:pt idx="738">
                  <c:v>0</c:v>
                </c:pt>
                <c:pt idx="739">
                  <c:v>-1.0101010101010102E-2</c:v>
                </c:pt>
                <c:pt idx="740">
                  <c:v>-2.5510204081632651E-3</c:v>
                </c:pt>
                <c:pt idx="741">
                  <c:v>0</c:v>
                </c:pt>
                <c:pt idx="742">
                  <c:v>1.0741687979539612E-2</c:v>
                </c:pt>
                <c:pt idx="743">
                  <c:v>1.4777327935222753E-2</c:v>
                </c:pt>
                <c:pt idx="744">
                  <c:v>4.3885896668661249E-3</c:v>
                </c:pt>
                <c:pt idx="745">
                  <c:v>4.9652432969212671E-4</c:v>
                </c:pt>
                <c:pt idx="746">
                  <c:v>7.642679900744377E-3</c:v>
                </c:pt>
                <c:pt idx="747">
                  <c:v>2.265563435776241E-3</c:v>
                </c:pt>
                <c:pt idx="748">
                  <c:v>1.9656019656019656E-2</c:v>
                </c:pt>
                <c:pt idx="749">
                  <c:v>1.9277108433735214E-3</c:v>
                </c:pt>
                <c:pt idx="750">
                  <c:v>4.8100048100045364E-4</c:v>
                </c:pt>
                <c:pt idx="751">
                  <c:v>7.692307692307665E-3</c:v>
                </c:pt>
                <c:pt idx="752">
                  <c:v>-7.1564885496183204E-3</c:v>
                </c:pt>
                <c:pt idx="753">
                  <c:v>5.2859202306583105E-3</c:v>
                </c:pt>
                <c:pt idx="754">
                  <c:v>7.0745697896750399E-3</c:v>
                </c:pt>
                <c:pt idx="755">
                  <c:v>-8.5437630529716548E-4</c:v>
                </c:pt>
                <c:pt idx="756">
                  <c:v>-1.092636579572452E-2</c:v>
                </c:pt>
                <c:pt idx="757">
                  <c:v>-9.6061479346776484E-4</c:v>
                </c:pt>
                <c:pt idx="758">
                  <c:v>1.9230769230769505E-3</c:v>
                </c:pt>
                <c:pt idx="759">
                  <c:v>1.3435700575815657E-2</c:v>
                </c:pt>
                <c:pt idx="760">
                  <c:v>6.6287878787879059E-3</c:v>
                </c:pt>
                <c:pt idx="761">
                  <c:v>-2.8222013170272546E-3</c:v>
                </c:pt>
                <c:pt idx="762">
                  <c:v>-9.4339622641557703E-5</c:v>
                </c:pt>
                <c:pt idx="763">
                  <c:v>9.4348523445656352E-5</c:v>
                </c:pt>
                <c:pt idx="764">
                  <c:v>7.5471698113207279E-3</c:v>
                </c:pt>
                <c:pt idx="765">
                  <c:v>1.4044943820224719E-2</c:v>
                </c:pt>
                <c:pt idx="766">
                  <c:v>1.8467220683287429E-3</c:v>
                </c:pt>
                <c:pt idx="767">
                  <c:v>-9.0322580645161663E-3</c:v>
                </c:pt>
                <c:pt idx="768">
                  <c:v>1.4136904761904857E-2</c:v>
                </c:pt>
                <c:pt idx="769">
                  <c:v>1.0088041085840006E-3</c:v>
                </c:pt>
                <c:pt idx="770">
                  <c:v>3.2065964269353577E-3</c:v>
                </c:pt>
                <c:pt idx="771">
                  <c:v>1.3607305936073013E-2</c:v>
                </c:pt>
                <c:pt idx="772">
                  <c:v>-2.6128480043246423E-3</c:v>
                </c:pt>
                <c:pt idx="773">
                  <c:v>-4.5167118337847479E-4</c:v>
                </c:pt>
                <c:pt idx="774">
                  <c:v>-1.4460009037505725E-2</c:v>
                </c:pt>
                <c:pt idx="775">
                  <c:v>-4.5850527281061129E-4</c:v>
                </c:pt>
                <c:pt idx="776">
                  <c:v>4.4954128440366503E-3</c:v>
                </c:pt>
                <c:pt idx="777">
                  <c:v>4.6579596310165781E-3</c:v>
                </c:pt>
                <c:pt idx="778">
                  <c:v>9.0909090909085737E-4</c:v>
                </c:pt>
                <c:pt idx="779">
                  <c:v>-9.809264305177097E-3</c:v>
                </c:pt>
                <c:pt idx="780">
                  <c:v>-2.6600623738762801E-3</c:v>
                </c:pt>
                <c:pt idx="781">
                  <c:v>-6.7138784144210794E-3</c:v>
                </c:pt>
                <c:pt idx="782">
                  <c:v>-2.0370370370370396E-2</c:v>
                </c:pt>
                <c:pt idx="783">
                  <c:v>2.2684310018903645E-2</c:v>
                </c:pt>
                <c:pt idx="784">
                  <c:v>1.5619223659889072E-2</c:v>
                </c:pt>
                <c:pt idx="785">
                  <c:v>-8.0990080990081034E-3</c:v>
                </c:pt>
                <c:pt idx="786">
                  <c:v>-8.1651376146789044E-3</c:v>
                </c:pt>
                <c:pt idx="787">
                  <c:v>-1.0174821940615987E-3</c:v>
                </c:pt>
                <c:pt idx="788">
                  <c:v>4.5370370370369896E-3</c:v>
                </c:pt>
                <c:pt idx="789">
                  <c:v>-1.0047008940916114E-2</c:v>
                </c:pt>
                <c:pt idx="790">
                  <c:v>-6.5176908752328008E-3</c:v>
                </c:pt>
                <c:pt idx="791">
                  <c:v>9.0909090909090801E-3</c:v>
                </c:pt>
                <c:pt idx="792">
                  <c:v>-1.7646512491873104E-3</c:v>
                </c:pt>
                <c:pt idx="793">
                  <c:v>-2.2329735764794294E-3</c:v>
                </c:pt>
                <c:pt idx="794">
                  <c:v>2.0701230883998497E-2</c:v>
                </c:pt>
                <c:pt idx="795">
                  <c:v>3.8370180887995773E-3</c:v>
                </c:pt>
                <c:pt idx="796">
                  <c:v>1.0921004732435799E-3</c:v>
                </c:pt>
                <c:pt idx="797">
                  <c:v>-4.0000000000000049E-2</c:v>
                </c:pt>
                <c:pt idx="798">
                  <c:v>2.0170454545454637E-2</c:v>
                </c:pt>
                <c:pt idx="799">
                  <c:v>2.9982363315696554E-2</c:v>
                </c:pt>
                <c:pt idx="800">
                  <c:v>-7.6604181687093941E-3</c:v>
                </c:pt>
                <c:pt idx="801">
                  <c:v>1.0534919625828686E-2</c:v>
                </c:pt>
                <c:pt idx="802">
                  <c:v>2.0670441268985707E-3</c:v>
                </c:pt>
                <c:pt idx="803">
                  <c:v>0</c:v>
                </c:pt>
                <c:pt idx="804">
                  <c:v>9.0582959641256067E-3</c:v>
                </c:pt>
                <c:pt idx="805">
                  <c:v>-2.7553106390543263E-3</c:v>
                </c:pt>
                <c:pt idx="806">
                  <c:v>1.176470588235288E-2</c:v>
                </c:pt>
                <c:pt idx="807">
                  <c:v>5.9901338971107016E-3</c:v>
                </c:pt>
                <c:pt idx="808">
                  <c:v>0</c:v>
                </c:pt>
                <c:pt idx="809">
                  <c:v>8.7565674255686793E-4</c:v>
                </c:pt>
                <c:pt idx="810">
                  <c:v>1.7497812773403574E-3</c:v>
                </c:pt>
                <c:pt idx="811">
                  <c:v>8.7336244541479752E-4</c:v>
                </c:pt>
                <c:pt idx="812">
                  <c:v>6.9808027923212168E-3</c:v>
                </c:pt>
                <c:pt idx="813">
                  <c:v>1.8197573656845704E-2</c:v>
                </c:pt>
                <c:pt idx="814">
                  <c:v>8.9361702127659336E-3</c:v>
                </c:pt>
                <c:pt idx="815">
                  <c:v>-6.7482075073808283E-3</c:v>
                </c:pt>
                <c:pt idx="816">
                  <c:v>2.1231422505307855E-3</c:v>
                </c:pt>
                <c:pt idx="817">
                  <c:v>1.2288135593220364E-2</c:v>
                </c:pt>
                <c:pt idx="818">
                  <c:v>1.2138970280452096E-2</c:v>
                </c:pt>
                <c:pt idx="819">
                  <c:v>2.2332506203473851E-2</c:v>
                </c:pt>
                <c:pt idx="820">
                  <c:v>-1.6181229773462785E-2</c:v>
                </c:pt>
                <c:pt idx="821">
                  <c:v>5.3453947368421522E-3</c:v>
                </c:pt>
                <c:pt idx="822">
                  <c:v>-2.0449897750511249E-3</c:v>
                </c:pt>
                <c:pt idx="823">
                  <c:v>2.9508196721311428E-2</c:v>
                </c:pt>
                <c:pt idx="824">
                  <c:v>9.5541401273885589E-3</c:v>
                </c:pt>
                <c:pt idx="825">
                  <c:v>-3.4148264984227114E-2</c:v>
                </c:pt>
                <c:pt idx="826">
                  <c:v>-1.2002939495386616E-2</c:v>
                </c:pt>
                <c:pt idx="827">
                  <c:v>1.4049586776859644E-3</c:v>
                </c:pt>
                <c:pt idx="828">
                  <c:v>2.4758603614757067E-4</c:v>
                </c:pt>
                <c:pt idx="829">
                  <c:v>-3.0528052805280551E-2</c:v>
                </c:pt>
                <c:pt idx="830">
                  <c:v>-1.1914893617021326E-2</c:v>
                </c:pt>
                <c:pt idx="831">
                  <c:v>-1.1197243755382898E-3</c:v>
                </c:pt>
                <c:pt idx="832">
                  <c:v>-1.120979563680223E-3</c:v>
                </c:pt>
                <c:pt idx="833">
                  <c:v>-8.3736187845303775E-3</c:v>
                </c:pt>
                <c:pt idx="834">
                  <c:v>5.397405763036392E-3</c:v>
                </c:pt>
                <c:pt idx="835">
                  <c:v>1.2901549917741876E-2</c:v>
                </c:pt>
                <c:pt idx="836">
                  <c:v>4.4452043084287568E-3</c:v>
                </c:pt>
                <c:pt idx="837">
                  <c:v>6.808510638297848E-3</c:v>
                </c:pt>
                <c:pt idx="838">
                  <c:v>-1.5215553677092115E-2</c:v>
                </c:pt>
                <c:pt idx="839">
                  <c:v>-1.2875536480686695E-2</c:v>
                </c:pt>
                <c:pt idx="840">
                  <c:v>-2.51304347826087E-2</c:v>
                </c:pt>
                <c:pt idx="841">
                  <c:v>7.9386317010079442E-3</c:v>
                </c:pt>
                <c:pt idx="842">
                  <c:v>1.3716814159292011E-2</c:v>
                </c:pt>
                <c:pt idx="843">
                  <c:v>-4.36490615451743E-4</c:v>
                </c:pt>
                <c:pt idx="844">
                  <c:v>-4.3668122270742356E-3</c:v>
                </c:pt>
                <c:pt idx="845">
                  <c:v>-9.6491228070174945E-4</c:v>
                </c:pt>
                <c:pt idx="846">
                  <c:v>-1.2204758977961196E-2</c:v>
                </c:pt>
                <c:pt idx="847">
                  <c:v>-2.3288888888888928E-2</c:v>
                </c:pt>
                <c:pt idx="848">
                  <c:v>-2.5482344375682667E-3</c:v>
                </c:pt>
                <c:pt idx="849">
                  <c:v>2.6459854014599113E-3</c:v>
                </c:pt>
                <c:pt idx="850">
                  <c:v>-8.0990080990081034E-3</c:v>
                </c:pt>
                <c:pt idx="851">
                  <c:v>4.0366972477064011E-3</c:v>
                </c:pt>
                <c:pt idx="852">
                  <c:v>5.9393274853801687E-3</c:v>
                </c:pt>
                <c:pt idx="853">
                  <c:v>-1.444272867653741E-2</c:v>
                </c:pt>
                <c:pt idx="854">
                  <c:v>1.8433179723502567E-3</c:v>
                </c:pt>
                <c:pt idx="855">
                  <c:v>3.0266789328426788E-2</c:v>
                </c:pt>
                <c:pt idx="856">
                  <c:v>1.6162157335476404E-2</c:v>
                </c:pt>
                <c:pt idx="857">
                  <c:v>-2.6010544815465674E-2</c:v>
                </c:pt>
                <c:pt idx="858">
                  <c:v>-5.3229880909419292E-3</c:v>
                </c:pt>
                <c:pt idx="859">
                  <c:v>1.6780045351473871E-2</c:v>
                </c:pt>
                <c:pt idx="860">
                  <c:v>2.5245316681534458E-2</c:v>
                </c:pt>
                <c:pt idx="861">
                  <c:v>-9.8320716958149278E-3</c:v>
                </c:pt>
                <c:pt idx="862">
                  <c:v>-2.117750439367308E-2</c:v>
                </c:pt>
                <c:pt idx="863">
                  <c:v>2.7919920998294274E-2</c:v>
                </c:pt>
                <c:pt idx="864">
                  <c:v>-2.480349344978169E-2</c:v>
                </c:pt>
                <c:pt idx="865">
                  <c:v>-3.2240730789897852E-3</c:v>
                </c:pt>
                <c:pt idx="866">
                  <c:v>-9.883198562443794E-3</c:v>
                </c:pt>
                <c:pt idx="867">
                  <c:v>1.5063520871143344E-2</c:v>
                </c:pt>
                <c:pt idx="868">
                  <c:v>-2.0203826211335645E-2</c:v>
                </c:pt>
                <c:pt idx="869">
                  <c:v>-6.3868613138685099E-3</c:v>
                </c:pt>
                <c:pt idx="870">
                  <c:v>5.1423324150595782E-3</c:v>
                </c:pt>
                <c:pt idx="871">
                  <c:v>1.8636945002740785E-2</c:v>
                </c:pt>
                <c:pt idx="872">
                  <c:v>-4.4843049327354259E-3</c:v>
                </c:pt>
                <c:pt idx="873">
                  <c:v>0</c:v>
                </c:pt>
                <c:pt idx="874">
                  <c:v>9.0090090090084974E-4</c:v>
                </c:pt>
                <c:pt idx="875">
                  <c:v>-2.3402340234023353E-2</c:v>
                </c:pt>
                <c:pt idx="876">
                  <c:v>-2.3133640552995438E-2</c:v>
                </c:pt>
                <c:pt idx="877">
                  <c:v>9.5292008680064651E-3</c:v>
                </c:pt>
                <c:pt idx="878">
                  <c:v>-1.1682242990654205E-2</c:v>
                </c:pt>
                <c:pt idx="879">
                  <c:v>2.2695035460992422E-3</c:v>
                </c:pt>
                <c:pt idx="880">
                  <c:v>-1.4057929993395555E-2</c:v>
                </c:pt>
                <c:pt idx="881">
                  <c:v>5.1674641148325958E-3</c:v>
                </c:pt>
                <c:pt idx="882">
                  <c:v>-6.0929169840060983E-3</c:v>
                </c:pt>
                <c:pt idx="883">
                  <c:v>4.7892720306513406E-3</c:v>
                </c:pt>
                <c:pt idx="884">
                  <c:v>-1.3250714966634896E-2</c:v>
                </c:pt>
                <c:pt idx="885">
                  <c:v>1.3525263259588499E-3</c:v>
                </c:pt>
                <c:pt idx="886">
                  <c:v>1.4471780028942737E-3</c:v>
                </c:pt>
                <c:pt idx="887">
                  <c:v>5.7803468208093307E-3</c:v>
                </c:pt>
                <c:pt idx="888">
                  <c:v>-9.5785440613026813E-3</c:v>
                </c:pt>
                <c:pt idx="889">
                  <c:v>4.9323017408122909E-3</c:v>
                </c:pt>
                <c:pt idx="890">
                  <c:v>5.9667019536137483E-3</c:v>
                </c:pt>
                <c:pt idx="891">
                  <c:v>-2.2003252654740645E-3</c:v>
                </c:pt>
                <c:pt idx="892">
                  <c:v>1.0546500479386332E-3</c:v>
                </c:pt>
                <c:pt idx="893">
                  <c:v>-6.3212335983143051E-3</c:v>
                </c:pt>
                <c:pt idx="894">
                  <c:v>-8.6746987951807769E-3</c:v>
                </c:pt>
                <c:pt idx="895">
                  <c:v>4.8614487117171971E-4</c:v>
                </c:pt>
                <c:pt idx="896">
                  <c:v>-4.9562682215743932E-3</c:v>
                </c:pt>
                <c:pt idx="897">
                  <c:v>-3.7112999316339041E-3</c:v>
                </c:pt>
                <c:pt idx="898">
                  <c:v>1.8625624938731274E-3</c:v>
                </c:pt>
                <c:pt idx="899">
                  <c:v>2.2504892367906038E-2</c:v>
                </c:pt>
                <c:pt idx="900">
                  <c:v>-6.8899521531100372E-3</c:v>
                </c:pt>
                <c:pt idx="901">
                  <c:v>-7.7086143765656482E-4</c:v>
                </c:pt>
                <c:pt idx="902">
                  <c:v>-9.643201542913069E-4</c:v>
                </c:pt>
                <c:pt idx="903">
                  <c:v>-9.6525096525091041E-4</c:v>
                </c:pt>
                <c:pt idx="904">
                  <c:v>4.8309178743958608E-4</c:v>
                </c:pt>
                <c:pt idx="905">
                  <c:v>5.4080154514727407E-3</c:v>
                </c:pt>
                <c:pt idx="906">
                  <c:v>-1.0565747766785078E-3</c:v>
                </c:pt>
                <c:pt idx="907">
                  <c:v>-8.942307692307758E-3</c:v>
                </c:pt>
                <c:pt idx="908">
                  <c:v>-2.522557485204142E-3</c:v>
                </c:pt>
                <c:pt idx="909">
                  <c:v>-1.2255617157864071E-2</c:v>
                </c:pt>
                <c:pt idx="910">
                  <c:v>2.3633677991138267E-3</c:v>
                </c:pt>
                <c:pt idx="911">
                  <c:v>2.0630710285882083E-3</c:v>
                </c:pt>
                <c:pt idx="912">
                  <c:v>8.8235294117647613E-3</c:v>
                </c:pt>
                <c:pt idx="913">
                  <c:v>-6.8999028182702418E-3</c:v>
                </c:pt>
                <c:pt idx="914">
                  <c:v>-7.7306977199333793E-3</c:v>
                </c:pt>
                <c:pt idx="915">
                  <c:v>-1.77514792899415E-3</c:v>
                </c:pt>
                <c:pt idx="916">
                  <c:v>2.2722782058882036E-3</c:v>
                </c:pt>
                <c:pt idx="917">
                  <c:v>-1.232134056185313E-2</c:v>
                </c:pt>
                <c:pt idx="918">
                  <c:v>-1.4970059880240088E-3</c:v>
                </c:pt>
                <c:pt idx="919">
                  <c:v>1.0994502748625631E-3</c:v>
                </c:pt>
                <c:pt idx="920">
                  <c:v>8.3865814696485966E-3</c:v>
                </c:pt>
                <c:pt idx="921">
                  <c:v>-3.9603960396040168E-3</c:v>
                </c:pt>
                <c:pt idx="922">
                  <c:v>-9.940357852882139E-4</c:v>
                </c:pt>
                <c:pt idx="923">
                  <c:v>1.592039800994991E-3</c:v>
                </c:pt>
                <c:pt idx="924">
                  <c:v>3.3777071329227442E-3</c:v>
                </c:pt>
                <c:pt idx="925">
                  <c:v>-4.8514851485148012E-3</c:v>
                </c:pt>
                <c:pt idx="926">
                  <c:v>7.9594070241765288E-4</c:v>
                </c:pt>
                <c:pt idx="927">
                  <c:v>7.1577691619445155E-3</c:v>
                </c:pt>
                <c:pt idx="928">
                  <c:v>-7.9952620669233275E-3</c:v>
                </c:pt>
                <c:pt idx="929">
                  <c:v>0</c:v>
                </c:pt>
                <c:pt idx="930">
                  <c:v>5.9701492537315699E-4</c:v>
                </c:pt>
                <c:pt idx="931">
                  <c:v>1.6308671439936362E-2</c:v>
                </c:pt>
                <c:pt idx="932">
                  <c:v>-3.4246575342466589E-3</c:v>
                </c:pt>
                <c:pt idx="933">
                  <c:v>-2.8473244968089551E-3</c:v>
                </c:pt>
                <c:pt idx="934">
                  <c:v>5.3170539582512019E-3</c:v>
                </c:pt>
                <c:pt idx="935">
                  <c:v>3.9177277179236599E-3</c:v>
                </c:pt>
                <c:pt idx="936">
                  <c:v>-4.7804878048779992E-3</c:v>
                </c:pt>
                <c:pt idx="937">
                  <c:v>-9.8029604940700439E-4</c:v>
                </c:pt>
                <c:pt idx="938">
                  <c:v>1.766264350897918E-3</c:v>
                </c:pt>
                <c:pt idx="939">
                  <c:v>6.46488392594766E-3</c:v>
                </c:pt>
                <c:pt idx="940">
                  <c:v>2.3357664233576146E-3</c:v>
                </c:pt>
                <c:pt idx="941">
                  <c:v>1.0680648606660786E-3</c:v>
                </c:pt>
                <c:pt idx="942">
                  <c:v>-5.2376333656643263E-3</c:v>
                </c:pt>
                <c:pt idx="943">
                  <c:v>8.1903276131045574E-3</c:v>
                </c:pt>
                <c:pt idx="944">
                  <c:v>-4.3520309477756555E-3</c:v>
                </c:pt>
                <c:pt idx="945">
                  <c:v>-1.5541525012141486E-3</c:v>
                </c:pt>
                <c:pt idx="946">
                  <c:v>3.5022862146123104E-3</c:v>
                </c:pt>
                <c:pt idx="947">
                  <c:v>3.2961706253028518E-3</c:v>
                </c:pt>
                <c:pt idx="948">
                  <c:v>-1.3527877089573928E-3</c:v>
                </c:pt>
                <c:pt idx="949">
                  <c:v>1.451378809869431E-3</c:v>
                </c:pt>
                <c:pt idx="950">
                  <c:v>4.830917874396135E-3</c:v>
                </c:pt>
                <c:pt idx="951">
                  <c:v>-2.403846153846154E-3</c:v>
                </c:pt>
                <c:pt idx="952">
                  <c:v>-1.667469879518076E-2</c:v>
                </c:pt>
                <c:pt idx="953">
                  <c:v>-4.1168398353264232E-3</c:v>
                </c:pt>
                <c:pt idx="954">
                  <c:v>3.8385826771653603E-3</c:v>
                </c:pt>
                <c:pt idx="955">
                  <c:v>6.8634179821558383E-4</c:v>
                </c:pt>
                <c:pt idx="956">
                  <c:v>-3.9192631785230504E-4</c:v>
                </c:pt>
                <c:pt idx="957">
                  <c:v>2.9405998823761164E-4</c:v>
                </c:pt>
                <c:pt idx="958">
                  <c:v>-1.469867711905845E-3</c:v>
                </c:pt>
                <c:pt idx="959">
                  <c:v>2.9440628066731808E-3</c:v>
                </c:pt>
                <c:pt idx="960">
                  <c:v>7.8277886497064297E-3</c:v>
                </c:pt>
                <c:pt idx="961">
                  <c:v>-2.4271844660194173E-3</c:v>
                </c:pt>
                <c:pt idx="962">
                  <c:v>-2.4330900243309003E-3</c:v>
                </c:pt>
                <c:pt idx="963">
                  <c:v>1.9512195121951497E-3</c:v>
                </c:pt>
                <c:pt idx="964">
                  <c:v>9.7370983446927277E-4</c:v>
                </c:pt>
                <c:pt idx="965">
                  <c:v>-2.9182879377431629E-3</c:v>
                </c:pt>
                <c:pt idx="966">
                  <c:v>4.6829268292683315E-3</c:v>
                </c:pt>
                <c:pt idx="967">
                  <c:v>-3.6900369003690973E-3</c:v>
                </c:pt>
                <c:pt idx="968">
                  <c:v>7.3099415204678367E-3</c:v>
                </c:pt>
                <c:pt idx="969">
                  <c:v>-8.8050314465408473E-3</c:v>
                </c:pt>
                <c:pt idx="970">
                  <c:v>2.0499804763764932E-3</c:v>
                </c:pt>
                <c:pt idx="971">
                  <c:v>-1.9483682415986586E-4</c:v>
                </c:pt>
                <c:pt idx="972">
                  <c:v>-7.1129299425118364E-3</c:v>
                </c:pt>
                <c:pt idx="973">
                  <c:v>-3.9254170755643339E-3</c:v>
                </c:pt>
                <c:pt idx="974">
                  <c:v>4.9261083743842365E-3</c:v>
                </c:pt>
                <c:pt idx="975">
                  <c:v>4.9019607843137254E-3</c:v>
                </c:pt>
                <c:pt idx="976">
                  <c:v>0</c:v>
                </c:pt>
                <c:pt idx="977">
                  <c:v>-2.9268292682926552E-3</c:v>
                </c:pt>
                <c:pt idx="978">
                  <c:v>1.956947162426225E-4</c:v>
                </c:pt>
                <c:pt idx="979">
                  <c:v>-2.1522207004499986E-3</c:v>
                </c:pt>
                <c:pt idx="980">
                  <c:v>-5.7843137254902297E-3</c:v>
                </c:pt>
                <c:pt idx="981">
                  <c:v>8.283206784340828E-3</c:v>
                </c:pt>
                <c:pt idx="982">
                  <c:v>-3.9119804400978555E-3</c:v>
                </c:pt>
                <c:pt idx="983">
                  <c:v>1.4727540500736936E-3</c:v>
                </c:pt>
                <c:pt idx="984">
                  <c:v>-1.3235294117647003E-2</c:v>
                </c:pt>
                <c:pt idx="985">
                  <c:v>1.341281669150516E-2</c:v>
                </c:pt>
                <c:pt idx="986">
                  <c:v>-1.8235294117647054E-2</c:v>
                </c:pt>
                <c:pt idx="987">
                  <c:v>1.5977631316157039E-3</c:v>
                </c:pt>
                <c:pt idx="988">
                  <c:v>-5.9820538384844895E-3</c:v>
                </c:pt>
                <c:pt idx="989">
                  <c:v>-7.0210631895687341E-3</c:v>
                </c:pt>
                <c:pt idx="990">
                  <c:v>-5.5555555555555271E-3</c:v>
                </c:pt>
                <c:pt idx="991">
                  <c:v>2.6409344845098109E-3</c:v>
                </c:pt>
                <c:pt idx="992">
                  <c:v>1.3575119035558744E-2</c:v>
                </c:pt>
                <c:pt idx="993">
                  <c:v>4.4977511244378094E-3</c:v>
                </c:pt>
                <c:pt idx="994">
                  <c:v>5.970149253731287E-3</c:v>
                </c:pt>
                <c:pt idx="995">
                  <c:v>4.4510385756676846E-3</c:v>
                </c:pt>
                <c:pt idx="996">
                  <c:v>8.0748399803053407E-3</c:v>
                </c:pt>
                <c:pt idx="997">
                  <c:v>-7.6194197518804447E-3</c:v>
                </c:pt>
                <c:pt idx="998">
                  <c:v>-5.7092233487547814E-3</c:v>
                </c:pt>
                <c:pt idx="999">
                  <c:v>7.425007425007425E-3</c:v>
                </c:pt>
                <c:pt idx="1000">
                  <c:v>-2.5550314465409307E-3</c:v>
                </c:pt>
                <c:pt idx="1001">
                  <c:v>-4.9261083743842365E-3</c:v>
                </c:pt>
                <c:pt idx="1002">
                  <c:v>-9.9009900990149662E-5</c:v>
                </c:pt>
                <c:pt idx="1003">
                  <c:v>-7.3274581641746203E-3</c:v>
                </c:pt>
                <c:pt idx="1004">
                  <c:v>4.4887780548628709E-3</c:v>
                </c:pt>
                <c:pt idx="1005">
                  <c:v>2.979145978152901E-3</c:v>
                </c:pt>
                <c:pt idx="1006">
                  <c:v>-9.9009900990149662E-5</c:v>
                </c:pt>
                <c:pt idx="1007">
                  <c:v>-9.8029507872066032E-3</c:v>
                </c:pt>
                <c:pt idx="1008">
                  <c:v>4.0000000000000565E-3</c:v>
                </c:pt>
                <c:pt idx="1009">
                  <c:v>5.9760956175298231E-3</c:v>
                </c:pt>
                <c:pt idx="1010">
                  <c:v>4.9306930693069344E-2</c:v>
                </c:pt>
                <c:pt idx="1011">
                  <c:v>-4.3404415927534249E-3</c:v>
                </c:pt>
                <c:pt idx="1012">
                  <c:v>-3.3263836239575351E-2</c:v>
                </c:pt>
                <c:pt idx="1013">
                  <c:v>1.5586707185569936E-2</c:v>
                </c:pt>
                <c:pt idx="1014">
                  <c:v>-5.694980694980591E-3</c:v>
                </c:pt>
                <c:pt idx="1015">
                  <c:v>-4.9509756334336968E-3</c:v>
                </c:pt>
                <c:pt idx="1016">
                  <c:v>-1.0731707317073115E-3</c:v>
                </c:pt>
                <c:pt idx="1017">
                  <c:v>1.8263502295146054E-2</c:v>
                </c:pt>
                <c:pt idx="1018">
                  <c:v>-4.9875311720699233E-3</c:v>
                </c:pt>
                <c:pt idx="1019">
                  <c:v>-6.5548486601117468E-3</c:v>
                </c:pt>
                <c:pt idx="1020">
                  <c:v>1.979429458567817E-2</c:v>
                </c:pt>
                <c:pt idx="1021">
                  <c:v>-2.4738344433872451E-2</c:v>
                </c:pt>
                <c:pt idx="1022">
                  <c:v>-4.3902439024390517E-3</c:v>
                </c:pt>
                <c:pt idx="1023">
                  <c:v>-7.8392944634982573E-3</c:v>
                </c:pt>
                <c:pt idx="1024">
                  <c:v>5.827160493827194E-3</c:v>
                </c:pt>
                <c:pt idx="1025">
                  <c:v>1.5710919088766358E-3</c:v>
                </c:pt>
                <c:pt idx="1026">
                  <c:v>7.3529411764705881E-3</c:v>
                </c:pt>
                <c:pt idx="1027">
                  <c:v>-6.3260340632603955E-3</c:v>
                </c:pt>
                <c:pt idx="1028">
                  <c:v>-9.7943192948084538E-4</c:v>
                </c:pt>
                <c:pt idx="1029">
                  <c:v>6.6666666666667339E-3</c:v>
                </c:pt>
                <c:pt idx="1030">
                  <c:v>-7.5964160498636643E-3</c:v>
                </c:pt>
                <c:pt idx="1031">
                  <c:v>9.8135426889101388E-4</c:v>
                </c:pt>
                <c:pt idx="1032">
                  <c:v>4.9019607843134468E-4</c:v>
                </c:pt>
                <c:pt idx="1033">
                  <c:v>-2.9397354238118291E-3</c:v>
                </c:pt>
                <c:pt idx="1034">
                  <c:v>0</c:v>
                </c:pt>
                <c:pt idx="1035">
                  <c:v>-2.2604422604422998E-3</c:v>
                </c:pt>
                <c:pt idx="1036">
                  <c:v>7.6832151300236518E-3</c:v>
                </c:pt>
                <c:pt idx="1037">
                  <c:v>-3.9100684261973752E-3</c:v>
                </c:pt>
                <c:pt idx="1038">
                  <c:v>9.8135426889101388E-4</c:v>
                </c:pt>
                <c:pt idx="1039">
                  <c:v>2.9411764705882075E-3</c:v>
                </c:pt>
                <c:pt idx="1040">
                  <c:v>-2.9325513196480661E-3</c:v>
                </c:pt>
                <c:pt idx="1041">
                  <c:v>5.7843137254902297E-3</c:v>
                </c:pt>
                <c:pt idx="1042">
                  <c:v>3.9964908860512386E-3</c:v>
                </c:pt>
                <c:pt idx="1043">
                  <c:v>-1.9417475728155617E-3</c:v>
                </c:pt>
                <c:pt idx="1044">
                  <c:v>6.8093385214008061E-3</c:v>
                </c:pt>
                <c:pt idx="1045">
                  <c:v>-4.8309178743958608E-4</c:v>
                </c:pt>
                <c:pt idx="1046">
                  <c:v>-2.2619623006283261E-2</c:v>
                </c:pt>
                <c:pt idx="1047">
                  <c:v>-8.901196716447771E-4</c:v>
                </c:pt>
                <c:pt idx="1048">
                  <c:v>3.7616313601268035E-3</c:v>
                </c:pt>
                <c:pt idx="1049">
                  <c:v>-4.9309664694280079E-3</c:v>
                </c:pt>
                <c:pt idx="1050">
                  <c:v>-3.3696729435084297E-2</c:v>
                </c:pt>
                <c:pt idx="1051">
                  <c:v>1.5384615384615385E-2</c:v>
                </c:pt>
                <c:pt idx="1052">
                  <c:v>9.4949494949494728E-3</c:v>
                </c:pt>
                <c:pt idx="1053">
                  <c:v>-9.4056433860315956E-3</c:v>
                </c:pt>
                <c:pt idx="1054">
                  <c:v>1.0101010101009526E-3</c:v>
                </c:pt>
                <c:pt idx="1055">
                  <c:v>7.8708375378405762E-3</c:v>
                </c:pt>
                <c:pt idx="1056">
                  <c:v>-9.8117741289546444E-3</c:v>
                </c:pt>
                <c:pt idx="1057">
                  <c:v>-3.0333670374116414E-3</c:v>
                </c:pt>
                <c:pt idx="1058">
                  <c:v>1.5212981744422483E-3</c:v>
                </c:pt>
                <c:pt idx="1059">
                  <c:v>9.5189873417721293E-3</c:v>
                </c:pt>
                <c:pt idx="1060">
                  <c:v>-2.006219279767307E-3</c:v>
                </c:pt>
                <c:pt idx="1061">
                  <c:v>-1.1961001105638736E-2</c:v>
                </c:pt>
                <c:pt idx="1062">
                  <c:v>1.0172939979654987E-3</c:v>
                </c:pt>
                <c:pt idx="1063">
                  <c:v>7.621951219512195E-3</c:v>
                </c:pt>
                <c:pt idx="1064">
                  <c:v>1.5128593040846341E-3</c:v>
                </c:pt>
                <c:pt idx="1065">
                  <c:v>1.3091641490433003E-2</c:v>
                </c:pt>
                <c:pt idx="1066">
                  <c:v>-5.9642147117295657E-3</c:v>
                </c:pt>
                <c:pt idx="1067">
                  <c:v>3.4000000000000341E-3</c:v>
                </c:pt>
                <c:pt idx="1068">
                  <c:v>9.0691648395455106E-3</c:v>
                </c:pt>
                <c:pt idx="1069">
                  <c:v>5.6296296296295626E-3</c:v>
                </c:pt>
                <c:pt idx="1070">
                  <c:v>7.6605774896876958E-3</c:v>
                </c:pt>
                <c:pt idx="1071">
                  <c:v>3.8986354775829017E-3</c:v>
                </c:pt>
                <c:pt idx="1072">
                  <c:v>4.66019417475732E-3</c:v>
                </c:pt>
                <c:pt idx="1073">
                  <c:v>-2.2226517201391956E-3</c:v>
                </c:pt>
                <c:pt idx="1074">
                  <c:v>-3.3898305084745211E-3</c:v>
                </c:pt>
                <c:pt idx="1075">
                  <c:v>5.7337220602525669E-3</c:v>
                </c:pt>
                <c:pt idx="1076">
                  <c:v>-3.3723065030437677E-2</c:v>
                </c:pt>
                <c:pt idx="1077">
                  <c:v>-4.5000000000000283E-3</c:v>
                </c:pt>
                <c:pt idx="1078">
                  <c:v>-7.0316423907577279E-4</c:v>
                </c:pt>
                <c:pt idx="1079">
                  <c:v>5.0261359067146319E-4</c:v>
                </c:pt>
                <c:pt idx="1080">
                  <c:v>7.2339997990555497E-3</c:v>
                </c:pt>
                <c:pt idx="1081">
                  <c:v>1.2468827930174564E-2</c:v>
                </c:pt>
                <c:pt idx="1082">
                  <c:v>5.4187192118226321E-3</c:v>
                </c:pt>
                <c:pt idx="1083">
                  <c:v>1.0485056344929029E-2</c:v>
                </c:pt>
                <c:pt idx="1084">
                  <c:v>-3.3941039565555521E-3</c:v>
                </c:pt>
                <c:pt idx="1085">
                  <c:v>2.1407025396516384E-3</c:v>
                </c:pt>
                <c:pt idx="1086">
                  <c:v>-9.6125837459947079E-3</c:v>
                </c:pt>
                <c:pt idx="1087">
                  <c:v>4.9019607843134468E-4</c:v>
                </c:pt>
                <c:pt idx="1088">
                  <c:v>-2.4497795198432141E-3</c:v>
                </c:pt>
                <c:pt idx="1089">
                  <c:v>1.9646365422397137E-3</c:v>
                </c:pt>
                <c:pt idx="1090">
                  <c:v>-2.5490196078431873E-3</c:v>
                </c:pt>
                <c:pt idx="1091">
                  <c:v>3.4401415372519025E-3</c:v>
                </c:pt>
                <c:pt idx="1092">
                  <c:v>9.7952786756783233E-3</c:v>
                </c:pt>
                <c:pt idx="1093">
                  <c:v>-1.8818508099718669E-2</c:v>
                </c:pt>
                <c:pt idx="1094">
                  <c:v>1.2852199703410326E-3</c:v>
                </c:pt>
                <c:pt idx="1095">
                  <c:v>2.6658767772511456E-3</c:v>
                </c:pt>
                <c:pt idx="1096">
                  <c:v>-2.2648941408173707E-3</c:v>
                </c:pt>
                <c:pt idx="1097">
                  <c:v>4.2439794709830921E-3</c:v>
                </c:pt>
                <c:pt idx="1098">
                  <c:v>-2.5552825552826054E-3</c:v>
                </c:pt>
                <c:pt idx="1099">
                  <c:v>-2.8574243767858121E-3</c:v>
                </c:pt>
                <c:pt idx="1100">
                  <c:v>-3.3596837944664367E-3</c:v>
                </c:pt>
                <c:pt idx="1101">
                  <c:v>-3.9658933174703802E-4</c:v>
                </c:pt>
                <c:pt idx="1102">
                  <c:v>-4.1658401110889458E-3</c:v>
                </c:pt>
                <c:pt idx="1103">
                  <c:v>9.9601593625492347E-4</c:v>
                </c:pt>
                <c:pt idx="1104">
                  <c:v>-1.5920398009950192E-2</c:v>
                </c:pt>
                <c:pt idx="1105">
                  <c:v>-4.0444893832154265E-3</c:v>
                </c:pt>
                <c:pt idx="1106">
                  <c:v>-8.1218274111674836E-3</c:v>
                </c:pt>
                <c:pt idx="1107">
                  <c:v>-1.5353121801433538E-3</c:v>
                </c:pt>
                <c:pt idx="1108">
                  <c:v>-8.200922603792897E-3</c:v>
                </c:pt>
                <c:pt idx="1109">
                  <c:v>-5.1679586563304551E-4</c:v>
                </c:pt>
                <c:pt idx="1110">
                  <c:v>3.1023784901757718E-3</c:v>
                </c:pt>
                <c:pt idx="1111">
                  <c:v>2.1649484536082415E-2</c:v>
                </c:pt>
                <c:pt idx="1112">
                  <c:v>-7.0635721493439822E-3</c:v>
                </c:pt>
                <c:pt idx="1113">
                  <c:v>3.1504065040650349E-2</c:v>
                </c:pt>
                <c:pt idx="1114">
                  <c:v>-1.9211822660098549E-2</c:v>
                </c:pt>
                <c:pt idx="1115">
                  <c:v>5.0226017076842949E-4</c:v>
                </c:pt>
                <c:pt idx="1116">
                  <c:v>-1.004016064256971E-3</c:v>
                </c:pt>
                <c:pt idx="1117">
                  <c:v>2.0100502512563098E-3</c:v>
                </c:pt>
                <c:pt idx="1118">
                  <c:v>-1.0030090270813292E-3</c:v>
                </c:pt>
                <c:pt idx="1119">
                  <c:v>2.4096385542169588E-3</c:v>
                </c:pt>
                <c:pt idx="1120">
                  <c:v>-3.4054487179487518E-3</c:v>
                </c:pt>
                <c:pt idx="1121">
                  <c:v>0</c:v>
                </c:pt>
                <c:pt idx="1122">
                  <c:v>4.7236180904522496E-3</c:v>
                </c:pt>
                <c:pt idx="1123">
                  <c:v>-4.7014104231269263E-3</c:v>
                </c:pt>
                <c:pt idx="1124">
                  <c:v>-4.0201005025126196E-3</c:v>
                </c:pt>
                <c:pt idx="1125">
                  <c:v>3.0272452068618705E-3</c:v>
                </c:pt>
                <c:pt idx="1126">
                  <c:v>6.03621730382288E-3</c:v>
                </c:pt>
                <c:pt idx="1127">
                  <c:v>-2.5000000000000001E-3</c:v>
                </c:pt>
                <c:pt idx="1128">
                  <c:v>6.0150375939851909E-4</c:v>
                </c:pt>
                <c:pt idx="1129">
                  <c:v>5.610660254483541E-3</c:v>
                </c:pt>
                <c:pt idx="1130">
                  <c:v>3.7859918302281105E-3</c:v>
                </c:pt>
                <c:pt idx="1131">
                  <c:v>-2.4813895781637717E-3</c:v>
                </c:pt>
                <c:pt idx="1132">
                  <c:v>2.6865671641790648E-3</c:v>
                </c:pt>
                <c:pt idx="1133">
                  <c:v>1.9847176739109145E-3</c:v>
                </c:pt>
                <c:pt idx="1134">
                  <c:v>2.9711795582847519E-4</c:v>
                </c:pt>
                <c:pt idx="1135">
                  <c:v>-2.7722772277227695E-2</c:v>
                </c:pt>
                <c:pt idx="1136">
                  <c:v>-4.582484725050945E-3</c:v>
                </c:pt>
                <c:pt idx="1137">
                  <c:v>-7.6726342710997444E-3</c:v>
                </c:pt>
                <c:pt idx="1138">
                  <c:v>-7.2164948453608537E-3</c:v>
                </c:pt>
                <c:pt idx="1139">
                  <c:v>9.3457943925237194E-4</c:v>
                </c:pt>
                <c:pt idx="1140">
                  <c:v>-1.4420583048034034E-2</c:v>
                </c:pt>
                <c:pt idx="1141">
                  <c:v>1.3157894736842105E-2</c:v>
                </c:pt>
                <c:pt idx="1142">
                  <c:v>1.3090909090909144E-2</c:v>
                </c:pt>
                <c:pt idx="1143">
                  <c:v>-2.0613270433801713E-2</c:v>
                </c:pt>
                <c:pt idx="1144">
                  <c:v>1.0471204188481676E-2</c:v>
                </c:pt>
                <c:pt idx="1145">
                  <c:v>0</c:v>
                </c:pt>
                <c:pt idx="1146">
                  <c:v>-9.3264248704663794E-3</c:v>
                </c:pt>
                <c:pt idx="1147">
                  <c:v>-6.3807531380753084E-3</c:v>
                </c:pt>
                <c:pt idx="1148">
                  <c:v>5.2637119696810194E-3</c:v>
                </c:pt>
                <c:pt idx="1149">
                  <c:v>-1.9897371452507881E-3</c:v>
                </c:pt>
                <c:pt idx="1150">
                  <c:v>4.5120671563484453E-3</c:v>
                </c:pt>
                <c:pt idx="1151">
                  <c:v>4.0739580068943964E-3</c:v>
                </c:pt>
                <c:pt idx="1152">
                  <c:v>-6.1381606325426902E-3</c:v>
                </c:pt>
                <c:pt idx="1153">
                  <c:v>-1.6120590390453327E-2</c:v>
                </c:pt>
                <c:pt idx="1154">
                  <c:v>8.0859665921907131E-3</c:v>
                </c:pt>
                <c:pt idx="1155">
                  <c:v>2.6385224274406332E-3</c:v>
                </c:pt>
                <c:pt idx="1156">
                  <c:v>1.0736842105263116E-2</c:v>
                </c:pt>
                <c:pt idx="1157">
                  <c:v>-2.8119141845448451E-3</c:v>
                </c:pt>
                <c:pt idx="1158">
                  <c:v>-5.7441253263707274E-3</c:v>
                </c:pt>
                <c:pt idx="1159">
                  <c:v>-4.8319327731093271E-3</c:v>
                </c:pt>
                <c:pt idx="1160">
                  <c:v>2.7443529660122982E-3</c:v>
                </c:pt>
                <c:pt idx="1161">
                  <c:v>0</c:v>
                </c:pt>
                <c:pt idx="1162">
                  <c:v>-5.263157894736842E-3</c:v>
                </c:pt>
                <c:pt idx="1163">
                  <c:v>-5.2910052910052907E-3</c:v>
                </c:pt>
                <c:pt idx="1164">
                  <c:v>-1.0638297872339821E-3</c:v>
                </c:pt>
                <c:pt idx="1165">
                  <c:v>-1.4376996805111911E-2</c:v>
                </c:pt>
                <c:pt idx="1166">
                  <c:v>-1.2965964343597011E-3</c:v>
                </c:pt>
                <c:pt idx="1167">
                  <c:v>-4.8685491723466714E-3</c:v>
                </c:pt>
                <c:pt idx="1168">
                  <c:v>-8.4801043705153411E-3</c:v>
                </c:pt>
                <c:pt idx="1169">
                  <c:v>1.6447368421052631E-2</c:v>
                </c:pt>
                <c:pt idx="1170">
                  <c:v>5.3937432578206204E-4</c:v>
                </c:pt>
                <c:pt idx="1171">
                  <c:v>-4.8517520215633726E-3</c:v>
                </c:pt>
                <c:pt idx="1172">
                  <c:v>-5.417118093174123E-4</c:v>
                </c:pt>
                <c:pt idx="1173">
                  <c:v>1.3658536585365909E-2</c:v>
                </c:pt>
                <c:pt idx="1174">
                  <c:v>-8.1274729975404237E-3</c:v>
                </c:pt>
                <c:pt idx="1175">
                  <c:v>-2.6954177897574125E-3</c:v>
                </c:pt>
                <c:pt idx="1176">
                  <c:v>0</c:v>
                </c:pt>
                <c:pt idx="1177">
                  <c:v>4.3243243243250003E-4</c:v>
                </c:pt>
                <c:pt idx="1178">
                  <c:v>1.2102874432677655E-2</c:v>
                </c:pt>
                <c:pt idx="1179">
                  <c:v>5.7655349135170434E-3</c:v>
                </c:pt>
                <c:pt idx="1180">
                  <c:v>2.4416135881104004E-2</c:v>
                </c:pt>
                <c:pt idx="1181">
                  <c:v>1.5751295336787523E-2</c:v>
                </c:pt>
                <c:pt idx="1182">
                  <c:v>2.5096918996123322E-2</c:v>
                </c:pt>
                <c:pt idx="1183">
                  <c:v>2.5079617834394864E-2</c:v>
                </c:pt>
                <c:pt idx="1184">
                  <c:v>-3.7864077669902967E-3</c:v>
                </c:pt>
                <c:pt idx="1185">
                  <c:v>-5.9448396842412968E-3</c:v>
                </c:pt>
                <c:pt idx="1186">
                  <c:v>-4.9019607843137254E-3</c:v>
                </c:pt>
                <c:pt idx="1187">
                  <c:v>4.9261083743842365E-3</c:v>
                </c:pt>
                <c:pt idx="1188">
                  <c:v>-9.8039215686324664E-5</c:v>
                </c:pt>
                <c:pt idx="1189">
                  <c:v>1.8727326208451914E-2</c:v>
                </c:pt>
                <c:pt idx="1190">
                  <c:v>2.7430221366698693E-2</c:v>
                </c:pt>
                <c:pt idx="1191">
                  <c:v>-7.0257611241217799E-3</c:v>
                </c:pt>
                <c:pt idx="1192">
                  <c:v>-3.3018867924528301E-2</c:v>
                </c:pt>
                <c:pt idx="1193">
                  <c:v>-1.1707317073170759E-2</c:v>
                </c:pt>
                <c:pt idx="1194">
                  <c:v>-3.5538005923000933E-3</c:v>
                </c:pt>
                <c:pt idx="1195">
                  <c:v>1.5553794333267361E-2</c:v>
                </c:pt>
                <c:pt idx="1196">
                  <c:v>7.2188079211783713E-3</c:v>
                </c:pt>
                <c:pt idx="1197">
                  <c:v>-6.7796610169484916E-4</c:v>
                </c:pt>
                <c:pt idx="1198">
                  <c:v>1.4246947082767965E-2</c:v>
                </c:pt>
                <c:pt idx="1199">
                  <c:v>-3.0100334448160588E-2</c:v>
                </c:pt>
                <c:pt idx="1200">
                  <c:v>4.9261083743842365E-3</c:v>
                </c:pt>
                <c:pt idx="1201">
                  <c:v>0</c:v>
                </c:pt>
                <c:pt idx="1202">
                  <c:v>9.8039215686324664E-5</c:v>
                </c:pt>
                <c:pt idx="1203">
                  <c:v>1.9507891383197674E-2</c:v>
                </c:pt>
                <c:pt idx="1204">
                  <c:v>2.8846153846153848E-2</c:v>
                </c:pt>
                <c:pt idx="1205">
                  <c:v>-1.1588785046728924E-2</c:v>
                </c:pt>
                <c:pt idx="1206">
                  <c:v>1.7965204236005837E-3</c:v>
                </c:pt>
                <c:pt idx="1207">
                  <c:v>1.9820670127418004E-3</c:v>
                </c:pt>
                <c:pt idx="1208">
                  <c:v>-5.6518462697814085E-3</c:v>
                </c:pt>
                <c:pt idx="1209">
                  <c:v>8.7154225085259735E-3</c:v>
                </c:pt>
                <c:pt idx="1210">
                  <c:v>-9.2036063110443652E-3</c:v>
                </c:pt>
                <c:pt idx="1211">
                  <c:v>1.8009478672985836E-2</c:v>
                </c:pt>
                <c:pt idx="1212">
                  <c:v>7.4487895716945727E-3</c:v>
                </c:pt>
                <c:pt idx="1213">
                  <c:v>2.1256931608133061E-2</c:v>
                </c:pt>
                <c:pt idx="1214">
                  <c:v>9.0497737556561094E-3</c:v>
                </c:pt>
                <c:pt idx="1215">
                  <c:v>3.5874439461883916E-3</c:v>
                </c:pt>
                <c:pt idx="1216">
                  <c:v>-3.4852546916890131E-3</c:v>
                </c:pt>
                <c:pt idx="1217">
                  <c:v>4.8426150121064658E-3</c:v>
                </c:pt>
                <c:pt idx="1218">
                  <c:v>9.5493083444891328E-3</c:v>
                </c:pt>
                <c:pt idx="1219">
                  <c:v>6.8953323903819053E-3</c:v>
                </c:pt>
                <c:pt idx="1220">
                  <c:v>-3.5118525021949577E-3</c:v>
                </c:pt>
                <c:pt idx="1221">
                  <c:v>4.4052863436123352E-3</c:v>
                </c:pt>
                <c:pt idx="1222">
                  <c:v>8.771929824561403E-3</c:v>
                </c:pt>
                <c:pt idx="1223">
                  <c:v>1.5217391304347827E-2</c:v>
                </c:pt>
                <c:pt idx="1224">
                  <c:v>3.6402569593147749E-2</c:v>
                </c:pt>
                <c:pt idx="1225">
                  <c:v>-8.5123966942148854E-3</c:v>
                </c:pt>
                <c:pt idx="1226">
                  <c:v>-3.1007751937984485E-2</c:v>
                </c:pt>
                <c:pt idx="1227">
                  <c:v>1.6086021505376382E-2</c:v>
                </c:pt>
                <c:pt idx="1228">
                  <c:v>2.0233660684050123E-2</c:v>
                </c:pt>
                <c:pt idx="1229">
                  <c:v>-2.0828147041739315E-2</c:v>
                </c:pt>
                <c:pt idx="1230">
                  <c:v>-3.1355932203389857E-2</c:v>
                </c:pt>
                <c:pt idx="1231">
                  <c:v>-2.6246719160104739E-3</c:v>
                </c:pt>
                <c:pt idx="1232">
                  <c:v>-4.3859649122807015E-3</c:v>
                </c:pt>
                <c:pt idx="1233">
                  <c:v>-1.1894273127753255E-2</c:v>
                </c:pt>
                <c:pt idx="1234">
                  <c:v>-2.6304057066428913E-2</c:v>
                </c:pt>
                <c:pt idx="1235">
                  <c:v>1.6483516483516456E-2</c:v>
                </c:pt>
                <c:pt idx="1236">
                  <c:v>6.2162162162161961E-3</c:v>
                </c:pt>
                <c:pt idx="1237">
                  <c:v>1.4414898379443097E-2</c:v>
                </c:pt>
                <c:pt idx="1238">
                  <c:v>2.5948808473080297E-2</c:v>
                </c:pt>
                <c:pt idx="1239">
                  <c:v>-2.06469373709562E-3</c:v>
                </c:pt>
                <c:pt idx="1240">
                  <c:v>2.9310344827586255E-2</c:v>
                </c:pt>
                <c:pt idx="1241">
                  <c:v>8.3752093802345051E-3</c:v>
                </c:pt>
                <c:pt idx="1242">
                  <c:v>-1.1877076411960188E-2</c:v>
                </c:pt>
                <c:pt idx="1243">
                  <c:v>2.2694797007648654E-3</c:v>
                </c:pt>
                <c:pt idx="1244">
                  <c:v>-7.8832606507883065E-3</c:v>
                </c:pt>
                <c:pt idx="1245">
                  <c:v>-1.6906170752321235E-4</c:v>
                </c:pt>
                <c:pt idx="1246">
                  <c:v>1.9445383834968209E-3</c:v>
                </c:pt>
                <c:pt idx="1247">
                  <c:v>-1.0125727786685051E-3</c:v>
                </c:pt>
                <c:pt idx="1248">
                  <c:v>3.378663738491955E-4</c:v>
                </c:pt>
                <c:pt idx="1249">
                  <c:v>-7.8527400151989085E-3</c:v>
                </c:pt>
                <c:pt idx="1250">
                  <c:v>-4.2553191489361703E-3</c:v>
                </c:pt>
                <c:pt idx="1251">
                  <c:v>-4.2735042735042739E-3</c:v>
                </c:pt>
                <c:pt idx="1252">
                  <c:v>8.5836909871244635E-3</c:v>
                </c:pt>
                <c:pt idx="1253">
                  <c:v>1.3531914893617051E-2</c:v>
                </c:pt>
                <c:pt idx="1254">
                  <c:v>3.3588042656813458E-3</c:v>
                </c:pt>
                <c:pt idx="1255">
                  <c:v>-1.1214327558791442E-2</c:v>
                </c:pt>
                <c:pt idx="1256">
                  <c:v>-1.1849344054168478E-3</c:v>
                </c:pt>
                <c:pt idx="1257">
                  <c:v>-2.3981018557749329E-2</c:v>
                </c:pt>
                <c:pt idx="1258">
                  <c:v>-1.0244834172599469E-2</c:v>
                </c:pt>
                <c:pt idx="1259">
                  <c:v>-8.8596491228070621E-3</c:v>
                </c:pt>
                <c:pt idx="1260">
                  <c:v>8.8503407381229461E-5</c:v>
                </c:pt>
                <c:pt idx="1261">
                  <c:v>8.7610619469026089E-3</c:v>
                </c:pt>
                <c:pt idx="1262">
                  <c:v>-4.2986226862004994E-3</c:v>
                </c:pt>
                <c:pt idx="1263">
                  <c:v>-2.5550660792952092E-3</c:v>
                </c:pt>
                <c:pt idx="1264">
                  <c:v>4.6815652327533005E-3</c:v>
                </c:pt>
                <c:pt idx="1265">
                  <c:v>-6.5060664673817032E-3</c:v>
                </c:pt>
                <c:pt idx="1266">
                  <c:v>-1.7699115044244267E-4</c:v>
                </c:pt>
                <c:pt idx="1267">
                  <c:v>7.0808992742076732E-4</c:v>
                </c:pt>
                <c:pt idx="1268">
                  <c:v>-4.9531222359809153E-3</c:v>
                </c:pt>
                <c:pt idx="1269">
                  <c:v>-1.0222222222222273E-2</c:v>
                </c:pt>
                <c:pt idx="1270">
                  <c:v>-2.1104625056129273E-2</c:v>
                </c:pt>
                <c:pt idx="1271">
                  <c:v>0</c:v>
                </c:pt>
                <c:pt idx="1272">
                  <c:v>-1.743119266055025E-3</c:v>
                </c:pt>
                <c:pt idx="1273">
                  <c:v>3.1247128021321883E-3</c:v>
                </c:pt>
                <c:pt idx="1274">
                  <c:v>1.0169491525423723E-2</c:v>
                </c:pt>
                <c:pt idx="1275">
                  <c:v>3.1108289497551175E-2</c:v>
                </c:pt>
                <c:pt idx="1276">
                  <c:v>-7.8283050400211156E-3</c:v>
                </c:pt>
                <c:pt idx="1277">
                  <c:v>1.7730496453900962E-3</c:v>
                </c:pt>
                <c:pt idx="1278">
                  <c:v>4.4159292035398187E-2</c:v>
                </c:pt>
                <c:pt idx="1279">
                  <c:v>1.1950165268243164E-2</c:v>
                </c:pt>
                <c:pt idx="1280">
                  <c:v>7.9564489112226855E-3</c:v>
                </c:pt>
                <c:pt idx="1281">
                  <c:v>-6.647278770253404E-3</c:v>
                </c:pt>
                <c:pt idx="1282">
                  <c:v>-5.5207026348807744E-3</c:v>
                </c:pt>
                <c:pt idx="1283">
                  <c:v>-5.3831272604928969E-3</c:v>
                </c:pt>
                <c:pt idx="1284">
                  <c:v>-3.8054968287526665E-3</c:v>
                </c:pt>
                <c:pt idx="1285">
                  <c:v>-4.2444821731746314E-4</c:v>
                </c:pt>
                <c:pt idx="1286">
                  <c:v>2.1231422505307855E-3</c:v>
                </c:pt>
                <c:pt idx="1287">
                  <c:v>-4.5762711864407307E-3</c:v>
                </c:pt>
                <c:pt idx="1288">
                  <c:v>-2.9797377830750411E-3</c:v>
                </c:pt>
                <c:pt idx="1289">
                  <c:v>1.3576978908718328E-2</c:v>
                </c:pt>
                <c:pt idx="1290">
                  <c:v>-5.897219882055626E-3</c:v>
                </c:pt>
                <c:pt idx="1291">
                  <c:v>2.1694915254237307E-2</c:v>
                </c:pt>
                <c:pt idx="1292">
                  <c:v>1.1944260119442583E-2</c:v>
                </c:pt>
                <c:pt idx="1293">
                  <c:v>1.8442622950819672E-2</c:v>
                </c:pt>
                <c:pt idx="1294">
                  <c:v>-1.8108651911468814E-2</c:v>
                </c:pt>
                <c:pt idx="1295">
                  <c:v>-4.0983606557377051E-3</c:v>
                </c:pt>
                <c:pt idx="1296">
                  <c:v>8.23045267489712E-3</c:v>
                </c:pt>
                <c:pt idx="1297">
                  <c:v>3.8367346938775533E-2</c:v>
                </c:pt>
                <c:pt idx="1298">
                  <c:v>1.0220125786163499E-2</c:v>
                </c:pt>
                <c:pt idx="1299">
                  <c:v>-1.3229571984434824E-3</c:v>
                </c:pt>
                <c:pt idx="1300">
                  <c:v>-1.4260110652224829E-2</c:v>
                </c:pt>
                <c:pt idx="1301">
                  <c:v>-6.3241106719367363E-3</c:v>
                </c:pt>
                <c:pt idx="1302">
                  <c:v>1.2649164677804322E-2</c:v>
                </c:pt>
                <c:pt idx="1303">
                  <c:v>-1.7283368685679398E-3</c:v>
                </c:pt>
                <c:pt idx="1304">
                  <c:v>-6.8466199732430183E-3</c:v>
                </c:pt>
                <c:pt idx="1305">
                  <c:v>4.992076069730584E-2</c:v>
                </c:pt>
                <c:pt idx="1306">
                  <c:v>7.6301886792452936E-2</c:v>
                </c:pt>
                <c:pt idx="1307">
                  <c:v>9.6066194516511889E-3</c:v>
                </c:pt>
                <c:pt idx="1308">
                  <c:v>-2.6948187248228891E-2</c:v>
                </c:pt>
                <c:pt idx="1309">
                  <c:v>-8.5653104925052723E-3</c:v>
                </c:pt>
                <c:pt idx="1310">
                  <c:v>7.8473722102232069E-3</c:v>
                </c:pt>
                <c:pt idx="1311">
                  <c:v>1.0000714336738175E-2</c:v>
                </c:pt>
                <c:pt idx="1312">
                  <c:v>6.0824669354269303E-3</c:v>
                </c:pt>
                <c:pt idx="1313">
                  <c:v>-5.2021089630932098E-3</c:v>
                </c:pt>
                <c:pt idx="1314">
                  <c:v>9.8226273761572672E-3</c:v>
                </c:pt>
                <c:pt idx="1315">
                  <c:v>-6.9979006298106583E-4</c:v>
                </c:pt>
                <c:pt idx="1316">
                  <c:v>3.0812324929971827E-2</c:v>
                </c:pt>
                <c:pt idx="1317">
                  <c:v>-1.7595108695652006E-2</c:v>
                </c:pt>
                <c:pt idx="1318">
                  <c:v>6.1544844754856942E-3</c:v>
                </c:pt>
                <c:pt idx="1319">
                  <c:v>-1.4089347079037879E-2</c:v>
                </c:pt>
                <c:pt idx="1320">
                  <c:v>1.60334611362845E-2</c:v>
                </c:pt>
                <c:pt idx="1321">
                  <c:v>2.8816466552315533E-2</c:v>
                </c:pt>
                <c:pt idx="1322">
                  <c:v>-3.001000333444406E-3</c:v>
                </c:pt>
                <c:pt idx="1323">
                  <c:v>1.1371237458193904E-2</c:v>
                </c:pt>
                <c:pt idx="1324">
                  <c:v>-5.7539682539682467E-2</c:v>
                </c:pt>
                <c:pt idx="1325">
                  <c:v>9.7543859649121857E-3</c:v>
                </c:pt>
                <c:pt idx="1326">
                  <c:v>-1.452498436305494E-2</c:v>
                </c:pt>
                <c:pt idx="1327">
                  <c:v>4.2313117066290146E-3</c:v>
                </c:pt>
                <c:pt idx="1328">
                  <c:v>2.2471910112359071E-3</c:v>
                </c:pt>
                <c:pt idx="1329">
                  <c:v>5.4652466367713084E-3</c:v>
                </c:pt>
                <c:pt idx="1330">
                  <c:v>7.6655052264807963E-3</c:v>
                </c:pt>
                <c:pt idx="1331">
                  <c:v>-4.2185338865835774E-3</c:v>
                </c:pt>
                <c:pt idx="1332">
                  <c:v>-8.6117091464685668E-3</c:v>
                </c:pt>
                <c:pt idx="1333">
                  <c:v>7.9859894921189938E-3</c:v>
                </c:pt>
                <c:pt idx="1334">
                  <c:v>9.4516644659115561E-3</c:v>
                </c:pt>
                <c:pt idx="1335">
                  <c:v>1.549053356282272E-2</c:v>
                </c:pt>
                <c:pt idx="1336">
                  <c:v>-2.3728813559322035E-2</c:v>
                </c:pt>
                <c:pt idx="1337">
                  <c:v>-1.7013888888888811E-2</c:v>
                </c:pt>
                <c:pt idx="1338">
                  <c:v>-8.124337689862279E-3</c:v>
                </c:pt>
                <c:pt idx="1339">
                  <c:v>1.1396011396011355E-2</c:v>
                </c:pt>
                <c:pt idx="1340">
                  <c:v>-1.6197183098591628E-2</c:v>
                </c:pt>
                <c:pt idx="1341">
                  <c:v>-1.2168933428775869E-2</c:v>
                </c:pt>
                <c:pt idx="1342">
                  <c:v>1.6666666666665926E-3</c:v>
                </c:pt>
                <c:pt idx="1343">
                  <c:v>-1.6132532735296173E-2</c:v>
                </c:pt>
                <c:pt idx="1344">
                  <c:v>2.5735294117647058E-2</c:v>
                </c:pt>
                <c:pt idx="1345">
                  <c:v>-1.5412186379928356E-2</c:v>
                </c:pt>
                <c:pt idx="1346">
                  <c:v>-5.7517291590825775E-3</c:v>
                </c:pt>
                <c:pt idx="1347">
                  <c:v>-3.3684827182191559E-3</c:v>
                </c:pt>
                <c:pt idx="1348">
                  <c:v>6.3556208670095565E-2</c:v>
                </c:pt>
                <c:pt idx="1349">
                  <c:v>-1.7271157167530224E-3</c:v>
                </c:pt>
                <c:pt idx="1350">
                  <c:v>3.4671280276816548E-2</c:v>
                </c:pt>
                <c:pt idx="1351">
                  <c:v>2.3342920206006351E-2</c:v>
                </c:pt>
                <c:pt idx="1352">
                  <c:v>-7.8431372549018861E-3</c:v>
                </c:pt>
                <c:pt idx="1353">
                  <c:v>-1.976284584980312E-3</c:v>
                </c:pt>
                <c:pt idx="1354">
                  <c:v>6.8646864686468689E-2</c:v>
                </c:pt>
                <c:pt idx="1355">
                  <c:v>1.358863495985169E-2</c:v>
                </c:pt>
                <c:pt idx="1356">
                  <c:v>-5.4844606946983891E-3</c:v>
                </c:pt>
                <c:pt idx="1357">
                  <c:v>4.534313725490252E-3</c:v>
                </c:pt>
                <c:pt idx="1358">
                  <c:v>3.7635720385506992E-2</c:v>
                </c:pt>
                <c:pt idx="1359">
                  <c:v>-1.0934101463758823E-2</c:v>
                </c:pt>
                <c:pt idx="1360">
                  <c:v>-5.6463595839523839E-3</c:v>
                </c:pt>
                <c:pt idx="1361">
                  <c:v>-4.7818290496115436E-3</c:v>
                </c:pt>
                <c:pt idx="1362">
                  <c:v>-6.6066066066074256E-4</c:v>
                </c:pt>
                <c:pt idx="1363">
                  <c:v>2.0193521245267226E-2</c:v>
                </c:pt>
                <c:pt idx="1364">
                  <c:v>-1.1782032400589101E-2</c:v>
                </c:pt>
                <c:pt idx="1365">
                  <c:v>1.8479880774962709E-2</c:v>
                </c:pt>
                <c:pt idx="1366">
                  <c:v>-4.6239391278899153E-3</c:v>
                </c:pt>
                <c:pt idx="1367">
                  <c:v>2.9048571092555556E-2</c:v>
                </c:pt>
                <c:pt idx="1368">
                  <c:v>3.4285714285713963E-3</c:v>
                </c:pt>
                <c:pt idx="1369">
                  <c:v>-4.6127562642368988E-2</c:v>
                </c:pt>
                <c:pt idx="1370">
                  <c:v>-2.6865671641791045E-2</c:v>
                </c:pt>
                <c:pt idx="1371">
                  <c:v>6.1349693251533744E-3</c:v>
                </c:pt>
                <c:pt idx="1372">
                  <c:v>1.8292682926829267E-2</c:v>
                </c:pt>
                <c:pt idx="1373">
                  <c:v>-3.1137724550898815E-3</c:v>
                </c:pt>
                <c:pt idx="1374">
                  <c:v>-6.0067275348390202E-3</c:v>
                </c:pt>
                <c:pt idx="1375">
                  <c:v>3.1242446217065605E-2</c:v>
                </c:pt>
                <c:pt idx="1376">
                  <c:v>4.4008203926164613E-2</c:v>
                </c:pt>
                <c:pt idx="1377">
                  <c:v>1.7343960484957361E-2</c:v>
                </c:pt>
                <c:pt idx="1378">
                  <c:v>3.5586206896551661E-2</c:v>
                </c:pt>
                <c:pt idx="1379">
                  <c:v>-7.7250932338837975E-3</c:v>
                </c:pt>
                <c:pt idx="1380">
                  <c:v>1.4711409395973204E-2</c:v>
                </c:pt>
                <c:pt idx="1381">
                  <c:v>-7.8840150272501668E-3</c:v>
                </c:pt>
                <c:pt idx="1382">
                  <c:v>-1.4666666666666666E-2</c:v>
                </c:pt>
                <c:pt idx="1383">
                  <c:v>-8.9851150202976959E-2</c:v>
                </c:pt>
                <c:pt idx="1384">
                  <c:v>-1.5759738328873063E-2</c:v>
                </c:pt>
                <c:pt idx="1385">
                  <c:v>4.8338368580061108E-3</c:v>
                </c:pt>
                <c:pt idx="1386">
                  <c:v>-7.8171978352375906E-3</c:v>
                </c:pt>
                <c:pt idx="1387">
                  <c:v>2.7272727272727271E-2</c:v>
                </c:pt>
                <c:pt idx="1388">
                  <c:v>2.9498525073746312E-3</c:v>
                </c:pt>
                <c:pt idx="1389">
                  <c:v>3.2352941176471257E-3</c:v>
                </c:pt>
                <c:pt idx="1390">
                  <c:v>-3.283494576370579E-3</c:v>
                </c:pt>
                <c:pt idx="1391">
                  <c:v>1.5942114242014114E-2</c:v>
                </c:pt>
                <c:pt idx="1392">
                  <c:v>3.7463810075275036E-2</c:v>
                </c:pt>
                <c:pt idx="1393">
                  <c:v>7.4231177094380343E-3</c:v>
                </c:pt>
                <c:pt idx="1394">
                  <c:v>-5.6509695290859292E-3</c:v>
                </c:pt>
                <c:pt idx="1395">
                  <c:v>-1.5712057053710683E-2</c:v>
                </c:pt>
                <c:pt idx="1396">
                  <c:v>1.0415487376882165E-2</c:v>
                </c:pt>
                <c:pt idx="1397">
                  <c:v>3.3613445378150942E-3</c:v>
                </c:pt>
                <c:pt idx="1398">
                  <c:v>1.055276381909556E-2</c:v>
                </c:pt>
                <c:pt idx="1399">
                  <c:v>2.7073318967897708E-3</c:v>
                </c:pt>
                <c:pt idx="1400">
                  <c:v>-4.8490191756667151E-3</c:v>
                </c:pt>
                <c:pt idx="1401">
                  <c:v>7.6965669988926623E-3</c:v>
                </c:pt>
                <c:pt idx="1402">
                  <c:v>6.6487169624703524E-3</c:v>
                </c:pt>
                <c:pt idx="1403">
                  <c:v>-1.009825327510914E-2</c:v>
                </c:pt>
                <c:pt idx="1404">
                  <c:v>1.8472566859663603E-2</c:v>
                </c:pt>
                <c:pt idx="1405">
                  <c:v>-2.06280454791554E-2</c:v>
                </c:pt>
                <c:pt idx="1406">
                  <c:v>-1.4594504947758232E-2</c:v>
                </c:pt>
                <c:pt idx="1407">
                  <c:v>1.5371669004207625E-2</c:v>
                </c:pt>
                <c:pt idx="1408">
                  <c:v>1.1105585943974754E-2</c:v>
                </c:pt>
                <c:pt idx="1409">
                  <c:v>-2.7322404371584699E-3</c:v>
                </c:pt>
                <c:pt idx="1410">
                  <c:v>1.9123287671232926E-2</c:v>
                </c:pt>
                <c:pt idx="1411">
                  <c:v>4.9518791332867247E-2</c:v>
                </c:pt>
                <c:pt idx="1412">
                  <c:v>2.5614754098360658E-3</c:v>
                </c:pt>
                <c:pt idx="1413">
                  <c:v>8.3852835973428852E-2</c:v>
                </c:pt>
                <c:pt idx="1414">
                  <c:v>3.0125878082127133E-2</c:v>
                </c:pt>
                <c:pt idx="1415">
                  <c:v>-1.1441647597254004E-2</c:v>
                </c:pt>
                <c:pt idx="1416">
                  <c:v>-2.7777777777777776E-2</c:v>
                </c:pt>
                <c:pt idx="1417">
                  <c:v>2.8428571428571425E-2</c:v>
                </c:pt>
                <c:pt idx="1418">
                  <c:v>2.5605408158540545E-2</c:v>
                </c:pt>
                <c:pt idx="1419">
                  <c:v>3.61173814898425E-3</c:v>
                </c:pt>
                <c:pt idx="1420">
                  <c:v>1.4304993252361576E-2</c:v>
                </c:pt>
                <c:pt idx="1421">
                  <c:v>9.5440837324818215E-2</c:v>
                </c:pt>
                <c:pt idx="1422">
                  <c:v>-3.0769230769230747E-2</c:v>
                </c:pt>
                <c:pt idx="1423">
                  <c:v>2.3433583959899688E-2</c:v>
                </c:pt>
                <c:pt idx="1424">
                  <c:v>1.1387290314681118E-2</c:v>
                </c:pt>
                <c:pt idx="1425">
                  <c:v>-1.3317191283293024E-2</c:v>
                </c:pt>
                <c:pt idx="1426">
                  <c:v>-1.0265848670756609E-2</c:v>
                </c:pt>
                <c:pt idx="1427">
                  <c:v>7.9342121575271193E-3</c:v>
                </c:pt>
                <c:pt idx="1428">
                  <c:v>3.7267844696814413E-2</c:v>
                </c:pt>
                <c:pt idx="1429">
                  <c:v>1.1857707509881422E-2</c:v>
                </c:pt>
                <c:pt idx="1430">
                  <c:v>-5.859375E-3</c:v>
                </c:pt>
                <c:pt idx="1431">
                  <c:v>-5.893909626719057E-3</c:v>
                </c:pt>
                <c:pt idx="1432">
                  <c:v>-2.5691699604743084E-2</c:v>
                </c:pt>
                <c:pt idx="1433">
                  <c:v>2.8397565922920432E-3</c:v>
                </c:pt>
                <c:pt idx="1434">
                  <c:v>-1.6990291262135877E-2</c:v>
                </c:pt>
                <c:pt idx="1435">
                  <c:v>5.5967078189300502E-2</c:v>
                </c:pt>
                <c:pt idx="1436">
                  <c:v>6.1769290724863465E-2</c:v>
                </c:pt>
                <c:pt idx="1437">
                  <c:v>4.6430537713342025E-2</c:v>
                </c:pt>
                <c:pt idx="1438">
                  <c:v>-2.3149772009821195E-2</c:v>
                </c:pt>
                <c:pt idx="1439">
                  <c:v>3.3931777378815038E-2</c:v>
                </c:pt>
                <c:pt idx="1440">
                  <c:v>-1.7190484459107445E-2</c:v>
                </c:pt>
                <c:pt idx="1441">
                  <c:v>3.5689045936395437E-3</c:v>
                </c:pt>
                <c:pt idx="1442">
                  <c:v>-3.5210027815889955E-5</c:v>
                </c:pt>
                <c:pt idx="1443">
                  <c:v>3.4507042253521768E-3</c:v>
                </c:pt>
                <c:pt idx="1444">
                  <c:v>-1.6843287248228583E-3</c:v>
                </c:pt>
                <c:pt idx="1445">
                  <c:v>-3.5149384885772492E-4</c:v>
                </c:pt>
                <c:pt idx="1446">
                  <c:v>-3.1645569620252366E-3</c:v>
                </c:pt>
                <c:pt idx="1447">
                  <c:v>7.760141093474387E-3</c:v>
                </c:pt>
                <c:pt idx="1448">
                  <c:v>-1.1725586279313846E-2</c:v>
                </c:pt>
                <c:pt idx="1449">
                  <c:v>2.1250221356471253E-3</c:v>
                </c:pt>
                <c:pt idx="1450">
                  <c:v>-1.1486128291217529E-2</c:v>
                </c:pt>
                <c:pt idx="1451">
                  <c:v>-5.0053628888093579E-3</c:v>
                </c:pt>
                <c:pt idx="1452">
                  <c:v>4.3478260869564481E-3</c:v>
                </c:pt>
                <c:pt idx="1453">
                  <c:v>1.6063825981181386E-2</c:v>
                </c:pt>
                <c:pt idx="1454">
                  <c:v>7.3943661971831789E-3</c:v>
                </c:pt>
                <c:pt idx="1455">
                  <c:v>4.0720027962250875E-2</c:v>
                </c:pt>
                <c:pt idx="1456">
                  <c:v>9.4206549118387953E-2</c:v>
                </c:pt>
                <c:pt idx="1457">
                  <c:v>-1.1970534069981689E-2</c:v>
                </c:pt>
                <c:pt idx="1458">
                  <c:v>-3.3861447654551034E-2</c:v>
                </c:pt>
                <c:pt idx="1459">
                  <c:v>-3.263665594855298E-2</c:v>
                </c:pt>
                <c:pt idx="1460">
                  <c:v>9.6426790759514672E-2</c:v>
                </c:pt>
                <c:pt idx="1461">
                  <c:v>-1.1701934153883507E-2</c:v>
                </c:pt>
                <c:pt idx="1462">
                  <c:v>-7.6687116564417178E-3</c:v>
                </c:pt>
                <c:pt idx="1463">
                  <c:v>3.1839258114374068E-2</c:v>
                </c:pt>
                <c:pt idx="1464">
                  <c:v>6.6806470940681886E-3</c:v>
                </c:pt>
                <c:pt idx="1465">
                  <c:v>-8.9277743058574285E-5</c:v>
                </c:pt>
                <c:pt idx="1466">
                  <c:v>3.8690476190476192E-2</c:v>
                </c:pt>
                <c:pt idx="1467">
                  <c:v>-2.8366762177650692E-3</c:v>
                </c:pt>
                <c:pt idx="1468">
                  <c:v>-2.8734806471052282E-5</c:v>
                </c:pt>
                <c:pt idx="1469">
                  <c:v>4.3103448275855536E-4</c:v>
                </c:pt>
                <c:pt idx="1470">
                  <c:v>6.6925175929916448E-3</c:v>
                </c:pt>
                <c:pt idx="1471">
                  <c:v>9.9805980369778474E-2</c:v>
                </c:pt>
                <c:pt idx="1472">
                  <c:v>4.0315467233954294E-2</c:v>
                </c:pt>
                <c:pt idx="1473">
                  <c:v>3.967581047381552E-2</c:v>
                </c:pt>
                <c:pt idx="1474">
                  <c:v>-4.2958911995394748E-2</c:v>
                </c:pt>
                <c:pt idx="1475">
                  <c:v>-5.7669172932330807E-2</c:v>
                </c:pt>
                <c:pt idx="1476">
                  <c:v>-1.593127476794598E-2</c:v>
                </c:pt>
                <c:pt idx="1477">
                  <c:v>4.2972972972972909E-2</c:v>
                </c:pt>
                <c:pt idx="1478">
                  <c:v>4.0424980564913254E-2</c:v>
                </c:pt>
                <c:pt idx="1479">
                  <c:v>-4.3611457036114548E-2</c:v>
                </c:pt>
                <c:pt idx="1480">
                  <c:v>-2.8620536993150886E-2</c:v>
                </c:pt>
                <c:pt idx="1481">
                  <c:v>2.8418230563002742E-3</c:v>
                </c:pt>
                <c:pt idx="1482">
                  <c:v>-1.4970860289793143E-3</c:v>
                </c:pt>
                <c:pt idx="1483">
                  <c:v>-1.6064257028112448E-2</c:v>
                </c:pt>
                <c:pt idx="1484">
                  <c:v>2.8544217687074856E-2</c:v>
                </c:pt>
                <c:pt idx="1485">
                  <c:v>2.6720283605386145E-3</c:v>
                </c:pt>
                <c:pt idx="1486">
                  <c:v>2.5329815303430141E-2</c:v>
                </c:pt>
                <c:pt idx="1487">
                  <c:v>-1.291816778178085E-2</c:v>
                </c:pt>
                <c:pt idx="1488">
                  <c:v>-6.3871943271286008E-3</c:v>
                </c:pt>
                <c:pt idx="1489">
                  <c:v>4.1718048959673388E-3</c:v>
                </c:pt>
                <c:pt idx="1490">
                  <c:v>-2.4299749163879773E-3</c:v>
                </c:pt>
                <c:pt idx="1491">
                  <c:v>5.0813274313103998E-3</c:v>
                </c:pt>
                <c:pt idx="1492">
                  <c:v>5.9937977223567468E-3</c:v>
                </c:pt>
                <c:pt idx="1493">
                  <c:v>-3.8079941973420991E-3</c:v>
                </c:pt>
                <c:pt idx="1494">
                  <c:v>1.0349490326607079E-2</c:v>
                </c:pt>
                <c:pt idx="1495">
                  <c:v>-8.7764451536521976E-3</c:v>
                </c:pt>
                <c:pt idx="1496">
                  <c:v>4.9074338535039759E-3</c:v>
                </c:pt>
                <c:pt idx="1497">
                  <c:v>9.9994832308407961E-3</c:v>
                </c:pt>
                <c:pt idx="1498">
                  <c:v>1.1051702525007019E-2</c:v>
                </c:pt>
                <c:pt idx="1499">
                  <c:v>-1.5940892183902114E-3</c:v>
                </c:pt>
                <c:pt idx="1500">
                  <c:v>-2.1035024583100615E-3</c:v>
                </c:pt>
                <c:pt idx="1501">
                  <c:v>3.6342857142857149E-2</c:v>
                </c:pt>
                <c:pt idx="1502">
                  <c:v>3.9209920109788332E-3</c:v>
                </c:pt>
                <c:pt idx="1503">
                  <c:v>-2.682712493287118E-2</c:v>
                </c:pt>
                <c:pt idx="1504">
                  <c:v>-2.3779065392429875E-2</c:v>
                </c:pt>
                <c:pt idx="1505">
                  <c:v>8.2992882653717161E-3</c:v>
                </c:pt>
                <c:pt idx="1506">
                  <c:v>-2.318943988583724E-3</c:v>
                </c:pt>
                <c:pt idx="1507">
                  <c:v>-1.8339250593854581E-2</c:v>
                </c:pt>
                <c:pt idx="1508">
                  <c:v>-8.7424869252984601E-3</c:v>
                </c:pt>
                <c:pt idx="1509">
                  <c:v>-1.1943197627109775E-2</c:v>
                </c:pt>
                <c:pt idx="1510">
                  <c:v>1.6975718612188474E-2</c:v>
                </c:pt>
                <c:pt idx="1511">
                  <c:v>1.645725033306328E-3</c:v>
                </c:pt>
                <c:pt idx="1512">
                  <c:v>1.4708950552889595E-2</c:v>
                </c:pt>
                <c:pt idx="1513">
                  <c:v>-5.1403310373185113E-4</c:v>
                </c:pt>
                <c:pt idx="1514">
                  <c:v>-2.1600493725570228E-3</c:v>
                </c:pt>
                <c:pt idx="1515">
                  <c:v>6.7003401711162912E-3</c:v>
                </c:pt>
                <c:pt idx="1516">
                  <c:v>-3.0718820397297909E-4</c:v>
                </c:pt>
                <c:pt idx="1517">
                  <c:v>4.1227081839598839E-3</c:v>
                </c:pt>
                <c:pt idx="1518">
                  <c:v>1.1807308800652833E-2</c:v>
                </c:pt>
                <c:pt idx="1519">
                  <c:v>1.8651073696945486E-3</c:v>
                </c:pt>
                <c:pt idx="1520">
                  <c:v>-2.1635220125786505E-3</c:v>
                </c:pt>
                <c:pt idx="1521">
                  <c:v>2.1303953206938255E-2</c:v>
                </c:pt>
                <c:pt idx="1522">
                  <c:v>-5.38152015601459E-3</c:v>
                </c:pt>
                <c:pt idx="1523">
                  <c:v>-2.3578466655085387E-3</c:v>
                </c:pt>
                <c:pt idx="1524">
                  <c:v>-7.9609911433971834E-4</c:v>
                </c:pt>
                <c:pt idx="1525">
                  <c:v>-1.0432227865750418E-2</c:v>
                </c:pt>
                <c:pt idx="1526">
                  <c:v>-3.0695684991822129E-3</c:v>
                </c:pt>
                <c:pt idx="1527">
                  <c:v>6.8899376624686707E-3</c:v>
                </c:pt>
                <c:pt idx="1528">
                  <c:v>-4.9879687186684188E-3</c:v>
                </c:pt>
                <c:pt idx="1529">
                  <c:v>2.8717535330125355E-3</c:v>
                </c:pt>
                <c:pt idx="1530">
                  <c:v>-5.2498053301852044E-3</c:v>
                </c:pt>
                <c:pt idx="1531">
                  <c:v>-4.4947224887631251E-3</c:v>
                </c:pt>
                <c:pt idx="1532">
                  <c:v>-3.6272321428571599E-3</c:v>
                </c:pt>
                <c:pt idx="1533">
                  <c:v>-1.1481377765331816E-2</c:v>
                </c:pt>
                <c:pt idx="1534">
                  <c:v>1.3185681174349741E-2</c:v>
                </c:pt>
                <c:pt idx="1535">
                  <c:v>1.0345178181078728E-2</c:v>
                </c:pt>
                <c:pt idx="1536">
                  <c:v>-7.3460967571511628E-3</c:v>
                </c:pt>
                <c:pt idx="1537">
                  <c:v>1.429404161492254E-2</c:v>
                </c:pt>
                <c:pt idx="1538">
                  <c:v>-2.0988980785087204E-3</c:v>
                </c:pt>
                <c:pt idx="1539">
                  <c:v>-4.2542003655757839E-2</c:v>
                </c:pt>
                <c:pt idx="1540">
                  <c:v>-1.093153407605002E-2</c:v>
                </c:pt>
                <c:pt idx="1541">
                  <c:v>-1.4304600740348937E-2</c:v>
                </c:pt>
                <c:pt idx="1542">
                  <c:v>2.5215268649910073E-3</c:v>
                </c:pt>
                <c:pt idx="1543">
                  <c:v>9.6326224814694244E-4</c:v>
                </c:pt>
                <c:pt idx="1544">
                  <c:v>-1.1574754738164571E-2</c:v>
                </c:pt>
                <c:pt idx="1545">
                  <c:v>-5.1384681955862653E-3</c:v>
                </c:pt>
                <c:pt idx="1546">
                  <c:v>6.8504322296525358E-3</c:v>
                </c:pt>
                <c:pt idx="1547">
                  <c:v>-1.4849613910038339E-2</c:v>
                </c:pt>
                <c:pt idx="1548">
                  <c:v>-5.7279105459328407E-3</c:v>
                </c:pt>
                <c:pt idx="1549">
                  <c:v>-4.6583422916838873E-3</c:v>
                </c:pt>
                <c:pt idx="1550">
                  <c:v>3.9324286901134282E-3</c:v>
                </c:pt>
                <c:pt idx="1551">
                  <c:v>-1.8481738938541291E-2</c:v>
                </c:pt>
                <c:pt idx="1552">
                  <c:v>-1.1269743128548117E-2</c:v>
                </c:pt>
                <c:pt idx="1553">
                  <c:v>2.6434723288138676E-3</c:v>
                </c:pt>
                <c:pt idx="1554">
                  <c:v>1.8710665079094181E-3</c:v>
                </c:pt>
                <c:pt idx="1555">
                  <c:v>-3.791737408036149E-3</c:v>
                </c:pt>
                <c:pt idx="1556">
                  <c:v>-2.1132761461114577E-2</c:v>
                </c:pt>
                <c:pt idx="1557">
                  <c:v>-3.5981660959898123E-3</c:v>
                </c:pt>
                <c:pt idx="1558">
                  <c:v>4.8954511037334739E-2</c:v>
                </c:pt>
                <c:pt idx="1559">
                  <c:v>-4.469863127793702E-3</c:v>
                </c:pt>
                <c:pt idx="1560">
                  <c:v>-1.1545540744045922E-2</c:v>
                </c:pt>
                <c:pt idx="1561">
                  <c:v>1.2555016363841522E-2</c:v>
                </c:pt>
                <c:pt idx="1562">
                  <c:v>-1.5325029953467955E-3</c:v>
                </c:pt>
                <c:pt idx="1563">
                  <c:v>-4.7440977842272388E-3</c:v>
                </c:pt>
                <c:pt idx="1564">
                  <c:v>-1.6711529834006224E-2</c:v>
                </c:pt>
                <c:pt idx="1565">
                  <c:v>3.3648910687806739E-3</c:v>
                </c:pt>
                <c:pt idx="1566">
                  <c:v>1.2931279486159299E-2</c:v>
                </c:pt>
                <c:pt idx="1567">
                  <c:v>6.1726663112698975E-4</c:v>
                </c:pt>
                <c:pt idx="1568">
                  <c:v>-1.5141743543729369E-3</c:v>
                </c:pt>
                <c:pt idx="1569">
                  <c:v>-6.9617231598753021E-2</c:v>
                </c:pt>
                <c:pt idx="1570">
                  <c:v>1.9197102324177522E-2</c:v>
                </c:pt>
                <c:pt idx="1571">
                  <c:v>0.1000118462358585</c:v>
                </c:pt>
                <c:pt idx="1572">
                  <c:v>-7.1076649705193069E-3</c:v>
                </c:pt>
                <c:pt idx="1573">
                  <c:v>9.6803058651264758E-3</c:v>
                </c:pt>
                <c:pt idx="1574">
                  <c:v>3.22268772155975E-3</c:v>
                </c:pt>
                <c:pt idx="1575">
                  <c:v>-1.3920119927187034E-2</c:v>
                </c:pt>
                <c:pt idx="1576">
                  <c:v>-6.0267129981540534E-3</c:v>
                </c:pt>
                <c:pt idx="1577">
                  <c:v>-1.0214671983394355E-2</c:v>
                </c:pt>
                <c:pt idx="1578">
                  <c:v>3.0353200883005975E-4</c:v>
                </c:pt>
                <c:pt idx="1579">
                  <c:v>-1.5447849714490698E-3</c:v>
                </c:pt>
                <c:pt idx="1580">
                  <c:v>-5.2769719574525991E-3</c:v>
                </c:pt>
                <c:pt idx="1581">
                  <c:v>-7.2214198422398141E-3</c:v>
                </c:pt>
                <c:pt idx="1582">
                  <c:v>-1.2029991047448714E-3</c:v>
                </c:pt>
                <c:pt idx="1583">
                  <c:v>6.5824486709056404E-3</c:v>
                </c:pt>
                <c:pt idx="1584">
                  <c:v>2.2345280498664216E-2</c:v>
                </c:pt>
                <c:pt idx="1585">
                  <c:v>-5.4438063093715126E-3</c:v>
                </c:pt>
                <c:pt idx="1586">
                  <c:v>1.7926051616081479E-2</c:v>
                </c:pt>
                <c:pt idx="1587">
                  <c:v>7.6625262139055298E-3</c:v>
                </c:pt>
                <c:pt idx="1588">
                  <c:v>-4.9627791563275798E-3</c:v>
                </c:pt>
                <c:pt idx="1589">
                  <c:v>1.6356957069691272E-2</c:v>
                </c:pt>
                <c:pt idx="1590">
                  <c:v>1.883755903226669E-2</c:v>
                </c:pt>
                <c:pt idx="1591">
                  <c:v>-7.4060646865370524E-3</c:v>
                </c:pt>
                <c:pt idx="1592">
                  <c:v>-1.2313793013487848E-2</c:v>
                </c:pt>
                <c:pt idx="1593">
                  <c:v>-2.5621384611320174E-3</c:v>
                </c:pt>
                <c:pt idx="1594">
                  <c:v>-2.7011281182140294E-3</c:v>
                </c:pt>
                <c:pt idx="1595">
                  <c:v>-5.4434413170472949E-3</c:v>
                </c:pt>
                <c:pt idx="1596">
                  <c:v>2.4028834601521219E-3</c:v>
                </c:pt>
                <c:pt idx="1597">
                  <c:v>-3.7288587028898052E-3</c:v>
                </c:pt>
                <c:pt idx="1598">
                  <c:v>-5.9885042106670476E-3</c:v>
                </c:pt>
                <c:pt idx="1599">
                  <c:v>1.6164169871708645E-2</c:v>
                </c:pt>
                <c:pt idx="1600">
                  <c:v>8.2049653274046447E-4</c:v>
                </c:pt>
                <c:pt idx="1601">
                  <c:v>-7.9337793880339345E-5</c:v>
                </c:pt>
                <c:pt idx="1602">
                  <c:v>2.2322137000793434E-2</c:v>
                </c:pt>
                <c:pt idx="1603">
                  <c:v>1.5186009209913604E-2</c:v>
                </c:pt>
                <c:pt idx="1604">
                  <c:v>5.0431946178741527E-2</c:v>
                </c:pt>
                <c:pt idx="1605">
                  <c:v>3.8816108685104872E-3</c:v>
                </c:pt>
                <c:pt idx="1606">
                  <c:v>-1.4499758337361594E-4</c:v>
                </c:pt>
                <c:pt idx="1607">
                  <c:v>-2.1462754386812964E-2</c:v>
                </c:pt>
                <c:pt idx="1608">
                  <c:v>8.6449636911524966E-3</c:v>
                </c:pt>
                <c:pt idx="1609">
                  <c:v>-5.2404740914878695E-3</c:v>
                </c:pt>
                <c:pt idx="1610">
                  <c:v>-1.0363842252966462E-2</c:v>
                </c:pt>
                <c:pt idx="1611">
                  <c:v>6.8157508519688789E-3</c:v>
                </c:pt>
                <c:pt idx="1612">
                  <c:v>2.4706609017912293E-3</c:v>
                </c:pt>
                <c:pt idx="1613">
                  <c:v>1.6709796672828028E-2</c:v>
                </c:pt>
                <c:pt idx="1614">
                  <c:v>7.2964390468573141E-3</c:v>
                </c:pt>
                <c:pt idx="1615">
                  <c:v>5.4387062617317142E-2</c:v>
                </c:pt>
                <c:pt idx="1616">
                  <c:v>2.9214406354133408E-2</c:v>
                </c:pt>
                <c:pt idx="1617">
                  <c:v>4.1291524371313268E-2</c:v>
                </c:pt>
                <c:pt idx="1618">
                  <c:v>-1.4758497316636867E-2</c:v>
                </c:pt>
                <c:pt idx="1619">
                  <c:v>1.4633724574714095E-2</c:v>
                </c:pt>
                <c:pt idx="1620">
                  <c:v>-1.6190881976991711E-3</c:v>
                </c:pt>
                <c:pt idx="1621">
                  <c:v>-1.1565380675998547E-2</c:v>
                </c:pt>
                <c:pt idx="1622">
                  <c:v>-6.2605241569884816E-4</c:v>
                </c:pt>
                <c:pt idx="1623">
                  <c:v>2.2033568790097461E-3</c:v>
                </c:pt>
                <c:pt idx="1624">
                  <c:v>7.5008082767540002E-3</c:v>
                </c:pt>
                <c:pt idx="1625">
                  <c:v>-7.038487046188778E-3</c:v>
                </c:pt>
                <c:pt idx="1626">
                  <c:v>-1.4090576119274278E-2</c:v>
                </c:pt>
                <c:pt idx="1627">
                  <c:v>1.901223776223786E-3</c:v>
                </c:pt>
                <c:pt idx="1628">
                  <c:v>5.1693676794554661E-3</c:v>
                </c:pt>
                <c:pt idx="1629">
                  <c:v>2.0788126030726588E-2</c:v>
                </c:pt>
                <c:pt idx="1630">
                  <c:v>-1.0394966200416741E-2</c:v>
                </c:pt>
                <c:pt idx="1631">
                  <c:v>-3.4691641784632521E-2</c:v>
                </c:pt>
                <c:pt idx="1632">
                  <c:v>8.5673594730518113E-3</c:v>
                </c:pt>
                <c:pt idx="1633">
                  <c:v>-2.1622575734175104E-3</c:v>
                </c:pt>
                <c:pt idx="1634">
                  <c:v>-1.1055831951354339E-2</c:v>
                </c:pt>
                <c:pt idx="1635">
                  <c:v>-1.0665176076020083E-2</c:v>
                </c:pt>
                <c:pt idx="1636">
                  <c:v>-3.3899837280788761E-4</c:v>
                </c:pt>
                <c:pt idx="1637">
                  <c:v>4.498903533560937E-3</c:v>
                </c:pt>
                <c:pt idx="1638">
                  <c:v>-6.2567518905292871E-3</c:v>
                </c:pt>
                <c:pt idx="1639">
                  <c:v>-1.1052226298863059E-2</c:v>
                </c:pt>
                <c:pt idx="1640">
                  <c:v>-6.2291027343929538E-3</c:v>
                </c:pt>
                <c:pt idx="1641">
                  <c:v>7.3282020555837371E-3</c:v>
                </c:pt>
                <c:pt idx="1642">
                  <c:v>-1.0752196193265632E-3</c:v>
                </c:pt>
                <c:pt idx="1643">
                  <c:v>1.1863048207946885E-2</c:v>
                </c:pt>
                <c:pt idx="1644">
                  <c:v>-3.1007401036597889E-3</c:v>
                </c:pt>
                <c:pt idx="1645">
                  <c:v>-9.1268219588611504E-3</c:v>
                </c:pt>
                <c:pt idx="1646">
                  <c:v>-2.9786454037209116E-4</c:v>
                </c:pt>
                <c:pt idx="1647">
                  <c:v>-6.3257775434896997E-3</c:v>
                </c:pt>
                <c:pt idx="1648">
                  <c:v>1.3170337907969044E-2</c:v>
                </c:pt>
                <c:pt idx="1649">
                  <c:v>1.4547193006419858E-2</c:v>
                </c:pt>
                <c:pt idx="1650">
                  <c:v>1.1309323460114486E-2</c:v>
                </c:pt>
                <c:pt idx="1651">
                  <c:v>-8.0099403137411825E-3</c:v>
                </c:pt>
                <c:pt idx="1652">
                  <c:v>6.5983716560794239E-3</c:v>
                </c:pt>
                <c:pt idx="1653">
                  <c:v>1.5687843032686714E-2</c:v>
                </c:pt>
                <c:pt idx="1654">
                  <c:v>-2.6690586099017053E-3</c:v>
                </c:pt>
                <c:pt idx="1655">
                  <c:v>-6.4053348542347944E-3</c:v>
                </c:pt>
                <c:pt idx="1656">
                  <c:v>-1.3158185230157809E-2</c:v>
                </c:pt>
                <c:pt idx="1657">
                  <c:v>2.0626859661289895E-2</c:v>
                </c:pt>
                <c:pt idx="1658">
                  <c:v>-7.9349422415115941E-3</c:v>
                </c:pt>
                <c:pt idx="1659">
                  <c:v>-2.8723568792946258E-4</c:v>
                </c:pt>
                <c:pt idx="1660">
                  <c:v>1.5249966847898106E-3</c:v>
                </c:pt>
                <c:pt idx="1661">
                  <c:v>-3.3101621979476996E-3</c:v>
                </c:pt>
                <c:pt idx="1662">
                  <c:v>-6.465183217092791E-3</c:v>
                </c:pt>
                <c:pt idx="1663">
                  <c:v>-2.8302097029394928E-3</c:v>
                </c:pt>
                <c:pt idx="1664">
                  <c:v>-7.9336700487193379E-3</c:v>
                </c:pt>
                <c:pt idx="1665">
                  <c:v>-3.8971863666058841E-3</c:v>
                </c:pt>
                <c:pt idx="1666">
                  <c:v>2.5690895110588478E-2</c:v>
                </c:pt>
                <c:pt idx="1667">
                  <c:v>3.1044670811835744E-2</c:v>
                </c:pt>
                <c:pt idx="1668">
                  <c:v>-1.0221975107993733E-2</c:v>
                </c:pt>
                <c:pt idx="1669">
                  <c:v>3.8026099732089876E-3</c:v>
                </c:pt>
                <c:pt idx="1670">
                  <c:v>-2.4321997417132918E-3</c:v>
                </c:pt>
                <c:pt idx="1671">
                  <c:v>3.9312145338425288E-2</c:v>
                </c:pt>
                <c:pt idx="1672">
                  <c:v>1.0234798314268528E-2</c:v>
                </c:pt>
                <c:pt idx="1673">
                  <c:v>-8.425465455591679E-3</c:v>
                </c:pt>
                <c:pt idx="1674">
                  <c:v>-1.4797314100969881E-2</c:v>
                </c:pt>
                <c:pt idx="1675">
                  <c:v>-4.6278766460509582E-4</c:v>
                </c:pt>
                <c:pt idx="1676">
                  <c:v>1.2374779021803171E-2</c:v>
                </c:pt>
                <c:pt idx="1677">
                  <c:v>-1.4551804423748545E-2</c:v>
                </c:pt>
                <c:pt idx="1678">
                  <c:v>6.7504851911230875E-3</c:v>
                </c:pt>
                <c:pt idx="1679">
                  <c:v>1.0895985248512255E-2</c:v>
                </c:pt>
                <c:pt idx="1680">
                  <c:v>-8.8715695215984842E-3</c:v>
                </c:pt>
                <c:pt idx="1681">
                  <c:v>-1.9449556633762898E-3</c:v>
                </c:pt>
                <c:pt idx="1682">
                  <c:v>7.1034930746180797E-3</c:v>
                </c:pt>
                <c:pt idx="1683">
                  <c:v>1.3232907494486317E-2</c:v>
                </c:pt>
                <c:pt idx="1684">
                  <c:v>-2.1048092324120086E-2</c:v>
                </c:pt>
                <c:pt idx="1685">
                  <c:v>2.6639817087239772E-3</c:v>
                </c:pt>
                <c:pt idx="1686">
                  <c:v>-1.5062761506276722E-3</c:v>
                </c:pt>
                <c:pt idx="1687">
                  <c:v>-1.7809252430438442E-3</c:v>
                </c:pt>
                <c:pt idx="1688">
                  <c:v>-1.6791553848414485E-3</c:v>
                </c:pt>
                <c:pt idx="1689">
                  <c:v>-3.595231587578537E-3</c:v>
                </c:pt>
                <c:pt idx="1690">
                  <c:v>5.8870695476028944E-3</c:v>
                </c:pt>
                <c:pt idx="1691">
                  <c:v>2.5487193471922204E-2</c:v>
                </c:pt>
                <c:pt idx="1692">
                  <c:v>1.2948492410915157E-2</c:v>
                </c:pt>
                <c:pt idx="1693">
                  <c:v>1.7669985258183727E-2</c:v>
                </c:pt>
                <c:pt idx="1694">
                  <c:v>-1.9109417787831876E-2</c:v>
                </c:pt>
                <c:pt idx="1695">
                  <c:v>-2.1444033096639807E-3</c:v>
                </c:pt>
                <c:pt idx="1696">
                  <c:v>-7.724277749619873E-3</c:v>
                </c:pt>
                <c:pt idx="1697">
                  <c:v>2.2822000653808468E-2</c:v>
                </c:pt>
                <c:pt idx="1698">
                  <c:v>-1.1485987095743192E-2</c:v>
                </c:pt>
                <c:pt idx="1699">
                  <c:v>3.6010184698702534E-2</c:v>
                </c:pt>
                <c:pt idx="1700">
                  <c:v>3.832800187251325E-2</c:v>
                </c:pt>
                <c:pt idx="1701">
                  <c:v>-1.0519790355607594E-3</c:v>
                </c:pt>
                <c:pt idx="1702">
                  <c:v>8.8948229497715515E-3</c:v>
                </c:pt>
                <c:pt idx="1703">
                  <c:v>-1.1183597390483771E-4</c:v>
                </c:pt>
                <c:pt idx="1704">
                  <c:v>5.6334352397285646E-2</c:v>
                </c:pt>
                <c:pt idx="1705">
                  <c:v>-1.6059012458969546E-3</c:v>
                </c:pt>
                <c:pt idx="1706">
                  <c:v>-1.4812196199734857E-2</c:v>
                </c:pt>
                <c:pt idx="1707">
                  <c:v>1.4694009365412456E-2</c:v>
                </c:pt>
                <c:pt idx="1708">
                  <c:v>9.8486455902115615E-3</c:v>
                </c:pt>
                <c:pt idx="1709">
                  <c:v>3.2041741810095697E-2</c:v>
                </c:pt>
                <c:pt idx="1710">
                  <c:v>6.2433198174508663E-3</c:v>
                </c:pt>
                <c:pt idx="1711">
                  <c:v>-1.1684173256225765E-2</c:v>
                </c:pt>
                <c:pt idx="1712">
                  <c:v>-8.7003991947864304E-4</c:v>
                </c:pt>
                <c:pt idx="1713">
                  <c:v>-9.5446241057249286E-3</c:v>
                </c:pt>
                <c:pt idx="1714">
                  <c:v>-2.378982209350446E-2</c:v>
                </c:pt>
                <c:pt idx="1715">
                  <c:v>-8.5823267641449708E-3</c:v>
                </c:pt>
                <c:pt idx="1716">
                  <c:v>1.0740621994229075E-2</c:v>
                </c:pt>
                <c:pt idx="1717">
                  <c:v>2.2045995241871511E-2</c:v>
                </c:pt>
                <c:pt idx="1718">
                  <c:v>1.1518035726601747E-2</c:v>
                </c:pt>
                <c:pt idx="1719">
                  <c:v>-1.1045956634392503E-2</c:v>
                </c:pt>
                <c:pt idx="1720">
                  <c:v>-1.3789299503585218E-2</c:v>
                </c:pt>
                <c:pt idx="1721">
                  <c:v>2.2336409395973308E-2</c:v>
                </c:pt>
                <c:pt idx="1722">
                  <c:v>-1.9660136082334783E-3</c:v>
                </c:pt>
                <c:pt idx="1723">
                  <c:v>-1.0603127837064597E-2</c:v>
                </c:pt>
                <c:pt idx="1724">
                  <c:v>-4.1204986149584403E-3</c:v>
                </c:pt>
                <c:pt idx="1725">
                  <c:v>2.393866694482108E-2</c:v>
                </c:pt>
                <c:pt idx="1726">
                  <c:v>-6.7743085621148223E-3</c:v>
                </c:pt>
                <c:pt idx="1727">
                  <c:v>-3.3846153846154156E-3</c:v>
                </c:pt>
                <c:pt idx="1728">
                  <c:v>-4.8711879523859079E-3</c:v>
                </c:pt>
                <c:pt idx="1729">
                  <c:v>4.8777965458996191E-3</c:v>
                </c:pt>
                <c:pt idx="1730">
                  <c:v>3.8421296375705546E-3</c:v>
                </c:pt>
                <c:pt idx="1731">
                  <c:v>2.7714651858180311E-2</c:v>
                </c:pt>
                <c:pt idx="1732">
                  <c:v>-8.4293480971620368E-3</c:v>
                </c:pt>
                <c:pt idx="1733">
                  <c:v>-9.5405767940978225E-3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87-48D2-9BEE-C3ECFF6C4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5835616"/>
        <c:axId val="1595832256"/>
      </c:scatterChart>
      <c:valAx>
        <c:axId val="159583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KSE 100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32256"/>
        <c:crosses val="autoZero"/>
        <c:crossBetween val="midCat"/>
      </c:valAx>
      <c:valAx>
        <c:axId val="15958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Fauji Fertillizers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3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SML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Portfolio!$K$3:$K$5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Portfolio!$L$3:$L$5</c:f>
              <c:numCache>
                <c:formatCode>0.00%</c:formatCode>
                <c:ptCount val="3"/>
                <c:pt idx="0">
                  <c:v>0.11750099999999999</c:v>
                </c:pt>
                <c:pt idx="1">
                  <c:v>0.238644</c:v>
                </c:pt>
                <c:pt idx="2">
                  <c:v>0.35978699999999997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A-42CC-83E6-CD69156BC0FE}"/>
            </c:ext>
          </c:extLst>
        </c:ser>
        <c:ser>
          <c:idx val="1"/>
          <c:order val="1"/>
          <c:tx>
            <c:v>Bank Al habib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Portfolio!$C$3</c:f>
              <c:numCache>
                <c:formatCode>General</c:formatCode>
                <c:ptCount val="1"/>
                <c:pt idx="0">
                  <c:v>0.81299999999999994</c:v>
                </c:pt>
              </c:numCache>
            </c:numRef>
          </c:xVal>
          <c:yVal>
            <c:numRef>
              <c:f>Portfolio!$H$3</c:f>
              <c:numCache>
                <c:formatCode>0.00%</c:formatCode>
                <c:ptCount val="1"/>
                <c:pt idx="0">
                  <c:v>0.19731599999999999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A-42CC-83E6-CD69156BC0FE}"/>
            </c:ext>
          </c:extLst>
        </c:ser>
        <c:ser>
          <c:idx val="2"/>
          <c:order val="2"/>
          <c:tx>
            <c:v>Cynergico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Portfolio!$C$4</c:f>
              <c:numCache>
                <c:formatCode>General</c:formatCode>
                <c:ptCount val="1"/>
                <c:pt idx="0">
                  <c:v>1.756</c:v>
                </c:pt>
              </c:numCache>
            </c:numRef>
          </c:xVal>
          <c:yVal>
            <c:numRef>
              <c:f>Portfolio!$H$4</c:f>
              <c:numCache>
                <c:formatCode>0.00%</c:formatCode>
                <c:ptCount val="1"/>
                <c:pt idx="0">
                  <c:v>0.108612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DA-42CC-83E6-CD69156BC0FE}"/>
            </c:ext>
          </c:extLst>
        </c:ser>
        <c:ser>
          <c:idx val="3"/>
          <c:order val="3"/>
          <c:tx>
            <c:v>Lucky Cement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Portfolio!$C$5</c:f>
              <c:numCache>
                <c:formatCode>General</c:formatCode>
                <c:ptCount val="1"/>
                <c:pt idx="0">
                  <c:v>1.1950000000000001</c:v>
                </c:pt>
              </c:numCache>
            </c:numRef>
          </c:xVal>
          <c:yVal>
            <c:numRef>
              <c:f>Portfolio!$H$5</c:f>
              <c:numCache>
                <c:formatCode>0.00%</c:formatCode>
                <c:ptCount val="1"/>
                <c:pt idx="0">
                  <c:v>0.173124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DA-42CC-83E6-CD69156BC0FE}"/>
            </c:ext>
          </c:extLst>
        </c:ser>
        <c:ser>
          <c:idx val="4"/>
          <c:order val="4"/>
          <c:tx>
            <c:v>Fauji Fertilizers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Portfolio!$C$6</c:f>
              <c:numCache>
                <c:formatCode>General</c:formatCode>
                <c:ptCount val="1"/>
                <c:pt idx="0">
                  <c:v>0.70699999999999996</c:v>
                </c:pt>
              </c:numCache>
            </c:numRef>
          </c:xVal>
          <c:yVal>
            <c:numRef>
              <c:f>Portfolio!$H$6</c:f>
              <c:numCache>
                <c:formatCode>0.00%</c:formatCode>
                <c:ptCount val="1"/>
                <c:pt idx="0">
                  <c:v>0.29836799999999997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CDA-42CC-83E6-CD69156B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772288"/>
        <c:axId val="772771456"/>
      </c:scatterChart>
      <c:valAx>
        <c:axId val="77277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71456"/>
        <c:crosses val="autoZero"/>
        <c:crossBetween val="midCat"/>
      </c:valAx>
      <c:valAx>
        <c:axId val="7727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72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2</xdr:row>
      <xdr:rowOff>7620</xdr:rowOff>
    </xdr:from>
    <xdr:to>
      <xdr:col>8</xdr:col>
      <xdr:colOff>106680</xdr:colOff>
      <xdr:row>16</xdr:row>
      <xdr:rowOff>175260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ED5C760E-C4BB-4282-A34D-C10C79950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571500"/>
          <a:ext cx="2926080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236220</xdr:colOff>
      <xdr:row>9</xdr:row>
      <xdr:rowOff>179070</xdr:rowOff>
    </xdr:from>
    <xdr:to>
      <xdr:col>16</xdr:col>
      <xdr:colOff>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2D979-7096-41A2-A163-DA7DDD118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0</xdr:row>
      <xdr:rowOff>83820</xdr:rowOff>
    </xdr:from>
    <xdr:to>
      <xdr:col>18</xdr:col>
      <xdr:colOff>601980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210D3-2989-4A54-8737-831EEADDA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654451</xdr:colOff>
      <xdr:row>10</xdr:row>
      <xdr:rowOff>17573</xdr:rowOff>
    </xdr:from>
    <xdr:to>
      <xdr:col>25</xdr:col>
      <xdr:colOff>533960</xdr:colOff>
      <xdr:row>25</xdr:row>
      <xdr:rowOff>49719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9D90F7-15C7-4E6D-82A4-D3723F8B2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4</xdr:row>
      <xdr:rowOff>76200</xdr:rowOff>
    </xdr:from>
    <xdr:to>
      <xdr:col>18</xdr:col>
      <xdr:colOff>30480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063299-8EC4-405E-9981-06DC21D8C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632549</xdr:colOff>
      <xdr:row>10</xdr:row>
      <xdr:rowOff>186265</xdr:rowOff>
    </xdr:from>
    <xdr:to>
      <xdr:col>11</xdr:col>
      <xdr:colOff>694266</xdr:colOff>
      <xdr:row>29</xdr:row>
      <xdr:rowOff>163984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B317A-8D3F-40CE-9708-3FD3FC0C0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eezay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ucky%20Cement%20Stock%20Price%20History%20(3)%20(version%202)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auji%20Fertilizer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ergyico"/>
    </sheetNames>
    <sheetDataSet>
      <sheetData sheetId="0">
        <row r="4">
          <cell r="C4">
            <v>6.7643742953777345E-3</v>
          </cell>
          <cell r="G4">
            <v>-5.277167768193136E-3</v>
          </cell>
        </row>
        <row r="5">
          <cell r="C5">
            <v>4.4792833146697561E-3</v>
          </cell>
          <cell r="G5">
            <v>-6.700312870003452E-3</v>
          </cell>
        </row>
        <row r="6">
          <cell r="C6">
            <v>-1.0033444816053495E-2</v>
          </cell>
          <cell r="G6">
            <v>1.4596980822273301E-4</v>
          </cell>
        </row>
        <row r="7">
          <cell r="C7">
            <v>2.3648648648648542E-2</v>
          </cell>
          <cell r="G7">
            <v>2.7030035829292545E-2</v>
          </cell>
        </row>
        <row r="8">
          <cell r="C8">
            <v>4.7304730473047271E-2</v>
          </cell>
          <cell r="G8">
            <v>1.2709271207186236E-2</v>
          </cell>
        </row>
        <row r="9">
          <cell r="C9">
            <v>9.4537815126050275E-3</v>
          </cell>
          <cell r="G9">
            <v>-3.3495934959348996E-3</v>
          </cell>
        </row>
        <row r="10">
          <cell r="C10">
            <v>-2.3933402705514948E-2</v>
          </cell>
          <cell r="G10">
            <v>4.3315179787927118E-3</v>
          </cell>
        </row>
        <row r="11">
          <cell r="C11">
            <v>2.1321961620468627E-3</v>
          </cell>
          <cell r="G11">
            <v>-1.0539704499429804E-3</v>
          </cell>
        </row>
        <row r="12">
          <cell r="C12">
            <v>5.319148936170099E-3</v>
          </cell>
          <cell r="G12">
            <v>9.3080297922512167E-3</v>
          </cell>
        </row>
        <row r="13">
          <cell r="C13">
            <v>-8.4656084656084731E-3</v>
          </cell>
          <cell r="G13">
            <v>5.1156294124586037E-3</v>
          </cell>
        </row>
        <row r="14">
          <cell r="C14">
            <v>-9.6051227321237841E-3</v>
          </cell>
          <cell r="G14">
            <v>-8.6390804098633381E-3</v>
          </cell>
        </row>
        <row r="15">
          <cell r="C15">
            <v>3.2327586206897779E-3</v>
          </cell>
          <cell r="G15">
            <v>-7.1425042918691847E-4</v>
          </cell>
        </row>
        <row r="16">
          <cell r="C16">
            <v>-8.592910848549953E-3</v>
          </cell>
          <cell r="G16">
            <v>1.5954075908377224E-3</v>
          </cell>
        </row>
        <row r="17">
          <cell r="C17">
            <v>-1.4084507042253605E-2</v>
          </cell>
          <cell r="G17">
            <v>6.0364061923599607E-3</v>
          </cell>
        </row>
        <row r="18">
          <cell r="C18">
            <v>-9.8901098901098741E-3</v>
          </cell>
          <cell r="G18">
            <v>9.0643861220111883E-3</v>
          </cell>
        </row>
        <row r="19">
          <cell r="C19">
            <v>7.7691453940066909E-3</v>
          </cell>
          <cell r="G19">
            <v>3.9005358349825593E-3</v>
          </cell>
        </row>
        <row r="20">
          <cell r="C20">
            <v>1.4317180616740173E-2</v>
          </cell>
          <cell r="G20">
            <v>5.7743987757706656E-3</v>
          </cell>
        </row>
        <row r="21">
          <cell r="C21">
            <v>-1.7372421281216084E-2</v>
          </cell>
          <cell r="G21">
            <v>-6.0512554741783283E-4</v>
          </cell>
        </row>
        <row r="22">
          <cell r="C22">
            <v>7.4033149171270698E-2</v>
          </cell>
          <cell r="G22">
            <v>3.8572171510684442E-3</v>
          </cell>
        </row>
        <row r="23">
          <cell r="C23">
            <v>2.0576131687242358E-3</v>
          </cell>
          <cell r="G23">
            <v>5.0544172464732987E-3</v>
          </cell>
        </row>
        <row r="24">
          <cell r="C24">
            <v>-1.437371663244359E-2</v>
          </cell>
          <cell r="G24">
            <v>-4.2511407555896342E-4</v>
          </cell>
        </row>
        <row r="25">
          <cell r="C25">
            <v>9.4791666666666691E-2</v>
          </cell>
          <cell r="G25">
            <v>4.7380853406987292E-3</v>
          </cell>
        </row>
        <row r="26">
          <cell r="C26">
            <v>-2.7592768791626941E-2</v>
          </cell>
          <cell r="G26">
            <v>7.6763157997937811E-3</v>
          </cell>
        </row>
        <row r="27">
          <cell r="C27">
            <v>9.7847358121328637E-4</v>
          </cell>
          <cell r="G27">
            <v>1.2202552446676474E-2</v>
          </cell>
        </row>
        <row r="28">
          <cell r="C28">
            <v>-1.2707722385141815E-2</v>
          </cell>
          <cell r="G28">
            <v>-2.6123175180508265E-3</v>
          </cell>
        </row>
        <row r="29">
          <cell r="C29">
            <v>-3.9603960396038763E-3</v>
          </cell>
          <cell r="G29">
            <v>-4.1664177047575244E-3</v>
          </cell>
        </row>
        <row r="30">
          <cell r="C30">
            <v>0</v>
          </cell>
          <cell r="G30">
            <v>-1.0775958531672861E-2</v>
          </cell>
        </row>
        <row r="31">
          <cell r="C31">
            <v>-2.2862823061630261E-2</v>
          </cell>
          <cell r="G31">
            <v>-1.3716222743709233E-2</v>
          </cell>
        </row>
        <row r="32">
          <cell r="C32">
            <v>-6.1037639877925222E-3</v>
          </cell>
          <cell r="G32">
            <v>6.6891448383979485E-3</v>
          </cell>
        </row>
        <row r="33">
          <cell r="C33">
            <v>-3.0706243602865264E-3</v>
          </cell>
          <cell r="G33">
            <v>-1.2850931169062351E-3</v>
          </cell>
        </row>
        <row r="34">
          <cell r="C34">
            <v>-2.0533880903490323E-3</v>
          </cell>
          <cell r="G34">
            <v>-9.1579270083860223E-4</v>
          </cell>
        </row>
        <row r="35">
          <cell r="C35">
            <v>5.1440329218105894E-3</v>
          </cell>
          <cell r="G35">
            <v>-5.0139506820811989E-4</v>
          </cell>
        </row>
        <row r="36">
          <cell r="C36">
            <v>-4.094165813715368E-3</v>
          </cell>
          <cell r="G36">
            <v>-6.5997030627610795E-3</v>
          </cell>
        </row>
        <row r="37">
          <cell r="C37">
            <v>-1.1305241521068984E-2</v>
          </cell>
          <cell r="G37">
            <v>-6.5242033273934606E-3</v>
          </cell>
        </row>
        <row r="38">
          <cell r="C38">
            <v>-2.0790020790020349E-3</v>
          </cell>
          <cell r="G38">
            <v>8.0664072716041917E-3</v>
          </cell>
        </row>
        <row r="39">
          <cell r="C39">
            <v>-1.9791666666666617E-2</v>
          </cell>
          <cell r="G39">
            <v>-5.1805663344370806E-3</v>
          </cell>
        </row>
        <row r="40">
          <cell r="C40">
            <v>-1.2752391073326354E-2</v>
          </cell>
          <cell r="G40">
            <v>-1.3620921615814081E-3</v>
          </cell>
        </row>
        <row r="41">
          <cell r="C41">
            <v>-1.3993541442411089E-2</v>
          </cell>
          <cell r="G41">
            <v>-1.0229375004529338E-2</v>
          </cell>
        </row>
        <row r="42">
          <cell r="C42">
            <v>-4.9126637554585073E-2</v>
          </cell>
          <cell r="G42">
            <v>-1.9822863705945434E-2</v>
          </cell>
        </row>
        <row r="43">
          <cell r="C43">
            <v>-5.5109070034443215E-2</v>
          </cell>
          <cell r="G43">
            <v>-3.3223712426589565E-3</v>
          </cell>
        </row>
        <row r="44">
          <cell r="C44">
            <v>2.5516403402187006E-2</v>
          </cell>
          <cell r="G44">
            <v>9.353446348651288E-3</v>
          </cell>
        </row>
        <row r="45">
          <cell r="C45">
            <v>4.0284360189573445E-2</v>
          </cell>
          <cell r="G45">
            <v>1.2403404464518994E-2</v>
          </cell>
        </row>
        <row r="46">
          <cell r="C46">
            <v>2.0501138952164179E-2</v>
          </cell>
          <cell r="G46">
            <v>5.3296731506427683E-3</v>
          </cell>
        </row>
        <row r="47">
          <cell r="C47">
            <v>0</v>
          </cell>
          <cell r="G47">
            <v>-1.5403874339805978E-3</v>
          </cell>
        </row>
        <row r="48">
          <cell r="C48">
            <v>-1.1160714285714444E-2</v>
          </cell>
          <cell r="G48">
            <v>-3.0338755473562368E-3</v>
          </cell>
        </row>
        <row r="49">
          <cell r="C49">
            <v>-1.241534988713312E-2</v>
          </cell>
          <cell r="G49">
            <v>-6.9247702063025517E-3</v>
          </cell>
        </row>
        <row r="50">
          <cell r="C50">
            <v>-9.1428571428571505E-3</v>
          </cell>
          <cell r="G50">
            <v>-8.7511865649040274E-3</v>
          </cell>
        </row>
        <row r="51">
          <cell r="C51">
            <v>1.1534025374855578E-3</v>
          </cell>
          <cell r="G51">
            <v>-6.7059937771876102E-4</v>
          </cell>
        </row>
        <row r="52">
          <cell r="C52">
            <v>-1.958525345622119E-2</v>
          </cell>
          <cell r="G52">
            <v>-7.095859096072491E-4</v>
          </cell>
        </row>
        <row r="53">
          <cell r="C53">
            <v>0</v>
          </cell>
          <cell r="G53">
            <v>8.3400841566944289E-4</v>
          </cell>
        </row>
        <row r="54">
          <cell r="C54">
            <v>-2.2326674500587486E-2</v>
          </cell>
          <cell r="G54">
            <v>-3.0907605218021585E-3</v>
          </cell>
        </row>
        <row r="55">
          <cell r="C55">
            <v>-2.2836538461538401E-2</v>
          </cell>
          <cell r="G55">
            <v>-1.2926512956789833E-2</v>
          </cell>
        </row>
        <row r="56">
          <cell r="C56">
            <v>1.2300123001229748E-3</v>
          </cell>
          <cell r="G56">
            <v>1.4227183317909675E-2</v>
          </cell>
        </row>
        <row r="57">
          <cell r="C57">
            <v>-2.2113022113022185E-2</v>
          </cell>
          <cell r="G57">
            <v>-6.1664858520613375E-3</v>
          </cell>
        </row>
        <row r="58">
          <cell r="C58">
            <v>-5.0251256281407079E-3</v>
          </cell>
          <cell r="G58">
            <v>-1.6732979612492209E-3</v>
          </cell>
        </row>
        <row r="59">
          <cell r="C59">
            <v>-5.0505050505050553E-3</v>
          </cell>
          <cell r="G59">
            <v>-4.2298177637300561E-3</v>
          </cell>
        </row>
        <row r="60">
          <cell r="C60">
            <v>1.1421319796954297E-2</v>
          </cell>
          <cell r="G60">
            <v>3.8338182052177414E-3</v>
          </cell>
        </row>
        <row r="61">
          <cell r="C61">
            <v>-1.0037641154328742E-2</v>
          </cell>
          <cell r="G61">
            <v>-1.046432472651857E-2</v>
          </cell>
        </row>
        <row r="62">
          <cell r="C62">
            <v>2.5348542458809207E-3</v>
          </cell>
          <cell r="G62">
            <v>5.2577247666189654E-3</v>
          </cell>
        </row>
        <row r="63">
          <cell r="C63">
            <v>4.4247787610619427E-2</v>
          </cell>
          <cell r="G63">
            <v>1.658999304184584E-2</v>
          </cell>
        </row>
        <row r="64">
          <cell r="C64">
            <v>-2.9055690072639251E-2</v>
          </cell>
          <cell r="G64">
            <v>-1.0575128814287611E-2</v>
          </cell>
        </row>
        <row r="65">
          <cell r="C65">
            <v>-8.7281795511221193E-3</v>
          </cell>
          <cell r="G65">
            <v>2.5001977799364102E-3</v>
          </cell>
        </row>
        <row r="66">
          <cell r="C66">
            <v>-6.2893081761006067E-3</v>
          </cell>
          <cell r="G66">
            <v>-7.6195350295761325E-3</v>
          </cell>
        </row>
        <row r="67">
          <cell r="C67">
            <v>-1.2658227848101333E-2</v>
          </cell>
          <cell r="G67">
            <v>-8.3123777045145449E-3</v>
          </cell>
        </row>
        <row r="68">
          <cell r="C68">
            <v>7.6923076923077561E-3</v>
          </cell>
          <cell r="G68">
            <v>-3.4782809877886638E-4</v>
          </cell>
        </row>
        <row r="69">
          <cell r="C69">
            <v>-1.2722646310433427E-3</v>
          </cell>
          <cell r="G69">
            <v>-1.3325951797342707E-2</v>
          </cell>
        </row>
        <row r="70">
          <cell r="C70">
            <v>1.2738853503185574E-3</v>
          </cell>
          <cell r="G70">
            <v>1.5193472884041256E-4</v>
          </cell>
        </row>
        <row r="71">
          <cell r="C71">
            <v>-4.0712468193384262E-2</v>
          </cell>
          <cell r="G71">
            <v>-1.5988034692356105E-2</v>
          </cell>
        </row>
        <row r="72">
          <cell r="C72">
            <v>2.3872679045092802E-2</v>
          </cell>
          <cell r="G72">
            <v>5.6351364271241024E-3</v>
          </cell>
        </row>
        <row r="73">
          <cell r="C73">
            <v>-4.015544041450772E-2</v>
          </cell>
          <cell r="G73">
            <v>-1.483033786453373E-2</v>
          </cell>
        </row>
        <row r="74">
          <cell r="C74">
            <v>1.3495276653171101E-3</v>
          </cell>
          <cell r="G74">
            <v>5.6950211212236784E-3</v>
          </cell>
        </row>
        <row r="75">
          <cell r="C75">
            <v>5.6603773584905655E-2</v>
          </cell>
          <cell r="G75">
            <v>1.4956925750061793E-2</v>
          </cell>
        </row>
        <row r="76">
          <cell r="C76">
            <v>1.7857142857142929E-2</v>
          </cell>
          <cell r="G76">
            <v>4.4515126331523226E-3</v>
          </cell>
        </row>
        <row r="77">
          <cell r="C77">
            <v>-3.7593984962406325E-3</v>
          </cell>
          <cell r="G77">
            <v>-3.2564456987081046E-3</v>
          </cell>
        </row>
        <row r="78">
          <cell r="C78">
            <v>-3.2704402515723242E-2</v>
          </cell>
          <cell r="G78">
            <v>-1.6836467867513531E-2</v>
          </cell>
        </row>
        <row r="79">
          <cell r="C79">
            <v>3.9011703511052484E-3</v>
          </cell>
          <cell r="G79">
            <v>1.6132205176400147E-3</v>
          </cell>
        </row>
        <row r="80">
          <cell r="C80">
            <v>2.3316062176165882E-2</v>
          </cell>
          <cell r="G80">
            <v>1.3055846675500792E-2</v>
          </cell>
        </row>
        <row r="81">
          <cell r="C81">
            <v>-2.9113924050632962E-2</v>
          </cell>
          <cell r="G81">
            <v>-1.0478791026713941E-2</v>
          </cell>
        </row>
        <row r="82">
          <cell r="C82">
            <v>-2.6075619295958301E-2</v>
          </cell>
          <cell r="G82">
            <v>-1.3486103210991243E-2</v>
          </cell>
        </row>
        <row r="83">
          <cell r="C83">
            <v>-5.3547523427041549E-3</v>
          </cell>
          <cell r="G83">
            <v>2.7529919077640902E-3</v>
          </cell>
        </row>
        <row r="84">
          <cell r="C84">
            <v>6.729475100942222E-3</v>
          </cell>
          <cell r="G84">
            <v>7.9930419060793966E-3</v>
          </cell>
        </row>
        <row r="85">
          <cell r="C85">
            <v>3.0748663101604214E-2</v>
          </cell>
          <cell r="G85">
            <v>9.0933723013052921E-3</v>
          </cell>
        </row>
        <row r="86">
          <cell r="C86">
            <v>1.4267185473411196E-2</v>
          </cell>
          <cell r="G86">
            <v>-2.8106175413668065E-3</v>
          </cell>
        </row>
        <row r="87">
          <cell r="C87">
            <v>-1.9181585677749406E-2</v>
          </cell>
          <cell r="G87">
            <v>-6.5313087167568999E-3</v>
          </cell>
        </row>
        <row r="88">
          <cell r="C88">
            <v>-1.8252933507170752E-2</v>
          </cell>
          <cell r="G88">
            <v>-6.437776407633362E-3</v>
          </cell>
        </row>
        <row r="89">
          <cell r="C89">
            <v>2.6560424966798903E-3</v>
          </cell>
          <cell r="G89">
            <v>-1.1619905312601674E-2</v>
          </cell>
        </row>
        <row r="90">
          <cell r="C90">
            <v>-1.5894039735099352E-2</v>
          </cell>
          <cell r="G90">
            <v>-1.4326902979961462E-2</v>
          </cell>
        </row>
        <row r="91">
          <cell r="C91">
            <v>0</v>
          </cell>
          <cell r="G91">
            <v>7.2011508360242404E-4</v>
          </cell>
        </row>
        <row r="92">
          <cell r="C92">
            <v>-4.8452220726783235E-2</v>
          </cell>
          <cell r="G92">
            <v>-1.6727821176243392E-2</v>
          </cell>
        </row>
        <row r="93">
          <cell r="C93">
            <v>4.243281471004153E-3</v>
          </cell>
          <cell r="G93">
            <v>-4.2069323188819712E-3</v>
          </cell>
        </row>
        <row r="94">
          <cell r="C94">
            <v>-1.1267605633802828E-2</v>
          </cell>
          <cell r="G94">
            <v>-4.9046023176116411E-3</v>
          </cell>
        </row>
        <row r="95">
          <cell r="C95">
            <v>-7.8347578347578328E-2</v>
          </cell>
          <cell r="G95">
            <v>-2.3508973967156323E-2</v>
          </cell>
        </row>
        <row r="96">
          <cell r="C96">
            <v>-2.4729520865533254E-2</v>
          </cell>
          <cell r="G96">
            <v>-4.5102739261332391E-4</v>
          </cell>
        </row>
        <row r="97">
          <cell r="C97">
            <v>5.5467511885895493E-2</v>
          </cell>
          <cell r="G97">
            <v>1.1998197437280084E-2</v>
          </cell>
        </row>
        <row r="98">
          <cell r="C98">
            <v>-3.0030030030030724E-3</v>
          </cell>
          <cell r="G98">
            <v>-9.3471734372653058E-3</v>
          </cell>
        </row>
        <row r="99">
          <cell r="C99">
            <v>-5.8734939759036098E-2</v>
          </cell>
          <cell r="G99">
            <v>-2.3681880373682115E-2</v>
          </cell>
        </row>
        <row r="100">
          <cell r="C100">
            <v>1.2800000000000011E-2</v>
          </cell>
          <cell r="G100">
            <v>2.5302548164388848E-3</v>
          </cell>
        </row>
        <row r="101">
          <cell r="C101">
            <v>1.2638230647709331E-2</v>
          </cell>
          <cell r="G101">
            <v>5.7611094436360328E-3</v>
          </cell>
        </row>
        <row r="102">
          <cell r="C102">
            <v>0.1076443057722308</v>
          </cell>
          <cell r="G102">
            <v>3.573459800670415E-2</v>
          </cell>
        </row>
        <row r="103">
          <cell r="C103">
            <v>2.957746478873239E-2</v>
          </cell>
          <cell r="G103">
            <v>2.7259756434855682E-2</v>
          </cell>
        </row>
        <row r="104">
          <cell r="C104">
            <v>-2.4623803009575885E-2</v>
          </cell>
          <cell r="G104">
            <v>3.4419726744411867E-3</v>
          </cell>
        </row>
        <row r="105">
          <cell r="C105">
            <v>-5.6100981767180976E-3</v>
          </cell>
          <cell r="G105">
            <v>-1.8037290698093712E-4</v>
          </cell>
        </row>
        <row r="106">
          <cell r="C106">
            <v>-3.8081805359661436E-2</v>
          </cell>
          <cell r="G106">
            <v>-2.0956445810994023E-2</v>
          </cell>
        </row>
        <row r="107">
          <cell r="C107">
            <v>3.0791788856304979E-2</v>
          </cell>
          <cell r="G107">
            <v>2.8903313601882544E-2</v>
          </cell>
        </row>
        <row r="108">
          <cell r="C108">
            <v>-9.9573257467994707E-3</v>
          </cell>
          <cell r="G108">
            <v>4.271480387759367E-4</v>
          </cell>
        </row>
        <row r="109">
          <cell r="C109">
            <v>-1.29310344827586E-2</v>
          </cell>
          <cell r="G109">
            <v>-1.3050805855989708E-2</v>
          </cell>
        </row>
        <row r="110">
          <cell r="C110">
            <v>-3.4934497816593919E-2</v>
          </cell>
          <cell r="G110">
            <v>-2.6411275615549061E-2</v>
          </cell>
        </row>
        <row r="111">
          <cell r="C111">
            <v>1.8099547511312233E-2</v>
          </cell>
          <cell r="G111">
            <v>2.6701342733284721E-3</v>
          </cell>
        </row>
        <row r="112">
          <cell r="C112">
            <v>1.48148148148145E-3</v>
          </cell>
          <cell r="G112">
            <v>8.0231160838838533E-3</v>
          </cell>
        </row>
        <row r="113">
          <cell r="C113">
            <v>1.6272189349112474E-2</v>
          </cell>
          <cell r="G113">
            <v>1.3313324515791274E-2</v>
          </cell>
        </row>
        <row r="114">
          <cell r="C114">
            <v>-4.366812227074272E-3</v>
          </cell>
          <cell r="G114">
            <v>4.798453919391662E-3</v>
          </cell>
        </row>
        <row r="115">
          <cell r="C115">
            <v>-1.6081871345029156E-2</v>
          </cell>
          <cell r="G115">
            <v>-1.1360598432235657E-2</v>
          </cell>
        </row>
        <row r="116">
          <cell r="C116">
            <v>-2.5260029717682139E-2</v>
          </cell>
          <cell r="G116">
            <v>-1.3850336747152692E-2</v>
          </cell>
        </row>
        <row r="117">
          <cell r="C117">
            <v>3.0487804878049488E-3</v>
          </cell>
          <cell r="G117">
            <v>-7.381410149207866E-4</v>
          </cell>
        </row>
        <row r="118">
          <cell r="C118">
            <v>2.5835866261398166E-2</v>
          </cell>
          <cell r="G118">
            <v>9.8046174817031113E-3</v>
          </cell>
        </row>
        <row r="119">
          <cell r="C119">
            <v>-2.9629629629628999E-3</v>
          </cell>
          <cell r="G119">
            <v>3.6958604591221232E-3</v>
          </cell>
        </row>
        <row r="120">
          <cell r="C120">
            <v>-3.2689450222882707E-2</v>
          </cell>
          <cell r="G120">
            <v>-1.8599155877894191E-2</v>
          </cell>
        </row>
        <row r="121">
          <cell r="C121">
            <v>-1.5360983102918259E-3</v>
          </cell>
          <cell r="G121">
            <v>-8.1611281056045426E-3</v>
          </cell>
        </row>
        <row r="122">
          <cell r="C122">
            <v>6.153846153846159E-3</v>
          </cell>
          <cell r="G122">
            <v>-2.9850292273145367E-3</v>
          </cell>
        </row>
        <row r="123">
          <cell r="C123">
            <v>-1.5290519877675516E-3</v>
          </cell>
          <cell r="G123">
            <v>-9.2154083364037499E-3</v>
          </cell>
        </row>
        <row r="124">
          <cell r="C124">
            <v>-1.8376722817764181E-2</v>
          </cell>
          <cell r="G124">
            <v>3.7649795318469865E-3</v>
          </cell>
        </row>
        <row r="125">
          <cell r="C125">
            <v>1.248049921996881E-2</v>
          </cell>
          <cell r="G125">
            <v>2.7948549890595069E-3</v>
          </cell>
        </row>
        <row r="126">
          <cell r="C126">
            <v>2.0030816640986115E-2</v>
          </cell>
          <cell r="G126">
            <v>9.141574987653044E-3</v>
          </cell>
        </row>
        <row r="127">
          <cell r="C127">
            <v>2.7190332326283945E-2</v>
          </cell>
          <cell r="G127">
            <v>1.7181278166537559E-2</v>
          </cell>
        </row>
        <row r="128">
          <cell r="C128">
            <v>-1.7647058823529429E-2</v>
          </cell>
          <cell r="G128">
            <v>-9.3398917658049363E-3</v>
          </cell>
        </row>
        <row r="129">
          <cell r="C129">
            <v>-8.982035928143655E-3</v>
          </cell>
          <cell r="G129">
            <v>-1.1009348400462757E-2</v>
          </cell>
        </row>
        <row r="130">
          <cell r="C130">
            <v>-1.2084592145015116E-2</v>
          </cell>
          <cell r="G130">
            <v>-1.3083935019634283E-2</v>
          </cell>
        </row>
        <row r="131">
          <cell r="C131">
            <v>-1.0703363914373131E-2</v>
          </cell>
          <cell r="G131">
            <v>3.345910876077462E-3</v>
          </cell>
        </row>
        <row r="132">
          <cell r="C132">
            <v>1.5455950540959314E-3</v>
          </cell>
          <cell r="G132">
            <v>-4.5871315747651747E-4</v>
          </cell>
        </row>
        <row r="133">
          <cell r="C133">
            <v>-6.1728395061728444E-3</v>
          </cell>
          <cell r="G133">
            <v>1.0446202059393689E-3</v>
          </cell>
        </row>
        <row r="134">
          <cell r="C134">
            <v>-5.7453416149068334E-2</v>
          </cell>
          <cell r="G134">
            <v>-5.9898923702746973E-3</v>
          </cell>
        </row>
        <row r="135">
          <cell r="C135">
            <v>-8.4019769357495985E-2</v>
          </cell>
          <cell r="G135">
            <v>-2.1208410782808145E-2</v>
          </cell>
        </row>
        <row r="136">
          <cell r="C136">
            <v>-4.4964028776978422E-2</v>
          </cell>
          <cell r="G136">
            <v>4.14765909094304E-4</v>
          </cell>
        </row>
        <row r="137">
          <cell r="C137">
            <v>2.4482109227872088E-2</v>
          </cell>
          <cell r="G137">
            <v>3.023775916671519E-4</v>
          </cell>
        </row>
        <row r="138">
          <cell r="C138">
            <v>-4.7794117647058945E-2</v>
          </cell>
          <cell r="G138">
            <v>-2.0388399850948872E-2</v>
          </cell>
        </row>
        <row r="139">
          <cell r="C139">
            <v>3.4749034749034867E-2</v>
          </cell>
          <cell r="G139">
            <v>4.6187596604594051E-3</v>
          </cell>
        </row>
        <row r="140">
          <cell r="C140">
            <v>3.1716417910447749E-2</v>
          </cell>
          <cell r="G140">
            <v>3.8750698193430878E-3</v>
          </cell>
        </row>
        <row r="141">
          <cell r="C141">
            <v>1.4466546112115744E-2</v>
          </cell>
          <cell r="G141">
            <v>4.0304377381305484E-3</v>
          </cell>
        </row>
        <row r="142">
          <cell r="C142">
            <v>-7.1301247771836064E-3</v>
          </cell>
          <cell r="G142">
            <v>-9.6124573143072899E-3</v>
          </cell>
        </row>
        <row r="143">
          <cell r="C143">
            <v>-2.6929982046678697E-2</v>
          </cell>
          <cell r="G143">
            <v>1.3888288777645409E-3</v>
          </cell>
        </row>
        <row r="144">
          <cell r="C144">
            <v>-2.2140221402214041E-2</v>
          </cell>
          <cell r="G144">
            <v>-1.0575287242960729E-2</v>
          </cell>
        </row>
        <row r="145">
          <cell r="C145">
            <v>-1.886792452830182E-2</v>
          </cell>
          <cell r="G145">
            <v>-1.1495402181771541E-2</v>
          </cell>
        </row>
        <row r="146">
          <cell r="C146">
            <v>0</v>
          </cell>
          <cell r="G146">
            <v>-2.3983566010582448E-3</v>
          </cell>
        </row>
        <row r="147">
          <cell r="C147">
            <v>2.4999999999999977E-2</v>
          </cell>
          <cell r="G147">
            <v>8.8558638352498695E-3</v>
          </cell>
        </row>
        <row r="148">
          <cell r="C148">
            <v>-1.8761726078798848E-3</v>
          </cell>
          <cell r="G148">
            <v>-3.1112939626431499E-3</v>
          </cell>
        </row>
        <row r="149">
          <cell r="C149">
            <v>-1.8796992481204275E-3</v>
          </cell>
          <cell r="G149">
            <v>-5.4241465920373006E-3</v>
          </cell>
        </row>
        <row r="150">
          <cell r="C150">
            <v>-3.7664783427495158E-2</v>
          </cell>
          <cell r="G150">
            <v>-1.5335176927223533E-2</v>
          </cell>
        </row>
        <row r="151">
          <cell r="C151">
            <v>1.174168297455961E-2</v>
          </cell>
          <cell r="G151">
            <v>-5.7769524835796712E-3</v>
          </cell>
        </row>
        <row r="152">
          <cell r="C152">
            <v>-2.9013539651837592E-2</v>
          </cell>
          <cell r="G152">
            <v>-2.3329173208191875E-2</v>
          </cell>
        </row>
        <row r="153">
          <cell r="C153">
            <v>-2.5896414342629463E-2</v>
          </cell>
          <cell r="G153">
            <v>-1.7817550685411129E-2</v>
          </cell>
        </row>
        <row r="154">
          <cell r="C154">
            <v>-2.0449897750510811E-3</v>
          </cell>
          <cell r="G154">
            <v>-1.0387726402398545E-2</v>
          </cell>
        </row>
        <row r="155">
          <cell r="C155">
            <v>-3.2786885245901669E-2</v>
          </cell>
          <cell r="G155">
            <v>-2.2577675747143852E-2</v>
          </cell>
        </row>
        <row r="156">
          <cell r="C156">
            <v>5.0847457627118689E-2</v>
          </cell>
          <cell r="G156">
            <v>2.7735103841071387E-2</v>
          </cell>
        </row>
        <row r="157">
          <cell r="C157">
            <v>2.2177419354838773E-2</v>
          </cell>
          <cell r="G157">
            <v>2.8982742278879842E-2</v>
          </cell>
        </row>
        <row r="158">
          <cell r="C158">
            <v>1.7751479289940801E-2</v>
          </cell>
          <cell r="G158">
            <v>1.8196719048022888E-2</v>
          </cell>
        </row>
        <row r="159">
          <cell r="C159">
            <v>0.13953488372093018</v>
          </cell>
          <cell r="G159">
            <v>2.9435552219289559E-2</v>
          </cell>
        </row>
        <row r="160">
          <cell r="C160">
            <v>-3.4013605442176902E-2</v>
          </cell>
          <cell r="G160">
            <v>-1.6761775724530369E-2</v>
          </cell>
        </row>
        <row r="161">
          <cell r="C161">
            <v>-4.2253521126760445E-2</v>
          </cell>
          <cell r="G161">
            <v>-2.6456450891084241E-2</v>
          </cell>
        </row>
        <row r="162">
          <cell r="C162">
            <v>-9.1911764705883657E-3</v>
          </cell>
          <cell r="G162">
            <v>2.1051355477939493E-3</v>
          </cell>
        </row>
        <row r="163">
          <cell r="C163">
            <v>-1.2987012987012875E-2</v>
          </cell>
          <cell r="G163">
            <v>1.7283066616315132E-3</v>
          </cell>
        </row>
        <row r="164">
          <cell r="C164">
            <v>-3.7593984962406048E-2</v>
          </cell>
          <cell r="G164">
            <v>-1.5626167882651806E-2</v>
          </cell>
        </row>
        <row r="165">
          <cell r="C165">
            <v>-1.9531250000000104E-2</v>
          </cell>
          <cell r="G165">
            <v>-1.6142466451097789E-2</v>
          </cell>
        </row>
        <row r="166">
          <cell r="C166">
            <v>3.9840637450199244E-2</v>
          </cell>
          <cell r="G166">
            <v>1.2980872280106777E-2</v>
          </cell>
        </row>
        <row r="167">
          <cell r="C167">
            <v>-2.8735632183907945E-2</v>
          </cell>
          <cell r="G167">
            <v>-8.2379349568773696E-3</v>
          </cell>
        </row>
        <row r="168">
          <cell r="C168">
            <v>2.169625246548312E-2</v>
          </cell>
          <cell r="G168">
            <v>1.4594252605193992E-2</v>
          </cell>
        </row>
        <row r="169">
          <cell r="C169">
            <v>-2.3166023166023189E-2</v>
          </cell>
          <cell r="G169">
            <v>-9.9058579792245228E-4</v>
          </cell>
        </row>
        <row r="170">
          <cell r="C170">
            <v>5.9288537549407614E-3</v>
          </cell>
          <cell r="G170">
            <v>8.354523301021332E-3</v>
          </cell>
        </row>
        <row r="171">
          <cell r="C171">
            <v>-7.858546168958749E-3</v>
          </cell>
          <cell r="G171">
            <v>1.6005080873857821E-2</v>
          </cell>
        </row>
        <row r="172">
          <cell r="C172">
            <v>2.7722772277227838E-2</v>
          </cell>
          <cell r="G172">
            <v>1.9117533515771168E-2</v>
          </cell>
        </row>
        <row r="173">
          <cell r="C173">
            <v>-3.8535645472062546E-3</v>
          </cell>
          <cell r="G173">
            <v>-2.0699529997042243E-3</v>
          </cell>
        </row>
        <row r="174">
          <cell r="C174">
            <v>0.10831721470019352</v>
          </cell>
          <cell r="G174">
            <v>1.4206524442597781E-2</v>
          </cell>
        </row>
        <row r="175">
          <cell r="C175">
            <v>1.5706806282722488E-2</v>
          </cell>
          <cell r="G175">
            <v>-6.1481025602481228E-4</v>
          </cell>
        </row>
        <row r="176">
          <cell r="C176">
            <v>-5.1546391752577442E-2</v>
          </cell>
          <cell r="G176">
            <v>-1.1076839955723889E-2</v>
          </cell>
        </row>
        <row r="177">
          <cell r="C177">
            <v>2.3550724637681302E-2</v>
          </cell>
          <cell r="G177">
            <v>1.9919208935883309E-2</v>
          </cell>
        </row>
        <row r="178">
          <cell r="C178">
            <v>-8.8495575221240186E-3</v>
          </cell>
          <cell r="G178">
            <v>-2.2660306990765389E-3</v>
          </cell>
        </row>
        <row r="179">
          <cell r="C179">
            <v>-2.8571428571428439E-2</v>
          </cell>
          <cell r="G179">
            <v>-1.1207650936903421E-2</v>
          </cell>
        </row>
        <row r="180">
          <cell r="C180">
            <v>-3.6764705882353786E-3</v>
          </cell>
          <cell r="G180">
            <v>2.4575441376880592E-3</v>
          </cell>
        </row>
        <row r="181">
          <cell r="C181">
            <v>-3.3210332103320979E-2</v>
          </cell>
          <cell r="G181">
            <v>-8.295202775812506E-3</v>
          </cell>
        </row>
        <row r="182">
          <cell r="C182">
            <v>-9.5419847328243931E-3</v>
          </cell>
          <cell r="G182">
            <v>-4.1602764562630725E-3</v>
          </cell>
        </row>
        <row r="183">
          <cell r="C183">
            <v>1.7341040462427716E-2</v>
          </cell>
          <cell r="G183">
            <v>2.0262207445530984E-2</v>
          </cell>
        </row>
        <row r="184">
          <cell r="C184">
            <v>-1.8939393939395217E-3</v>
          </cell>
          <cell r="G184">
            <v>2.5069525839843877E-4</v>
          </cell>
        </row>
        <row r="185">
          <cell r="C185">
            <v>4.1745730550284757E-2</v>
          </cell>
          <cell r="G185">
            <v>5.4699591787112437E-3</v>
          </cell>
        </row>
        <row r="186">
          <cell r="C186">
            <v>1.4571948998178519E-2</v>
          </cell>
          <cell r="G186">
            <v>3.3803223878227425E-3</v>
          </cell>
        </row>
        <row r="187">
          <cell r="C187">
            <v>6.8222621184919188E-2</v>
          </cell>
          <cell r="G187">
            <v>1.2016679361067427E-2</v>
          </cell>
        </row>
        <row r="188">
          <cell r="C188">
            <v>1.8487394957983096E-2</v>
          </cell>
          <cell r="G188">
            <v>8.5817004938591908E-3</v>
          </cell>
        </row>
        <row r="189">
          <cell r="C189">
            <v>0.10066006600660071</v>
          </cell>
          <cell r="G189">
            <v>1.8269432197550835E-2</v>
          </cell>
        </row>
        <row r="190">
          <cell r="C190">
            <v>-2.3988005997001519E-2</v>
          </cell>
          <cell r="G190">
            <v>-4.7626380852885944E-3</v>
          </cell>
        </row>
        <row r="191">
          <cell r="C191">
            <v>-7.6804915514592665E-3</v>
          </cell>
          <cell r="G191">
            <v>1.4075495076861207E-3</v>
          </cell>
        </row>
        <row r="192">
          <cell r="C192">
            <v>4.489164086687307E-2</v>
          </cell>
          <cell r="G192">
            <v>1.5032928903517304E-2</v>
          </cell>
        </row>
        <row r="193">
          <cell r="C193">
            <v>-1.3333333333333312E-2</v>
          </cell>
          <cell r="G193">
            <v>1.3165450500621708E-2</v>
          </cell>
        </row>
        <row r="194">
          <cell r="C194">
            <v>-2.8528528528528586E-2</v>
          </cell>
          <cell r="G194">
            <v>-8.3951909301887874E-3</v>
          </cell>
        </row>
        <row r="195">
          <cell r="C195">
            <v>-6.1823802163833135E-3</v>
          </cell>
          <cell r="G195">
            <v>-3.0050084449133423E-3</v>
          </cell>
        </row>
        <row r="196">
          <cell r="C196">
            <v>7.7760497667186176E-3</v>
          </cell>
          <cell r="G196">
            <v>5.7963479721730021E-3</v>
          </cell>
        </row>
        <row r="197">
          <cell r="C197">
            <v>-2.6234567901234691E-2</v>
          </cell>
          <cell r="G197">
            <v>-1.1158630020223945E-2</v>
          </cell>
        </row>
        <row r="198">
          <cell r="C198">
            <v>-7.9239302694136017E-3</v>
          </cell>
          <cell r="G198">
            <v>-8.3808869757288267E-4</v>
          </cell>
        </row>
        <row r="199">
          <cell r="C199">
            <v>-5.2715654952076689E-2</v>
          </cell>
          <cell r="G199">
            <v>-2.318915032853407E-2</v>
          </cell>
        </row>
        <row r="200">
          <cell r="C200">
            <v>-6.7453625632377806E-3</v>
          </cell>
          <cell r="G200">
            <v>3.4526502105350692E-3</v>
          </cell>
        </row>
        <row r="201">
          <cell r="C201">
            <v>3.5653650254668927E-2</v>
          </cell>
          <cell r="G201">
            <v>7.2511307583130076E-3</v>
          </cell>
        </row>
        <row r="202">
          <cell r="C202">
            <v>1.9672131147541003E-2</v>
          </cell>
          <cell r="G202">
            <v>9.65290049040529E-3</v>
          </cell>
        </row>
        <row r="203">
          <cell r="C203">
            <v>-1.1254019292604405E-2</v>
          </cell>
          <cell r="G203">
            <v>-3.110553490146579E-3</v>
          </cell>
        </row>
        <row r="204">
          <cell r="C204">
            <v>6.5040650406503975E-2</v>
          </cell>
          <cell r="G204">
            <v>6.0649258737883781E-3</v>
          </cell>
        </row>
        <row r="205">
          <cell r="C205">
            <v>2.5954198473282432E-2</v>
          </cell>
          <cell r="G205">
            <v>-1.8924096594399281E-3</v>
          </cell>
        </row>
        <row r="206">
          <cell r="C206">
            <v>-5.9523809523809581E-3</v>
          </cell>
          <cell r="G206">
            <v>-1.0681260246686382E-3</v>
          </cell>
        </row>
        <row r="207">
          <cell r="C207">
            <v>1.4970059880239601E-2</v>
          </cell>
          <cell r="G207">
            <v>1.3099867570696744E-2</v>
          </cell>
        </row>
        <row r="208">
          <cell r="C208">
            <v>-2.8023598820059052E-2</v>
          </cell>
          <cell r="G208">
            <v>5.0851253432379288E-3</v>
          </cell>
        </row>
        <row r="209">
          <cell r="C209">
            <v>6.0698027314112345E-3</v>
          </cell>
          <cell r="G209">
            <v>2.6175467113624201E-2</v>
          </cell>
        </row>
        <row r="210">
          <cell r="C210">
            <v>3.4690799396681814E-2</v>
          </cell>
          <cell r="G210">
            <v>2.2918316681529382E-3</v>
          </cell>
        </row>
        <row r="211">
          <cell r="C211">
            <v>7.2886297376093284E-2</v>
          </cell>
          <cell r="G211">
            <v>8.3437245728091667E-3</v>
          </cell>
        </row>
        <row r="212">
          <cell r="C212">
            <v>5.298913043478256E-2</v>
          </cell>
          <cell r="G212">
            <v>2.9503555488363934E-3</v>
          </cell>
        </row>
        <row r="213">
          <cell r="C213">
            <v>-2.0645161290322598E-2</v>
          </cell>
          <cell r="G213">
            <v>6.14231237758181E-3</v>
          </cell>
        </row>
        <row r="214">
          <cell r="C214">
            <v>1.0540184453227941E-2</v>
          </cell>
          <cell r="G214">
            <v>2.2928910205524546E-2</v>
          </cell>
        </row>
        <row r="215">
          <cell r="C215">
            <v>6.5189048239895466E-3</v>
          </cell>
          <cell r="G215">
            <v>-1.0200227698210444E-3</v>
          </cell>
        </row>
        <row r="216">
          <cell r="C216">
            <v>-1.0362694300518144E-2</v>
          </cell>
          <cell r="G216">
            <v>1.0917826357058113E-2</v>
          </cell>
        </row>
        <row r="217">
          <cell r="C217">
            <v>-6.5445026178010245E-3</v>
          </cell>
          <cell r="G217">
            <v>2.0512842589223861E-3</v>
          </cell>
        </row>
        <row r="218">
          <cell r="C218">
            <v>3.8208168642951255E-2</v>
          </cell>
          <cell r="G218">
            <v>9.1477101860205981E-3</v>
          </cell>
        </row>
        <row r="219">
          <cell r="C219">
            <v>6.3451776649745967E-3</v>
          </cell>
          <cell r="G219">
            <v>2.2021935462241887E-2</v>
          </cell>
        </row>
        <row r="220">
          <cell r="C220">
            <v>-5.1702395964691068E-2</v>
          </cell>
          <cell r="G220">
            <v>3.9782294705032794E-3</v>
          </cell>
        </row>
        <row r="221">
          <cell r="C221">
            <v>-2.2606382978723395E-2</v>
          </cell>
          <cell r="G221">
            <v>-1.3657425234743944E-2</v>
          </cell>
        </row>
        <row r="222">
          <cell r="C222">
            <v>-2.8571428571428567E-2</v>
          </cell>
          <cell r="G222">
            <v>-2.4616906183552799E-2</v>
          </cell>
        </row>
        <row r="223">
          <cell r="C223">
            <v>2.8011204481792742E-2</v>
          </cell>
          <cell r="G223">
            <v>2.2222395920791026E-2</v>
          </cell>
        </row>
        <row r="224">
          <cell r="C224">
            <v>2.1798365122615824E-2</v>
          </cell>
          <cell r="G224">
            <v>7.5539626201589459E-3</v>
          </cell>
        </row>
        <row r="225">
          <cell r="C225">
            <v>-4.5333333333333316E-2</v>
          </cell>
          <cell r="G225">
            <v>-1.0918741305151013E-2</v>
          </cell>
        </row>
        <row r="226">
          <cell r="C226">
            <v>1.3966480446927076E-3</v>
          </cell>
          <cell r="G226">
            <v>8.6696538303295857E-3</v>
          </cell>
        </row>
        <row r="227">
          <cell r="C227">
            <v>2.3709902370990226E-2</v>
          </cell>
          <cell r="G227">
            <v>1.5307144925650521E-2</v>
          </cell>
        </row>
        <row r="228">
          <cell r="C228">
            <v>5.1771117166212521E-2</v>
          </cell>
          <cell r="G228">
            <v>1.5020305495724716E-2</v>
          </cell>
        </row>
        <row r="229">
          <cell r="C229">
            <v>3.7564766839378247E-2</v>
          </cell>
          <cell r="G229">
            <v>2.1293459904066538E-2</v>
          </cell>
        </row>
        <row r="230">
          <cell r="C230">
            <v>-1.1235955056179758E-2</v>
          </cell>
          <cell r="G230">
            <v>-8.3612840324372145E-3</v>
          </cell>
        </row>
        <row r="231">
          <cell r="C231">
            <v>5.8080808080808191E-2</v>
          </cell>
          <cell r="G231">
            <v>1.2108705153444041E-2</v>
          </cell>
        </row>
        <row r="232">
          <cell r="C232">
            <v>1.4319809069212316E-2</v>
          </cell>
          <cell r="G232">
            <v>9.2022650812555139E-3</v>
          </cell>
        </row>
        <row r="233">
          <cell r="C233">
            <v>-5.0588235294117614E-2</v>
          </cell>
          <cell r="G233">
            <v>2.2428034674258682E-3</v>
          </cell>
        </row>
        <row r="234">
          <cell r="C234">
            <v>-3.3457249070632029E-2</v>
          </cell>
          <cell r="G234">
            <v>-7.1061628071122287E-3</v>
          </cell>
        </row>
        <row r="235">
          <cell r="C235">
            <v>-7.6923076923076424E-3</v>
          </cell>
          <cell r="G235">
            <v>5.4842889216373649E-3</v>
          </cell>
        </row>
        <row r="236">
          <cell r="C236">
            <v>-2.9715762273901863E-2</v>
          </cell>
          <cell r="G236">
            <v>-3.2750844715059364E-3</v>
          </cell>
        </row>
        <row r="237">
          <cell r="C237">
            <v>-1.8641810918774926E-2</v>
          </cell>
          <cell r="G237">
            <v>-4.2559574769401122E-4</v>
          </cell>
        </row>
        <row r="238">
          <cell r="C238">
            <v>1.4925373134328401E-2</v>
          </cell>
          <cell r="G238">
            <v>9.9328210352081329E-3</v>
          </cell>
        </row>
        <row r="239">
          <cell r="C239">
            <v>1.7379679144385013E-2</v>
          </cell>
          <cell r="G239">
            <v>1.7799381620022609E-2</v>
          </cell>
        </row>
        <row r="240">
          <cell r="C240">
            <v>-2.6281208935611061E-2</v>
          </cell>
          <cell r="G240">
            <v>2.9722741427038839E-3</v>
          </cell>
        </row>
        <row r="241">
          <cell r="C241">
            <v>-1.6194331983805682E-2</v>
          </cell>
          <cell r="G241">
            <v>-3.9491331539006601E-3</v>
          </cell>
        </row>
        <row r="242">
          <cell r="C242">
            <v>-5.7613168724279823E-2</v>
          </cell>
          <cell r="G242">
            <v>-2.2794601731432041E-2</v>
          </cell>
        </row>
        <row r="243">
          <cell r="C243">
            <v>8.7336244541484139E-3</v>
          </cell>
          <cell r="G243">
            <v>4.3689185463075438E-3</v>
          </cell>
        </row>
        <row r="244">
          <cell r="C244">
            <v>-4.040404040404031E-2</v>
          </cell>
          <cell r="G244">
            <v>-2.0196904512748078E-2</v>
          </cell>
        </row>
        <row r="245">
          <cell r="C245">
            <v>1.2030075187969934E-2</v>
          </cell>
          <cell r="G245">
            <v>7.9990921881439771E-3</v>
          </cell>
        </row>
        <row r="246">
          <cell r="C246">
            <v>2.9717682020802268E-2</v>
          </cell>
          <cell r="G246">
            <v>1.9824034326250167E-2</v>
          </cell>
        </row>
        <row r="247">
          <cell r="C247">
            <v>-2.5974025974025934E-2</v>
          </cell>
          <cell r="G247">
            <v>-6.7900560667130917E-3</v>
          </cell>
        </row>
        <row r="248">
          <cell r="C248">
            <v>5.9259259259259308E-3</v>
          </cell>
          <cell r="G248">
            <v>9.5694998081947589E-4</v>
          </cell>
        </row>
        <row r="249">
          <cell r="C249">
            <v>4.4182621502209495E-3</v>
          </cell>
          <cell r="G249">
            <v>-3.7307135998622776E-3</v>
          </cell>
        </row>
        <row r="250">
          <cell r="C250">
            <v>5.5718475073313768E-2</v>
          </cell>
          <cell r="G250">
            <v>1.6323031647415404E-2</v>
          </cell>
        </row>
        <row r="251">
          <cell r="C251">
            <v>1.111111111111112E-2</v>
          </cell>
          <cell r="G251">
            <v>2.6105314009661883E-2</v>
          </cell>
        </row>
        <row r="252">
          <cell r="C252">
            <v>-2.6098901098901152E-2</v>
          </cell>
          <cell r="G252">
            <v>-3.7066191847791594E-3</v>
          </cell>
        </row>
        <row r="253">
          <cell r="C253">
            <v>-4.9365303244005593E-2</v>
          </cell>
          <cell r="G253">
            <v>-2.4267011315280352E-2</v>
          </cell>
        </row>
        <row r="254">
          <cell r="C254">
            <v>3.7091988130563795E-2</v>
          </cell>
          <cell r="G254">
            <v>1.4728459540142232E-2</v>
          </cell>
        </row>
        <row r="255">
          <cell r="C255">
            <v>-5.007153075822611E-2</v>
          </cell>
          <cell r="G255">
            <v>-1.305135227816993E-2</v>
          </cell>
        </row>
        <row r="256">
          <cell r="C256">
            <v>5.2710843373494055E-2</v>
          </cell>
          <cell r="G256">
            <v>2.8181304699793751E-2</v>
          </cell>
        </row>
        <row r="257">
          <cell r="C257">
            <v>8.583690987124408E-3</v>
          </cell>
          <cell r="G257">
            <v>1.6084915788065236E-2</v>
          </cell>
        </row>
        <row r="258">
          <cell r="C258">
            <v>0.1418439716312058</v>
          </cell>
          <cell r="G258">
            <v>2.6893759236039816E-4</v>
          </cell>
        </row>
        <row r="259">
          <cell r="C259">
            <v>6.58385093167701E-2</v>
          </cell>
          <cell r="G259">
            <v>-2.6909666586216979E-4</v>
          </cell>
        </row>
        <row r="260">
          <cell r="C260">
            <v>-6.9930069930070511E-3</v>
          </cell>
          <cell r="G260">
            <v>-4.9531280087689884E-3</v>
          </cell>
        </row>
        <row r="261">
          <cell r="C261">
            <v>1.9953051643192481E-2</v>
          </cell>
          <cell r="G261">
            <v>1.676318231117921E-3</v>
          </cell>
        </row>
        <row r="262">
          <cell r="C262">
            <v>1.1507479861910202E-2</v>
          </cell>
          <cell r="G262">
            <v>2.3840650549980902E-3</v>
          </cell>
        </row>
        <row r="263">
          <cell r="C263">
            <v>-2.5028441410693842E-2</v>
          </cell>
          <cell r="G263">
            <v>-9.7327242060453768E-3</v>
          </cell>
        </row>
        <row r="264">
          <cell r="C264">
            <v>6.0676779463243825E-2</v>
          </cell>
          <cell r="G264">
            <v>-2.8340752458088131E-3</v>
          </cell>
        </row>
        <row r="265">
          <cell r="C265">
            <v>-2.6402640264026427E-2</v>
          </cell>
          <cell r="G265">
            <v>-1.5298002556159082E-3</v>
          </cell>
        </row>
        <row r="266">
          <cell r="C266">
            <v>-3.1638418079095974E-2</v>
          </cell>
          <cell r="G266">
            <v>-1.2762777050590764E-3</v>
          </cell>
        </row>
        <row r="267">
          <cell r="C267">
            <v>2.2170361726954434E-2</v>
          </cell>
          <cell r="G267">
            <v>2.9661031901842346E-3</v>
          </cell>
        </row>
        <row r="268">
          <cell r="C268">
            <v>-2.853881278538813E-2</v>
          </cell>
          <cell r="G268">
            <v>-2.2001720262433996E-3</v>
          </cell>
        </row>
        <row r="269">
          <cell r="C269">
            <v>3.5252643948295373E-3</v>
          </cell>
          <cell r="G269">
            <v>-5.6427913716350971E-3</v>
          </cell>
        </row>
        <row r="270">
          <cell r="C270">
            <v>-1.8735362997657889E-2</v>
          </cell>
          <cell r="G270">
            <v>-9.4680300024658909E-3</v>
          </cell>
        </row>
        <row r="271">
          <cell r="C271">
            <v>-1.4319809069212527E-2</v>
          </cell>
          <cell r="G271">
            <v>1.1480069787379914E-4</v>
          </cell>
        </row>
        <row r="272">
          <cell r="C272">
            <v>1.5738498789346342E-2</v>
          </cell>
          <cell r="G272">
            <v>-6.5047056917188961E-3</v>
          </cell>
        </row>
        <row r="273">
          <cell r="C273">
            <v>-5.0059594755661595E-2</v>
          </cell>
          <cell r="G273">
            <v>-2.9342599518531288E-2</v>
          </cell>
        </row>
        <row r="274">
          <cell r="C274">
            <v>3.7641154328733059E-3</v>
          </cell>
          <cell r="G274">
            <v>1.1751479483228959E-2</v>
          </cell>
        </row>
        <row r="275">
          <cell r="C275">
            <v>-1.8750000000000044E-2</v>
          </cell>
          <cell r="G275">
            <v>-3.9095739802001142E-3</v>
          </cell>
        </row>
        <row r="276">
          <cell r="C276">
            <v>-4.84076433121019E-2</v>
          </cell>
          <cell r="G276">
            <v>-1.4261225638382632E-2</v>
          </cell>
        </row>
        <row r="277">
          <cell r="C277">
            <v>-4.6854082998661263E-2</v>
          </cell>
          <cell r="G277">
            <v>-2.109749417279903E-2</v>
          </cell>
        </row>
        <row r="278">
          <cell r="C278">
            <v>4.3539325842696576E-2</v>
          </cell>
          <cell r="G278">
            <v>1.0630918117806382E-2</v>
          </cell>
        </row>
        <row r="279">
          <cell r="C279">
            <v>3.3647375504710635E-2</v>
          </cell>
          <cell r="G279">
            <v>2.0563542850639244E-2</v>
          </cell>
        </row>
        <row r="280">
          <cell r="C280">
            <v>-6.5104166666666435E-3</v>
          </cell>
          <cell r="G280">
            <v>-1.867453485752681E-3</v>
          </cell>
        </row>
        <row r="281">
          <cell r="C281">
            <v>-9.1743119266055415E-3</v>
          </cell>
          <cell r="G281">
            <v>-5.2447829018792101E-3</v>
          </cell>
        </row>
        <row r="282">
          <cell r="C282">
            <v>1.4550264550264593E-2</v>
          </cell>
          <cell r="G282">
            <v>8.3666184101383067E-4</v>
          </cell>
        </row>
        <row r="283">
          <cell r="C283">
            <v>-3.1290743155149965E-2</v>
          </cell>
          <cell r="G283">
            <v>-2.5220392914753371E-3</v>
          </cell>
        </row>
        <row r="284">
          <cell r="C284">
            <v>1.7496635262449517E-2</v>
          </cell>
          <cell r="G284">
            <v>9.9356943996753797E-3</v>
          </cell>
        </row>
        <row r="285">
          <cell r="C285">
            <v>-2.9100529100529068E-2</v>
          </cell>
          <cell r="G285">
            <v>-2.2888748899554537E-3</v>
          </cell>
        </row>
        <row r="286">
          <cell r="C286">
            <v>1.3623978201634586E-3</v>
          </cell>
          <cell r="G286">
            <v>-5.7416137929160562E-3</v>
          </cell>
        </row>
        <row r="287">
          <cell r="C287">
            <v>-3.8095238095238008E-2</v>
          </cell>
          <cell r="G287">
            <v>-2.7466122324854941E-2</v>
          </cell>
        </row>
        <row r="288">
          <cell r="C288">
            <v>-1.4144271570015099E-3</v>
          </cell>
          <cell r="G288">
            <v>-7.2880126651191923E-3</v>
          </cell>
        </row>
        <row r="289">
          <cell r="C289">
            <v>-3.6827195467422066E-2</v>
          </cell>
          <cell r="G289">
            <v>-1.3384990909313043E-2</v>
          </cell>
        </row>
        <row r="290">
          <cell r="C290">
            <v>-6.7647058823529407E-2</v>
          </cell>
          <cell r="G290">
            <v>-6.5472335388631177E-3</v>
          </cell>
        </row>
        <row r="291">
          <cell r="C291">
            <v>1.8927444794952699E-2</v>
          </cell>
          <cell r="G291">
            <v>-2.7226909113058383E-3</v>
          </cell>
        </row>
        <row r="292">
          <cell r="C292">
            <v>6.8111455108359198E-2</v>
          </cell>
          <cell r="G292">
            <v>3.4559107320471301E-2</v>
          </cell>
        </row>
        <row r="293">
          <cell r="C293">
            <v>2.8985507246376192E-3</v>
          </cell>
          <cell r="G293">
            <v>-2.4587556589297874E-3</v>
          </cell>
        </row>
        <row r="294">
          <cell r="C294">
            <v>-1.3005780346820789E-2</v>
          </cell>
          <cell r="G294">
            <v>-7.4816937281120361E-3</v>
          </cell>
        </row>
        <row r="295">
          <cell r="C295">
            <v>4.5387994143484572E-2</v>
          </cell>
          <cell r="G295">
            <v>1.2227037196965001E-2</v>
          </cell>
        </row>
        <row r="296">
          <cell r="C296">
            <v>-4.6218487394957992E-2</v>
          </cell>
          <cell r="G296">
            <v>-2.9516955795410717E-2</v>
          </cell>
        </row>
        <row r="297">
          <cell r="C297">
            <v>-8.8105726872246132E-3</v>
          </cell>
          <cell r="G297">
            <v>-3.0369702302505523E-2</v>
          </cell>
        </row>
        <row r="298">
          <cell r="C298">
            <v>2.9629629629628999E-3</v>
          </cell>
          <cell r="G298">
            <v>1.7183433421616181E-2</v>
          </cell>
        </row>
        <row r="299">
          <cell r="C299">
            <v>-5.4652880354505058E-2</v>
          </cell>
          <cell r="G299">
            <v>-5.9688426414118299E-4</v>
          </cell>
        </row>
        <row r="300">
          <cell r="C300">
            <v>-4.2187500000000072E-2</v>
          </cell>
          <cell r="G300">
            <v>-4.55644256866609E-2</v>
          </cell>
        </row>
        <row r="301">
          <cell r="C301">
            <v>-1.6313213703099162E-3</v>
          </cell>
          <cell r="G301">
            <v>2.8976527038499663E-3</v>
          </cell>
        </row>
        <row r="302">
          <cell r="C302">
            <v>-0.11111111111111106</v>
          </cell>
          <cell r="G302">
            <v>-6.5887743172102123E-2</v>
          </cell>
        </row>
        <row r="303">
          <cell r="C303">
            <v>9.1911764705882026E-3</v>
          </cell>
          <cell r="G303">
            <v>-3.1704997875903577E-2</v>
          </cell>
        </row>
        <row r="304">
          <cell r="C304">
            <v>-0.10928961748633889</v>
          </cell>
          <cell r="G304">
            <v>-6.7476614138731045E-2</v>
          </cell>
        </row>
        <row r="305">
          <cell r="C305">
            <v>1.8404907975460277E-2</v>
          </cell>
          <cell r="G305">
            <v>-9.4101633841342826E-3</v>
          </cell>
        </row>
        <row r="306">
          <cell r="C306">
            <v>4.8192771084337213E-2</v>
          </cell>
          <cell r="G306">
            <v>1.7842118591442371E-2</v>
          </cell>
        </row>
        <row r="307">
          <cell r="C307">
            <v>-9.770114942528732E-2</v>
          </cell>
          <cell r="G307">
            <v>-6.8560729451883878E-2</v>
          </cell>
        </row>
        <row r="308">
          <cell r="C308">
            <v>2.7600849256900189E-2</v>
          </cell>
          <cell r="G308">
            <v>-4.6771851959210062E-2</v>
          </cell>
        </row>
        <row r="309">
          <cell r="C309">
            <v>-1.0330578512396658E-2</v>
          </cell>
          <cell r="G309">
            <v>1.4102714772594258E-3</v>
          </cell>
        </row>
        <row r="310">
          <cell r="C310">
            <v>3.9665970772442667E-2</v>
          </cell>
          <cell r="G310">
            <v>3.089316101396546E-2</v>
          </cell>
        </row>
        <row r="311">
          <cell r="C311">
            <v>-4.0160642570282049E-3</v>
          </cell>
          <cell r="G311">
            <v>-3.0658597765814378E-3</v>
          </cell>
        </row>
        <row r="312">
          <cell r="C312">
            <v>5.4435483870967832E-2</v>
          </cell>
          <cell r="G312">
            <v>4.3115411804210753E-2</v>
          </cell>
        </row>
        <row r="313">
          <cell r="C313">
            <v>-5.7361376673040624E-3</v>
          </cell>
          <cell r="G313">
            <v>9.3713556171858593E-3</v>
          </cell>
        </row>
        <row r="314">
          <cell r="C314">
            <v>9.2307692307692216E-2</v>
          </cell>
          <cell r="G314">
            <v>4.3283014020742527E-2</v>
          </cell>
        </row>
        <row r="315">
          <cell r="C315">
            <v>5.9859154929577441E-2</v>
          </cell>
          <cell r="G315">
            <v>2.7259827448310219E-2</v>
          </cell>
        </row>
        <row r="316">
          <cell r="C316">
            <v>-7.4750830564783946E-2</v>
          </cell>
          <cell r="G316">
            <v>-3.2972200498453737E-2</v>
          </cell>
        </row>
        <row r="317">
          <cell r="C317">
            <v>2.1543985637342927E-2</v>
          </cell>
          <cell r="G317">
            <v>2.1334798383866059E-2</v>
          </cell>
        </row>
        <row r="318">
          <cell r="C318">
            <v>-1.0544815465729437E-2</v>
          </cell>
          <cell r="G318">
            <v>-8.3338803229426276E-3</v>
          </cell>
        </row>
        <row r="319">
          <cell r="C319">
            <v>1.9538188277087091E-2</v>
          </cell>
          <cell r="G319">
            <v>2.7962366412484823E-2</v>
          </cell>
        </row>
        <row r="320">
          <cell r="C320">
            <v>5.2264808362368223E-3</v>
          </cell>
          <cell r="G320">
            <v>6.1531599727364271E-3</v>
          </cell>
        </row>
        <row r="321">
          <cell r="C321">
            <v>-2.0797227036395013E-2</v>
          </cell>
          <cell r="G321">
            <v>-3.1224167426295191E-2</v>
          </cell>
        </row>
        <row r="322">
          <cell r="C322">
            <v>1.769911504424741E-3</v>
          </cell>
          <cell r="G322">
            <v>6.1144607722298109E-3</v>
          </cell>
        </row>
        <row r="323">
          <cell r="C323">
            <v>-2.1201413427561856E-2</v>
          </cell>
          <cell r="G323">
            <v>6.2294340599182158E-4</v>
          </cell>
        </row>
        <row r="324">
          <cell r="C324">
            <v>1.8050541516245102E-3</v>
          </cell>
          <cell r="G324">
            <v>2.7933381110607303E-3</v>
          </cell>
        </row>
        <row r="325">
          <cell r="C325">
            <v>0.12792792792792793</v>
          </cell>
          <cell r="G325">
            <v>4.7953906642502063E-2</v>
          </cell>
        </row>
        <row r="326">
          <cell r="C326">
            <v>-2.5559105431309927E-2</v>
          </cell>
          <cell r="G326">
            <v>2.0340626763722877E-2</v>
          </cell>
        </row>
        <row r="327">
          <cell r="C327">
            <v>-7.2131147540983528E-2</v>
          </cell>
          <cell r="G327">
            <v>-3.2144216432111967E-2</v>
          </cell>
        </row>
        <row r="328">
          <cell r="C328">
            <v>1.413427561837457E-2</v>
          </cell>
          <cell r="G328">
            <v>1.2768780516690806E-3</v>
          </cell>
        </row>
        <row r="329">
          <cell r="C329">
            <v>1.5679442508710777E-2</v>
          </cell>
          <cell r="G329">
            <v>1.190849128409952E-2</v>
          </cell>
        </row>
        <row r="330">
          <cell r="C330">
            <v>-6.8610634648370557E-3</v>
          </cell>
          <cell r="G330">
            <v>-1.3530860559688861E-3</v>
          </cell>
        </row>
        <row r="331">
          <cell r="C331">
            <v>8.6355785837651119E-2</v>
          </cell>
          <cell r="G331">
            <v>-1.4991291328089162E-2</v>
          </cell>
        </row>
        <row r="332">
          <cell r="C332">
            <v>-3.8155802861685247E-2</v>
          </cell>
          <cell r="G332">
            <v>7.3904743278341541E-3</v>
          </cell>
        </row>
        <row r="333">
          <cell r="C333">
            <v>-1.6528925619834359E-3</v>
          </cell>
          <cell r="G333">
            <v>1.859867743420876E-2</v>
          </cell>
        </row>
        <row r="334">
          <cell r="C334">
            <v>1.4900662251655606E-2</v>
          </cell>
          <cell r="G334">
            <v>2.873441893624756E-2</v>
          </cell>
        </row>
        <row r="335">
          <cell r="C335">
            <v>9.787928221859787E-3</v>
          </cell>
          <cell r="G335">
            <v>-5.7165237438012361E-3</v>
          </cell>
        </row>
        <row r="336">
          <cell r="C336">
            <v>1.6155088852988345E-3</v>
          </cell>
          <cell r="G336">
            <v>2.2440312483783943E-3</v>
          </cell>
        </row>
        <row r="337">
          <cell r="C337">
            <v>1.2903225806451623E-2</v>
          </cell>
          <cell r="G337">
            <v>-7.7831302262982459E-3</v>
          </cell>
        </row>
        <row r="338">
          <cell r="C338">
            <v>-2.8662420382165699E-2</v>
          </cell>
          <cell r="G338">
            <v>-1.2571683381670662E-2</v>
          </cell>
        </row>
        <row r="339">
          <cell r="C339">
            <v>1.1475409836065622E-2</v>
          </cell>
          <cell r="G339">
            <v>-1.0950583951074328E-3</v>
          </cell>
        </row>
        <row r="340">
          <cell r="C340">
            <v>-4.862236628849311E-3</v>
          </cell>
          <cell r="G340">
            <v>4.8395304873883769E-4</v>
          </cell>
        </row>
        <row r="341">
          <cell r="C341">
            <v>1.6286644951140152E-2</v>
          </cell>
          <cell r="G341">
            <v>9.5911553341730595E-3</v>
          </cell>
        </row>
        <row r="342">
          <cell r="C342">
            <v>1.6025641025640682E-3</v>
          </cell>
          <cell r="G342">
            <v>2.6789258822571328E-3</v>
          </cell>
        </row>
        <row r="343">
          <cell r="C343">
            <v>2.5600000000000022E-2</v>
          </cell>
          <cell r="G343">
            <v>3.3199735019458195E-3</v>
          </cell>
        </row>
        <row r="344">
          <cell r="C344">
            <v>-2.0280811232449281E-2</v>
          </cell>
          <cell r="G344">
            <v>6.017766655129886E-3</v>
          </cell>
        </row>
        <row r="345">
          <cell r="C345">
            <v>1.9108280254777087E-2</v>
          </cell>
          <cell r="G345">
            <v>-5.9797114412851373E-3</v>
          </cell>
        </row>
        <row r="346">
          <cell r="C346">
            <v>0</v>
          </cell>
          <cell r="G346">
            <v>1.0459408779241683E-2</v>
          </cell>
        </row>
        <row r="347">
          <cell r="C347">
            <v>1.4062499999999978E-2</v>
          </cell>
          <cell r="G347">
            <v>-6.6085943343615356E-3</v>
          </cell>
        </row>
        <row r="348">
          <cell r="C348">
            <v>-1.3867488443759608E-2</v>
          </cell>
          <cell r="G348">
            <v>-2.8350142531666871E-3</v>
          </cell>
        </row>
        <row r="349">
          <cell r="C349">
            <v>-1.2500000000000011E-2</v>
          </cell>
          <cell r="G349">
            <v>-4.1726993336508094E-3</v>
          </cell>
        </row>
        <row r="350">
          <cell r="C350">
            <v>4.7468354430378733E-3</v>
          </cell>
          <cell r="G350">
            <v>6.9982804784746696E-3</v>
          </cell>
        </row>
        <row r="351">
          <cell r="C351">
            <v>-4.724409448818797E-3</v>
          </cell>
          <cell r="G351">
            <v>2.6742325580298137E-3</v>
          </cell>
        </row>
        <row r="352">
          <cell r="C352">
            <v>-1.1075949367088653E-2</v>
          </cell>
          <cell r="G352">
            <v>1.1347961332045197E-2</v>
          </cell>
        </row>
        <row r="353">
          <cell r="C353">
            <v>-1.5999999999999945E-2</v>
          </cell>
          <cell r="G353">
            <v>-1.9268746703183284E-4</v>
          </cell>
        </row>
        <row r="354">
          <cell r="C354">
            <v>2.6016260162601505E-2</v>
          </cell>
          <cell r="G354">
            <v>-8.1982080972238594E-3</v>
          </cell>
        </row>
        <row r="355">
          <cell r="C355">
            <v>6.3391442155309096E-3</v>
          </cell>
          <cell r="G355">
            <v>6.7712230494155626E-3</v>
          </cell>
        </row>
        <row r="356">
          <cell r="C356">
            <v>1.5748031496064057E-3</v>
          </cell>
          <cell r="G356">
            <v>1.1619945258311296E-2</v>
          </cell>
        </row>
        <row r="357">
          <cell r="C357">
            <v>-1.5723270440252634E-3</v>
          </cell>
          <cell r="G357">
            <v>1.554839383623994E-3</v>
          </cell>
        </row>
        <row r="358">
          <cell r="C358">
            <v>1.5748031496063079E-2</v>
          </cell>
          <cell r="G358">
            <v>7.5130158949075158E-3</v>
          </cell>
        </row>
        <row r="359">
          <cell r="C359">
            <v>-1.5503875968992331E-2</v>
          </cell>
          <cell r="G359">
            <v>1.8109184407963704E-3</v>
          </cell>
        </row>
        <row r="360">
          <cell r="C360">
            <v>-4.5669291338582683E-2</v>
          </cell>
          <cell r="G360">
            <v>-1.4788243646626342E-2</v>
          </cell>
        </row>
        <row r="361">
          <cell r="C361">
            <v>-3.1353135313531275E-2</v>
          </cell>
          <cell r="G361">
            <v>-2.2669766815596553E-2</v>
          </cell>
        </row>
        <row r="362">
          <cell r="C362">
            <v>4.7700170357751322E-2</v>
          </cell>
          <cell r="G362">
            <v>5.7535201544678862E-3</v>
          </cell>
        </row>
        <row r="363">
          <cell r="C363">
            <v>-1.6260162601627113E-3</v>
          </cell>
          <cell r="G363">
            <v>-5.0101237186618089E-3</v>
          </cell>
        </row>
        <row r="364">
          <cell r="C364">
            <v>-9.7719869706839758E-3</v>
          </cell>
          <cell r="G364">
            <v>-9.1238417569016496E-3</v>
          </cell>
        </row>
        <row r="365">
          <cell r="C365">
            <v>-1.1513157894736888E-2</v>
          </cell>
          <cell r="G365">
            <v>-3.0086598479121471E-3</v>
          </cell>
        </row>
        <row r="366">
          <cell r="C366">
            <v>-6.6555740432612375E-3</v>
          </cell>
          <cell r="G366">
            <v>8.9410728928607155E-3</v>
          </cell>
        </row>
        <row r="367">
          <cell r="C367">
            <v>1.1725293132328356E-2</v>
          </cell>
          <cell r="G367">
            <v>9.3274866974609686E-3</v>
          </cell>
        </row>
        <row r="368">
          <cell r="C368">
            <v>-6.6225165562913968E-3</v>
          </cell>
          <cell r="G368">
            <v>-5.2741919048199617E-4</v>
          </cell>
        </row>
        <row r="369">
          <cell r="C369">
            <v>-1.4999999999999977E-2</v>
          </cell>
          <cell r="G369">
            <v>-9.5496795177856704E-3</v>
          </cell>
        </row>
        <row r="370">
          <cell r="C370">
            <v>-1.0152284263959475E-2</v>
          </cell>
          <cell r="G370">
            <v>6.8188229891577154E-3</v>
          </cell>
        </row>
        <row r="371">
          <cell r="C371">
            <v>3.7606837606837716E-2</v>
          </cell>
          <cell r="G371">
            <v>7.1394708641763609E-3</v>
          </cell>
        </row>
        <row r="372">
          <cell r="C372">
            <v>-8.2372322899506925E-3</v>
          </cell>
          <cell r="G372">
            <v>7.0247909706333579E-3</v>
          </cell>
        </row>
        <row r="373">
          <cell r="C373">
            <v>8.3056478405316801E-3</v>
          </cell>
          <cell r="G373">
            <v>1.3581171532558476E-2</v>
          </cell>
        </row>
        <row r="374">
          <cell r="C374">
            <v>4.9423393739702406E-3</v>
          </cell>
          <cell r="G374">
            <v>2.5443250545078518E-3</v>
          </cell>
        </row>
        <row r="375">
          <cell r="C375">
            <v>3.2786885245902398E-3</v>
          </cell>
          <cell r="G375">
            <v>2.0927332411233828E-3</v>
          </cell>
        </row>
        <row r="376">
          <cell r="C376">
            <v>3.9215686274509838E-2</v>
          </cell>
          <cell r="G376">
            <v>4.3190881500243198E-3</v>
          </cell>
        </row>
        <row r="377">
          <cell r="C377">
            <v>-1.1006289308176145E-2</v>
          </cell>
          <cell r="G377">
            <v>4.8456414083324056E-3</v>
          </cell>
        </row>
        <row r="378">
          <cell r="C378">
            <v>0</v>
          </cell>
          <cell r="G378">
            <v>9.0898939455833529E-3</v>
          </cell>
        </row>
        <row r="379">
          <cell r="C379">
            <v>3.1796502384737704E-2</v>
          </cell>
          <cell r="G379">
            <v>1.2530645142764099E-2</v>
          </cell>
        </row>
        <row r="380">
          <cell r="C380">
            <v>-6.1633281972265077E-3</v>
          </cell>
          <cell r="G380">
            <v>1.3344522478866987E-3</v>
          </cell>
        </row>
        <row r="381">
          <cell r="C381">
            <v>-1.2403100775193809E-2</v>
          </cell>
          <cell r="G381">
            <v>1.1831038065343247E-2</v>
          </cell>
        </row>
        <row r="382">
          <cell r="C382">
            <v>4.7095761381476054E-3</v>
          </cell>
          <cell r="G382">
            <v>3.4586276853520348E-3</v>
          </cell>
        </row>
        <row r="383">
          <cell r="C383">
            <v>-9.3750000000000777E-3</v>
          </cell>
          <cell r="G383">
            <v>-1.801322729868057E-3</v>
          </cell>
        </row>
        <row r="384">
          <cell r="C384">
            <v>1.7350157728706676E-2</v>
          </cell>
          <cell r="G384">
            <v>8.790036159625909E-3</v>
          </cell>
        </row>
        <row r="385">
          <cell r="C385">
            <v>6.8217054263565807E-2</v>
          </cell>
          <cell r="G385">
            <v>8.9026264923742476E-3</v>
          </cell>
        </row>
        <row r="386">
          <cell r="C386">
            <v>3.9187227866473218E-2</v>
          </cell>
          <cell r="G386">
            <v>8.5644982635005949E-3</v>
          </cell>
        </row>
        <row r="387">
          <cell r="C387">
            <v>-3.4916201117318434E-2</v>
          </cell>
          <cell r="G387">
            <v>1.3210955371989843E-3</v>
          </cell>
        </row>
        <row r="388">
          <cell r="C388">
            <v>-4.3415340086831039E-3</v>
          </cell>
          <cell r="G388">
            <v>2.7665555004720895E-3</v>
          </cell>
        </row>
        <row r="389">
          <cell r="C389">
            <v>4.0697674418604689E-2</v>
          </cell>
          <cell r="G389">
            <v>-5.9886876230174427E-3</v>
          </cell>
        </row>
        <row r="390">
          <cell r="C390">
            <v>-1.6759776536312863E-2</v>
          </cell>
          <cell r="G390">
            <v>7.8263440435304111E-4</v>
          </cell>
        </row>
        <row r="391">
          <cell r="C391">
            <v>-1.2784090909090889E-2</v>
          </cell>
          <cell r="G391">
            <v>1.6314246953144092E-2</v>
          </cell>
        </row>
        <row r="392">
          <cell r="C392">
            <v>2.4460431654676248E-2</v>
          </cell>
          <cell r="G392">
            <v>1.0625266213793439E-2</v>
          </cell>
        </row>
        <row r="393">
          <cell r="C393">
            <v>-5.6179775280898927E-3</v>
          </cell>
          <cell r="G393">
            <v>5.4106852490481468E-3</v>
          </cell>
        </row>
        <row r="394">
          <cell r="C394">
            <v>2.1186440677966153E-2</v>
          </cell>
          <cell r="G394">
            <v>1.0870508419063046E-2</v>
          </cell>
        </row>
        <row r="395">
          <cell r="C395">
            <v>5.5325034578145426E-3</v>
          </cell>
          <cell r="G395">
            <v>1.5618807064162464E-2</v>
          </cell>
        </row>
        <row r="396">
          <cell r="C396">
            <v>-3.3012379642365794E-2</v>
          </cell>
          <cell r="G396">
            <v>-7.3734168246528788E-3</v>
          </cell>
        </row>
        <row r="397">
          <cell r="C397">
            <v>2.2759601706970146E-2</v>
          </cell>
          <cell r="G397">
            <v>7.7104181605664058E-3</v>
          </cell>
        </row>
        <row r="398">
          <cell r="C398">
            <v>2.225312934631422E-2</v>
          </cell>
          <cell r="G398">
            <v>7.1043192074374904E-3</v>
          </cell>
        </row>
        <row r="399">
          <cell r="C399">
            <v>1.7687074829932078E-2</v>
          </cell>
          <cell r="G399">
            <v>-3.3966437385537932E-3</v>
          </cell>
        </row>
        <row r="400">
          <cell r="C400">
            <v>1.8716577540106909E-2</v>
          </cell>
          <cell r="G400">
            <v>-2.8711189119875842E-3</v>
          </cell>
        </row>
        <row r="401">
          <cell r="C401">
            <v>2.8871391076115454E-2</v>
          </cell>
          <cell r="G401">
            <v>1.6144153190448832E-2</v>
          </cell>
        </row>
        <row r="402">
          <cell r="C402">
            <v>-1.4030612244897886E-2</v>
          </cell>
          <cell r="G402">
            <v>-2.1196203569355167E-3</v>
          </cell>
        </row>
        <row r="403">
          <cell r="C403">
            <v>2.5873221216040844E-3</v>
          </cell>
          <cell r="G403">
            <v>-4.507676441534921E-3</v>
          </cell>
        </row>
        <row r="404">
          <cell r="C404">
            <v>1.6774193548387082E-2</v>
          </cell>
          <cell r="G404">
            <v>-4.1756492931129575E-3</v>
          </cell>
        </row>
        <row r="405">
          <cell r="C405">
            <v>-1.2690355329949193E-2</v>
          </cell>
          <cell r="G405">
            <v>1.5330550190043501E-3</v>
          </cell>
        </row>
        <row r="406">
          <cell r="C406">
            <v>-2.5706940874036582E-3</v>
          </cell>
          <cell r="G406">
            <v>-7.4407705950703905E-4</v>
          </cell>
        </row>
        <row r="407">
          <cell r="C407">
            <v>-6.4432989690721421E-3</v>
          </cell>
          <cell r="G407">
            <v>-7.1116007800944327E-3</v>
          </cell>
        </row>
        <row r="408">
          <cell r="C408">
            <v>-1.2970168612191912E-2</v>
          </cell>
          <cell r="G408">
            <v>-6.1943562030725065E-3</v>
          </cell>
        </row>
        <row r="409">
          <cell r="C409">
            <v>2.6281208935610943E-2</v>
          </cell>
          <cell r="G409">
            <v>4.568468857509304E-3</v>
          </cell>
        </row>
        <row r="410">
          <cell r="C410">
            <v>2.1766965428937364E-2</v>
          </cell>
          <cell r="G410">
            <v>1.2316280845974916E-2</v>
          </cell>
        </row>
        <row r="411">
          <cell r="C411">
            <v>3.5087719298245529E-2</v>
          </cell>
          <cell r="G411">
            <v>1.4140732765787969E-2</v>
          </cell>
        </row>
        <row r="412">
          <cell r="C412">
            <v>0</v>
          </cell>
          <cell r="G412">
            <v>5.367990624187205E-3</v>
          </cell>
        </row>
        <row r="413">
          <cell r="C413">
            <v>-6.0532687651330434E-3</v>
          </cell>
          <cell r="G413">
            <v>-6.2606585764939928E-4</v>
          </cell>
        </row>
        <row r="414">
          <cell r="C414">
            <v>0</v>
          </cell>
          <cell r="G414">
            <v>1.3325630075052971E-3</v>
          </cell>
        </row>
        <row r="415">
          <cell r="C415">
            <v>2.8014616321558907E-2</v>
          </cell>
          <cell r="G415">
            <v>6.4783258369489997E-3</v>
          </cell>
        </row>
        <row r="416">
          <cell r="C416">
            <v>1.5402843601895828E-2</v>
          </cell>
          <cell r="G416">
            <v>1.1058972972110684E-2</v>
          </cell>
        </row>
        <row r="417">
          <cell r="C417">
            <v>5.6009334889148242E-2</v>
          </cell>
          <cell r="G417">
            <v>8.4441560086865874E-3</v>
          </cell>
        </row>
        <row r="418">
          <cell r="C418">
            <v>-1.6574585635359153E-2</v>
          </cell>
          <cell r="G418">
            <v>-3.9136619298660354E-3</v>
          </cell>
        </row>
        <row r="419">
          <cell r="C419">
            <v>2.247191011235947E-2</v>
          </cell>
          <cell r="G419">
            <v>6.49049330128739E-3</v>
          </cell>
        </row>
        <row r="420">
          <cell r="C420">
            <v>9.7802197802197871E-2</v>
          </cell>
          <cell r="G420">
            <v>-7.3425817014711329E-3</v>
          </cell>
        </row>
        <row r="421">
          <cell r="C421">
            <v>0.10010010010010009</v>
          </cell>
          <cell r="G421">
            <v>8.8269220646608167E-4</v>
          </cell>
        </row>
        <row r="422">
          <cell r="C422">
            <v>9.0991810737033663E-2</v>
          </cell>
          <cell r="G422">
            <v>1.4875452885078704E-2</v>
          </cell>
        </row>
        <row r="423">
          <cell r="C423">
            <v>-5.8381984987489664E-2</v>
          </cell>
          <cell r="G423">
            <v>-2.735926147814584E-3</v>
          </cell>
        </row>
        <row r="424">
          <cell r="C424">
            <v>-2.8343666961913067E-2</v>
          </cell>
          <cell r="G424">
            <v>1.5047964210284436E-5</v>
          </cell>
        </row>
        <row r="425">
          <cell r="C425">
            <v>3.7374658158614411E-2</v>
          </cell>
          <cell r="G425">
            <v>-4.3471503699274586E-3</v>
          </cell>
        </row>
        <row r="426">
          <cell r="C426">
            <v>-1.9332161687170529E-2</v>
          </cell>
          <cell r="G426">
            <v>-1.5146498806746691E-3</v>
          </cell>
        </row>
        <row r="427">
          <cell r="C427">
            <v>-8.9605734767024773E-3</v>
          </cell>
          <cell r="G427">
            <v>1.2411818851775071E-3</v>
          </cell>
        </row>
        <row r="428">
          <cell r="C428">
            <v>-1.8987341772151976E-2</v>
          </cell>
          <cell r="G428">
            <v>4.0156127021860992E-3</v>
          </cell>
        </row>
        <row r="429">
          <cell r="C429">
            <v>-2.5806451612903167E-2</v>
          </cell>
          <cell r="G429">
            <v>-7.7786582020461861E-3</v>
          </cell>
        </row>
        <row r="430">
          <cell r="C430">
            <v>-1.3245033112582835E-2</v>
          </cell>
          <cell r="G430">
            <v>-8.1855867566205612E-3</v>
          </cell>
        </row>
        <row r="431">
          <cell r="C431">
            <v>-2.7804410354745845E-2</v>
          </cell>
          <cell r="G431">
            <v>1.1319922034783727E-3</v>
          </cell>
        </row>
        <row r="432">
          <cell r="C432">
            <v>-1.2820512820512896E-2</v>
          </cell>
          <cell r="G432">
            <v>-1.6689647069723851E-3</v>
          </cell>
        </row>
        <row r="433">
          <cell r="C433">
            <v>9.9900099900099903E-2</v>
          </cell>
          <cell r="G433">
            <v>-2.5149277490487554E-3</v>
          </cell>
        </row>
        <row r="434">
          <cell r="C434">
            <v>-7.811080835603991E-2</v>
          </cell>
          <cell r="G434">
            <v>-2.3027618130208774E-2</v>
          </cell>
        </row>
        <row r="435">
          <cell r="C435">
            <v>7.8817733990147673E-2</v>
          </cell>
          <cell r="G435">
            <v>1.1374550667080751E-2</v>
          </cell>
        </row>
        <row r="436">
          <cell r="C436">
            <v>-7.0319634703196313E-2</v>
          </cell>
          <cell r="G436">
            <v>-1.5359539621535133E-2</v>
          </cell>
        </row>
        <row r="437">
          <cell r="C437">
            <v>-1.3752455795677855E-2</v>
          </cell>
          <cell r="G437">
            <v>2.5988699450943138E-3</v>
          </cell>
        </row>
        <row r="438">
          <cell r="C438">
            <v>-3.6852589641434189E-2</v>
          </cell>
          <cell r="G438">
            <v>-1.490009568079384E-2</v>
          </cell>
        </row>
        <row r="439">
          <cell r="C439">
            <v>-7.0320579110651468E-2</v>
          </cell>
          <cell r="G439">
            <v>-2.4914881972746772E-2</v>
          </cell>
        </row>
        <row r="440">
          <cell r="C440">
            <v>2.0022246941045575E-2</v>
          </cell>
          <cell r="G440">
            <v>1.4078966597197986E-3</v>
          </cell>
        </row>
        <row r="441">
          <cell r="C441">
            <v>9.4874591057797081E-2</v>
          </cell>
          <cell r="G441">
            <v>1.8464772073233337E-2</v>
          </cell>
        </row>
        <row r="442">
          <cell r="C442">
            <v>-6.9721115537847121E-3</v>
          </cell>
          <cell r="G442">
            <v>1.2638908545955969E-2</v>
          </cell>
        </row>
        <row r="443">
          <cell r="C443">
            <v>-2.0060180541626228E-3</v>
          </cell>
          <cell r="G443">
            <v>1.1022802910866426E-2</v>
          </cell>
        </row>
        <row r="444">
          <cell r="C444">
            <v>-4.4221105527638145E-2</v>
          </cell>
          <cell r="G444">
            <v>-1.4427270853314713E-2</v>
          </cell>
        </row>
        <row r="445">
          <cell r="C445">
            <v>-2.5236593059936932E-2</v>
          </cell>
          <cell r="G445">
            <v>-5.0522484308559816E-3</v>
          </cell>
        </row>
        <row r="446">
          <cell r="C446">
            <v>2.4811218985976314E-2</v>
          </cell>
          <cell r="G446">
            <v>3.439926392274154E-3</v>
          </cell>
        </row>
        <row r="447">
          <cell r="C447">
            <v>-1.4736842105263218E-2</v>
          </cell>
          <cell r="G447">
            <v>-1.8881888308400251E-3</v>
          </cell>
        </row>
        <row r="448">
          <cell r="C448">
            <v>-1.0683760683760646E-2</v>
          </cell>
          <cell r="G448">
            <v>2.3841677088405088E-3</v>
          </cell>
        </row>
        <row r="449">
          <cell r="C449">
            <v>4.3196544276458883E-3</v>
          </cell>
          <cell r="G449">
            <v>4.3857661658370222E-3</v>
          </cell>
        </row>
        <row r="450">
          <cell r="C450">
            <v>9.3548387096774099E-2</v>
          </cell>
          <cell r="G450">
            <v>1.5280302487570169E-2</v>
          </cell>
        </row>
        <row r="451">
          <cell r="C451">
            <v>7.8662733529990241E-3</v>
          </cell>
          <cell r="G451">
            <v>1.4145224039702448E-2</v>
          </cell>
        </row>
        <row r="452">
          <cell r="C452">
            <v>-3.7073170731707392E-2</v>
          </cell>
          <cell r="G452">
            <v>-8.1110518317639643E-3</v>
          </cell>
        </row>
        <row r="453">
          <cell r="C453">
            <v>2.1276595744680941E-2</v>
          </cell>
          <cell r="G453">
            <v>1.6257668264925526E-3</v>
          </cell>
        </row>
        <row r="454">
          <cell r="C454">
            <v>3.9682539682538839E-3</v>
          </cell>
          <cell r="G454">
            <v>1.4163475985072485E-2</v>
          </cell>
        </row>
        <row r="455">
          <cell r="C455">
            <v>-1.9762845849802303E-2</v>
          </cell>
          <cell r="G455">
            <v>-1.119796265131549E-2</v>
          </cell>
        </row>
        <row r="456">
          <cell r="C456">
            <v>-2.5201612903225808E-2</v>
          </cell>
          <cell r="G456">
            <v>-4.7114881096365522E-3</v>
          </cell>
        </row>
        <row r="457">
          <cell r="C457">
            <v>-6.6184074457083825E-2</v>
          </cell>
          <cell r="G457">
            <v>-3.153578592784205E-2</v>
          </cell>
        </row>
        <row r="458">
          <cell r="C458">
            <v>-7.1982281284606708E-2</v>
          </cell>
          <cell r="G458">
            <v>-1.9449959887685511E-2</v>
          </cell>
        </row>
        <row r="459">
          <cell r="C459">
            <v>0.11694510739856785</v>
          </cell>
          <cell r="G459">
            <v>3.4994214078581075E-2</v>
          </cell>
        </row>
        <row r="460">
          <cell r="C460">
            <v>-4.2735042735041829E-3</v>
          </cell>
          <cell r="G460">
            <v>-4.9139247961012275E-3</v>
          </cell>
        </row>
        <row r="461">
          <cell r="C461">
            <v>5.472103004291843E-2</v>
          </cell>
          <cell r="G461">
            <v>1.9595372221212767E-2</v>
          </cell>
        </row>
        <row r="462">
          <cell r="C462">
            <v>-2.6449643947100691E-2</v>
          </cell>
          <cell r="G462">
            <v>-8.2707389344871558E-3</v>
          </cell>
        </row>
        <row r="463">
          <cell r="C463">
            <v>3.1347962382444472E-3</v>
          </cell>
          <cell r="G463">
            <v>1.2872066682362983E-3</v>
          </cell>
        </row>
        <row r="464">
          <cell r="C464">
            <v>1.0416666666666445E-3</v>
          </cell>
          <cell r="G464">
            <v>9.0479020714966454E-3</v>
          </cell>
        </row>
        <row r="465">
          <cell r="C465">
            <v>-1.8730489073881345E-2</v>
          </cell>
          <cell r="G465">
            <v>1.0757404372214647E-3</v>
          </cell>
        </row>
        <row r="466">
          <cell r="C466">
            <v>-4.2417815482502688E-2</v>
          </cell>
          <cell r="G466">
            <v>-1.5359494258364302E-2</v>
          </cell>
        </row>
        <row r="467">
          <cell r="C467">
            <v>3.9867109634551631E-2</v>
          </cell>
          <cell r="G467">
            <v>1.1832992107630022E-4</v>
          </cell>
        </row>
        <row r="468">
          <cell r="C468">
            <v>-1.9169329073482396E-2</v>
          </cell>
          <cell r="G468">
            <v>-1.5923351002665447E-3</v>
          </cell>
        </row>
        <row r="469">
          <cell r="C469">
            <v>3.2573289902279434E-3</v>
          </cell>
          <cell r="G469">
            <v>3.6519173677160891E-3</v>
          </cell>
        </row>
        <row r="470">
          <cell r="C470">
            <v>-6.4935064935065468E-3</v>
          </cell>
          <cell r="G470">
            <v>-3.3946109812713408E-3</v>
          </cell>
        </row>
        <row r="471">
          <cell r="C471">
            <v>-8.7145969498910753E-3</v>
          </cell>
          <cell r="G471">
            <v>6.4248332764400742E-4</v>
          </cell>
        </row>
        <row r="472">
          <cell r="C472">
            <v>-5.4945054945053778E-3</v>
          </cell>
          <cell r="G472">
            <v>-8.7201257008388319E-3</v>
          </cell>
        </row>
        <row r="473">
          <cell r="C473">
            <v>-4.7513812154696293E-2</v>
          </cell>
          <cell r="G473">
            <v>-1.380191394370054E-2</v>
          </cell>
        </row>
        <row r="474">
          <cell r="C474">
            <v>8.1206496519721921E-3</v>
          </cell>
          <cell r="G474">
            <v>5.824509771268741E-3</v>
          </cell>
        </row>
        <row r="475">
          <cell r="C475">
            <v>2.1864211737629608E-2</v>
          </cell>
          <cell r="G475">
            <v>1.2898310629108992E-2</v>
          </cell>
        </row>
        <row r="476">
          <cell r="C476">
            <v>2.815315315315315E-2</v>
          </cell>
          <cell r="G476">
            <v>1.6184744336763542E-2</v>
          </cell>
        </row>
        <row r="477">
          <cell r="C477">
            <v>-2.1905805038336637E-3</v>
          </cell>
          <cell r="G477">
            <v>-5.4578205811553438E-3</v>
          </cell>
        </row>
        <row r="478">
          <cell r="C478">
            <v>2.1953896816685081E-2</v>
          </cell>
          <cell r="G478">
            <v>6.4138364191125424E-3</v>
          </cell>
        </row>
        <row r="479">
          <cell r="C479">
            <v>-6.4446831364125129E-3</v>
          </cell>
          <cell r="G479">
            <v>1.4523183281136325E-2</v>
          </cell>
        </row>
        <row r="480">
          <cell r="C480">
            <v>1.7297297297297311E-2</v>
          </cell>
          <cell r="G480">
            <v>8.6909313200178619E-3</v>
          </cell>
        </row>
        <row r="481">
          <cell r="C481">
            <v>-4.2507970244421807E-3</v>
          </cell>
          <cell r="G481">
            <v>4.8397021180011186E-4</v>
          </cell>
        </row>
        <row r="482">
          <cell r="C482">
            <v>5.3361792956244094E-3</v>
          </cell>
          <cell r="G482">
            <v>3.7880769753984005E-3</v>
          </cell>
        </row>
        <row r="483">
          <cell r="C483">
            <v>1.0615711252653702E-3</v>
          </cell>
          <cell r="G483">
            <v>-2.1723884663681931E-3</v>
          </cell>
        </row>
        <row r="484">
          <cell r="C484">
            <v>4.2417815482503635E-3</v>
          </cell>
          <cell r="G484">
            <v>-3.2126084314703697E-4</v>
          </cell>
        </row>
        <row r="485">
          <cell r="C485">
            <v>4.2238648363251471E-3</v>
          </cell>
          <cell r="G485">
            <v>2.428638409112394E-3</v>
          </cell>
        </row>
        <row r="486">
          <cell r="C486">
            <v>1.9978969505783335E-2</v>
          </cell>
          <cell r="G486">
            <v>2.4123288700154386E-3</v>
          </cell>
        </row>
        <row r="487">
          <cell r="C487">
            <v>2.4742268041237137E-2</v>
          </cell>
          <cell r="G487">
            <v>3.8895339272309194E-3</v>
          </cell>
        </row>
        <row r="488">
          <cell r="C488">
            <v>2.3138832997987972E-2</v>
          </cell>
          <cell r="G488">
            <v>1.8738466964866623E-2</v>
          </cell>
        </row>
        <row r="489">
          <cell r="C489">
            <v>-4.4247787610619399E-2</v>
          </cell>
          <cell r="G489">
            <v>-3.5547362353366337E-4</v>
          </cell>
        </row>
        <row r="490">
          <cell r="C490">
            <v>-6.8930041152263366E-2</v>
          </cell>
          <cell r="G490">
            <v>2.5282745953605947E-3</v>
          </cell>
        </row>
        <row r="491">
          <cell r="C491">
            <v>-2.2099447513813644E-3</v>
          </cell>
          <cell r="G491">
            <v>9.3749589196910794E-3</v>
          </cell>
        </row>
        <row r="492">
          <cell r="C492">
            <v>-3.2115171650055278E-2</v>
          </cell>
          <cell r="G492">
            <v>-5.9725786894095523E-4</v>
          </cell>
        </row>
        <row r="493">
          <cell r="C493">
            <v>-3.0892448512585761E-2</v>
          </cell>
          <cell r="G493">
            <v>-9.3000659571038959E-3</v>
          </cell>
        </row>
        <row r="494">
          <cell r="C494">
            <v>-3.4238488783943435E-2</v>
          </cell>
          <cell r="G494">
            <v>-9.8495953270613876E-3</v>
          </cell>
        </row>
        <row r="495">
          <cell r="C495">
            <v>8.5574572127139707E-3</v>
          </cell>
          <cell r="G495">
            <v>4.2128382960890422E-3</v>
          </cell>
        </row>
        <row r="496">
          <cell r="C496">
            <v>6.0606060606061465E-3</v>
          </cell>
          <cell r="G496">
            <v>7.6372143326285625E-3</v>
          </cell>
        </row>
        <row r="497">
          <cell r="C497">
            <v>3.1325301204819252E-2</v>
          </cell>
          <cell r="G497">
            <v>5.9311183213307224E-3</v>
          </cell>
        </row>
        <row r="498">
          <cell r="C498">
            <v>1.1682242990654164E-2</v>
          </cell>
          <cell r="G498">
            <v>-9.5875650382787284E-3</v>
          </cell>
        </row>
        <row r="499">
          <cell r="C499">
            <v>2.1939953810623501E-2</v>
          </cell>
          <cell r="G499">
            <v>1.0153841530162005E-2</v>
          </cell>
        </row>
        <row r="500">
          <cell r="C500">
            <v>0</v>
          </cell>
          <cell r="G500">
            <v>1.3873517099074429E-3</v>
          </cell>
        </row>
        <row r="501">
          <cell r="C501">
            <v>-2.2598870056496695E-3</v>
          </cell>
          <cell r="G501">
            <v>1.552769053771229E-2</v>
          </cell>
        </row>
        <row r="502">
          <cell r="C502">
            <v>-2.2650056625141079E-3</v>
          </cell>
          <cell r="G502">
            <v>5.6635789966421862E-3</v>
          </cell>
        </row>
        <row r="503">
          <cell r="C503">
            <v>-2.2701475595915265E-3</v>
          </cell>
          <cell r="G503">
            <v>-8.0628449870495081E-4</v>
          </cell>
        </row>
        <row r="504">
          <cell r="C504">
            <v>0.11376564277588169</v>
          </cell>
          <cell r="G504">
            <v>1.1265065084479544E-2</v>
          </cell>
        </row>
        <row r="505">
          <cell r="C505">
            <v>2.0429009193055517E-3</v>
          </cell>
          <cell r="G505">
            <v>4.2326804924190152E-3</v>
          </cell>
        </row>
        <row r="506">
          <cell r="C506">
            <v>6.1162079510703328E-2</v>
          </cell>
          <cell r="G506">
            <v>6.8321345855530922E-3</v>
          </cell>
        </row>
        <row r="507">
          <cell r="C507">
            <v>-4.8991354466858768E-2</v>
          </cell>
          <cell r="G507">
            <v>-1.0715301108284176E-3</v>
          </cell>
        </row>
        <row r="508">
          <cell r="C508">
            <v>5.0505050505049425E-3</v>
          </cell>
          <cell r="G508">
            <v>6.9425958581239384E-3</v>
          </cell>
        </row>
        <row r="509">
          <cell r="C509">
            <v>1.0050251256282978E-3</v>
          </cell>
          <cell r="G509">
            <v>3.7001840510569269E-3</v>
          </cell>
        </row>
        <row r="510">
          <cell r="C510">
            <v>-2.0080321285141918E-3</v>
          </cell>
          <cell r="G510">
            <v>-2.2262017063279711E-3</v>
          </cell>
        </row>
        <row r="511">
          <cell r="C511">
            <v>-1.0060362173038195E-2</v>
          </cell>
          <cell r="G511">
            <v>-1.268772009171657E-3</v>
          </cell>
        </row>
        <row r="512">
          <cell r="C512">
            <v>-2.3373983739837442E-2</v>
          </cell>
          <cell r="G512">
            <v>-4.4484117480568615E-3</v>
          </cell>
        </row>
        <row r="513">
          <cell r="C513">
            <v>0</v>
          </cell>
          <cell r="G513">
            <v>3.8609844405936076E-3</v>
          </cell>
        </row>
        <row r="514">
          <cell r="C514">
            <v>8.3246618106139515E-3</v>
          </cell>
          <cell r="G514">
            <v>-4.9297184533637576E-3</v>
          </cell>
        </row>
        <row r="515">
          <cell r="C515">
            <v>-4.127966976264102E-3</v>
          </cell>
          <cell r="G515">
            <v>6.7325000317446128E-3</v>
          </cell>
        </row>
        <row r="516">
          <cell r="C516">
            <v>-1.9689119170984405E-2</v>
          </cell>
          <cell r="G516">
            <v>-2.5317248479159752E-3</v>
          </cell>
        </row>
        <row r="517">
          <cell r="C517">
            <v>-1.0570824524314547E-3</v>
          </cell>
          <cell r="G517">
            <v>4.7876473466055783E-3</v>
          </cell>
        </row>
        <row r="518">
          <cell r="C518">
            <v>2.9629629629629752E-2</v>
          </cell>
          <cell r="G518">
            <v>4.3339168592706843E-3</v>
          </cell>
        </row>
        <row r="519">
          <cell r="C519">
            <v>1.13052415210688E-2</v>
          </cell>
          <cell r="G519">
            <v>3.6889104546422805E-3</v>
          </cell>
        </row>
        <row r="520">
          <cell r="C520">
            <v>-2.6422764227642254E-2</v>
          </cell>
          <cell r="G520">
            <v>-6.2869512828001147E-3</v>
          </cell>
        </row>
        <row r="521">
          <cell r="C521">
            <v>8.3507306889352897E-3</v>
          </cell>
          <cell r="G521">
            <v>4.7543595347663047E-3</v>
          </cell>
        </row>
        <row r="522">
          <cell r="C522">
            <v>-4.1407867494824974E-3</v>
          </cell>
          <cell r="G522">
            <v>-2.9554468914235726E-3</v>
          </cell>
        </row>
        <row r="523">
          <cell r="C523">
            <v>-2.1829521829521734E-2</v>
          </cell>
          <cell r="G523">
            <v>7.1762405010329959E-3</v>
          </cell>
        </row>
        <row r="524">
          <cell r="C524">
            <v>-3.1880977683314943E-3</v>
          </cell>
          <cell r="G524">
            <v>7.5845302975461517E-3</v>
          </cell>
        </row>
        <row r="525">
          <cell r="C525">
            <v>-2.3454157782516059E-2</v>
          </cell>
          <cell r="G525">
            <v>-5.9317806868969031E-4</v>
          </cell>
        </row>
        <row r="526">
          <cell r="C526">
            <v>5.4585152838428725E-3</v>
          </cell>
          <cell r="G526">
            <v>-3.9210511111740839E-3</v>
          </cell>
        </row>
        <row r="527">
          <cell r="C527">
            <v>3.365906623235599E-2</v>
          </cell>
          <cell r="G527">
            <v>-1.0080932120226742E-3</v>
          </cell>
        </row>
        <row r="528">
          <cell r="C528">
            <v>-1.7857142857142849E-2</v>
          </cell>
          <cell r="G528">
            <v>-6.5302946324097429E-4</v>
          </cell>
        </row>
        <row r="529">
          <cell r="C529">
            <v>-2.4598930481283469E-2</v>
          </cell>
          <cell r="G529">
            <v>-1.2622552513930517E-2</v>
          </cell>
        </row>
        <row r="530">
          <cell r="C530">
            <v>2.0833333333333474E-2</v>
          </cell>
          <cell r="G530">
            <v>-5.3665662661065653E-3</v>
          </cell>
        </row>
        <row r="531">
          <cell r="C531">
            <v>-1.5037593984962466E-2</v>
          </cell>
          <cell r="G531">
            <v>1.238267425421901E-2</v>
          </cell>
        </row>
        <row r="532">
          <cell r="C532">
            <v>1.0905125408942165E-2</v>
          </cell>
          <cell r="G532">
            <v>1.0616792152940816E-2</v>
          </cell>
        </row>
        <row r="533">
          <cell r="C533">
            <v>-1.2944983818770142E-2</v>
          </cell>
          <cell r="G533">
            <v>-2.1296002918838497E-3</v>
          </cell>
        </row>
        <row r="534">
          <cell r="C534">
            <v>2.7322404371584699E-2</v>
          </cell>
          <cell r="G534">
            <v>-1.3372351348589049E-2</v>
          </cell>
        </row>
        <row r="535">
          <cell r="C535">
            <v>9.5744680851063871E-2</v>
          </cell>
          <cell r="G535">
            <v>1.8401594703739634E-3</v>
          </cell>
        </row>
        <row r="536">
          <cell r="C536">
            <v>6.5048543689320379E-2</v>
          </cell>
          <cell r="G536">
            <v>-7.3032049000976811E-3</v>
          </cell>
        </row>
        <row r="537">
          <cell r="C537">
            <v>-5.0136736554238892E-2</v>
          </cell>
          <cell r="G537">
            <v>-3.5147060233549779E-3</v>
          </cell>
        </row>
        <row r="538">
          <cell r="C538">
            <v>-3.6468330134357081E-2</v>
          </cell>
          <cell r="G538">
            <v>-8.0074351474728311E-3</v>
          </cell>
        </row>
        <row r="539">
          <cell r="C539">
            <v>3.4860557768924445E-2</v>
          </cell>
          <cell r="G539">
            <v>1.329377650036662E-2</v>
          </cell>
        </row>
        <row r="540">
          <cell r="C540">
            <v>-1.2512030798845117E-2</v>
          </cell>
          <cell r="G540">
            <v>-2.1885922565605732E-3</v>
          </cell>
        </row>
        <row r="541">
          <cell r="C541">
            <v>-4.58089668615985E-2</v>
          </cell>
          <cell r="G541">
            <v>-5.9215061936089101E-3</v>
          </cell>
        </row>
        <row r="542">
          <cell r="C542">
            <v>1.8386108273748876E-2</v>
          </cell>
          <cell r="G542">
            <v>8.133628024914916E-3</v>
          </cell>
        </row>
        <row r="543">
          <cell r="C543">
            <v>2.7081243731193538E-2</v>
          </cell>
          <cell r="G543">
            <v>4.275277296909144E-3</v>
          </cell>
        </row>
        <row r="544">
          <cell r="C544">
            <v>-5.5664062500000028E-2</v>
          </cell>
          <cell r="G544">
            <v>-1.9112545325273966E-2</v>
          </cell>
        </row>
        <row r="545">
          <cell r="C545">
            <v>1.5511892450879044E-2</v>
          </cell>
          <cell r="G545">
            <v>1.2341831768831711E-2</v>
          </cell>
        </row>
        <row r="546">
          <cell r="C546">
            <v>-2.6476578411405272E-2</v>
          </cell>
          <cell r="G546">
            <v>-1.7154133037795501E-2</v>
          </cell>
        </row>
        <row r="547">
          <cell r="C547">
            <v>-5.7531380753138149E-2</v>
          </cell>
          <cell r="G547">
            <v>-1.8382257461257826E-2</v>
          </cell>
        </row>
        <row r="548">
          <cell r="C548">
            <v>-1.997780244173138E-2</v>
          </cell>
          <cell r="G548">
            <v>-1.2012551865085385E-2</v>
          </cell>
        </row>
        <row r="549">
          <cell r="C549">
            <v>-5.2095130237825693E-2</v>
          </cell>
          <cell r="G549">
            <v>-2.0871708297781139E-2</v>
          </cell>
        </row>
        <row r="550">
          <cell r="C550">
            <v>2.6284348864994107E-2</v>
          </cell>
          <cell r="G550">
            <v>2.3570024703270884E-2</v>
          </cell>
        </row>
        <row r="551">
          <cell r="C551">
            <v>9.0803259604190847E-2</v>
          </cell>
          <cell r="G551">
            <v>2.2346492470096763E-2</v>
          </cell>
        </row>
        <row r="552">
          <cell r="C552">
            <v>-2.8815368196371354E-2</v>
          </cell>
          <cell r="G552">
            <v>2.0209267670376761E-3</v>
          </cell>
        </row>
        <row r="553">
          <cell r="C553">
            <v>0.10989010989010989</v>
          </cell>
          <cell r="G553">
            <v>1.3225342900314912E-2</v>
          </cell>
        </row>
        <row r="554">
          <cell r="C554">
            <v>-5.9405940594059901E-3</v>
          </cell>
          <cell r="G554">
            <v>-1.5978328860683264E-2</v>
          </cell>
        </row>
        <row r="555">
          <cell r="C555">
            <v>9.9601593625498017E-2</v>
          </cell>
          <cell r="G555">
            <v>3.9625177393212739E-3</v>
          </cell>
        </row>
        <row r="556">
          <cell r="C556">
            <v>9.0579710144928823E-3</v>
          </cell>
          <cell r="G556">
            <v>1.1269604383480217E-2</v>
          </cell>
        </row>
        <row r="557">
          <cell r="C557">
            <v>-2.244165170556553E-2</v>
          </cell>
          <cell r="G557">
            <v>3.014050815143735E-3</v>
          </cell>
        </row>
        <row r="558">
          <cell r="C558">
            <v>1.0101010101010048E-2</v>
          </cell>
          <cell r="G558">
            <v>3.9954602332372396E-3</v>
          </cell>
        </row>
        <row r="559">
          <cell r="C559">
            <v>4.9090909090909012E-2</v>
          </cell>
          <cell r="G559">
            <v>-4.4729319059375657E-3</v>
          </cell>
        </row>
        <row r="560">
          <cell r="C560">
            <v>-7.8856152512998129E-2</v>
          </cell>
          <cell r="G560">
            <v>-2.3940926544150431E-2</v>
          </cell>
        </row>
        <row r="561">
          <cell r="C561">
            <v>0</v>
          </cell>
          <cell r="G561">
            <v>1.3330542539351528E-3</v>
          </cell>
        </row>
        <row r="562">
          <cell r="C562">
            <v>-1.5992474129821254E-2</v>
          </cell>
          <cell r="G562">
            <v>2.1761689940646397E-3</v>
          </cell>
        </row>
        <row r="563">
          <cell r="C563">
            <v>-3.8240917782026797E-2</v>
          </cell>
          <cell r="G563">
            <v>-3.5828146008385696E-3</v>
          </cell>
        </row>
        <row r="564">
          <cell r="C564">
            <v>1.689860834990059E-2</v>
          </cell>
          <cell r="G564">
            <v>-2.8619274738285335E-3</v>
          </cell>
        </row>
        <row r="565">
          <cell r="C565">
            <v>-3.1280547409579695E-2</v>
          </cell>
          <cell r="G565">
            <v>-1.69915092114277E-2</v>
          </cell>
        </row>
        <row r="566">
          <cell r="C566">
            <v>2.8254288597376321E-2</v>
          </cell>
          <cell r="G566">
            <v>1.9667628129835829E-2</v>
          </cell>
        </row>
        <row r="567">
          <cell r="C567">
            <v>-3.4347399411187404E-2</v>
          </cell>
          <cell r="G567">
            <v>-1.015928494055799E-2</v>
          </cell>
        </row>
        <row r="568">
          <cell r="C568">
            <v>-7.1138211382114113E-3</v>
          </cell>
          <cell r="G568">
            <v>1.7922999673746685E-2</v>
          </cell>
        </row>
        <row r="569">
          <cell r="C569">
            <v>5.6294779938587586E-2</v>
          </cell>
          <cell r="G569">
            <v>9.948736471131021E-3</v>
          </cell>
        </row>
        <row r="570">
          <cell r="C570">
            <v>-3.0038759689922527E-2</v>
          </cell>
          <cell r="G570">
            <v>-4.6126629027089579E-3</v>
          </cell>
        </row>
        <row r="571">
          <cell r="C571">
            <v>1.1988011988012087E-2</v>
          </cell>
          <cell r="G571">
            <v>1.5678758861266062E-3</v>
          </cell>
        </row>
        <row r="572">
          <cell r="C572">
            <v>1.0858835143139133E-2</v>
          </cell>
          <cell r="G572">
            <v>5.8303737499326054E-3</v>
          </cell>
        </row>
        <row r="573">
          <cell r="C573">
            <v>-1.6601562499999993E-2</v>
          </cell>
          <cell r="G573">
            <v>-1.7885194881091455E-3</v>
          </cell>
        </row>
        <row r="574">
          <cell r="C574">
            <v>-4.9652432969216195E-3</v>
          </cell>
          <cell r="G574">
            <v>1.6681339760309839E-3</v>
          </cell>
        </row>
        <row r="575">
          <cell r="C575">
            <v>1.6966067864271451E-2</v>
          </cell>
          <cell r="G575">
            <v>-8.653670636519074E-3</v>
          </cell>
        </row>
        <row r="576">
          <cell r="C576">
            <v>0</v>
          </cell>
          <cell r="G576">
            <v>1.0825458764466934E-2</v>
          </cell>
        </row>
        <row r="577">
          <cell r="C577">
            <v>-2.1589793915603422E-2</v>
          </cell>
          <cell r="G577">
            <v>-2.0537544455060787E-3</v>
          </cell>
        </row>
        <row r="578">
          <cell r="C578">
            <v>2.0060180541624445E-3</v>
          </cell>
          <cell r="G578">
            <v>-8.3195494513595668E-3</v>
          </cell>
        </row>
        <row r="579">
          <cell r="C579">
            <v>-5.0050050050050761E-3</v>
          </cell>
          <cell r="G579">
            <v>-4.9599807343085897E-3</v>
          </cell>
        </row>
        <row r="580">
          <cell r="C580">
            <v>-5.030181086519008E-3</v>
          </cell>
          <cell r="G580">
            <v>2.1831374047235692E-2</v>
          </cell>
        </row>
        <row r="581">
          <cell r="C581">
            <v>2.0222446916076412E-3</v>
          </cell>
          <cell r="G581">
            <v>-8.5349465454917506E-3</v>
          </cell>
        </row>
        <row r="582">
          <cell r="C582">
            <v>-6.0544904137235615E-3</v>
          </cell>
          <cell r="G582">
            <v>-5.1608564438508754E-3</v>
          </cell>
        </row>
        <row r="583">
          <cell r="C583">
            <v>-1.1167512690355272E-2</v>
          </cell>
          <cell r="G583">
            <v>-4.3500627619891827E-3</v>
          </cell>
        </row>
        <row r="584">
          <cell r="C584">
            <v>-2.5667351129363448E-2</v>
          </cell>
          <cell r="G584">
            <v>-1.3390957514982845E-2</v>
          </cell>
        </row>
        <row r="585">
          <cell r="C585">
            <v>-1.5806111696522691E-2</v>
          </cell>
          <cell r="G585">
            <v>-4.2056058930445735E-3</v>
          </cell>
        </row>
        <row r="586">
          <cell r="C586">
            <v>-6.4239828693790687E-3</v>
          </cell>
          <cell r="G586">
            <v>1.1057895190601718E-2</v>
          </cell>
        </row>
        <row r="587">
          <cell r="C587">
            <v>8.6206896551724223E-3</v>
          </cell>
          <cell r="G587">
            <v>8.5275894513885467E-3</v>
          </cell>
        </row>
        <row r="588">
          <cell r="C588">
            <v>4.2735042735043728E-3</v>
          </cell>
          <cell r="G588">
            <v>5.1411090475375178E-3</v>
          </cell>
        </row>
        <row r="589">
          <cell r="C589">
            <v>2.9787234042553123E-2</v>
          </cell>
          <cell r="G589">
            <v>1.376080887807259E-2</v>
          </cell>
        </row>
        <row r="590">
          <cell r="C590">
            <v>4.1322314049587732E-3</v>
          </cell>
          <cell r="G590">
            <v>4.0507630418259036E-3</v>
          </cell>
        </row>
        <row r="591">
          <cell r="C591">
            <v>-1.4403292181070016E-2</v>
          </cell>
          <cell r="G591">
            <v>-6.5180108138390156E-3</v>
          </cell>
        </row>
        <row r="592">
          <cell r="C592">
            <v>7.0981210855949869E-2</v>
          </cell>
          <cell r="G592">
            <v>-2.3650396183539E-3</v>
          </cell>
        </row>
        <row r="593">
          <cell r="C593">
            <v>-1.3645224171540018E-2</v>
          </cell>
          <cell r="G593">
            <v>7.4803501201451501E-3</v>
          </cell>
        </row>
        <row r="594">
          <cell r="C594">
            <v>-5.9288537549405853E-3</v>
          </cell>
          <cell r="G594">
            <v>3.966679284189983E-3</v>
          </cell>
        </row>
        <row r="595">
          <cell r="C595">
            <v>6.9582504970179208E-3</v>
          </cell>
          <cell r="G595">
            <v>4.4156781195177509E-3</v>
          </cell>
        </row>
        <row r="596">
          <cell r="C596">
            <v>1.3820335636722485E-2</v>
          </cell>
          <cell r="G596">
            <v>1.1050598414795689E-2</v>
          </cell>
        </row>
        <row r="597">
          <cell r="C597">
            <v>2.1421616358325284E-2</v>
          </cell>
          <cell r="G597">
            <v>-4.6056261696971742E-4</v>
          </cell>
        </row>
        <row r="598">
          <cell r="C598">
            <v>2.5738798856053343E-2</v>
          </cell>
          <cell r="G598">
            <v>7.171075479662131E-3</v>
          </cell>
        </row>
        <row r="599">
          <cell r="C599">
            <v>4.5539033457249092E-2</v>
          </cell>
          <cell r="G599">
            <v>1.6340136259399916E-2</v>
          </cell>
        </row>
        <row r="600">
          <cell r="C600">
            <v>2.2222222222222223E-2</v>
          </cell>
          <cell r="G600">
            <v>6.157464223780054E-3</v>
          </cell>
        </row>
        <row r="601">
          <cell r="C601">
            <v>-7.8260869565217276E-3</v>
          </cell>
          <cell r="G601">
            <v>-1.3355118749748519E-3</v>
          </cell>
        </row>
        <row r="602">
          <cell r="C602">
            <v>-2.1034180543383015E-2</v>
          </cell>
          <cell r="G602">
            <v>-6.9337522258866905E-4</v>
          </cell>
        </row>
        <row r="603">
          <cell r="C603">
            <v>2.4171888988361645E-2</v>
          </cell>
          <cell r="G603">
            <v>2.4570872630891986E-3</v>
          </cell>
        </row>
        <row r="604">
          <cell r="C604">
            <v>4.3706293706294325E-3</v>
          </cell>
          <cell r="G604">
            <v>1.8866789596717478E-3</v>
          </cell>
        </row>
        <row r="605">
          <cell r="C605">
            <v>-2.0887728459530044E-2</v>
          </cell>
          <cell r="G605">
            <v>-3.2023081130521649E-3</v>
          </cell>
        </row>
        <row r="606">
          <cell r="C606">
            <v>-5.3333333333333774E-3</v>
          </cell>
          <cell r="G606">
            <v>-7.6921191709392704E-3</v>
          </cell>
        </row>
        <row r="607">
          <cell r="C607">
            <v>1.3404825737265447E-2</v>
          </cell>
          <cell r="G607">
            <v>9.9182420555899466E-3</v>
          </cell>
        </row>
        <row r="608">
          <cell r="C608">
            <v>4.3209876543209895E-2</v>
          </cell>
          <cell r="G608">
            <v>1.1031783681706658E-3</v>
          </cell>
        </row>
        <row r="609">
          <cell r="C609">
            <v>8.453085376162299E-2</v>
          </cell>
          <cell r="G609">
            <v>8.7229570940479638E-3</v>
          </cell>
        </row>
        <row r="610">
          <cell r="C610">
            <v>1.4809041309430983E-2</v>
          </cell>
          <cell r="G610">
            <v>-1.9193007112413736E-3</v>
          </cell>
        </row>
        <row r="611">
          <cell r="C611">
            <v>-1.2288786482334882E-2</v>
          </cell>
          <cell r="G611">
            <v>-3.1184868738145027E-3</v>
          </cell>
        </row>
        <row r="612">
          <cell r="C612">
            <v>-3.8880248833592534E-2</v>
          </cell>
          <cell r="G612">
            <v>-7.2121185869074515E-3</v>
          </cell>
        </row>
        <row r="613">
          <cell r="C613">
            <v>4.0453074433656963E-2</v>
          </cell>
          <cell r="G613">
            <v>2.2318140501233243E-3</v>
          </cell>
        </row>
        <row r="614">
          <cell r="C614">
            <v>-3.1104199066873919E-2</v>
          </cell>
          <cell r="G614">
            <v>-4.6881474966038962E-3</v>
          </cell>
        </row>
        <row r="615">
          <cell r="C615">
            <v>4.0128410914926907E-3</v>
          </cell>
          <cell r="G615">
            <v>-5.2861212033855718E-4</v>
          </cell>
        </row>
        <row r="616">
          <cell r="C616">
            <v>1.358912869704236E-2</v>
          </cell>
          <cell r="G616">
            <v>-1.8013159358945402E-3</v>
          </cell>
        </row>
        <row r="617">
          <cell r="C617">
            <v>-1.4195583596214489E-2</v>
          </cell>
          <cell r="G617">
            <v>1.2910040980612764E-3</v>
          </cell>
        </row>
        <row r="618">
          <cell r="C618">
            <v>-2.7999999999999973E-2</v>
          </cell>
          <cell r="G618">
            <v>-5.3917077786121946E-3</v>
          </cell>
        </row>
        <row r="619">
          <cell r="C619">
            <v>-6.1728395061728392E-2</v>
          </cell>
          <cell r="G619">
            <v>-1.4707170938081923E-2</v>
          </cell>
        </row>
        <row r="620">
          <cell r="C620">
            <v>1.7543859649122432E-3</v>
          </cell>
          <cell r="G620">
            <v>2.8811325391176878E-3</v>
          </cell>
        </row>
        <row r="621">
          <cell r="C621">
            <v>1.6637478108581391E-2</v>
          </cell>
          <cell r="G621">
            <v>4.6300450785007443E-3</v>
          </cell>
        </row>
        <row r="622">
          <cell r="C622">
            <v>7.7519379844961118E-3</v>
          </cell>
          <cell r="G622">
            <v>9.3874020663054659E-3</v>
          </cell>
        </row>
        <row r="623">
          <cell r="C623">
            <v>-3.0769230769230722E-2</v>
          </cell>
          <cell r="G623">
            <v>-2.3930676977282784E-3</v>
          </cell>
        </row>
        <row r="624">
          <cell r="C624">
            <v>-3.880070546737209E-2</v>
          </cell>
          <cell r="G624">
            <v>-5.3906603548448976E-3</v>
          </cell>
        </row>
        <row r="625">
          <cell r="C625">
            <v>-9.1743119266054721E-3</v>
          </cell>
          <cell r="G625">
            <v>-1.7491363955308285E-3</v>
          </cell>
        </row>
        <row r="626">
          <cell r="C626">
            <v>3.7037037037036245E-3</v>
          </cell>
          <cell r="G626">
            <v>-2.0749306807564803E-3</v>
          </cell>
        </row>
        <row r="627">
          <cell r="C627">
            <v>1.8450184501844952E-2</v>
          </cell>
          <cell r="G627">
            <v>1.7043078298473246E-2</v>
          </cell>
        </row>
        <row r="628">
          <cell r="C628">
            <v>-1.0869565217391235E-2</v>
          </cell>
          <cell r="G628">
            <v>-1.0191211110526135E-2</v>
          </cell>
        </row>
        <row r="629">
          <cell r="C629">
            <v>-1.6483516483516456E-2</v>
          </cell>
          <cell r="G629">
            <v>-2.4466265588386745E-3</v>
          </cell>
        </row>
        <row r="630">
          <cell r="C630">
            <v>-1.1173184357541992E-2</v>
          </cell>
          <cell r="G630">
            <v>7.0415292152849478E-4</v>
          </cell>
        </row>
        <row r="631">
          <cell r="C631">
            <v>-1.0357815442561152E-2</v>
          </cell>
          <cell r="G631">
            <v>2.3125287881408136E-4</v>
          </cell>
        </row>
        <row r="632">
          <cell r="C632">
            <v>1.0466222645099851E-2</v>
          </cell>
          <cell r="G632">
            <v>2.8803067161324099E-3</v>
          </cell>
        </row>
        <row r="633">
          <cell r="C633">
            <v>1.8832391713748918E-3</v>
          </cell>
          <cell r="G633">
            <v>4.3266329695856977E-3</v>
          </cell>
        </row>
        <row r="634">
          <cell r="C634">
            <v>1.2218045112781861E-2</v>
          </cell>
          <cell r="G634">
            <v>8.1385063823409445E-4</v>
          </cell>
        </row>
        <row r="635">
          <cell r="C635">
            <v>-2.9712163416898821E-2</v>
          </cell>
          <cell r="G635">
            <v>-1.6750478241925101E-3</v>
          </cell>
        </row>
        <row r="636">
          <cell r="C636">
            <v>-1.7224880382775094E-2</v>
          </cell>
          <cell r="G636">
            <v>-2.5189844469082948E-3</v>
          </cell>
        </row>
        <row r="637">
          <cell r="C637">
            <v>-2.0447906523855801E-2</v>
          </cell>
          <cell r="G637">
            <v>3.0017192236722737E-4</v>
          </cell>
        </row>
        <row r="638">
          <cell r="C638">
            <v>-1.5904572564612338E-2</v>
          </cell>
          <cell r="G638">
            <v>-7.7371207534801239E-3</v>
          </cell>
        </row>
        <row r="639">
          <cell r="C639">
            <v>9.0909090909090766E-3</v>
          </cell>
          <cell r="G639">
            <v>-1.2046148159585447E-4</v>
          </cell>
        </row>
        <row r="640">
          <cell r="C640">
            <v>-2.2022022022022084E-2</v>
          </cell>
          <cell r="G640">
            <v>-5.4328332593216368E-3</v>
          </cell>
        </row>
        <row r="641">
          <cell r="C641">
            <v>3.1729785056294833E-2</v>
          </cell>
          <cell r="G641">
            <v>8.4572850363901515E-3</v>
          </cell>
        </row>
        <row r="642">
          <cell r="C642">
            <v>2.3809523809523829E-2</v>
          </cell>
          <cell r="G642">
            <v>6.428853661234999E-3</v>
          </cell>
        </row>
        <row r="643">
          <cell r="C643">
            <v>-2.5193798449612382E-2</v>
          </cell>
          <cell r="G643">
            <v>6.6082726528063948E-4</v>
          </cell>
        </row>
        <row r="644">
          <cell r="C644">
            <v>-9.9403578528824924E-4</v>
          </cell>
          <cell r="G644">
            <v>-3.1178149013975347E-3</v>
          </cell>
        </row>
        <row r="645">
          <cell r="C645">
            <v>-1.5920398009950262E-2</v>
          </cell>
          <cell r="G645">
            <v>-3.1680774998278853E-3</v>
          </cell>
        </row>
        <row r="646">
          <cell r="C646">
            <v>3.0333670374114619E-3</v>
          </cell>
          <cell r="G646">
            <v>-7.7138426130159013E-3</v>
          </cell>
        </row>
        <row r="647">
          <cell r="C647">
            <v>-1.0080645161290288E-2</v>
          </cell>
          <cell r="G647">
            <v>2.5167845763972676E-4</v>
          </cell>
        </row>
        <row r="648">
          <cell r="C648">
            <v>7.1283095723014547E-3</v>
          </cell>
          <cell r="G648">
            <v>5.1320152038335908E-3</v>
          </cell>
        </row>
        <row r="649">
          <cell r="C649">
            <v>-8.0889787664307454E-3</v>
          </cell>
          <cell r="G649">
            <v>-2.2504410332524795E-3</v>
          </cell>
        </row>
        <row r="650">
          <cell r="C650">
            <v>1.0193679918450342E-3</v>
          </cell>
          <cell r="G650">
            <v>-2.1349349999874243E-3</v>
          </cell>
        </row>
        <row r="651">
          <cell r="C651">
            <v>-1.2219959266802544E-2</v>
          </cell>
          <cell r="G651">
            <v>-5.4494566867302422E-3</v>
          </cell>
        </row>
        <row r="652">
          <cell r="C652">
            <v>5.1546391752578056E-3</v>
          </cell>
          <cell r="G652">
            <v>7.3681399038512995E-3</v>
          </cell>
        </row>
        <row r="653">
          <cell r="C653">
            <v>1.7435897435897428E-2</v>
          </cell>
          <cell r="G653">
            <v>7.2234700884181062E-3</v>
          </cell>
        </row>
        <row r="654">
          <cell r="C654">
            <v>3.0241935483870325E-3</v>
          </cell>
          <cell r="G654">
            <v>1.0764536504549794E-2</v>
          </cell>
        </row>
        <row r="655">
          <cell r="C655">
            <v>-1.1055276381909491E-2</v>
          </cell>
          <cell r="G655">
            <v>-5.8924751118271225E-3</v>
          </cell>
        </row>
        <row r="656">
          <cell r="C656">
            <v>-8.1300813008130159E-3</v>
          </cell>
          <cell r="G656">
            <v>-4.0312607218550879E-3</v>
          </cell>
        </row>
        <row r="657">
          <cell r="C657">
            <v>-1.2295081967213035E-2</v>
          </cell>
          <cell r="G657">
            <v>-5.7232045579070547E-3</v>
          </cell>
        </row>
        <row r="658">
          <cell r="C658">
            <v>-2.0746887966805089E-2</v>
          </cell>
          <cell r="G658">
            <v>-4.7872539206013009E-3</v>
          </cell>
        </row>
        <row r="659">
          <cell r="C659">
            <v>6.2499999999999986E-2</v>
          </cell>
          <cell r="G659">
            <v>4.8618343352809009E-3</v>
          </cell>
        </row>
        <row r="660">
          <cell r="C660">
            <v>-9.9700897308075426E-3</v>
          </cell>
          <cell r="G660">
            <v>1.1409099833846197E-3</v>
          </cell>
        </row>
        <row r="661">
          <cell r="C661">
            <v>-1.1077542799597124E-2</v>
          </cell>
          <cell r="G661">
            <v>-1.3243429845880293E-4</v>
          </cell>
        </row>
        <row r="662">
          <cell r="C662">
            <v>2.3421588594704727E-2</v>
          </cell>
          <cell r="G662">
            <v>-1.0764875628144445E-2</v>
          </cell>
        </row>
        <row r="663">
          <cell r="C663">
            <v>-2.9850746268657844E-3</v>
          </cell>
          <cell r="G663">
            <v>1.1600522439261637E-3</v>
          </cell>
        </row>
        <row r="664">
          <cell r="C664">
            <v>-2.0958083832335238E-2</v>
          </cell>
          <cell r="G664">
            <v>-8.2947398997442509E-4</v>
          </cell>
        </row>
        <row r="665">
          <cell r="C665">
            <v>-1.121304791029574E-2</v>
          </cell>
          <cell r="G665">
            <v>-4.018882096025145E-3</v>
          </cell>
        </row>
        <row r="666">
          <cell r="C666">
            <v>-1.0309278350515245E-3</v>
          </cell>
          <cell r="G666">
            <v>-7.1313992136950262E-3</v>
          </cell>
        </row>
        <row r="667">
          <cell r="C667">
            <v>-9.2879256965944131E-3</v>
          </cell>
          <cell r="G667">
            <v>4.9229783749753699E-3</v>
          </cell>
        </row>
        <row r="668">
          <cell r="C668">
            <v>1.8749999999999972E-2</v>
          </cell>
          <cell r="G668">
            <v>1.2293158709296582E-2</v>
          </cell>
        </row>
        <row r="669">
          <cell r="C669">
            <v>1.0224948875255406E-3</v>
          </cell>
          <cell r="G669">
            <v>1.5290808205127399E-3</v>
          </cell>
        </row>
        <row r="670">
          <cell r="C670">
            <v>-7.2522982635342098E-2</v>
          </cell>
          <cell r="G670">
            <v>-8.0202308164549832E-3</v>
          </cell>
        </row>
        <row r="671">
          <cell r="C671">
            <v>-1.2114537444933859E-2</v>
          </cell>
          <cell r="G671">
            <v>-3.7239285548247365E-3</v>
          </cell>
        </row>
        <row r="672">
          <cell r="C672">
            <v>-2.0066889632107187E-2</v>
          </cell>
          <cell r="G672">
            <v>4.3611794663666022E-3</v>
          </cell>
        </row>
        <row r="673">
          <cell r="C673">
            <v>1.59271899886235E-2</v>
          </cell>
          <cell r="G673">
            <v>-6.0608953961661374E-3</v>
          </cell>
        </row>
        <row r="674">
          <cell r="C674">
            <v>-1.4557670772676262E-2</v>
          </cell>
          <cell r="G674">
            <v>-2.3130160167836281E-3</v>
          </cell>
        </row>
        <row r="675">
          <cell r="C675">
            <v>-2.9545454545454722E-2</v>
          </cell>
          <cell r="G675">
            <v>-1.1162260486702595E-2</v>
          </cell>
        </row>
        <row r="676">
          <cell r="C676">
            <v>-4.6838407494145036E-2</v>
          </cell>
          <cell r="G676">
            <v>-8.9463222836476154E-3</v>
          </cell>
        </row>
        <row r="677">
          <cell r="C677">
            <v>-3.9312039312039346E-2</v>
          </cell>
          <cell r="G677">
            <v>-6.5872408066804172E-3</v>
          </cell>
        </row>
        <row r="678">
          <cell r="C678">
            <v>-3.3248081841432311E-2</v>
          </cell>
          <cell r="G678">
            <v>-4.9310239469031996E-3</v>
          </cell>
        </row>
        <row r="679">
          <cell r="C679">
            <v>-7.2751322751322733E-2</v>
          </cell>
          <cell r="G679">
            <v>-5.6742850347608698E-3</v>
          </cell>
        </row>
        <row r="680">
          <cell r="C680">
            <v>0.11840228245363768</v>
          </cell>
          <cell r="G680">
            <v>1.0200643673400862E-2</v>
          </cell>
        </row>
        <row r="681">
          <cell r="C681">
            <v>-1.4030612244897886E-2</v>
          </cell>
          <cell r="G681">
            <v>-2.0059445702069606E-2</v>
          </cell>
        </row>
        <row r="682">
          <cell r="C682">
            <v>5.8214747736093052E-2</v>
          </cell>
          <cell r="G682">
            <v>1.2010348292437096E-2</v>
          </cell>
        </row>
        <row r="683">
          <cell r="C683">
            <v>2.4449877750610726E-3</v>
          </cell>
          <cell r="G683">
            <v>-6.2138638206134255E-4</v>
          </cell>
        </row>
        <row r="684">
          <cell r="C684">
            <v>-1.463414634146332E-2</v>
          </cell>
          <cell r="G684">
            <v>3.8509795706425857E-3</v>
          </cell>
        </row>
        <row r="685">
          <cell r="C685">
            <v>-1.980198019801982E-2</v>
          </cell>
          <cell r="G685">
            <v>-8.3901475207850077E-3</v>
          </cell>
        </row>
        <row r="686">
          <cell r="C686">
            <v>-3.1565656565656568E-2</v>
          </cell>
          <cell r="G686">
            <v>-6.5673276457090058E-3</v>
          </cell>
        </row>
        <row r="687">
          <cell r="C687">
            <v>5.2151238591916609E-3</v>
          </cell>
          <cell r="G687">
            <v>4.7959096058591555E-3</v>
          </cell>
        </row>
        <row r="688">
          <cell r="C688">
            <v>-2.723735408560311E-2</v>
          </cell>
          <cell r="G688">
            <v>-2.4404499704391257E-3</v>
          </cell>
        </row>
        <row r="689">
          <cell r="C689">
            <v>-2.9333333333333302E-2</v>
          </cell>
          <cell r="G689">
            <v>-1.4566554616823138E-2</v>
          </cell>
        </row>
        <row r="690">
          <cell r="C690">
            <v>-1.3736263736264663E-3</v>
          </cell>
          <cell r="G690">
            <v>1.2258908699308386E-3</v>
          </cell>
        </row>
        <row r="691">
          <cell r="C691">
            <v>-3.9889958734525333E-2</v>
          </cell>
          <cell r="G691">
            <v>-1.5069589463638443E-2</v>
          </cell>
        </row>
        <row r="692">
          <cell r="C692">
            <v>4.8710601719197687E-2</v>
          </cell>
          <cell r="G692">
            <v>2.5725456008521663E-2</v>
          </cell>
        </row>
        <row r="693">
          <cell r="C693">
            <v>2.8688524590163928E-2</v>
          </cell>
          <cell r="G693">
            <v>1.1004049291644604E-2</v>
          </cell>
        </row>
        <row r="694">
          <cell r="C694">
            <v>-3.187250996015939E-2</v>
          </cell>
          <cell r="G694">
            <v>-4.2854405014733261E-3</v>
          </cell>
        </row>
        <row r="695">
          <cell r="C695">
            <v>3.2921810699588508E-2</v>
          </cell>
          <cell r="G695">
            <v>1.9494078461643648E-2</v>
          </cell>
        </row>
        <row r="696">
          <cell r="C696">
            <v>-2.5232403718459546E-2</v>
          </cell>
          <cell r="G696">
            <v>7.0756883708070891E-3</v>
          </cell>
        </row>
        <row r="697">
          <cell r="C697">
            <v>-1.6348773841961869E-2</v>
          </cell>
          <cell r="G697">
            <v>-5.3040718965374446E-3</v>
          </cell>
        </row>
        <row r="698">
          <cell r="C698">
            <v>-1.3850415512465325E-2</v>
          </cell>
          <cell r="G698">
            <v>-3.2721668791944121E-3</v>
          </cell>
        </row>
        <row r="699">
          <cell r="C699">
            <v>-4.2134831460674503E-3</v>
          </cell>
          <cell r="G699">
            <v>-3.8134046765495415E-3</v>
          </cell>
        </row>
        <row r="700">
          <cell r="C700">
            <v>1.1283497884344157E-2</v>
          </cell>
          <cell r="G700">
            <v>1.3148759567243878E-2</v>
          </cell>
        </row>
        <row r="701">
          <cell r="C701">
            <v>-9.762900976290137E-3</v>
          </cell>
          <cell r="G701">
            <v>3.0466048316461812E-3</v>
          </cell>
        </row>
        <row r="702">
          <cell r="C702">
            <v>-9.8591549295773805E-3</v>
          </cell>
          <cell r="G702">
            <v>4.9618694897862478E-3</v>
          </cell>
        </row>
        <row r="703">
          <cell r="C703">
            <v>6.258890469416778E-2</v>
          </cell>
          <cell r="G703">
            <v>1.5735543856164536E-2</v>
          </cell>
        </row>
        <row r="704">
          <cell r="C704">
            <v>4.0160642570281459E-3</v>
          </cell>
          <cell r="G704">
            <v>3.5510853804811746E-3</v>
          </cell>
        </row>
        <row r="705">
          <cell r="C705">
            <v>2.0000000000000049E-2</v>
          </cell>
          <cell r="G705">
            <v>-1.7082362969647377E-3</v>
          </cell>
        </row>
        <row r="706">
          <cell r="C706">
            <v>4.3137254901960791E-2</v>
          </cell>
          <cell r="G706">
            <v>3.9704510333718164E-3</v>
          </cell>
        </row>
        <row r="707">
          <cell r="C707">
            <v>-2.6315789473684317E-2</v>
          </cell>
          <cell r="G707">
            <v>1.6226457130344622E-3</v>
          </cell>
        </row>
        <row r="708">
          <cell r="C708">
            <v>-1.8018018018017976E-2</v>
          </cell>
          <cell r="G708">
            <v>-3.8219038476989928E-3</v>
          </cell>
        </row>
        <row r="709">
          <cell r="C709">
            <v>-4.7182175622542635E-2</v>
          </cell>
          <cell r="G709">
            <v>-1.5178380406766022E-2</v>
          </cell>
        </row>
        <row r="710">
          <cell r="C710">
            <v>1.3755158184320048E-3</v>
          </cell>
          <cell r="G710">
            <v>4.9562596134344631E-3</v>
          </cell>
        </row>
        <row r="711">
          <cell r="C711">
            <v>-2.4725274725274807E-2</v>
          </cell>
          <cell r="G711">
            <v>-6.0411907557985801E-3</v>
          </cell>
        </row>
        <row r="712">
          <cell r="C712">
            <v>-1.4084507042253471E-2</v>
          </cell>
          <cell r="G712">
            <v>-1.2924563596671948E-2</v>
          </cell>
        </row>
        <row r="713">
          <cell r="C713">
            <v>1.7142857142857158E-2</v>
          </cell>
          <cell r="G713">
            <v>-2.8175386865109884E-4</v>
          </cell>
        </row>
        <row r="714">
          <cell r="C714">
            <v>1.825842696629212E-2</v>
          </cell>
          <cell r="G714">
            <v>1.7636990868951711E-2</v>
          </cell>
        </row>
        <row r="715">
          <cell r="C715">
            <v>-3.3103448275862098E-2</v>
          </cell>
          <cell r="G715">
            <v>-7.4874991701207594E-3</v>
          </cell>
        </row>
        <row r="716">
          <cell r="C716">
            <v>5.7061340941512179E-3</v>
          </cell>
          <cell r="G716">
            <v>-1.8166696323927924E-3</v>
          </cell>
        </row>
        <row r="717">
          <cell r="C717">
            <v>-1.4184397163120265E-3</v>
          </cell>
          <cell r="G717">
            <v>8.2174342069594453E-3</v>
          </cell>
        </row>
        <row r="718">
          <cell r="C718">
            <v>-2.9829545454545449E-2</v>
          </cell>
          <cell r="G718">
            <v>-1.601246391382475E-2</v>
          </cell>
        </row>
        <row r="719">
          <cell r="C719">
            <v>-4.5387994143484697E-2</v>
          </cell>
          <cell r="G719">
            <v>-1.7411301781615547E-2</v>
          </cell>
        </row>
        <row r="720">
          <cell r="C720">
            <v>-3.0674846625766763E-2</v>
          </cell>
          <cell r="G720">
            <v>-1.3010884451812869E-2</v>
          </cell>
        </row>
        <row r="721">
          <cell r="C721">
            <v>1.8987341772151913E-2</v>
          </cell>
          <cell r="G721">
            <v>-9.6464000973768439E-3</v>
          </cell>
        </row>
        <row r="722">
          <cell r="C722">
            <v>-1.5527950310560052E-3</v>
          </cell>
          <cell r="G722">
            <v>4.060702275481891E-3</v>
          </cell>
        </row>
        <row r="723">
          <cell r="C723">
            <v>2.7993779160186721E-2</v>
          </cell>
          <cell r="G723">
            <v>2.7562351861624462E-2</v>
          </cell>
        </row>
        <row r="724">
          <cell r="C724">
            <v>-9.0771558245083955E-3</v>
          </cell>
          <cell r="G724">
            <v>-5.6843087532443826E-3</v>
          </cell>
        </row>
        <row r="725">
          <cell r="C725">
            <v>1.5267175572518759E-3</v>
          </cell>
          <cell r="G725">
            <v>6.5840765453255862E-3</v>
          </cell>
        </row>
        <row r="726">
          <cell r="C726">
            <v>-9.2987804878048697E-2</v>
          </cell>
          <cell r="G726">
            <v>-4.7058198590495613E-2</v>
          </cell>
        </row>
        <row r="727">
          <cell r="C727">
            <v>-2.6890756302521031E-2</v>
          </cell>
          <cell r="G727">
            <v>-3.0531420185194089E-5</v>
          </cell>
        </row>
        <row r="728">
          <cell r="C728">
            <v>8.6355785837650811E-3</v>
          </cell>
          <cell r="G728">
            <v>1.1088795251200316E-3</v>
          </cell>
        </row>
        <row r="729">
          <cell r="C729">
            <v>3.7671232876712285E-2</v>
          </cell>
          <cell r="G729">
            <v>1.3232666609212388E-2</v>
          </cell>
        </row>
        <row r="730">
          <cell r="C730">
            <v>-2.3102310231023052E-2</v>
          </cell>
          <cell r="G730">
            <v>-1.5095719861738129E-4</v>
          </cell>
        </row>
        <row r="731">
          <cell r="C731">
            <v>-1.689189189189183E-2</v>
          </cell>
          <cell r="G731">
            <v>-7.4812637709374945E-3</v>
          </cell>
        </row>
        <row r="732">
          <cell r="C732">
            <v>-2.4054982817869511E-2</v>
          </cell>
          <cell r="G732">
            <v>-2.8277408129444093E-3</v>
          </cell>
        </row>
        <row r="733">
          <cell r="C733">
            <v>-5.2816901408449584E-3</v>
          </cell>
          <cell r="G733">
            <v>-1.1969136169461552E-2</v>
          </cell>
        </row>
        <row r="734">
          <cell r="C734">
            <v>6.0176991150442449E-2</v>
          </cell>
          <cell r="G734">
            <v>8.6373916448616445E-3</v>
          </cell>
        </row>
        <row r="735">
          <cell r="C735">
            <v>0.12687813021702835</v>
          </cell>
          <cell r="G735">
            <v>2.5901392267758668E-2</v>
          </cell>
        </row>
        <row r="736">
          <cell r="C736">
            <v>-4.592592592592587E-2</v>
          </cell>
          <cell r="G736">
            <v>-1.4327360556956329E-2</v>
          </cell>
        </row>
        <row r="737">
          <cell r="C737">
            <v>-7.7639751552796132E-3</v>
          </cell>
          <cell r="G737">
            <v>3.8754939265330749E-3</v>
          </cell>
        </row>
        <row r="738">
          <cell r="C738">
            <v>-3.4428794992175236E-2</v>
          </cell>
          <cell r="G738">
            <v>1.0005995351324782E-2</v>
          </cell>
        </row>
        <row r="739">
          <cell r="C739">
            <v>2.431118314424641E-2</v>
          </cell>
          <cell r="G739">
            <v>-3.6734367088821118E-3</v>
          </cell>
        </row>
        <row r="740">
          <cell r="C740">
            <v>-1.5822784810127649E-3</v>
          </cell>
          <cell r="G740">
            <v>-4.7535972847419367E-5</v>
          </cell>
        </row>
        <row r="741">
          <cell r="C741">
            <v>9.1917591125198109E-2</v>
          </cell>
          <cell r="G741">
            <v>2.081042726231626E-3</v>
          </cell>
        </row>
        <row r="742">
          <cell r="C742">
            <v>-3.3381712626995581E-2</v>
          </cell>
          <cell r="G742">
            <v>-3.3548768944742465E-3</v>
          </cell>
        </row>
        <row r="743">
          <cell r="C743">
            <v>2.2522522522522442E-2</v>
          </cell>
          <cell r="G743">
            <v>-4.6454551038693183E-3</v>
          </cell>
        </row>
        <row r="744">
          <cell r="C744">
            <v>-2.3494860499265677E-2</v>
          </cell>
          <cell r="G744">
            <v>2.9672009298291283E-3</v>
          </cell>
        </row>
        <row r="745">
          <cell r="C745">
            <v>2.5563909774436077E-2</v>
          </cell>
          <cell r="G745">
            <v>4.9126164126843596E-3</v>
          </cell>
        </row>
        <row r="746">
          <cell r="C746">
            <v>4.3988269794720466E-3</v>
          </cell>
          <cell r="G746">
            <v>3.5266518768253515E-3</v>
          </cell>
        </row>
        <row r="747">
          <cell r="C747">
            <v>-2.7737226277372191E-2</v>
          </cell>
          <cell r="G747">
            <v>4.0496485516546355E-3</v>
          </cell>
        </row>
        <row r="748">
          <cell r="C748">
            <v>9.00900900900895E-3</v>
          </cell>
          <cell r="G748">
            <v>6.5212024288238786E-3</v>
          </cell>
        </row>
        <row r="749">
          <cell r="C749">
            <v>1.0416666666666709E-2</v>
          </cell>
          <cell r="G749">
            <v>1.1227108850713362E-2</v>
          </cell>
        </row>
        <row r="750">
          <cell r="C750">
            <v>-7.3637702503681624E-3</v>
          </cell>
          <cell r="G750">
            <v>3.7562644797943621E-4</v>
          </cell>
        </row>
        <row r="751">
          <cell r="C751">
            <v>2.0771513353115677E-2</v>
          </cell>
          <cell r="G751">
            <v>-7.1703397801570722E-3</v>
          </cell>
        </row>
        <row r="752">
          <cell r="C752">
            <v>6.2499999999999958E-2</v>
          </cell>
          <cell r="G752">
            <v>5.8415386970052221E-3</v>
          </cell>
        </row>
        <row r="753">
          <cell r="C753">
            <v>-2.0519835841313196E-2</v>
          </cell>
          <cell r="G753">
            <v>1.1952193870856321E-2</v>
          </cell>
        </row>
        <row r="754">
          <cell r="C754">
            <v>-2.9329608938547479E-2</v>
          </cell>
          <cell r="G754">
            <v>-1.4165037505750461E-4</v>
          </cell>
        </row>
        <row r="755">
          <cell r="C755">
            <v>1.4388489208632786E-3</v>
          </cell>
          <cell r="G755">
            <v>7.6545629979040666E-4</v>
          </cell>
        </row>
        <row r="756">
          <cell r="C756">
            <v>-6.4655172413793136E-2</v>
          </cell>
          <cell r="G756">
            <v>-3.3332425884083066E-3</v>
          </cell>
        </row>
        <row r="757">
          <cell r="C757">
            <v>-1.689708141321036E-2</v>
          </cell>
          <cell r="G757">
            <v>5.4629046919795826E-6</v>
          </cell>
        </row>
        <row r="758">
          <cell r="C758">
            <v>-4.6875000000000389E-3</v>
          </cell>
          <cell r="G758">
            <v>-3.3050392835330378E-3</v>
          </cell>
        </row>
        <row r="759">
          <cell r="C759">
            <v>-2.9827315541601316E-2</v>
          </cell>
          <cell r="G759">
            <v>-2.2974116574073079E-3</v>
          </cell>
        </row>
        <row r="760">
          <cell r="C760">
            <v>-3.2362459546924878E-3</v>
          </cell>
          <cell r="G760">
            <v>-1.4810335283858236E-2</v>
          </cell>
        </row>
        <row r="761">
          <cell r="C761">
            <v>1.6233766233765888E-3</v>
          </cell>
          <cell r="G761">
            <v>-1.6639369327751919E-4</v>
          </cell>
        </row>
        <row r="762">
          <cell r="C762">
            <v>-1.1345218800648345E-2</v>
          </cell>
          <cell r="G762">
            <v>4.2901469839915938E-3</v>
          </cell>
        </row>
        <row r="763">
          <cell r="C763">
            <v>1.6393442622951928E-3</v>
          </cell>
          <cell r="G763">
            <v>-2.0962595638926084E-3</v>
          </cell>
        </row>
        <row r="764">
          <cell r="C764">
            <v>1.3093289689034381E-2</v>
          </cell>
          <cell r="G764">
            <v>-8.0447138283392273E-4</v>
          </cell>
        </row>
        <row r="765">
          <cell r="C765">
            <v>3.0694668820678433E-2</v>
          </cell>
          <cell r="G765">
            <v>1.4988492411185969E-3</v>
          </cell>
        </row>
        <row r="766">
          <cell r="C766">
            <v>6.269592476489034E-3</v>
          </cell>
          <cell r="G766">
            <v>2.8470661249403117E-3</v>
          </cell>
        </row>
        <row r="767">
          <cell r="C767">
            <v>-1.5576323987538885E-2</v>
          </cell>
          <cell r="G767">
            <v>-1.1379001948398733E-4</v>
          </cell>
        </row>
        <row r="768">
          <cell r="C768">
            <v>-1.2658227848101276E-2</v>
          </cell>
          <cell r="G768">
            <v>6.5834906720386279E-3</v>
          </cell>
        </row>
        <row r="769">
          <cell r="C769">
            <v>-1.9230769230769246E-2</v>
          </cell>
          <cell r="G769">
            <v>6.607649905189408E-3</v>
          </cell>
        </row>
        <row r="770">
          <cell r="C770">
            <v>-3.2679738562092259E-3</v>
          </cell>
          <cell r="G770">
            <v>9.7351914087729797E-3</v>
          </cell>
        </row>
        <row r="771">
          <cell r="C771">
            <v>1.6393442622951928E-3</v>
          </cell>
          <cell r="G771">
            <v>-5.5556097629726733E-3</v>
          </cell>
        </row>
        <row r="772">
          <cell r="C772">
            <v>-3.2733224222586681E-3</v>
          </cell>
          <cell r="G772">
            <v>1.0186876416312949E-3</v>
          </cell>
        </row>
        <row r="773">
          <cell r="C773">
            <v>-4.9261083743842773E-3</v>
          </cell>
          <cell r="G773">
            <v>-1.4898828459812142E-3</v>
          </cell>
        </row>
        <row r="774">
          <cell r="C774">
            <v>-1.3201320132013068E-2</v>
          </cell>
          <cell r="G774">
            <v>2.3275979603522394E-3</v>
          </cell>
        </row>
        <row r="775">
          <cell r="C775">
            <v>5.0167224080266484E-3</v>
          </cell>
          <cell r="G775">
            <v>8.5272574728579836E-3</v>
          </cell>
        </row>
        <row r="776">
          <cell r="C776">
            <v>0</v>
          </cell>
          <cell r="G776">
            <v>-8.6258539103353394E-3</v>
          </cell>
        </row>
        <row r="777">
          <cell r="C777">
            <v>-6.6555740432612375E-3</v>
          </cell>
          <cell r="G777">
            <v>3.032866318792969E-3</v>
          </cell>
        </row>
        <row r="778">
          <cell r="C778">
            <v>-5.0251256281405969E-3</v>
          </cell>
          <cell r="G778">
            <v>-9.446309704321176E-3</v>
          </cell>
        </row>
        <row r="779">
          <cell r="C779">
            <v>-6.7340067340067398E-3</v>
          </cell>
          <cell r="G779">
            <v>1.9194160733624131E-3</v>
          </cell>
        </row>
        <row r="780">
          <cell r="C780">
            <v>-3.2203389830508536E-2</v>
          </cell>
          <cell r="G780">
            <v>-1.0255468307540324E-3</v>
          </cell>
        </row>
        <row r="781">
          <cell r="C781">
            <v>-3.5026269702275962E-3</v>
          </cell>
          <cell r="G781">
            <v>-5.3343781739222749E-3</v>
          </cell>
        </row>
        <row r="782">
          <cell r="C782">
            <v>-9.4903339191564143E-2</v>
          </cell>
          <cell r="G782">
            <v>5.1664682413058681E-3</v>
          </cell>
        </row>
        <row r="783">
          <cell r="C783">
            <v>2.5242718446601919E-2</v>
          </cell>
          <cell r="G783">
            <v>-6.853071435749424E-3</v>
          </cell>
        </row>
        <row r="784">
          <cell r="C784">
            <v>4.7348484848484848E-2</v>
          </cell>
          <cell r="G784">
            <v>-7.730334403592329E-3</v>
          </cell>
        </row>
        <row r="785">
          <cell r="C785">
            <v>2.1699819168173616E-2</v>
          </cell>
          <cell r="G785">
            <v>2.6823850788830483E-3</v>
          </cell>
        </row>
        <row r="786">
          <cell r="C786">
            <v>-1.2389380530973501E-2</v>
          </cell>
          <cell r="G786">
            <v>-2.885720666865774E-2</v>
          </cell>
        </row>
        <row r="787">
          <cell r="C787">
            <v>0</v>
          </cell>
          <cell r="G787">
            <v>3.5073742012127151E-3</v>
          </cell>
        </row>
        <row r="788">
          <cell r="C788">
            <v>-1.4336917562724026E-2</v>
          </cell>
          <cell r="G788">
            <v>1.0839564353050186E-2</v>
          </cell>
        </row>
        <row r="789">
          <cell r="C789">
            <v>-5.2727272727272734E-2</v>
          </cell>
          <cell r="G789">
            <v>7.7049531713292091E-3</v>
          </cell>
        </row>
        <row r="790">
          <cell r="C790">
            <v>-3.8387715930901295E-3</v>
          </cell>
          <cell r="G790">
            <v>-6.4606444395737825E-3</v>
          </cell>
        </row>
        <row r="791">
          <cell r="C791">
            <v>-5.780346820809296E-3</v>
          </cell>
          <cell r="G791">
            <v>2.605914707512705E-4</v>
          </cell>
        </row>
        <row r="792">
          <cell r="C792">
            <v>1.937984496124024E-2</v>
          </cell>
          <cell r="G792">
            <v>5.7562235939132218E-4</v>
          </cell>
        </row>
        <row r="793">
          <cell r="C793">
            <v>-2.4714828897338385E-2</v>
          </cell>
          <cell r="G793">
            <v>-2.8829204951140591E-2</v>
          </cell>
        </row>
        <row r="794">
          <cell r="C794">
            <v>-1.7543859649122778E-2</v>
          </cell>
          <cell r="G794">
            <v>-8.9819092947808141E-3</v>
          </cell>
        </row>
        <row r="795">
          <cell r="C795">
            <v>1.9841269841269771E-2</v>
          </cell>
          <cell r="G795">
            <v>3.8390003346677423E-3</v>
          </cell>
        </row>
        <row r="796">
          <cell r="C796">
            <v>1.3618677042801612E-2</v>
          </cell>
          <cell r="G796">
            <v>1.8833741917377512E-2</v>
          </cell>
        </row>
        <row r="797">
          <cell r="C797">
            <v>-3.8387715930901295E-3</v>
          </cell>
          <cell r="G797">
            <v>-4.567239831056156E-3</v>
          </cell>
        </row>
        <row r="798">
          <cell r="C798">
            <v>-3.2755298651252561E-2</v>
          </cell>
          <cell r="G798">
            <v>-6.5616987295127847E-3</v>
          </cell>
        </row>
        <row r="799">
          <cell r="C799">
            <v>0</v>
          </cell>
          <cell r="G799">
            <v>8.1382363365231011E-3</v>
          </cell>
        </row>
        <row r="800">
          <cell r="C800">
            <v>-3.9840637450198361E-3</v>
          </cell>
          <cell r="G800">
            <v>5.8524943606813257E-3</v>
          </cell>
        </row>
        <row r="801">
          <cell r="C801">
            <v>1.7999999999999971E-2</v>
          </cell>
          <cell r="G801">
            <v>-3.8307528545885039E-3</v>
          </cell>
        </row>
        <row r="802">
          <cell r="C802">
            <v>3.1434184675834996E-2</v>
          </cell>
          <cell r="G802">
            <v>-1.7742733334200816E-2</v>
          </cell>
        </row>
        <row r="803">
          <cell r="C803">
            <v>0</v>
          </cell>
          <cell r="G803">
            <v>4.6537332003717411E-3</v>
          </cell>
        </row>
        <row r="804">
          <cell r="C804">
            <v>1.3333333333333388E-2</v>
          </cell>
          <cell r="G804">
            <v>-6.1137787408901208E-4</v>
          </cell>
        </row>
        <row r="805">
          <cell r="C805">
            <v>-2.4436090225563888E-2</v>
          </cell>
          <cell r="G805">
            <v>7.3780564158839315E-3</v>
          </cell>
        </row>
        <row r="806">
          <cell r="C806">
            <v>3.8535645472060833E-3</v>
          </cell>
          <cell r="G806">
            <v>6.5690084795115415E-4</v>
          </cell>
        </row>
        <row r="807">
          <cell r="C807">
            <v>2.1113243761996223E-2</v>
          </cell>
          <cell r="G807">
            <v>8.7809412107237202E-3</v>
          </cell>
        </row>
        <row r="808">
          <cell r="C808">
            <v>-4.3233082706766998E-2</v>
          </cell>
          <cell r="G808">
            <v>1.1497816247988997E-2</v>
          </cell>
        </row>
        <row r="809">
          <cell r="C809">
            <v>-5.8939096267191064E-3</v>
          </cell>
          <cell r="G809">
            <v>-2.2759441657834146E-3</v>
          </cell>
        </row>
        <row r="810">
          <cell r="C810">
            <v>1.1857707509881523E-2</v>
          </cell>
          <cell r="G810">
            <v>1.3335645894812526E-2</v>
          </cell>
        </row>
        <row r="811">
          <cell r="C811">
            <v>-5.8593750000000486E-3</v>
          </cell>
          <cell r="G811">
            <v>4.9696375356313265E-3</v>
          </cell>
        </row>
        <row r="812">
          <cell r="C812">
            <v>2.1611001964636604E-2</v>
          </cell>
          <cell r="G812">
            <v>-2.7685749348147843E-2</v>
          </cell>
        </row>
        <row r="813">
          <cell r="C813">
            <v>0.1538461538461538</v>
          </cell>
          <cell r="G813">
            <v>5.9313872430531408E-4</v>
          </cell>
        </row>
        <row r="814">
          <cell r="C814">
            <v>6.6666666666666723E-3</v>
          </cell>
          <cell r="G814">
            <v>4.1663555520750463E-3</v>
          </cell>
        </row>
        <row r="815">
          <cell r="C815">
            <v>-3.8079470198675566E-2</v>
          </cell>
          <cell r="G815">
            <v>-7.3512109197004108E-3</v>
          </cell>
        </row>
        <row r="816">
          <cell r="C816">
            <v>0.16179001721170402</v>
          </cell>
          <cell r="G816">
            <v>1.5021640068486346E-2</v>
          </cell>
        </row>
        <row r="817">
          <cell r="C817">
            <v>-4.4444444444444809E-3</v>
          </cell>
          <cell r="G817">
            <v>3.8258433311778341E-2</v>
          </cell>
        </row>
        <row r="818">
          <cell r="C818">
            <v>-3.422619047619041E-2</v>
          </cell>
          <cell r="G818">
            <v>5.6842610763993056E-3</v>
          </cell>
        </row>
        <row r="819">
          <cell r="C819">
            <v>-5.3929121725731978E-2</v>
          </cell>
          <cell r="G819">
            <v>-5.20952971582468E-3</v>
          </cell>
        </row>
        <row r="820">
          <cell r="C820">
            <v>2.7687296416938102E-2</v>
          </cell>
          <cell r="G820">
            <v>6.9084056275790428E-3</v>
          </cell>
        </row>
        <row r="821">
          <cell r="C821">
            <v>3.0110935023771854E-2</v>
          </cell>
          <cell r="G821">
            <v>2.5193381956065846E-3</v>
          </cell>
        </row>
        <row r="822">
          <cell r="C822">
            <v>2.4615384615384636E-2</v>
          </cell>
          <cell r="G822">
            <v>-1.3293552101498012E-3</v>
          </cell>
        </row>
        <row r="823">
          <cell r="C823">
            <v>-4.0540540540540612E-2</v>
          </cell>
          <cell r="G823">
            <v>-4.4312809803437447E-3</v>
          </cell>
        </row>
        <row r="824">
          <cell r="C824">
            <v>-2.5039123630672813E-2</v>
          </cell>
          <cell r="G824">
            <v>-8.4215778868615854E-3</v>
          </cell>
        </row>
        <row r="825">
          <cell r="C825">
            <v>8.988764044943813E-2</v>
          </cell>
          <cell r="G825">
            <v>-6.32390109866193E-3</v>
          </cell>
        </row>
        <row r="826">
          <cell r="C826">
            <v>-6.480117820324012E-2</v>
          </cell>
          <cell r="G826">
            <v>-2.181692967457417E-3</v>
          </cell>
        </row>
        <row r="827">
          <cell r="C827">
            <v>-3.7795275590551076E-2</v>
          </cell>
          <cell r="G827">
            <v>1.1420318565048009E-2</v>
          </cell>
        </row>
        <row r="828">
          <cell r="C828">
            <v>-9.0016366612111404E-2</v>
          </cell>
          <cell r="G828">
            <v>-5.5472535581926989E-3</v>
          </cell>
        </row>
        <row r="829">
          <cell r="C829">
            <v>2.338129496402892E-2</v>
          </cell>
          <cell r="G829">
            <v>-6.206557426425118E-3</v>
          </cell>
        </row>
        <row r="830">
          <cell r="C830">
            <v>-7.557117750439378E-2</v>
          </cell>
          <cell r="G830">
            <v>-6.234777624288145E-3</v>
          </cell>
        </row>
        <row r="831">
          <cell r="C831">
            <v>2.8517110266159766E-2</v>
          </cell>
          <cell r="G831">
            <v>-9.0299519927443429E-3</v>
          </cell>
        </row>
        <row r="832">
          <cell r="C832">
            <v>1.4787430683918681E-2</v>
          </cell>
          <cell r="G832">
            <v>-3.2284653198726747E-2</v>
          </cell>
        </row>
        <row r="833">
          <cell r="C833">
            <v>-5.6466302367941798E-2</v>
          </cell>
          <cell r="G833">
            <v>2.563077942734754E-3</v>
          </cell>
        </row>
        <row r="834">
          <cell r="C834">
            <v>1.9305019305019409E-2</v>
          </cell>
          <cell r="G834">
            <v>-1.4738982483594728E-2</v>
          </cell>
        </row>
        <row r="835">
          <cell r="C835">
            <v>-1.1363636363636458E-2</v>
          </cell>
          <cell r="G835">
            <v>8.2331793160327397E-4</v>
          </cell>
        </row>
        <row r="836">
          <cell r="C836">
            <v>7.662835249042153E-3</v>
          </cell>
          <cell r="G836">
            <v>1.3707258352518105E-2</v>
          </cell>
        </row>
        <row r="837">
          <cell r="C837">
            <v>0</v>
          </cell>
          <cell r="G837">
            <v>-1.8836667781189809E-2</v>
          </cell>
        </row>
        <row r="838">
          <cell r="C838">
            <v>-2.0912547528517005E-2</v>
          </cell>
          <cell r="G838">
            <v>1.3766976693168908E-3</v>
          </cell>
        </row>
        <row r="839">
          <cell r="C839">
            <v>1.9417475728154925E-3</v>
          </cell>
          <cell r="G839">
            <v>7.040667920234155E-3</v>
          </cell>
        </row>
        <row r="840">
          <cell r="C840">
            <v>2.5193798449612382E-2</v>
          </cell>
          <cell r="G840">
            <v>-1.0093690269896468E-3</v>
          </cell>
        </row>
        <row r="841">
          <cell r="C841">
            <v>5.6710775047258945E-2</v>
          </cell>
          <cell r="G841">
            <v>2.7277940695779423E-3</v>
          </cell>
        </row>
        <row r="842">
          <cell r="C842">
            <v>2.5044722719141425E-2</v>
          </cell>
          <cell r="G842">
            <v>-1.5323417021069197E-2</v>
          </cell>
        </row>
        <row r="843">
          <cell r="C843">
            <v>-1.3961605584642245E-2</v>
          </cell>
          <cell r="G843">
            <v>-1.1543994203615678E-2</v>
          </cell>
        </row>
        <row r="844">
          <cell r="C844">
            <v>5.3097345132742226E-3</v>
          </cell>
          <cell r="G844">
            <v>1.4860434914442556E-3</v>
          </cell>
        </row>
        <row r="845">
          <cell r="C845">
            <v>-1.9366197183098493E-2</v>
          </cell>
          <cell r="G845">
            <v>1.2592632792115414E-2</v>
          </cell>
        </row>
        <row r="846">
          <cell r="C846">
            <v>-3.0520646319569106E-2</v>
          </cell>
          <cell r="G846">
            <v>7.5159179073901348E-3</v>
          </cell>
        </row>
        <row r="847">
          <cell r="C847">
            <v>-4.4444444444444481E-2</v>
          </cell>
          <cell r="G847">
            <v>4.1690143473914754E-3</v>
          </cell>
        </row>
        <row r="848">
          <cell r="C848">
            <v>1.3565891472868272E-2</v>
          </cell>
          <cell r="G848">
            <v>8.8289675637672187E-4</v>
          </cell>
        </row>
        <row r="849">
          <cell r="C849">
            <v>0</v>
          </cell>
          <cell r="G849">
            <v>-7.4771102002082392E-3</v>
          </cell>
        </row>
        <row r="850">
          <cell r="C850">
            <v>0</v>
          </cell>
          <cell r="G850">
            <v>-1.21182878489214E-2</v>
          </cell>
        </row>
        <row r="851">
          <cell r="C851">
            <v>-1.9120458891014674E-3</v>
          </cell>
          <cell r="G851">
            <v>-2.1853117258879666E-2</v>
          </cell>
        </row>
        <row r="852">
          <cell r="C852">
            <v>7.662835249042153E-3</v>
          </cell>
          <cell r="G852">
            <v>6.3495283055403223E-3</v>
          </cell>
        </row>
        <row r="853">
          <cell r="C853">
            <v>-2.8517110266159596E-2</v>
          </cell>
          <cell r="G853">
            <v>-2.1165441355963121E-4</v>
          </cell>
        </row>
        <row r="854">
          <cell r="C854">
            <v>1.5655577299412929E-2</v>
          </cell>
          <cell r="G854">
            <v>-3.6686512666710125E-4</v>
          </cell>
        </row>
        <row r="855">
          <cell r="C855">
            <v>-5.780346820809296E-3</v>
          </cell>
          <cell r="G855">
            <v>4.399184081306828E-3</v>
          </cell>
        </row>
        <row r="856">
          <cell r="C856">
            <v>-3.8759689922481513E-3</v>
          </cell>
          <cell r="G856">
            <v>6.6793719372935014E-3</v>
          </cell>
        </row>
        <row r="857">
          <cell r="C857">
            <v>4.4747081712062341E-2</v>
          </cell>
          <cell r="G857">
            <v>-2.7009574975252793E-2</v>
          </cell>
        </row>
        <row r="858">
          <cell r="C858">
            <v>-1.1173184357541992E-2</v>
          </cell>
          <cell r="G858">
            <v>4.2747137776410083E-3</v>
          </cell>
        </row>
        <row r="859">
          <cell r="C859">
            <v>6.5913370998116866E-2</v>
          </cell>
          <cell r="G859">
            <v>9.3560587976815445E-3</v>
          </cell>
        </row>
        <row r="860">
          <cell r="C860">
            <v>-1.7667844522968292E-2</v>
          </cell>
          <cell r="G860">
            <v>7.0313346504567971E-3</v>
          </cell>
        </row>
        <row r="861">
          <cell r="C861">
            <v>3.9568345323741122E-2</v>
          </cell>
          <cell r="G861">
            <v>9.8394063190747061E-3</v>
          </cell>
        </row>
        <row r="862">
          <cell r="C862">
            <v>-7.4394463667820168E-2</v>
          </cell>
          <cell r="G862">
            <v>-8.6324973730895881E-3</v>
          </cell>
        </row>
        <row r="863">
          <cell r="C863">
            <v>2.616822429906553E-2</v>
          </cell>
          <cell r="G863">
            <v>1.7927815749247403E-2</v>
          </cell>
        </row>
        <row r="864">
          <cell r="C864">
            <v>-1.8214936247723228E-2</v>
          </cell>
          <cell r="G864">
            <v>-1.5945557947558532E-3</v>
          </cell>
        </row>
        <row r="865">
          <cell r="C865">
            <v>-3.7105751391464888E-3</v>
          </cell>
          <cell r="G865">
            <v>6.0961219686025284E-3</v>
          </cell>
        </row>
        <row r="866">
          <cell r="C866">
            <v>-5.5865921787709959E-3</v>
          </cell>
          <cell r="G866">
            <v>-3.8981697437809854E-2</v>
          </cell>
        </row>
        <row r="867">
          <cell r="C867">
            <v>-1.8726591760299227E-3</v>
          </cell>
          <cell r="G867">
            <v>2.0139925688989417E-2</v>
          </cell>
        </row>
        <row r="868">
          <cell r="C868">
            <v>-5.6285178236398217E-3</v>
          </cell>
          <cell r="G868">
            <v>-2.6970834964039386E-3</v>
          </cell>
        </row>
        <row r="869">
          <cell r="C869">
            <v>-9.4339622641509101E-3</v>
          </cell>
          <cell r="G869">
            <v>-1.120275480167658E-2</v>
          </cell>
        </row>
        <row r="870">
          <cell r="C870">
            <v>3.8095238095237284E-3</v>
          </cell>
          <cell r="G870">
            <v>5.8865220921343261E-3</v>
          </cell>
        </row>
        <row r="871">
          <cell r="C871">
            <v>3.7950664136623272E-3</v>
          </cell>
          <cell r="G871">
            <v>2.1549882368743427E-3</v>
          </cell>
        </row>
        <row r="872">
          <cell r="C872">
            <v>2.6465028355387464E-2</v>
          </cell>
          <cell r="G872">
            <v>-6.7777474847075803E-3</v>
          </cell>
        </row>
        <row r="873">
          <cell r="C873">
            <v>7.3664825046040588E-3</v>
          </cell>
          <cell r="G873">
            <v>-5.9402842059108904E-3</v>
          </cell>
        </row>
        <row r="874">
          <cell r="C874">
            <v>-2.9250457038391253E-2</v>
          </cell>
          <cell r="G874">
            <v>1.392127061641186E-3</v>
          </cell>
        </row>
        <row r="875">
          <cell r="C875">
            <v>-2.4482109227871921E-2</v>
          </cell>
          <cell r="G875">
            <v>4.4757274028852231E-3</v>
          </cell>
        </row>
        <row r="876">
          <cell r="C876">
            <v>-3.0888030888030917E-2</v>
          </cell>
          <cell r="G876">
            <v>1.2547404085863823E-2</v>
          </cell>
        </row>
        <row r="877">
          <cell r="C877">
            <v>-3.9840637450198361E-3</v>
          </cell>
          <cell r="G877">
            <v>1.1612705036002317E-2</v>
          </cell>
        </row>
        <row r="878">
          <cell r="C878">
            <v>-2.5999999999999978E-2</v>
          </cell>
          <cell r="G878">
            <v>-6.4700602683752662E-3</v>
          </cell>
        </row>
        <row r="879">
          <cell r="C879">
            <v>1.6427104722792622E-2</v>
          </cell>
          <cell r="G879">
            <v>-1.682237704132945E-2</v>
          </cell>
        </row>
        <row r="880">
          <cell r="C880">
            <v>0</v>
          </cell>
          <cell r="G880">
            <v>-2.3642937589790556E-2</v>
          </cell>
        </row>
        <row r="881">
          <cell r="C881">
            <v>-2.0202020202020308E-2</v>
          </cell>
          <cell r="G881">
            <v>1.7487404389355185E-3</v>
          </cell>
        </row>
        <row r="882">
          <cell r="C882">
            <v>-1.0309278350515427E-2</v>
          </cell>
          <cell r="G882">
            <v>-1.5520382009752844E-2</v>
          </cell>
        </row>
        <row r="883">
          <cell r="C883">
            <v>6.2500000000000524E-3</v>
          </cell>
          <cell r="G883">
            <v>6.1646801860325727E-3</v>
          </cell>
        </row>
        <row r="884">
          <cell r="C884">
            <v>-8.2815734989648108E-3</v>
          </cell>
          <cell r="G884">
            <v>-5.8207513979236652E-3</v>
          </cell>
        </row>
        <row r="885">
          <cell r="C885">
            <v>6.2630480167015137E-3</v>
          </cell>
          <cell r="G885">
            <v>1.2556463931100857E-3</v>
          </cell>
        </row>
        <row r="886">
          <cell r="C886">
            <v>1.867219917012445E-2</v>
          </cell>
          <cell r="G886">
            <v>1.9699679526144001E-3</v>
          </cell>
        </row>
        <row r="887">
          <cell r="C887">
            <v>2.4439918533604908E-2</v>
          </cell>
          <cell r="G887">
            <v>7.6052019581393671E-3</v>
          </cell>
        </row>
        <row r="888">
          <cell r="C888">
            <v>-5.9642147117296715E-3</v>
          </cell>
          <cell r="G888">
            <v>-3.1353161534824862E-3</v>
          </cell>
        </row>
        <row r="889">
          <cell r="C889">
            <v>0.10199999999999995</v>
          </cell>
          <cell r="G889">
            <v>-1.8530344435268189E-3</v>
          </cell>
        </row>
        <row r="890">
          <cell r="C890">
            <v>-7.259528130671513E-3</v>
          </cell>
          <cell r="G890">
            <v>2.885769922916418E-3</v>
          </cell>
        </row>
        <row r="891">
          <cell r="C891">
            <v>-1.4625228519195626E-2</v>
          </cell>
          <cell r="G891">
            <v>2.1826943483975934E-2</v>
          </cell>
        </row>
        <row r="892">
          <cell r="C892">
            <v>5.5658627087198653E-2</v>
          </cell>
          <cell r="G892">
            <v>8.6805407599478621E-3</v>
          </cell>
        </row>
        <row r="893">
          <cell r="C893">
            <v>1.2302284710017469E-2</v>
          </cell>
          <cell r="G893">
            <v>1.6194665249821435E-2</v>
          </cell>
        </row>
        <row r="894">
          <cell r="C894">
            <v>-2.9513888888888878E-2</v>
          </cell>
          <cell r="G894">
            <v>9.4690167102810269E-3</v>
          </cell>
        </row>
        <row r="895">
          <cell r="C895">
            <v>1.4311270125223626E-2</v>
          </cell>
          <cell r="G895">
            <v>-5.9188348705783598E-3</v>
          </cell>
        </row>
        <row r="896">
          <cell r="C896">
            <v>3.1746031746031696E-2</v>
          </cell>
          <cell r="G896">
            <v>1.454052036143926E-2</v>
          </cell>
        </row>
        <row r="897">
          <cell r="C897">
            <v>-1.709401709401673E-3</v>
          </cell>
          <cell r="G897">
            <v>1.7832322271188032E-2</v>
          </cell>
        </row>
        <row r="898">
          <cell r="C898">
            <v>-3.2534246575342381E-2</v>
          </cell>
          <cell r="G898">
            <v>-4.2487910866625123E-3</v>
          </cell>
        </row>
        <row r="899">
          <cell r="C899">
            <v>3.539823008849482E-3</v>
          </cell>
          <cell r="G899">
            <v>5.5271513713817154E-3</v>
          </cell>
        </row>
        <row r="900">
          <cell r="C900">
            <v>5.2910052910053349E-3</v>
          </cell>
          <cell r="G900">
            <v>-4.4660110594789901E-3</v>
          </cell>
        </row>
        <row r="901">
          <cell r="C901">
            <v>-1.0526315789473771E-2</v>
          </cell>
          <cell r="G901">
            <v>-4.8491887354391765E-3</v>
          </cell>
        </row>
        <row r="902">
          <cell r="C902">
            <v>-2.1276595744680871E-2</v>
          </cell>
          <cell r="G902">
            <v>-1.0260765669108229E-2</v>
          </cell>
        </row>
        <row r="903">
          <cell r="C903">
            <v>-1.6304347826086932E-2</v>
          </cell>
          <cell r="G903">
            <v>1.2611770331844588E-2</v>
          </cell>
        </row>
        <row r="904">
          <cell r="C904">
            <v>-9.2081031307550323E-3</v>
          </cell>
          <cell r="G904">
            <v>-6.6433339067363713E-4</v>
          </cell>
        </row>
        <row r="905">
          <cell r="C905">
            <v>-3.7174721189590287E-3</v>
          </cell>
          <cell r="G905">
            <v>-7.0469382852958147E-3</v>
          </cell>
        </row>
        <row r="906">
          <cell r="C906">
            <v>-7.462686567164185E-3</v>
          </cell>
          <cell r="G906">
            <v>-1.0249445942921783E-2</v>
          </cell>
        </row>
        <row r="907">
          <cell r="C907">
            <v>-2.6315789473684317E-2</v>
          </cell>
          <cell r="G907">
            <v>-2.0466520205554002E-3</v>
          </cell>
        </row>
        <row r="908">
          <cell r="C908">
            <v>-1.5444015444015458E-2</v>
          </cell>
          <cell r="G908">
            <v>-7.2719632865725367E-3</v>
          </cell>
        </row>
        <row r="909">
          <cell r="C909">
            <v>3.9215686274510714E-3</v>
          </cell>
          <cell r="G909">
            <v>3.694728672066203E-3</v>
          </cell>
        </row>
        <row r="910">
          <cell r="C910">
            <v>1.3671875000000056E-2</v>
          </cell>
          <cell r="G910">
            <v>2.5720671103382146E-3</v>
          </cell>
        </row>
        <row r="911">
          <cell r="C911">
            <v>-7.7071290944123374E-3</v>
          </cell>
          <cell r="G911">
            <v>-3.5555750248233435E-3</v>
          </cell>
        </row>
        <row r="912">
          <cell r="C912">
            <v>0</v>
          </cell>
          <cell r="G912">
            <v>-1.0631516474820616E-2</v>
          </cell>
        </row>
        <row r="913">
          <cell r="C913">
            <v>-1.16504854368933E-2</v>
          </cell>
          <cell r="G913">
            <v>2.5322927043635981E-5</v>
          </cell>
        </row>
        <row r="914">
          <cell r="C914">
            <v>0</v>
          </cell>
          <cell r="G914">
            <v>-2.2529667685609409E-3</v>
          </cell>
        </row>
        <row r="915">
          <cell r="C915">
            <v>-3.9292730844792878E-3</v>
          </cell>
          <cell r="G915">
            <v>1.406405441740312E-3</v>
          </cell>
        </row>
        <row r="916">
          <cell r="C916">
            <v>-1.9723865877713364E-3</v>
          </cell>
          <cell r="G916">
            <v>2.9496860593921123E-3</v>
          </cell>
        </row>
        <row r="917">
          <cell r="C917">
            <v>-3.9525691699603908E-3</v>
          </cell>
          <cell r="G917">
            <v>-2.0470504546564764E-3</v>
          </cell>
        </row>
        <row r="918">
          <cell r="C918">
            <v>-5.9523809523810015E-3</v>
          </cell>
          <cell r="G918">
            <v>3.3216051964666919E-3</v>
          </cell>
        </row>
        <row r="919">
          <cell r="C919">
            <v>7.9840319361277525E-3</v>
          </cell>
          <cell r="G919">
            <v>-1.5170944546053506E-3</v>
          </cell>
        </row>
        <row r="920">
          <cell r="C920">
            <v>-2.5742574257425724E-2</v>
          </cell>
          <cell r="G920">
            <v>-3.9470527893572908E-3</v>
          </cell>
        </row>
        <row r="921">
          <cell r="C921">
            <v>-1.2195121951219433E-2</v>
          </cell>
          <cell r="G921">
            <v>-2.2167911636692956E-3</v>
          </cell>
        </row>
        <row r="922">
          <cell r="C922">
            <v>-1.0288065843621545E-2</v>
          </cell>
          <cell r="G922">
            <v>-3.8124266875626707E-3</v>
          </cell>
        </row>
        <row r="923">
          <cell r="C923">
            <v>2.4948024948024974E-2</v>
          </cell>
          <cell r="G923">
            <v>-7.2176238343432267E-3</v>
          </cell>
        </row>
        <row r="924">
          <cell r="C924">
            <v>1.825557809330626E-2</v>
          </cell>
          <cell r="G924">
            <v>-6.1941863971465387E-3</v>
          </cell>
        </row>
        <row r="925">
          <cell r="C925">
            <v>-1.9920318725099181E-3</v>
          </cell>
          <cell r="G925">
            <v>-9.1857603383144225E-4</v>
          </cell>
        </row>
        <row r="926">
          <cell r="C926">
            <v>-1.3972055888223433E-2</v>
          </cell>
          <cell r="G926">
            <v>-7.5190670434262643E-3</v>
          </cell>
        </row>
        <row r="927">
          <cell r="C927">
            <v>-8.097165991902841E-3</v>
          </cell>
          <cell r="G927">
            <v>1.3080434591549422E-2</v>
          </cell>
        </row>
        <row r="928">
          <cell r="C928">
            <v>-8.1632653061224549E-3</v>
          </cell>
          <cell r="G928">
            <v>8.9107236327000718E-3</v>
          </cell>
        </row>
        <row r="929">
          <cell r="C929">
            <v>2.0576131687242726E-2</v>
          </cell>
          <cell r="G929">
            <v>-2.001530412062504E-3</v>
          </cell>
        </row>
        <row r="930">
          <cell r="C930">
            <v>0</v>
          </cell>
          <cell r="G930">
            <v>-1.0166976669314102E-2</v>
          </cell>
        </row>
        <row r="931">
          <cell r="C931">
            <v>1.4112903225806508E-2</v>
          </cell>
          <cell r="G931">
            <v>2.7992976032979503E-3</v>
          </cell>
        </row>
        <row r="932">
          <cell r="C932">
            <v>-1.5904572564612338E-2</v>
          </cell>
          <cell r="G932">
            <v>2.018786408604967E-3</v>
          </cell>
        </row>
        <row r="933">
          <cell r="C933">
            <v>4.0404040404039545E-3</v>
          </cell>
          <cell r="G933">
            <v>3.3662770523905398E-3</v>
          </cell>
        </row>
        <row r="934">
          <cell r="C934">
            <v>3.6217303822937752E-2</v>
          </cell>
          <cell r="G934">
            <v>6.3116635062802967E-3</v>
          </cell>
        </row>
        <row r="935">
          <cell r="C935">
            <v>-2.9126213592233077E-2</v>
          </cell>
          <cell r="G935">
            <v>1.3197098296573428E-2</v>
          </cell>
        </row>
        <row r="936">
          <cell r="C936">
            <v>1.6000000000000014E-2</v>
          </cell>
          <cell r="G936">
            <v>-1.7865033608416515E-3</v>
          </cell>
        </row>
        <row r="937">
          <cell r="C937">
            <v>-1.3779527559055173E-2</v>
          </cell>
          <cell r="G937">
            <v>3.0031899537248659E-3</v>
          </cell>
        </row>
        <row r="938">
          <cell r="C938">
            <v>-1.9960079840319292E-2</v>
          </cell>
          <cell r="G938">
            <v>-1.3304387131131655E-3</v>
          </cell>
        </row>
        <row r="939">
          <cell r="C939">
            <v>2.0366598778003638E-3</v>
          </cell>
          <cell r="G939">
            <v>-3.5188782099030485E-3</v>
          </cell>
        </row>
        <row r="940">
          <cell r="C940">
            <v>2.0325203252032447E-2</v>
          </cell>
          <cell r="G940">
            <v>1.8706343731089939E-3</v>
          </cell>
        </row>
        <row r="941">
          <cell r="C941">
            <v>-9.9601593625497659E-3</v>
          </cell>
          <cell r="G941">
            <v>-3.260488355670312E-3</v>
          </cell>
        </row>
        <row r="942">
          <cell r="C942">
            <v>1.8108651911468786E-2</v>
          </cell>
          <cell r="G942">
            <v>-4.6020715877803237E-3</v>
          </cell>
        </row>
        <row r="943">
          <cell r="C943">
            <v>-7.9051383399209568E-3</v>
          </cell>
          <cell r="G943">
            <v>2.0071631367882506E-3</v>
          </cell>
        </row>
        <row r="944">
          <cell r="C944">
            <v>-1.1952191235059684E-2</v>
          </cell>
          <cell r="G944">
            <v>9.2446663731624527E-3</v>
          </cell>
        </row>
        <row r="945">
          <cell r="C945">
            <v>-2.6209677419354819E-2</v>
          </cell>
          <cell r="G945">
            <v>-2.1079404775014958E-3</v>
          </cell>
        </row>
        <row r="946">
          <cell r="C946">
            <v>-6.2111801242236541E-3</v>
          </cell>
          <cell r="G946">
            <v>1.8140809131349123E-3</v>
          </cell>
        </row>
        <row r="947">
          <cell r="C947">
            <v>-2.9166666666666601E-2</v>
          </cell>
          <cell r="G947">
            <v>3.1684191874254385E-3</v>
          </cell>
        </row>
        <row r="948">
          <cell r="C948">
            <v>-4.2918454935623306E-3</v>
          </cell>
          <cell r="G948">
            <v>-3.7124033850621727E-3</v>
          </cell>
        </row>
        <row r="949">
          <cell r="C949">
            <v>2.370689655172421E-2</v>
          </cell>
          <cell r="G949">
            <v>-1.5406250103697462E-2</v>
          </cell>
        </row>
        <row r="950">
          <cell r="C950">
            <v>2.7368421052631556E-2</v>
          </cell>
          <cell r="G950">
            <v>1.512276230903052E-3</v>
          </cell>
        </row>
        <row r="951">
          <cell r="C951">
            <v>1.4344262295082027E-2</v>
          </cell>
          <cell r="G951">
            <v>-1.1117507574601183E-2</v>
          </cell>
        </row>
        <row r="952">
          <cell r="C952">
            <v>-2.4242424242424263E-2</v>
          </cell>
          <cell r="G952">
            <v>3.0220953502317978E-3</v>
          </cell>
        </row>
        <row r="953">
          <cell r="C953">
            <v>1.4492753623188465E-2</v>
          </cell>
          <cell r="G953">
            <v>1.3183920575136177E-2</v>
          </cell>
        </row>
        <row r="954">
          <cell r="C954">
            <v>2.0408163265306048E-2</v>
          </cell>
          <cell r="G954">
            <v>3.2505204061642249E-3</v>
          </cell>
        </row>
        <row r="955">
          <cell r="C955">
            <v>1.7999999999999971E-2</v>
          </cell>
          <cell r="G955">
            <v>3.4836435402039365E-3</v>
          </cell>
        </row>
        <row r="956">
          <cell r="C956">
            <v>7.858546168958749E-3</v>
          </cell>
          <cell r="G956">
            <v>-5.5689248292557069E-3</v>
          </cell>
        </row>
        <row r="957">
          <cell r="C957">
            <v>-2.7290448343079862E-2</v>
          </cell>
          <cell r="G957">
            <v>4.5644252921483745E-3</v>
          </cell>
        </row>
        <row r="958">
          <cell r="C958">
            <v>1.2024048096192307E-2</v>
          </cell>
          <cell r="G958">
            <v>5.1846299030426646E-3</v>
          </cell>
        </row>
        <row r="959">
          <cell r="C959">
            <v>0</v>
          </cell>
          <cell r="G959">
            <v>1.5045654408243446E-2</v>
          </cell>
        </row>
        <row r="960">
          <cell r="C960">
            <v>-1.7821782178217796E-2</v>
          </cell>
          <cell r="G960">
            <v>4.4679330005848381E-3</v>
          </cell>
        </row>
        <row r="961">
          <cell r="C961">
            <v>-1.0080645161290288E-2</v>
          </cell>
          <cell r="G961">
            <v>-5.6185524546357437E-3</v>
          </cell>
        </row>
        <row r="962">
          <cell r="C962">
            <v>-4.0733197556009088E-3</v>
          </cell>
          <cell r="G962">
            <v>-1.259718889925894E-3</v>
          </cell>
        </row>
        <row r="963">
          <cell r="C963">
            <v>2.0449897750512628E-3</v>
          </cell>
          <cell r="G963">
            <v>4.3671438435305748E-3</v>
          </cell>
        </row>
        <row r="964">
          <cell r="C964">
            <v>-6.1224489795918867E-3</v>
          </cell>
          <cell r="G964">
            <v>-3.8160932910692724E-3</v>
          </cell>
        </row>
        <row r="965">
          <cell r="C965">
            <v>6.1601642710472785E-3</v>
          </cell>
          <cell r="G965">
            <v>-2.0896913851842841E-3</v>
          </cell>
        </row>
        <row r="966">
          <cell r="C966">
            <v>-8.1632653061224549E-3</v>
          </cell>
          <cell r="G966">
            <v>7.2431140101259363E-4</v>
          </cell>
        </row>
        <row r="967">
          <cell r="C967">
            <v>-4.1152263374485631E-2</v>
          </cell>
          <cell r="G967">
            <v>3.9154663375832221E-3</v>
          </cell>
        </row>
        <row r="968">
          <cell r="C968">
            <v>1.5021459227467872E-2</v>
          </cell>
          <cell r="G968">
            <v>-1.1253564638230846E-3</v>
          </cell>
        </row>
        <row r="969">
          <cell r="C969">
            <v>-8.4566596194503244E-3</v>
          </cell>
          <cell r="G969">
            <v>5.4430576644627301E-4</v>
          </cell>
        </row>
        <row r="970">
          <cell r="C970">
            <v>2.1321961620468627E-3</v>
          </cell>
          <cell r="G970">
            <v>7.7102997064356401E-4</v>
          </cell>
        </row>
        <row r="971">
          <cell r="C971">
            <v>-1.4893617021276655E-2</v>
          </cell>
          <cell r="G971">
            <v>-2.0155004817553796E-2</v>
          </cell>
        </row>
        <row r="972">
          <cell r="C972">
            <v>-2.5917926565874754E-2</v>
          </cell>
          <cell r="G972">
            <v>7.1842256510013715E-3</v>
          </cell>
        </row>
        <row r="973">
          <cell r="C973">
            <v>-8.8691796008869266E-3</v>
          </cell>
          <cell r="G973">
            <v>-5.8904614879218709E-4</v>
          </cell>
        </row>
        <row r="974">
          <cell r="C974">
            <v>-6.711409395973012E-3</v>
          </cell>
          <cell r="G974">
            <v>1.0600106780313653E-3</v>
          </cell>
        </row>
        <row r="975">
          <cell r="C975">
            <v>-4.5045045045046085E-3</v>
          </cell>
          <cell r="G975">
            <v>-5.7419152738436979E-3</v>
          </cell>
        </row>
        <row r="976">
          <cell r="C976">
            <v>-2.2624434389139788E-3</v>
          </cell>
          <cell r="G976">
            <v>-1.2750384933843581E-2</v>
          </cell>
        </row>
        <row r="977">
          <cell r="C977">
            <v>-1.1337868480725584E-2</v>
          </cell>
          <cell r="G977">
            <v>-1.7477849895235257E-3</v>
          </cell>
        </row>
        <row r="978">
          <cell r="C978">
            <v>4.5871559633026545E-3</v>
          </cell>
          <cell r="G978">
            <v>6.7248532376310254E-3</v>
          </cell>
        </row>
        <row r="979">
          <cell r="C979">
            <v>-2.2831050228310015E-3</v>
          </cell>
          <cell r="G979">
            <v>-4.0096328751635978E-3</v>
          </cell>
        </row>
        <row r="980">
          <cell r="C980">
            <v>-3.4324942791762098E-2</v>
          </cell>
          <cell r="G980">
            <v>1.1204848984228521E-3</v>
          </cell>
        </row>
        <row r="981">
          <cell r="C981">
            <v>0</v>
          </cell>
          <cell r="G981">
            <v>-3.7826500277708319E-3</v>
          </cell>
        </row>
        <row r="982">
          <cell r="C982">
            <v>-3.0805687203791447E-2</v>
          </cell>
          <cell r="G982">
            <v>4.1826600755165734E-3</v>
          </cell>
        </row>
        <row r="983">
          <cell r="C983">
            <v>-4.1564792176039103E-2</v>
          </cell>
          <cell r="G983">
            <v>5.5904090443803945E-4</v>
          </cell>
        </row>
        <row r="984">
          <cell r="C984">
            <v>-1.5306122448979605E-2</v>
          </cell>
          <cell r="G984">
            <v>-1.3365879511098154E-2</v>
          </cell>
        </row>
        <row r="985">
          <cell r="C985">
            <v>-2.5906735751294787E-3</v>
          </cell>
          <cell r="G985">
            <v>2.9558210149840882E-3</v>
          </cell>
        </row>
        <row r="986">
          <cell r="C986">
            <v>0</v>
          </cell>
          <cell r="G986">
            <v>-8.0060085013903496E-3</v>
          </cell>
        </row>
        <row r="987">
          <cell r="C987">
            <v>3.3766233766233736E-2</v>
          </cell>
          <cell r="G987">
            <v>-2.7784896665480521E-2</v>
          </cell>
        </row>
        <row r="988">
          <cell r="C988">
            <v>-3.5175879396984959E-2</v>
          </cell>
          <cell r="G988">
            <v>-1.2290481755453097E-2</v>
          </cell>
        </row>
        <row r="989">
          <cell r="C989">
            <v>-3.3854166666666644E-2</v>
          </cell>
          <cell r="G989">
            <v>1.2592872562234302E-2</v>
          </cell>
        </row>
        <row r="990">
          <cell r="C990">
            <v>-2.1563342318059318E-2</v>
          </cell>
          <cell r="G990">
            <v>-4.245408881346298E-3</v>
          </cell>
        </row>
        <row r="991">
          <cell r="C991">
            <v>1.6528925619834725E-2</v>
          </cell>
          <cell r="G991">
            <v>1.2250310064231355E-2</v>
          </cell>
        </row>
        <row r="992">
          <cell r="C992">
            <v>5.6910569105691047E-2</v>
          </cell>
          <cell r="G992">
            <v>-8.7722225487334628E-3</v>
          </cell>
        </row>
        <row r="993">
          <cell r="C993">
            <v>-1.5384615384615399E-2</v>
          </cell>
          <cell r="G993">
            <v>-1.3151802217476138E-2</v>
          </cell>
        </row>
        <row r="994">
          <cell r="C994">
            <v>-2.6041666666666574E-2</v>
          </cell>
          <cell r="G994">
            <v>1.1912596491344152E-2</v>
          </cell>
        </row>
        <row r="995">
          <cell r="C995">
            <v>1.0695187165775291E-2</v>
          </cell>
          <cell r="G995">
            <v>1.6934462297486463E-2</v>
          </cell>
        </row>
        <row r="996">
          <cell r="C996">
            <v>7.1428571428571438E-2</v>
          </cell>
          <cell r="G996">
            <v>9.783414088660675E-3</v>
          </cell>
        </row>
        <row r="997">
          <cell r="C997">
            <v>-3.4567901234567822E-2</v>
          </cell>
          <cell r="G997">
            <v>-4.5389174316872111E-3</v>
          </cell>
        </row>
        <row r="998">
          <cell r="C998">
            <v>3.0690537084399002E-2</v>
          </cell>
          <cell r="G998">
            <v>-2.248057131268336E-3</v>
          </cell>
        </row>
        <row r="999">
          <cell r="C999">
            <v>-1.9851116625310191E-2</v>
          </cell>
          <cell r="G999">
            <v>4.3769872691436472E-3</v>
          </cell>
        </row>
        <row r="1000">
          <cell r="C1000">
            <v>-5.0632911392405108E-3</v>
          </cell>
          <cell r="G1000">
            <v>7.1415344155744999E-3</v>
          </cell>
        </row>
        <row r="1001">
          <cell r="C1001">
            <v>-3.3078880407124769E-2</v>
          </cell>
          <cell r="G1001">
            <v>-1.2260190326066896E-2</v>
          </cell>
        </row>
        <row r="1002">
          <cell r="C1002">
            <v>-1.8421052631578907E-2</v>
          </cell>
          <cell r="G1002">
            <v>7.3260525429603325E-3</v>
          </cell>
        </row>
        <row r="1003">
          <cell r="C1003">
            <v>-5.6300268096514734E-2</v>
          </cell>
          <cell r="G1003">
            <v>-1.0612354937931917E-3</v>
          </cell>
        </row>
        <row r="1004">
          <cell r="C1004">
            <v>1.4204545454545404E-2</v>
          </cell>
          <cell r="G1004">
            <v>1.1210014181196012E-3</v>
          </cell>
        </row>
        <row r="1005">
          <cell r="C1005">
            <v>3.6414565826330632E-2</v>
          </cell>
          <cell r="G1005">
            <v>-1.1774367590933177E-2</v>
          </cell>
        </row>
        <row r="1006">
          <cell r="C1006">
            <v>-3.7837837837837868E-2</v>
          </cell>
          <cell r="G1006">
            <v>-1.4946637750490028E-2</v>
          </cell>
        </row>
        <row r="1007">
          <cell r="C1007">
            <v>-5.6179775280898927E-3</v>
          </cell>
          <cell r="G1007">
            <v>-3.4705789795006409E-2</v>
          </cell>
        </row>
        <row r="1008">
          <cell r="C1008">
            <v>2.8248587570621493E-2</v>
          </cell>
          <cell r="G1008">
            <v>1.1707202062687503E-2</v>
          </cell>
        </row>
        <row r="1009">
          <cell r="C1009">
            <v>3.2967032967032871E-2</v>
          </cell>
          <cell r="G1009">
            <v>1.0437963975749389E-3</v>
          </cell>
        </row>
        <row r="1010">
          <cell r="C1010">
            <v>6.9148936170212713E-2</v>
          </cell>
          <cell r="G1010">
            <v>-1.0908647034192235E-2</v>
          </cell>
        </row>
        <row r="1011">
          <cell r="C1011">
            <v>-3.2338308457711309E-2</v>
          </cell>
          <cell r="G1011">
            <v>9.2715107641675777E-4</v>
          </cell>
        </row>
        <row r="1012">
          <cell r="C1012">
            <v>-2.5706940874036582E-3</v>
          </cell>
          <cell r="G1012">
            <v>1.5920989689048422E-2</v>
          </cell>
        </row>
        <row r="1013">
          <cell r="C1013">
            <v>-2.5773195876288113E-3</v>
          </cell>
          <cell r="G1013">
            <v>1.8672074334955376E-2</v>
          </cell>
        </row>
        <row r="1014">
          <cell r="C1014">
            <v>-2.5839793281654342E-3</v>
          </cell>
          <cell r="G1014">
            <v>2.668424452493276E-2</v>
          </cell>
        </row>
        <row r="1015">
          <cell r="C1015">
            <v>-2.5906735751294787E-3</v>
          </cell>
          <cell r="G1015">
            <v>-9.6948259742014806E-3</v>
          </cell>
        </row>
        <row r="1016">
          <cell r="C1016">
            <v>-3.3766233766233736E-2</v>
          </cell>
          <cell r="G1016">
            <v>-1.4320207918165771E-2</v>
          </cell>
        </row>
        <row r="1017">
          <cell r="C1017">
            <v>1.6129032258064412E-2</v>
          </cell>
          <cell r="G1017">
            <v>2.0109467293116093E-2</v>
          </cell>
        </row>
        <row r="1018">
          <cell r="C1018">
            <v>-1.0582010582010474E-2</v>
          </cell>
          <cell r="G1018">
            <v>-1.3060241840666855E-3</v>
          </cell>
        </row>
        <row r="1019">
          <cell r="C1019">
            <v>2.6737967914437933E-3</v>
          </cell>
          <cell r="G1019">
            <v>2.7959174730440199E-3</v>
          </cell>
        </row>
        <row r="1020">
          <cell r="C1020">
            <v>3.4666666666666637E-2</v>
          </cell>
          <cell r="G1020">
            <v>-6.4406430970470885E-3</v>
          </cell>
        </row>
        <row r="1021">
          <cell r="C1021">
            <v>-3.6082474226804044E-2</v>
          </cell>
          <cell r="G1021">
            <v>1.7780809840884058E-2</v>
          </cell>
        </row>
        <row r="1022">
          <cell r="C1022">
            <v>-1.0695187165775409E-2</v>
          </cell>
          <cell r="G1022">
            <v>8.0598153421265317E-3</v>
          </cell>
        </row>
        <row r="1023">
          <cell r="C1023">
            <v>-2.7027027027027649E-3</v>
          </cell>
          <cell r="G1023">
            <v>4.8301220824434037E-3</v>
          </cell>
        </row>
        <row r="1024">
          <cell r="C1024">
            <v>5.4200542005420106E-3</v>
          </cell>
          <cell r="G1024">
            <v>1.7814258309261987E-2</v>
          </cell>
        </row>
        <row r="1025">
          <cell r="C1025">
            <v>-2.4258760107816673E-2</v>
          </cell>
          <cell r="G1025">
            <v>-1.7067770216539584E-2</v>
          </cell>
        </row>
        <row r="1026">
          <cell r="C1026">
            <v>0</v>
          </cell>
          <cell r="G1026">
            <v>-5.9484765623319725E-4</v>
          </cell>
        </row>
        <row r="1027">
          <cell r="C1027">
            <v>2.7624309392264602E-3</v>
          </cell>
          <cell r="G1027">
            <v>-1.3586563734884588E-2</v>
          </cell>
        </row>
        <row r="1028">
          <cell r="C1028">
            <v>1.6528925619834725E-2</v>
          </cell>
          <cell r="G1028">
            <v>4.2937864640136278E-3</v>
          </cell>
        </row>
        <row r="1029">
          <cell r="C1029">
            <v>-2.710027100270945E-3</v>
          </cell>
          <cell r="G1029">
            <v>-6.005780745447502E-3</v>
          </cell>
        </row>
        <row r="1030">
          <cell r="C1030">
            <v>-1.3586956521739203E-2</v>
          </cell>
          <cell r="G1030">
            <v>9.7276809242755361E-4</v>
          </cell>
        </row>
        <row r="1031">
          <cell r="C1031">
            <v>-1.9283746556473785E-2</v>
          </cell>
          <cell r="G1031">
            <v>-1.0821620672488715E-2</v>
          </cell>
        </row>
        <row r="1032">
          <cell r="C1032">
            <v>-8.4269662921349006E-3</v>
          </cell>
          <cell r="G1032">
            <v>6.7906388511084102E-3</v>
          </cell>
        </row>
        <row r="1033">
          <cell r="C1033">
            <v>-1.4164305949008449E-2</v>
          </cell>
          <cell r="G1033">
            <v>5.3177252951416183E-3</v>
          </cell>
        </row>
        <row r="1034">
          <cell r="C1034">
            <v>-1.7241379310344845E-2</v>
          </cell>
          <cell r="G1034">
            <v>-7.993907830429671E-3</v>
          </cell>
        </row>
        <row r="1035">
          <cell r="C1035">
            <v>-8.7719298245613458E-3</v>
          </cell>
          <cell r="G1035">
            <v>-3.201634927425119E-3</v>
          </cell>
        </row>
        <row r="1036">
          <cell r="C1036">
            <v>3.2448377581120909E-2</v>
          </cell>
          <cell r="G1036">
            <v>1.8760550813897729E-3</v>
          </cell>
        </row>
        <row r="1037">
          <cell r="C1037">
            <v>5.7142857142857195E-3</v>
          </cell>
          <cell r="G1037">
            <v>-6.7124148535225537E-3</v>
          </cell>
        </row>
        <row r="1038">
          <cell r="C1038">
            <v>-2.8409090909091565E-3</v>
          </cell>
          <cell r="G1038">
            <v>-2.4092596537628715E-3</v>
          </cell>
        </row>
        <row r="1039">
          <cell r="C1039">
            <v>-1.4245014245014195E-2</v>
          </cell>
          <cell r="G1039">
            <v>6.3868425747604183E-3</v>
          </cell>
        </row>
        <row r="1040">
          <cell r="C1040">
            <v>3.4682080924855523E-2</v>
          </cell>
          <cell r="G1040">
            <v>1.6378303100400154E-2</v>
          </cell>
        </row>
        <row r="1041">
          <cell r="C1041">
            <v>3.0726256983240188E-2</v>
          </cell>
          <cell r="G1041">
            <v>2.3545491932167729E-3</v>
          </cell>
        </row>
        <row r="1042">
          <cell r="C1042">
            <v>1.8970189701896976E-2</v>
          </cell>
          <cell r="G1042">
            <v>-2.4047691853590829E-3</v>
          </cell>
        </row>
        <row r="1043">
          <cell r="C1043">
            <v>-1.3297872340425485E-2</v>
          </cell>
          <cell r="G1043">
            <v>5.8643236467959383E-4</v>
          </cell>
        </row>
        <row r="1044">
          <cell r="C1044">
            <v>-8.0862533692721839E-3</v>
          </cell>
          <cell r="G1044">
            <v>5.4791069304742793E-3</v>
          </cell>
        </row>
        <row r="1045">
          <cell r="C1045">
            <v>2.7173913043477679E-3</v>
          </cell>
          <cell r="G1045">
            <v>5.009674035734578E-3</v>
          </cell>
        </row>
        <row r="1046">
          <cell r="C1046">
            <v>-5.4200542005420106E-3</v>
          </cell>
          <cell r="G1046">
            <v>1.5069195554275284E-3</v>
          </cell>
        </row>
        <row r="1047">
          <cell r="C1047">
            <v>-1.0899182561307912E-2</v>
          </cell>
          <cell r="G1047">
            <v>-9.6567228542038534E-4</v>
          </cell>
        </row>
        <row r="1048">
          <cell r="C1048">
            <v>2.754820936639121E-2</v>
          </cell>
          <cell r="G1048">
            <v>1.3776881479361242E-3</v>
          </cell>
        </row>
        <row r="1049">
          <cell r="C1049">
            <v>-2.9490616621983882E-2</v>
          </cell>
          <cell r="G1049">
            <v>-4.2974119526084506E-3</v>
          </cell>
        </row>
        <row r="1050">
          <cell r="C1050">
            <v>-1.3812154696132671E-2</v>
          </cell>
          <cell r="G1050">
            <v>-8.7336118860010959E-3</v>
          </cell>
        </row>
        <row r="1051">
          <cell r="C1051">
            <v>-2.8011204481792123E-3</v>
          </cell>
          <cell r="G1051">
            <v>-9.9564601457296717E-3</v>
          </cell>
        </row>
        <row r="1052">
          <cell r="C1052">
            <v>8.4269662921347757E-3</v>
          </cell>
          <cell r="G1052">
            <v>-9.8904039620254175E-4</v>
          </cell>
        </row>
        <row r="1053">
          <cell r="C1053">
            <v>-1.392757660167126E-2</v>
          </cell>
          <cell r="G1053">
            <v>-1.2277514691283782E-2</v>
          </cell>
        </row>
        <row r="1054">
          <cell r="C1054">
            <v>-1.6949152542372895E-2</v>
          </cell>
          <cell r="G1054">
            <v>-1.0750171512354974E-2</v>
          </cell>
        </row>
        <row r="1055">
          <cell r="C1055">
            <v>-5.7471264367816143E-3</v>
          </cell>
          <cell r="G1055">
            <v>1.4601153421018628E-3</v>
          </cell>
        </row>
        <row r="1056">
          <cell r="C1056">
            <v>1.7341040462427761E-2</v>
          </cell>
          <cell r="G1056">
            <v>2.0499810376754012E-3</v>
          </cell>
        </row>
        <row r="1057">
          <cell r="C1057">
            <v>-1.1363636363636374E-2</v>
          </cell>
          <cell r="G1057">
            <v>-5.0515974978526269E-3</v>
          </cell>
        </row>
        <row r="1058">
          <cell r="C1058">
            <v>-2.8735632183907434E-3</v>
          </cell>
          <cell r="G1058">
            <v>-7.9087479930363077E-4</v>
          </cell>
        </row>
        <row r="1059">
          <cell r="C1059">
            <v>8.6455331412103181E-3</v>
          </cell>
          <cell r="G1059">
            <v>3.8265072455949422E-3</v>
          </cell>
        </row>
        <row r="1060">
          <cell r="C1060">
            <v>-5.7142857142857195E-3</v>
          </cell>
          <cell r="G1060">
            <v>-2.7731924562565398E-3</v>
          </cell>
        </row>
        <row r="1061">
          <cell r="C1061">
            <v>-1.1494252873563229E-2</v>
          </cell>
          <cell r="G1061">
            <v>-5.0799826522503044E-3</v>
          </cell>
        </row>
        <row r="1062">
          <cell r="C1062">
            <v>-2.9069767441859845E-3</v>
          </cell>
          <cell r="G1062">
            <v>7.5313841267952021E-4</v>
          </cell>
        </row>
        <row r="1063">
          <cell r="C1063">
            <v>-8.7463556851312668E-3</v>
          </cell>
          <cell r="G1063">
            <v>1.5956331207047786E-2</v>
          </cell>
        </row>
        <row r="1064">
          <cell r="C1064">
            <v>2.9411764705883033E-3</v>
          </cell>
          <cell r="G1064">
            <v>-7.4655106739900398E-3</v>
          </cell>
        </row>
        <row r="1065">
          <cell r="C1065">
            <v>-8.7976539589443535E-3</v>
          </cell>
          <cell r="G1065">
            <v>-5.337125293229778E-3</v>
          </cell>
        </row>
        <row r="1066">
          <cell r="C1066">
            <v>-2.9585798816567418E-3</v>
          </cell>
          <cell r="G1066">
            <v>-7.8296210202361005E-4</v>
          </cell>
        </row>
        <row r="1067">
          <cell r="C1067">
            <v>0</v>
          </cell>
          <cell r="G1067">
            <v>8.0729139842999429E-3</v>
          </cell>
        </row>
        <row r="1068">
          <cell r="C1068">
            <v>2.3738872403560853E-2</v>
          </cell>
          <cell r="G1068">
            <v>1.9810073505864135E-3</v>
          </cell>
        </row>
        <row r="1069">
          <cell r="C1069">
            <v>3.1884057971014457E-2</v>
          </cell>
          <cell r="G1069">
            <v>1.0227446267355846E-3</v>
          </cell>
        </row>
        <row r="1070">
          <cell r="C1070">
            <v>-5.6179775280898927E-3</v>
          </cell>
          <cell r="G1070">
            <v>5.0038934907890341E-3</v>
          </cell>
        </row>
        <row r="1071">
          <cell r="C1071">
            <v>3.1073446327683579E-2</v>
          </cell>
          <cell r="G1071">
            <v>1.2680462964220424E-3</v>
          </cell>
        </row>
        <row r="1072">
          <cell r="C1072">
            <v>-1.9178082191780778E-2</v>
          </cell>
          <cell r="G1072">
            <v>1.255526633273538E-2</v>
          </cell>
        </row>
        <row r="1073">
          <cell r="C1073">
            <v>-1.6759776536312863E-2</v>
          </cell>
          <cell r="G1073">
            <v>2.2376219950244135E-3</v>
          </cell>
        </row>
        <row r="1074">
          <cell r="C1074">
            <v>-1.4204545454545404E-2</v>
          </cell>
          <cell r="G1074">
            <v>8.8645674724656971E-3</v>
          </cell>
        </row>
        <row r="1075">
          <cell r="C1075">
            <v>2.8818443804033964E-3</v>
          </cell>
          <cell r="G1075">
            <v>2.8202839529604187E-3</v>
          </cell>
        </row>
        <row r="1076">
          <cell r="C1076">
            <v>0</v>
          </cell>
          <cell r="G1076">
            <v>8.3401373468796544E-3</v>
          </cell>
        </row>
        <row r="1077">
          <cell r="C1077">
            <v>-2.8735632183908073E-2</v>
          </cell>
          <cell r="G1077">
            <v>3.8230150802668807E-3</v>
          </cell>
        </row>
        <row r="1078">
          <cell r="C1078">
            <v>-8.8757396449703572E-3</v>
          </cell>
          <cell r="G1078">
            <v>1.3946991453375396E-4</v>
          </cell>
        </row>
        <row r="1079">
          <cell r="C1079">
            <v>0</v>
          </cell>
          <cell r="G1079">
            <v>3.520233383538675E-3</v>
          </cell>
        </row>
        <row r="1080">
          <cell r="C1080">
            <v>5.9701492537313485E-3</v>
          </cell>
          <cell r="G1080">
            <v>-9.7649305264574538E-3</v>
          </cell>
        </row>
        <row r="1081">
          <cell r="C1081">
            <v>2.9673590504450406E-3</v>
          </cell>
          <cell r="G1081">
            <v>-1.0893749840124761E-2</v>
          </cell>
        </row>
        <row r="1082">
          <cell r="C1082">
            <v>8.8757396449704873E-3</v>
          </cell>
          <cell r="G1082">
            <v>-7.2234101717971004E-3</v>
          </cell>
        </row>
        <row r="1083">
          <cell r="C1083">
            <v>2.9325513196480314E-3</v>
          </cell>
          <cell r="G1083">
            <v>6.102989778441612E-3</v>
          </cell>
        </row>
        <row r="1084">
          <cell r="C1084">
            <v>2.923976608187202E-3</v>
          </cell>
          <cell r="G1084">
            <v>3.9188755259146535E-3</v>
          </cell>
        </row>
        <row r="1085">
          <cell r="C1085">
            <v>-1.4577259475218736E-2</v>
          </cell>
          <cell r="G1085">
            <v>5.5120110645161821E-3</v>
          </cell>
        </row>
        <row r="1086">
          <cell r="C1086">
            <v>-1.1834319526627229E-2</v>
          </cell>
          <cell r="G1086">
            <v>6.3253513138520883E-3</v>
          </cell>
        </row>
        <row r="1087">
          <cell r="C1087">
            <v>-1.1976047904191628E-2</v>
          </cell>
          <cell r="G1087">
            <v>-3.44353388138621E-3</v>
          </cell>
        </row>
        <row r="1088">
          <cell r="C1088">
            <v>-3.0303030303029657E-3</v>
          </cell>
          <cell r="G1088">
            <v>-8.685671068901479E-3</v>
          </cell>
        </row>
        <row r="1089">
          <cell r="C1089">
            <v>1.8237082066869317E-2</v>
          </cell>
          <cell r="G1089">
            <v>3.440135801814361E-3</v>
          </cell>
        </row>
        <row r="1090">
          <cell r="C1090">
            <v>-4.4776119402985044E-2</v>
          </cell>
          <cell r="G1090">
            <v>-9.8851684506043782E-3</v>
          </cell>
        </row>
        <row r="1091">
          <cell r="C1091">
            <v>9.3749999999999389E-3</v>
          </cell>
          <cell r="G1091">
            <v>-2.1083160411130759E-3</v>
          </cell>
        </row>
        <row r="1092">
          <cell r="C1092">
            <v>6.1919504643962904E-3</v>
          </cell>
          <cell r="G1092">
            <v>-4.4142722786362065E-4</v>
          </cell>
        </row>
        <row r="1093">
          <cell r="C1093">
            <v>-1.8461538461538477E-2</v>
          </cell>
          <cell r="G1093">
            <v>-6.8567012697307267E-4</v>
          </cell>
        </row>
        <row r="1094">
          <cell r="C1094">
            <v>-1.8808777429467103E-2</v>
          </cell>
          <cell r="G1094">
            <v>-1.648393121063259E-3</v>
          </cell>
        </row>
        <row r="1095">
          <cell r="C1095">
            <v>-6.3897763578274818E-3</v>
          </cell>
          <cell r="G1095">
            <v>8.4787306170828556E-3</v>
          </cell>
        </row>
        <row r="1096">
          <cell r="C1096">
            <v>1.2861736334405157E-2</v>
          </cell>
          <cell r="G1096">
            <v>7.6323601429253403E-3</v>
          </cell>
        </row>
        <row r="1097">
          <cell r="C1097">
            <v>5.7142857142857197E-2</v>
          </cell>
          <cell r="G1097">
            <v>-7.8728743083364156E-3</v>
          </cell>
        </row>
        <row r="1098">
          <cell r="C1098">
            <v>-6.0060060060060112E-3</v>
          </cell>
          <cell r="G1098">
            <v>-1.5506381323446314E-3</v>
          </cell>
        </row>
        <row r="1099">
          <cell r="C1099">
            <v>-1.5105740181268963E-2</v>
          </cell>
          <cell r="G1099">
            <v>1.9993351701760053E-3</v>
          </cell>
        </row>
        <row r="1100">
          <cell r="C1100">
            <v>-6.1349693251532443E-3</v>
          </cell>
          <cell r="G1100">
            <v>6.8258139521388036E-3</v>
          </cell>
        </row>
        <row r="1101">
          <cell r="C1101">
            <v>1.2345679012345552E-2</v>
          </cell>
          <cell r="G1101">
            <v>6.5888493181675374E-3</v>
          </cell>
        </row>
        <row r="1102">
          <cell r="C1102">
            <v>-9.1463414634145746E-3</v>
          </cell>
          <cell r="G1102">
            <v>4.9230689945430565E-3</v>
          </cell>
        </row>
        <row r="1103">
          <cell r="C1103">
            <v>-1.8461538461538477E-2</v>
          </cell>
          <cell r="G1103">
            <v>-1.0711261984433744E-2</v>
          </cell>
        </row>
        <row r="1104">
          <cell r="C1104">
            <v>-3.1347962382445173E-2</v>
          </cell>
          <cell r="G1104">
            <v>5.6827686043534262E-3</v>
          </cell>
        </row>
        <row r="1105">
          <cell r="C1105">
            <v>-1.9417475728155359E-2</v>
          </cell>
          <cell r="G1105">
            <v>-3.162640323819214E-3</v>
          </cell>
        </row>
        <row r="1106">
          <cell r="C1106">
            <v>-3.9603960396039493E-2</v>
          </cell>
          <cell r="G1106">
            <v>-5.6537425611642503E-3</v>
          </cell>
        </row>
        <row r="1107">
          <cell r="C1107">
            <v>-1.0309278350515549E-2</v>
          </cell>
          <cell r="G1107">
            <v>1.7093539701289834E-5</v>
          </cell>
        </row>
        <row r="1108">
          <cell r="C1108">
            <v>-6.944444444444451E-3</v>
          </cell>
          <cell r="G1108">
            <v>-3.1868072871163045E-3</v>
          </cell>
        </row>
        <row r="1109">
          <cell r="C1109">
            <v>0</v>
          </cell>
          <cell r="G1109">
            <v>-1.6657609680107515E-3</v>
          </cell>
        </row>
        <row r="1110">
          <cell r="C1110">
            <v>-2.447552447552442E-2</v>
          </cell>
          <cell r="G1110">
            <v>-1.6573635320510025E-2</v>
          </cell>
        </row>
        <row r="1111">
          <cell r="C1111">
            <v>4.3010752688172081E-2</v>
          </cell>
          <cell r="G1111">
            <v>-7.3061921823593299E-5</v>
          </cell>
        </row>
        <row r="1112">
          <cell r="C1112">
            <v>-2.4054982817869511E-2</v>
          </cell>
          <cell r="G1112">
            <v>-1.0276651836719056E-2</v>
          </cell>
        </row>
        <row r="1113">
          <cell r="C1113">
            <v>0.11971830985915505</v>
          </cell>
          <cell r="G1113">
            <v>-1.1911579885141132E-3</v>
          </cell>
        </row>
        <row r="1114">
          <cell r="C1114">
            <v>-9.4339622641510211E-3</v>
          </cell>
          <cell r="G1114">
            <v>-2.276650347520072E-3</v>
          </cell>
        </row>
        <row r="1115">
          <cell r="C1115">
            <v>9.5238095238096027E-3</v>
          </cell>
          <cell r="G1115">
            <v>3.2332211534144346E-2</v>
          </cell>
        </row>
        <row r="1116">
          <cell r="C1116">
            <v>-2.8301886792452925E-2</v>
          </cell>
          <cell r="G1116">
            <v>1.597378086659527E-3</v>
          </cell>
        </row>
        <row r="1117">
          <cell r="C1117">
            <v>-1.2944983818770239E-2</v>
          </cell>
          <cell r="G1117">
            <v>5.9118252426622372E-2</v>
          </cell>
        </row>
        <row r="1118">
          <cell r="C1118">
            <v>3.606557377049191E-2</v>
          </cell>
          <cell r="G1118">
            <v>-9.1200454453413734E-3</v>
          </cell>
        </row>
        <row r="1119">
          <cell r="C1119">
            <v>3.1645569620253049E-2</v>
          </cell>
          <cell r="G1119">
            <v>1.17049694859349E-3</v>
          </cell>
        </row>
        <row r="1120">
          <cell r="C1120">
            <v>-6.1349693251532443E-3</v>
          </cell>
          <cell r="G1120">
            <v>1.5105681913935968E-2</v>
          </cell>
        </row>
        <row r="1121">
          <cell r="C1121">
            <v>3.0864197530863537E-3</v>
          </cell>
          <cell r="G1121">
            <v>1.6556695826354887E-3</v>
          </cell>
        </row>
        <row r="1122">
          <cell r="C1122">
            <v>-3.3846153846153811E-2</v>
          </cell>
          <cell r="G1122">
            <v>6.2526927902320124E-3</v>
          </cell>
        </row>
        <row r="1123">
          <cell r="C1123">
            <v>-6.3694267515923622E-3</v>
          </cell>
          <cell r="G1123">
            <v>1.3855134283115085E-2</v>
          </cell>
        </row>
        <row r="1124">
          <cell r="C1124">
            <v>-3.2051282051282792E-3</v>
          </cell>
          <cell r="G1124">
            <v>8.895680603675498E-3</v>
          </cell>
        </row>
        <row r="1125">
          <cell r="C1125">
            <v>-2.2508038585208952E-2</v>
          </cell>
          <cell r="G1125">
            <v>-6.2440312471410998E-3</v>
          </cell>
        </row>
        <row r="1126">
          <cell r="C1126">
            <v>1.6447368421052572E-2</v>
          </cell>
          <cell r="G1126">
            <v>-4.9579967732619303E-3</v>
          </cell>
        </row>
        <row r="1127">
          <cell r="C1127">
            <v>7.4433656957928807E-2</v>
          </cell>
          <cell r="G1127">
            <v>-5.455722562641808E-4</v>
          </cell>
        </row>
        <row r="1128">
          <cell r="C1128">
            <v>-6.0240963855421742E-3</v>
          </cell>
          <cell r="G1128">
            <v>-6.1624046697535009E-4</v>
          </cell>
        </row>
        <row r="1129">
          <cell r="C1129">
            <v>6.0606060606060667E-3</v>
          </cell>
          <cell r="G1129">
            <v>1.482465744357184E-3</v>
          </cell>
        </row>
        <row r="1130">
          <cell r="C1130">
            <v>3.0120481927711539E-3</v>
          </cell>
          <cell r="G1130">
            <v>7.5466333143549271E-3</v>
          </cell>
        </row>
        <row r="1131">
          <cell r="C1131">
            <v>6.0060060060060112E-3</v>
          </cell>
          <cell r="G1131">
            <v>1.0163212815052339E-2</v>
          </cell>
        </row>
        <row r="1132">
          <cell r="C1132">
            <v>3.8805970149253702E-2</v>
          </cell>
          <cell r="G1132">
            <v>3.863515417668939E-3</v>
          </cell>
        </row>
        <row r="1133">
          <cell r="C1133">
            <v>8.6206896551723582E-3</v>
          </cell>
          <cell r="G1133">
            <v>7.2433738444455395E-3</v>
          </cell>
        </row>
        <row r="1134">
          <cell r="C1134">
            <v>6.8376068376068438E-2</v>
          </cell>
          <cell r="G1134">
            <v>7.012186842796077E-3</v>
          </cell>
        </row>
        <row r="1135">
          <cell r="C1135">
            <v>-2.1333333333333353E-2</v>
          </cell>
          <cell r="G1135">
            <v>8.8707057398909935E-3</v>
          </cell>
        </row>
        <row r="1136">
          <cell r="C1136">
            <v>7.6294277929155385E-2</v>
          </cell>
          <cell r="G1136">
            <v>1.8997621081116148E-2</v>
          </cell>
        </row>
        <row r="1137">
          <cell r="C1137">
            <v>-3.7974683544303889E-2</v>
          </cell>
          <cell r="G1137">
            <v>4.0785192503985882E-3</v>
          </cell>
        </row>
        <row r="1138">
          <cell r="C1138">
            <v>-8.6842105263157804E-2</v>
          </cell>
          <cell r="G1138">
            <v>1.1072868827816483E-2</v>
          </cell>
        </row>
        <row r="1139">
          <cell r="C1139">
            <v>3.7463976945244927E-2</v>
          </cell>
          <cell r="G1139">
            <v>-3.1451125869100117E-3</v>
          </cell>
        </row>
        <row r="1140">
          <cell r="C1140">
            <v>-3.3333333333333361E-2</v>
          </cell>
          <cell r="G1140">
            <v>-5.2395354319728844E-4</v>
          </cell>
        </row>
        <row r="1141">
          <cell r="C1141">
            <v>2.8735632183908709E-3</v>
          </cell>
          <cell r="G1141">
            <v>-4.1053223262559942E-3</v>
          </cell>
        </row>
        <row r="1142">
          <cell r="C1142">
            <v>-5.7306590257879706E-3</v>
          </cell>
          <cell r="G1142">
            <v>-1.9766565914903517E-2</v>
          </cell>
        </row>
        <row r="1143">
          <cell r="C1143">
            <v>-4.610951008645537E-2</v>
          </cell>
          <cell r="G1143">
            <v>1.6820219853248417E-2</v>
          </cell>
        </row>
        <row r="1144">
          <cell r="C1144">
            <v>2.4169184290030232E-2</v>
          </cell>
          <cell r="G1144">
            <v>-8.6933623070607289E-3</v>
          </cell>
        </row>
        <row r="1145">
          <cell r="C1145">
            <v>-2.9498525073746337E-2</v>
          </cell>
          <cell r="G1145">
            <v>1.288603620205188E-2</v>
          </cell>
        </row>
        <row r="1146">
          <cell r="C1146">
            <v>-1.2158054711246211E-2</v>
          </cell>
          <cell r="G1146">
            <v>2.9189829920453023E-3</v>
          </cell>
        </row>
        <row r="1147">
          <cell r="C1147">
            <v>-9.2307692307691709E-3</v>
          </cell>
          <cell r="G1147">
            <v>-8.6340682476848344E-3</v>
          </cell>
        </row>
        <row r="1148">
          <cell r="C1148">
            <v>-3.1055900621118726E-3</v>
          </cell>
          <cell r="G1148">
            <v>3.7263406653410486E-3</v>
          </cell>
        </row>
        <row r="1149">
          <cell r="C1149">
            <v>-6.2305295950155822E-3</v>
          </cell>
          <cell r="G1149">
            <v>-2.2213788730831899E-3</v>
          </cell>
        </row>
        <row r="1150">
          <cell r="C1150">
            <v>-1.5673981191222514E-2</v>
          </cell>
          <cell r="G1150">
            <v>-1.5980176898944803E-2</v>
          </cell>
        </row>
        <row r="1151">
          <cell r="C1151">
            <v>-2.2292993630573337E-2</v>
          </cell>
          <cell r="G1151">
            <v>-6.3332557044078056E-4</v>
          </cell>
        </row>
        <row r="1152">
          <cell r="C1152">
            <v>-9.7719869706839758E-3</v>
          </cell>
          <cell r="G1152">
            <v>1.5395030146757352E-5</v>
          </cell>
        </row>
        <row r="1153">
          <cell r="C1153">
            <v>-2.3026315789473631E-2</v>
          </cell>
          <cell r="G1153">
            <v>7.0042091051556038E-3</v>
          </cell>
        </row>
        <row r="1154">
          <cell r="C1154">
            <v>-4.3771043771043884E-2</v>
          </cell>
          <cell r="G1154">
            <v>-1.6659420708697182E-3</v>
          </cell>
        </row>
        <row r="1155">
          <cell r="C1155">
            <v>0</v>
          </cell>
          <cell r="G1155">
            <v>-4.0401743526123747E-3</v>
          </cell>
        </row>
        <row r="1156">
          <cell r="C1156">
            <v>3.1690140845070533E-2</v>
          </cell>
          <cell r="G1156">
            <v>-1.4916190680392646E-2</v>
          </cell>
        </row>
        <row r="1157">
          <cell r="C1157">
            <v>-2.7303754266211625E-2</v>
          </cell>
          <cell r="G1157">
            <v>-1.1243433615399149E-2</v>
          </cell>
        </row>
        <row r="1158">
          <cell r="C1158">
            <v>1.7543859649122744E-2</v>
          </cell>
          <cell r="G1158">
            <v>-2.6860246234421122E-2</v>
          </cell>
        </row>
        <row r="1159">
          <cell r="C1159">
            <v>-1.3793103448275874E-2</v>
          </cell>
          <cell r="G1159">
            <v>6.8938530180938738E-3</v>
          </cell>
        </row>
        <row r="1160">
          <cell r="C1160">
            <v>1.7482517482517577E-2</v>
          </cell>
          <cell r="G1160">
            <v>8.7121366770647225E-3</v>
          </cell>
        </row>
        <row r="1161">
          <cell r="C1161">
            <v>-3.4364261168385673E-3</v>
          </cell>
          <cell r="G1161">
            <v>-4.724397045381145E-3</v>
          </cell>
        </row>
        <row r="1162">
          <cell r="C1162">
            <v>-3.4482758620688922E-3</v>
          </cell>
          <cell r="G1162">
            <v>6.9483340616747682E-3</v>
          </cell>
        </row>
        <row r="1163">
          <cell r="C1163">
            <v>3.4602076124566734E-3</v>
          </cell>
          <cell r="G1163">
            <v>-1.0989449997019381E-3</v>
          </cell>
        </row>
        <row r="1164">
          <cell r="C1164">
            <v>1.0344827586206983E-2</v>
          </cell>
          <cell r="G1164">
            <v>5.6002078797164944E-3</v>
          </cell>
        </row>
        <row r="1165">
          <cell r="C1165">
            <v>3.4129692832763777E-3</v>
          </cell>
          <cell r="G1165">
            <v>-3.2110155545722685E-3</v>
          </cell>
        </row>
        <row r="1166">
          <cell r="C1166">
            <v>-3.4013605442176145E-3</v>
          </cell>
          <cell r="G1166">
            <v>-7.7910021272964312E-3</v>
          </cell>
        </row>
        <row r="1167">
          <cell r="C1167">
            <v>6.8259385665529063E-3</v>
          </cell>
          <cell r="G1167">
            <v>1.8135117502508622E-3</v>
          </cell>
        </row>
        <row r="1168">
          <cell r="C1168">
            <v>0</v>
          </cell>
          <cell r="G1168">
            <v>1.2969687823804533E-3</v>
          </cell>
        </row>
        <row r="1169">
          <cell r="C1169">
            <v>1.0169491525423662E-2</v>
          </cell>
          <cell r="G1169">
            <v>2.2663721069308604E-3</v>
          </cell>
        </row>
        <row r="1170">
          <cell r="C1170">
            <v>3.691275167785231E-2</v>
          </cell>
          <cell r="G1170">
            <v>1.833957657019018E-3</v>
          </cell>
        </row>
        <row r="1171">
          <cell r="C1171">
            <v>0</v>
          </cell>
          <cell r="G1171">
            <v>1.674614321661255E-3</v>
          </cell>
        </row>
        <row r="1172">
          <cell r="C1172">
            <v>3.2362459546926314E-3</v>
          </cell>
          <cell r="G1172">
            <v>3.9944086990111787E-4</v>
          </cell>
        </row>
        <row r="1173">
          <cell r="C1173">
            <v>-6.4516129032258117E-3</v>
          </cell>
          <cell r="G1173">
            <v>8.103409087940449E-3</v>
          </cell>
        </row>
        <row r="1174">
          <cell r="C1174">
            <v>-1.2987012987012998E-2</v>
          </cell>
          <cell r="G1174">
            <v>2.8437699561146405E-3</v>
          </cell>
        </row>
        <row r="1175">
          <cell r="C1175">
            <v>2.960526315789469E-2</v>
          </cell>
          <cell r="G1175">
            <v>-9.0640081780662594E-4</v>
          </cell>
        </row>
        <row r="1176">
          <cell r="C1176">
            <v>4.7923322683706041E-2</v>
          </cell>
          <cell r="G1176">
            <v>-1.8489332314817598E-3</v>
          </cell>
        </row>
        <row r="1177">
          <cell r="C1177">
            <v>-9.1463414634145746E-3</v>
          </cell>
          <cell r="G1177">
            <v>2.1481998784672529E-3</v>
          </cell>
        </row>
        <row r="1178">
          <cell r="C1178">
            <v>1.2307692307692318E-2</v>
          </cell>
          <cell r="G1178">
            <v>-3.7801655834487293E-3</v>
          </cell>
        </row>
        <row r="1179">
          <cell r="C1179">
            <v>2.1276595744680802E-2</v>
          </cell>
          <cell r="G1179">
            <v>8.532725508131932E-3</v>
          </cell>
        </row>
        <row r="1180">
          <cell r="C1180">
            <v>-8.9285714285713708E-3</v>
          </cell>
          <cell r="G1180">
            <v>2.7820742795817617E-3</v>
          </cell>
        </row>
        <row r="1181">
          <cell r="C1181">
            <v>2.1021021021020974E-2</v>
          </cell>
          <cell r="G1181">
            <v>6.9087277144714524E-3</v>
          </cell>
        </row>
        <row r="1182">
          <cell r="C1182">
            <v>-1.1764705882352951E-2</v>
          </cell>
          <cell r="G1182">
            <v>8.5966750517152656E-3</v>
          </cell>
        </row>
        <row r="1183">
          <cell r="C1183">
            <v>-5.9523809523809581E-3</v>
          </cell>
          <cell r="G1183">
            <v>5.0774399088884012E-4</v>
          </cell>
        </row>
        <row r="1184">
          <cell r="C1184">
            <v>2.9940119760479733E-3</v>
          </cell>
          <cell r="G1184">
            <v>4.7978611061939291E-3</v>
          </cell>
        </row>
        <row r="1185">
          <cell r="C1185">
            <v>1.7910447761194045E-2</v>
          </cell>
          <cell r="G1185">
            <v>8.5236467357024184E-3</v>
          </cell>
        </row>
        <row r="1186">
          <cell r="C1186">
            <v>-8.7976539589443535E-3</v>
          </cell>
          <cell r="G1186">
            <v>7.4423338560761663E-3</v>
          </cell>
        </row>
        <row r="1187">
          <cell r="C1187">
            <v>4.1420118343195304E-2</v>
          </cell>
          <cell r="G1187">
            <v>5.5649481050187048E-3</v>
          </cell>
        </row>
        <row r="1188">
          <cell r="C1188">
            <v>2.2727272727272749E-2</v>
          </cell>
          <cell r="G1188">
            <v>1.4798742959801943E-2</v>
          </cell>
        </row>
        <row r="1189">
          <cell r="C1189">
            <v>-2.7777777777778421E-3</v>
          </cell>
          <cell r="G1189">
            <v>4.5743408170815557E-3</v>
          </cell>
        </row>
        <row r="1190">
          <cell r="C1190">
            <v>-1.392757660167126E-2</v>
          </cell>
          <cell r="G1190">
            <v>-3.8614340705236203E-3</v>
          </cell>
        </row>
        <row r="1191">
          <cell r="C1191">
            <v>5.649717514124299E-3</v>
          </cell>
          <cell r="G1191">
            <v>-2.4569999765787485E-3</v>
          </cell>
        </row>
        <row r="1192">
          <cell r="C1192">
            <v>-2.8089887640450088E-3</v>
          </cell>
          <cell r="G1192">
            <v>1.8576214842715027E-2</v>
          </cell>
        </row>
        <row r="1193">
          <cell r="C1193">
            <v>-1.6901408450704116E-2</v>
          </cell>
          <cell r="G1193">
            <v>6.965865371909164E-3</v>
          </cell>
        </row>
        <row r="1194">
          <cell r="C1194">
            <v>-1.1461318051575941E-2</v>
          </cell>
          <cell r="G1194">
            <v>7.858189875306296E-3</v>
          </cell>
        </row>
        <row r="1195">
          <cell r="C1195">
            <v>2.8985507246376192E-3</v>
          </cell>
          <cell r="G1195">
            <v>-8.9676036507187803E-5</v>
          </cell>
        </row>
        <row r="1196">
          <cell r="C1196">
            <v>0.13583815028901741</v>
          </cell>
          <cell r="G1196">
            <v>1.1194844536173379E-3</v>
          </cell>
        </row>
        <row r="1197">
          <cell r="C1197">
            <v>-1.2722646310432637E-2</v>
          </cell>
          <cell r="G1197">
            <v>6.4703751487524665E-4</v>
          </cell>
        </row>
        <row r="1198">
          <cell r="C1198">
            <v>-2.3195876288659757E-2</v>
          </cell>
          <cell r="G1198">
            <v>-3.9084490523551233E-3</v>
          </cell>
        </row>
        <row r="1199">
          <cell r="C1199">
            <v>1.5831134564643815E-2</v>
          </cell>
          <cell r="G1199">
            <v>1.0292306771497233E-2</v>
          </cell>
        </row>
        <row r="1200">
          <cell r="C1200">
            <v>6.7532467532467597E-2</v>
          </cell>
          <cell r="G1200">
            <v>9.583370643434579E-3</v>
          </cell>
        </row>
        <row r="1201">
          <cell r="C1201">
            <v>9.7323600973236082E-3</v>
          </cell>
          <cell r="G1201">
            <v>7.3252602964697811E-3</v>
          </cell>
        </row>
        <row r="1202">
          <cell r="C1202">
            <v>3.8554216867469696E-2</v>
          </cell>
          <cell r="G1202">
            <v>6.577528718672984E-3</v>
          </cell>
        </row>
        <row r="1203">
          <cell r="C1203">
            <v>0.10904872389791199</v>
          </cell>
          <cell r="G1203">
            <v>8.9995660459308378E-3</v>
          </cell>
        </row>
        <row r="1204">
          <cell r="C1204">
            <v>-1.673640167364018E-2</v>
          </cell>
          <cell r="G1204">
            <v>1.4392282793726154E-2</v>
          </cell>
        </row>
        <row r="1205">
          <cell r="C1205">
            <v>-2.1276595744680396E-3</v>
          </cell>
          <cell r="G1205">
            <v>-2.4141173399697367E-3</v>
          </cell>
        </row>
        <row r="1206">
          <cell r="C1206">
            <v>1.0660980810234503E-2</v>
          </cell>
          <cell r="G1206">
            <v>9.2276980726181627E-3</v>
          </cell>
        </row>
        <row r="1207">
          <cell r="C1207">
            <v>-8.4388185654008518E-3</v>
          </cell>
          <cell r="G1207">
            <v>2.0113108036717682E-2</v>
          </cell>
        </row>
        <row r="1208">
          <cell r="C1208">
            <v>-3.8297872340425657E-2</v>
          </cell>
          <cell r="G1208">
            <v>2.0343987670682375E-2</v>
          </cell>
        </row>
        <row r="1209">
          <cell r="C1209">
            <v>-4.4247787610618532E-3</v>
          </cell>
          <cell r="G1209">
            <v>2.0852089215877348E-3</v>
          </cell>
        </row>
        <row r="1210">
          <cell r="C1210">
            <v>-6.6666666666667217E-3</v>
          </cell>
          <cell r="G1210">
            <v>2.1308305225318483E-3</v>
          </cell>
        </row>
        <row r="1211">
          <cell r="C1211">
            <v>-8.9485458612975476E-3</v>
          </cell>
          <cell r="G1211">
            <v>1.0197782870092506E-2</v>
          </cell>
        </row>
        <row r="1212">
          <cell r="C1212">
            <v>0</v>
          </cell>
          <cell r="G1212">
            <v>-5.705899258093664E-3</v>
          </cell>
        </row>
        <row r="1213">
          <cell r="C1213">
            <v>-2.934537246049659E-2</v>
          </cell>
          <cell r="G1213">
            <v>8.599195748071949E-4</v>
          </cell>
        </row>
        <row r="1214">
          <cell r="C1214">
            <v>1.3953488372093139E-2</v>
          </cell>
          <cell r="G1214">
            <v>5.9963911955264832E-3</v>
          </cell>
        </row>
        <row r="1215">
          <cell r="C1215">
            <v>5.5045871559632871E-2</v>
          </cell>
          <cell r="G1215">
            <v>1.341429043735573E-2</v>
          </cell>
        </row>
        <row r="1216">
          <cell r="C1216">
            <v>0</v>
          </cell>
          <cell r="G1216">
            <v>1.25911272370252E-2</v>
          </cell>
        </row>
        <row r="1217">
          <cell r="C1217">
            <v>-1.3043478260869481E-2</v>
          </cell>
          <cell r="G1217">
            <v>4.4565682353659023E-3</v>
          </cell>
        </row>
        <row r="1218">
          <cell r="C1218">
            <v>0</v>
          </cell>
          <cell r="G1218">
            <v>1.0151869068063443E-2</v>
          </cell>
        </row>
        <row r="1219">
          <cell r="C1219">
            <v>1.5418502202643234E-2</v>
          </cell>
          <cell r="G1219">
            <v>1.7925334166693733E-2</v>
          </cell>
        </row>
        <row r="1220">
          <cell r="C1220">
            <v>5.206073752711482E-2</v>
          </cell>
          <cell r="G1220">
            <v>-5.6958991071324339E-3</v>
          </cell>
        </row>
        <row r="1221">
          <cell r="C1221">
            <v>0</v>
          </cell>
          <cell r="G1221">
            <v>4.5967732337874357E-4</v>
          </cell>
        </row>
        <row r="1222">
          <cell r="C1222">
            <v>4.5360824742268178E-2</v>
          </cell>
          <cell r="G1222">
            <v>1.9239090405782488E-2</v>
          </cell>
        </row>
        <row r="1223">
          <cell r="C1223">
            <v>9.8619329388559794E-3</v>
          </cell>
          <cell r="G1223">
            <v>1.433104370554979E-2</v>
          </cell>
        </row>
        <row r="1224">
          <cell r="C1224">
            <v>-3.1250000000000028E-2</v>
          </cell>
          <cell r="G1224">
            <v>7.2357565718769263E-3</v>
          </cell>
        </row>
        <row r="1225">
          <cell r="C1225">
            <v>1.0080645161290288E-2</v>
          </cell>
          <cell r="G1225">
            <v>1.190928558407179E-2</v>
          </cell>
        </row>
        <row r="1226">
          <cell r="C1226">
            <v>-3.5928143712574794E-2</v>
          </cell>
          <cell r="G1226">
            <v>1.4727946220332034E-2</v>
          </cell>
        </row>
        <row r="1227">
          <cell r="C1227">
            <v>2.0703933747411567E-3</v>
          </cell>
          <cell r="G1227">
            <v>2.3263205583354804E-2</v>
          </cell>
        </row>
        <row r="1228">
          <cell r="C1228">
            <v>0.18801652892561987</v>
          </cell>
          <cell r="G1228">
            <v>-3.190703982853294E-3</v>
          </cell>
        </row>
        <row r="1229">
          <cell r="C1229">
            <v>2.6086956521739191E-2</v>
          </cell>
          <cell r="G1229">
            <v>6.2783725404026349E-3</v>
          </cell>
        </row>
        <row r="1230">
          <cell r="C1230">
            <v>-0.15084745762711874</v>
          </cell>
          <cell r="G1230">
            <v>-1.726141173785626E-2</v>
          </cell>
        </row>
        <row r="1231">
          <cell r="C1231">
            <v>-2.3952095808383256E-2</v>
          </cell>
          <cell r="G1231">
            <v>2.6046198416180173E-3</v>
          </cell>
        </row>
        <row r="1232">
          <cell r="C1232">
            <v>0.1226993865030676</v>
          </cell>
          <cell r="G1232">
            <v>1.0386982833816094E-2</v>
          </cell>
        </row>
        <row r="1233">
          <cell r="C1233">
            <v>-4.3715846994535554E-2</v>
          </cell>
          <cell r="G1233">
            <v>-1.3992737337747724E-2</v>
          </cell>
        </row>
        <row r="1234">
          <cell r="C1234">
            <v>-0.11428571428571421</v>
          </cell>
          <cell r="G1234">
            <v>-3.6372389221141818E-2</v>
          </cell>
        </row>
        <row r="1235">
          <cell r="C1235">
            <v>0.10537634408602135</v>
          </cell>
          <cell r="G1235">
            <v>-6.1276688391439472E-3</v>
          </cell>
        </row>
        <row r="1236">
          <cell r="C1236">
            <v>-2.7237354085603051E-2</v>
          </cell>
          <cell r="G1236">
            <v>3.932230987024209E-3</v>
          </cell>
        </row>
        <row r="1237">
          <cell r="C1237">
            <v>-1.6000000000000014E-2</v>
          </cell>
          <cell r="G1237">
            <v>-1.5766848179167389E-2</v>
          </cell>
        </row>
        <row r="1238">
          <cell r="C1238">
            <v>7.5203252032520346E-2</v>
          </cell>
          <cell r="G1238">
            <v>-4.1068086927674739E-2</v>
          </cell>
        </row>
        <row r="1239">
          <cell r="C1239">
            <v>-3.0245746691871481E-2</v>
          </cell>
          <cell r="G1239">
            <v>2.8605914588536462E-2</v>
          </cell>
        </row>
        <row r="1240">
          <cell r="C1240">
            <v>-1.3645224171540018E-2</v>
          </cell>
          <cell r="G1240">
            <v>1.9529236019809458E-2</v>
          </cell>
        </row>
        <row r="1241">
          <cell r="C1241">
            <v>1.7786561264822282E-2</v>
          </cell>
          <cell r="G1241">
            <v>6.426842931052979E-3</v>
          </cell>
        </row>
        <row r="1242">
          <cell r="C1242">
            <v>-9.7087378640778078E-3</v>
          </cell>
          <cell r="G1242">
            <v>3.5399570607631159E-2</v>
          </cell>
        </row>
        <row r="1243">
          <cell r="C1243">
            <v>-3.5294117647058768E-2</v>
          </cell>
          <cell r="G1243">
            <v>-4.8278906024548087E-3</v>
          </cell>
        </row>
        <row r="1244">
          <cell r="C1244">
            <v>-1.0162601626016224E-2</v>
          </cell>
          <cell r="G1244">
            <v>4.6192983328567699E-3</v>
          </cell>
        </row>
        <row r="1245">
          <cell r="C1245">
            <v>-1.2320328542094557E-2</v>
          </cell>
          <cell r="G1245">
            <v>-1.1895397842269272E-4</v>
          </cell>
        </row>
        <row r="1246">
          <cell r="C1246">
            <v>-1.0395010395010359E-2</v>
          </cell>
          <cell r="G1246">
            <v>-1.9223640901274402E-3</v>
          </cell>
        </row>
        <row r="1247">
          <cell r="C1247">
            <v>1.0504201680672232E-2</v>
          </cell>
          <cell r="G1247">
            <v>-4.3070670496273356E-3</v>
          </cell>
        </row>
        <row r="1248">
          <cell r="C1248">
            <v>-2.0790020790020718E-2</v>
          </cell>
          <cell r="G1248">
            <v>-1.034450067196399E-3</v>
          </cell>
        </row>
        <row r="1249">
          <cell r="C1249">
            <v>1.6985138004246298E-2</v>
          </cell>
          <cell r="G1249">
            <v>-3.9072422284480391E-3</v>
          </cell>
        </row>
        <row r="1250">
          <cell r="C1250">
            <v>-2.9227557411273419E-2</v>
          </cell>
          <cell r="G1250">
            <v>1.0915545014576868E-2</v>
          </cell>
        </row>
        <row r="1251">
          <cell r="C1251">
            <v>-4.086021505376352E-2</v>
          </cell>
          <cell r="G1251">
            <v>3.1059663803513054E-4</v>
          </cell>
        </row>
        <row r="1252">
          <cell r="C1252">
            <v>-4.4843049327353305E-3</v>
          </cell>
          <cell r="G1252">
            <v>-5.6972995920024621E-3</v>
          </cell>
        </row>
        <row r="1253">
          <cell r="C1253">
            <v>-6.7567567567568118E-3</v>
          </cell>
          <cell r="G1253">
            <v>-8.2764140559625481E-3</v>
          </cell>
        </row>
        <row r="1254">
          <cell r="C1254">
            <v>2.4943310657596241E-2</v>
          </cell>
          <cell r="G1254">
            <v>-2.6690740421724153E-3</v>
          </cell>
        </row>
        <row r="1255">
          <cell r="C1255">
            <v>4.4247787610620492E-3</v>
          </cell>
          <cell r="G1255">
            <v>-5.7409984435402685E-3</v>
          </cell>
        </row>
        <row r="1256">
          <cell r="C1256">
            <v>-3.9647577092510954E-2</v>
          </cell>
          <cell r="G1256">
            <v>1.2630849461413133E-3</v>
          </cell>
        </row>
        <row r="1257">
          <cell r="C1257">
            <v>-1.376146788990837E-2</v>
          </cell>
          <cell r="G1257">
            <v>1.038490584165571E-2</v>
          </cell>
        </row>
        <row r="1258">
          <cell r="C1258">
            <v>-3.9534883720930218E-2</v>
          </cell>
          <cell r="G1258">
            <v>8.0515287832652448E-3</v>
          </cell>
        </row>
        <row r="1259">
          <cell r="C1259">
            <v>-3.6319612590799008E-2</v>
          </cell>
          <cell r="G1259">
            <v>5.7127368851876432E-3</v>
          </cell>
        </row>
        <row r="1260">
          <cell r="C1260">
            <v>-2.0100502512562832E-2</v>
          </cell>
          <cell r="G1260">
            <v>-8.0901009110580738E-3</v>
          </cell>
        </row>
        <row r="1261">
          <cell r="C1261">
            <v>2.3076923076923155E-2</v>
          </cell>
          <cell r="G1261">
            <v>-7.5422240906056716E-3</v>
          </cell>
        </row>
        <row r="1262">
          <cell r="C1262">
            <v>0</v>
          </cell>
          <cell r="G1262">
            <v>-1.6287261573101126E-2</v>
          </cell>
        </row>
        <row r="1263">
          <cell r="C1263">
            <v>4.0100250626566449E-2</v>
          </cell>
          <cell r="G1263">
            <v>-1.4846658761022976E-2</v>
          </cell>
        </row>
        <row r="1264">
          <cell r="C1264">
            <v>2.4096385542168586E-2</v>
          </cell>
          <cell r="G1264">
            <v>2.2224471691773603E-3</v>
          </cell>
        </row>
        <row r="1265">
          <cell r="C1265">
            <v>-4.7058823529411806E-2</v>
          </cell>
          <cell r="G1265">
            <v>6.6886977207507052E-3</v>
          </cell>
        </row>
        <row r="1266">
          <cell r="C1266">
            <v>-5.6790123456790124E-2</v>
          </cell>
          <cell r="G1266">
            <v>9.7634794772680777E-3</v>
          </cell>
        </row>
        <row r="1267">
          <cell r="C1267">
            <v>-7.8534031413612058E-3</v>
          </cell>
          <cell r="G1267">
            <v>1.2635922271539137E-2</v>
          </cell>
        </row>
        <row r="1268">
          <cell r="C1268">
            <v>3.9577836411609474E-2</v>
          </cell>
          <cell r="G1268">
            <v>5.4052554412278722E-3</v>
          </cell>
        </row>
        <row r="1269">
          <cell r="C1269">
            <v>-3.5532994923857898E-2</v>
          </cell>
          <cell r="G1269">
            <v>-1.8709815918497005E-2</v>
          </cell>
        </row>
        <row r="1270">
          <cell r="C1270">
            <v>-2.89473684210526E-2</v>
          </cell>
          <cell r="G1270">
            <v>-2.9842994737364716E-2</v>
          </cell>
        </row>
        <row r="1271">
          <cell r="C1271">
            <v>7.0460704607046135E-2</v>
          </cell>
          <cell r="G1271">
            <v>2.6465103269744691E-3</v>
          </cell>
        </row>
        <row r="1272">
          <cell r="C1272">
            <v>-2.5316455696203113E-3</v>
          </cell>
          <cell r="G1272">
            <v>1.5138926612848238E-2</v>
          </cell>
        </row>
        <row r="1273">
          <cell r="C1273">
            <v>2.0304568527918686E-2</v>
          </cell>
          <cell r="G1273">
            <v>-1.8241511707080351E-2</v>
          </cell>
        </row>
        <row r="1274">
          <cell r="C1274">
            <v>-1.7412935323382936E-2</v>
          </cell>
          <cell r="G1274">
            <v>-1.8798736022219556E-2</v>
          </cell>
        </row>
        <row r="1275">
          <cell r="C1275">
            <v>5.0632911392405108E-3</v>
          </cell>
          <cell r="G1275">
            <v>9.8005844374489063E-3</v>
          </cell>
        </row>
        <row r="1276">
          <cell r="C1276">
            <v>4.5340050377833792E-2</v>
          </cell>
          <cell r="G1276">
            <v>7.4264283262798192E-5</v>
          </cell>
        </row>
        <row r="1277">
          <cell r="C1277">
            <v>-2.4096385542168801E-2</v>
          </cell>
          <cell r="G1277">
            <v>1.8108554742439591E-2</v>
          </cell>
        </row>
        <row r="1278">
          <cell r="C1278">
            <v>8.395061728395059E-2</v>
          </cell>
          <cell r="G1278">
            <v>5.769734349851314E-3</v>
          </cell>
        </row>
        <row r="1279">
          <cell r="C1279">
            <v>-2.2779043280182154E-2</v>
          </cell>
          <cell r="G1279">
            <v>1.4560116444752592E-2</v>
          </cell>
        </row>
        <row r="1280">
          <cell r="C1280">
            <v>6.9930069930070511E-3</v>
          </cell>
          <cell r="G1280">
            <v>7.8023338706714419E-3</v>
          </cell>
        </row>
        <row r="1281">
          <cell r="C1281">
            <v>1.6203703703703564E-2</v>
          </cell>
          <cell r="G1281">
            <v>-1.3715934668363887E-3</v>
          </cell>
        </row>
        <row r="1282">
          <cell r="C1282">
            <v>4.5558086560364509E-2</v>
          </cell>
          <cell r="G1282">
            <v>7.6614504160925825E-3</v>
          </cell>
        </row>
        <row r="1283">
          <cell r="C1283">
            <v>8.7145969498910753E-3</v>
          </cell>
          <cell r="G1283">
            <v>1.3736618660370823E-2</v>
          </cell>
        </row>
        <row r="1284">
          <cell r="C1284">
            <v>-1.0799136069114432E-2</v>
          </cell>
          <cell r="G1284">
            <v>1.1569946167858997E-2</v>
          </cell>
        </row>
        <row r="1285">
          <cell r="C1285">
            <v>6.7685589519650563E-2</v>
          </cell>
          <cell r="G1285">
            <v>9.5833660539979531E-3</v>
          </cell>
        </row>
        <row r="1286">
          <cell r="C1286">
            <v>4.4989775051124878E-2</v>
          </cell>
          <cell r="G1286">
            <v>-3.4220482161726818E-3</v>
          </cell>
        </row>
        <row r="1287">
          <cell r="C1287">
            <v>-6.6536203522505027E-2</v>
          </cell>
          <cell r="G1287">
            <v>-1.05620238188697E-3</v>
          </cell>
        </row>
        <row r="1288">
          <cell r="C1288">
            <v>-2.9350104821802871E-2</v>
          </cell>
          <cell r="G1288">
            <v>-8.1530240210353261E-4</v>
          </cell>
        </row>
        <row r="1289">
          <cell r="C1289">
            <v>9.935205183585312E-2</v>
          </cell>
          <cell r="G1289">
            <v>2.9064179751288888E-3</v>
          </cell>
        </row>
        <row r="1290">
          <cell r="C1290">
            <v>-2.9469548133595182E-2</v>
          </cell>
          <cell r="G1290">
            <v>-5.8440192504573523E-4</v>
          </cell>
        </row>
        <row r="1291">
          <cell r="C1291">
            <v>8.097165991902841E-3</v>
          </cell>
          <cell r="G1291">
            <v>-1.4502402923809509E-2</v>
          </cell>
        </row>
        <row r="1292">
          <cell r="C1292">
            <v>-2.2088353413654681E-2</v>
          </cell>
          <cell r="G1292">
            <v>-1.162407776339193E-2</v>
          </cell>
        </row>
        <row r="1293">
          <cell r="C1293">
            <v>-1.6427104722792622E-2</v>
          </cell>
          <cell r="G1293">
            <v>1.5860339455574475E-2</v>
          </cell>
        </row>
        <row r="1294">
          <cell r="C1294">
            <v>-2.7139874739039643E-2</v>
          </cell>
          <cell r="G1294">
            <v>-3.8085419232398313E-3</v>
          </cell>
        </row>
        <row r="1295">
          <cell r="C1295">
            <v>-2.1459227467811273E-2</v>
          </cell>
          <cell r="G1295">
            <v>1.1423022574355078E-3</v>
          </cell>
        </row>
        <row r="1296">
          <cell r="C1296">
            <v>-4.3859649122806087E-3</v>
          </cell>
          <cell r="G1296">
            <v>9.4326581806799866E-3</v>
          </cell>
        </row>
        <row r="1297">
          <cell r="C1297">
            <v>1.3215859030836918E-2</v>
          </cell>
          <cell r="G1297">
            <v>3.4989450800425488E-3</v>
          </cell>
        </row>
        <row r="1298">
          <cell r="C1298">
            <v>-1.7391304347826105E-2</v>
          </cell>
          <cell r="G1298">
            <v>-4.7829216274194297E-3</v>
          </cell>
        </row>
        <row r="1299">
          <cell r="C1299">
            <v>8.8495575221239024E-3</v>
          </cell>
          <cell r="G1299">
            <v>-4.0596232806562127E-3</v>
          </cell>
        </row>
        <row r="1300">
          <cell r="C1300">
            <v>-3.0701754385964845E-2</v>
          </cell>
          <cell r="G1300">
            <v>5.7376745979353105E-3</v>
          </cell>
        </row>
        <row r="1301">
          <cell r="C1301">
            <v>-9.0497737556561163E-3</v>
          </cell>
          <cell r="G1301">
            <v>5.8088702668343982E-3</v>
          </cell>
        </row>
        <row r="1302">
          <cell r="C1302">
            <v>-9.1324200913242091E-3</v>
          </cell>
          <cell r="G1302">
            <v>9.7336702966696765E-3</v>
          </cell>
        </row>
        <row r="1303">
          <cell r="C1303">
            <v>-1.8433179723502321E-2</v>
          </cell>
          <cell r="G1303">
            <v>8.9308750899166119E-3</v>
          </cell>
        </row>
        <row r="1304">
          <cell r="C1304">
            <v>7.9812206572769925E-2</v>
          </cell>
          <cell r="G1304">
            <v>-2.0405968712336573E-3</v>
          </cell>
        </row>
        <row r="1305">
          <cell r="C1305">
            <v>-1.5217391304347697E-2</v>
          </cell>
          <cell r="G1305">
            <v>-3.1160310012175729E-3</v>
          </cell>
        </row>
        <row r="1306">
          <cell r="C1306">
            <v>2.8697571743929336E-2</v>
          </cell>
          <cell r="G1306">
            <v>1.3464813630449666E-3</v>
          </cell>
        </row>
        <row r="1307">
          <cell r="C1307">
            <v>1.7167381974248941E-2</v>
          </cell>
          <cell r="G1307">
            <v>1.3003866563925071E-2</v>
          </cell>
        </row>
        <row r="1308">
          <cell r="C1308">
            <v>-2.5316455696202552E-2</v>
          </cell>
          <cell r="G1308">
            <v>9.7517505450437376E-3</v>
          </cell>
        </row>
        <row r="1309">
          <cell r="C1309">
            <v>2.1645021645021181E-3</v>
          </cell>
          <cell r="G1309">
            <v>1.7586475130808646E-2</v>
          </cell>
        </row>
        <row r="1310">
          <cell r="C1310">
            <v>-1.7278617710583168E-2</v>
          </cell>
          <cell r="G1310">
            <v>9.9788868111011769E-3</v>
          </cell>
        </row>
        <row r="1311">
          <cell r="C1311">
            <v>-1.75824175824176E-2</v>
          </cell>
          <cell r="G1311">
            <v>3.2690167862433439E-3</v>
          </cell>
        </row>
        <row r="1312">
          <cell r="C1312">
            <v>-1.7897091722595095E-2</v>
          </cell>
          <cell r="G1312">
            <v>-8.6356740659591783E-4</v>
          </cell>
        </row>
        <row r="1313">
          <cell r="C1313">
            <v>-1.8223234624145802E-2</v>
          </cell>
          <cell r="G1313">
            <v>-2.1329766360032453E-3</v>
          </cell>
        </row>
        <row r="1314">
          <cell r="C1314">
            <v>-2.3201856148491388E-3</v>
          </cell>
          <cell r="G1314">
            <v>-6.1421812591829362E-4</v>
          </cell>
        </row>
        <row r="1315">
          <cell r="C1315">
            <v>1.8604651162790715E-2</v>
          </cell>
          <cell r="G1315">
            <v>8.8174554261679864E-3</v>
          </cell>
        </row>
        <row r="1316">
          <cell r="C1316">
            <v>3.6529680365296836E-2</v>
          </cell>
          <cell r="G1316">
            <v>7.3834542144328545E-3</v>
          </cell>
        </row>
        <row r="1317">
          <cell r="C1317">
            <v>-1.9823788546255477E-2</v>
          </cell>
          <cell r="G1317">
            <v>-1.036629053107646E-3</v>
          </cell>
        </row>
        <row r="1318">
          <cell r="C1318">
            <v>-2.6966292134831482E-2</v>
          </cell>
          <cell r="G1318">
            <v>9.7041161074621542E-3</v>
          </cell>
        </row>
        <row r="1319">
          <cell r="C1319">
            <v>-2.7713625866050834E-2</v>
          </cell>
          <cell r="G1319">
            <v>-1.1171115705640093E-3</v>
          </cell>
        </row>
        <row r="1320">
          <cell r="C1320">
            <v>2.3752969121140059E-2</v>
          </cell>
          <cell r="G1320">
            <v>1.0717451654407248E-2</v>
          </cell>
        </row>
        <row r="1321">
          <cell r="C1321">
            <v>4.6403712296984832E-3</v>
          </cell>
          <cell r="G1321">
            <v>-1.4403084843506758E-2</v>
          </cell>
        </row>
        <row r="1322">
          <cell r="C1322">
            <v>1.6166281755196372E-2</v>
          </cell>
          <cell r="G1322">
            <v>-8.2638922112173736E-3</v>
          </cell>
        </row>
        <row r="1323">
          <cell r="C1323">
            <v>-1.5909090909090973E-2</v>
          </cell>
          <cell r="G1323">
            <v>-6.2573001952813713E-3</v>
          </cell>
        </row>
        <row r="1324">
          <cell r="C1324">
            <v>-2.3094688221708512E-3</v>
          </cell>
          <cell r="G1324">
            <v>1.7612391243183288E-2</v>
          </cell>
        </row>
        <row r="1325">
          <cell r="C1325">
            <v>1.1574074074074032E-2</v>
          </cell>
          <cell r="G1325">
            <v>1.1990611121318015E-2</v>
          </cell>
        </row>
        <row r="1326">
          <cell r="C1326">
            <v>8.4668192219679653E-2</v>
          </cell>
          <cell r="G1326">
            <v>-4.177876385444483E-5</v>
          </cell>
        </row>
        <row r="1327">
          <cell r="C1327">
            <v>-2.3206751054852388E-2</v>
          </cell>
          <cell r="G1327">
            <v>-2.1904531536037081E-3</v>
          </cell>
        </row>
        <row r="1328">
          <cell r="C1328">
            <v>-3.2397408207343298E-2</v>
          </cell>
          <cell r="G1328">
            <v>7.744984905336522E-4</v>
          </cell>
        </row>
        <row r="1329">
          <cell r="C1329">
            <v>-1.3392857142857253E-2</v>
          </cell>
          <cell r="G1329">
            <v>5.8830370482004001E-3</v>
          </cell>
        </row>
        <row r="1330">
          <cell r="C1330">
            <v>3.1674208144796309E-2</v>
          </cell>
          <cell r="G1330">
            <v>9.764043483317492E-3</v>
          </cell>
        </row>
        <row r="1331">
          <cell r="C1331">
            <v>-2.1929824561403431E-2</v>
          </cell>
          <cell r="G1331">
            <v>9.9199028280964607E-3</v>
          </cell>
        </row>
        <row r="1332">
          <cell r="C1332">
            <v>-6.7264573991031949E-3</v>
          </cell>
          <cell r="G1332">
            <v>1.7816701974031756E-3</v>
          </cell>
        </row>
        <row r="1333">
          <cell r="C1333">
            <v>-1.1286681715575581E-2</v>
          </cell>
          <cell r="G1333">
            <v>3.5722713951225368E-3</v>
          </cell>
        </row>
        <row r="1334">
          <cell r="C1334">
            <v>2.054794520547942E-2</v>
          </cell>
          <cell r="G1334">
            <v>5.4937428850926088E-3</v>
          </cell>
        </row>
        <row r="1335">
          <cell r="C1335">
            <v>8.9485458612975476E-3</v>
          </cell>
          <cell r="G1335">
            <v>-3.429014359122138E-3</v>
          </cell>
        </row>
        <row r="1336">
          <cell r="C1336">
            <v>2.2172949002216822E-3</v>
          </cell>
          <cell r="G1336">
            <v>1.635102019072027E-3</v>
          </cell>
        </row>
        <row r="1337">
          <cell r="C1337">
            <v>-3.0973451327433562E-2</v>
          </cell>
          <cell r="G1337">
            <v>-3.3254984890323811E-3</v>
          </cell>
        </row>
        <row r="1338">
          <cell r="C1338">
            <v>-1.1415525114155211E-2</v>
          </cell>
          <cell r="G1338">
            <v>2.1052162536036208E-3</v>
          </cell>
        </row>
        <row r="1339">
          <cell r="C1339">
            <v>-2.3094688221708512E-3</v>
          </cell>
          <cell r="G1339">
            <v>1.1563284677372981E-2</v>
          </cell>
        </row>
        <row r="1340">
          <cell r="C1340">
            <v>6.9444444444442957E-3</v>
          </cell>
          <cell r="G1340">
            <v>-6.1270251887788167E-3</v>
          </cell>
        </row>
        <row r="1341">
          <cell r="C1341">
            <v>-1.3793103448275773E-2</v>
          </cell>
          <cell r="G1341">
            <v>-9.0202945039619606E-3</v>
          </cell>
        </row>
        <row r="1342">
          <cell r="C1342">
            <v>-1.6317016317016382E-2</v>
          </cell>
          <cell r="G1342">
            <v>5.5881971716924045E-4</v>
          </cell>
        </row>
        <row r="1343">
          <cell r="C1343">
            <v>-1.1848341232227447E-2</v>
          </cell>
          <cell r="G1343">
            <v>1.3359843970441574E-2</v>
          </cell>
        </row>
        <row r="1344">
          <cell r="C1344">
            <v>-9.592326139088737E-3</v>
          </cell>
          <cell r="G1344">
            <v>-3.996126437957128E-3</v>
          </cell>
        </row>
        <row r="1345">
          <cell r="C1345">
            <v>-9.6852300242130842E-3</v>
          </cell>
          <cell r="G1345">
            <v>-1.2022452850310953E-2</v>
          </cell>
        </row>
        <row r="1346">
          <cell r="C1346">
            <v>-2.6894865525672343E-2</v>
          </cell>
          <cell r="G1346">
            <v>-5.9895541062102032E-3</v>
          </cell>
        </row>
        <row r="1347">
          <cell r="C1347">
            <v>5.0251256281407079E-3</v>
          </cell>
          <cell r="G1347">
            <v>-4.8034585008996204E-3</v>
          </cell>
        </row>
        <row r="1348">
          <cell r="C1348">
            <v>4.0000000000000036E-2</v>
          </cell>
          <cell r="G1348">
            <v>-1.4744879467953539E-3</v>
          </cell>
        </row>
        <row r="1349">
          <cell r="C1349">
            <v>-1.4423076923077042E-2</v>
          </cell>
          <cell r="G1349">
            <v>-6.7990870192567998E-3</v>
          </cell>
        </row>
        <row r="1350">
          <cell r="C1350">
            <v>0</v>
          </cell>
          <cell r="G1350">
            <v>-9.0518338198691279E-3</v>
          </cell>
        </row>
        <row r="1351">
          <cell r="C1351">
            <v>-2.4390243902438508E-3</v>
          </cell>
          <cell r="G1351">
            <v>2.8646020243424737E-3</v>
          </cell>
        </row>
        <row r="1352">
          <cell r="C1352">
            <v>-1.4669926650366653E-2</v>
          </cell>
          <cell r="G1352">
            <v>4.6852340803789513E-2</v>
          </cell>
        </row>
        <row r="1353">
          <cell r="C1353">
            <v>-1.7369727047146472E-2</v>
          </cell>
          <cell r="G1353">
            <v>6.5427376805843439E-3</v>
          </cell>
        </row>
        <row r="1354">
          <cell r="C1354">
            <v>-1.7676767676767638E-2</v>
          </cell>
          <cell r="G1354">
            <v>2.7308671711766701E-2</v>
          </cell>
        </row>
        <row r="1355">
          <cell r="C1355">
            <v>2.5706940874035441E-3</v>
          </cell>
          <cell r="G1355">
            <v>1.1370337606397239E-4</v>
          </cell>
        </row>
        <row r="1356">
          <cell r="C1356">
            <v>-1.2820512820512775E-2</v>
          </cell>
          <cell r="G1356">
            <v>-7.3389976385123271E-3</v>
          </cell>
        </row>
        <row r="1357">
          <cell r="C1357">
            <v>-2.0779220779220797E-2</v>
          </cell>
          <cell r="G1357">
            <v>-3.7263476245684834E-3</v>
          </cell>
        </row>
        <row r="1358">
          <cell r="C1358">
            <v>2.3872679045092802E-2</v>
          </cell>
          <cell r="G1358">
            <v>4.2990442206100139E-3</v>
          </cell>
        </row>
        <row r="1359">
          <cell r="C1359">
            <v>2.3316062176165882E-2</v>
          </cell>
          <cell r="G1359">
            <v>3.2270572010581304E-3</v>
          </cell>
        </row>
        <row r="1360">
          <cell r="C1360">
            <v>7.5949367088607098E-3</v>
          </cell>
          <cell r="G1360">
            <v>-1.0606374139242069E-3</v>
          </cell>
        </row>
        <row r="1361">
          <cell r="C1361">
            <v>-1.0050251256281416E-2</v>
          </cell>
          <cell r="G1361">
            <v>4.8361296888926363E-3</v>
          </cell>
        </row>
        <row r="1362">
          <cell r="C1362">
            <v>4.3147208121827506E-2</v>
          </cell>
          <cell r="G1362">
            <v>9.2428314963158929E-3</v>
          </cell>
        </row>
        <row r="1363">
          <cell r="C1363">
            <v>-4.8661800486619125E-3</v>
          </cell>
          <cell r="G1363">
            <v>8.5575772294381614E-3</v>
          </cell>
        </row>
        <row r="1364">
          <cell r="C1364">
            <v>-2.4449877750611162E-2</v>
          </cell>
          <cell r="G1364">
            <v>6.123364417956284E-4</v>
          </cell>
        </row>
        <row r="1365">
          <cell r="C1365">
            <v>-1.0025062656641612E-2</v>
          </cell>
          <cell r="G1365">
            <v>-8.7204233036228566E-4</v>
          </cell>
        </row>
        <row r="1366">
          <cell r="C1366">
            <v>-7.5949367088608225E-3</v>
          </cell>
          <cell r="G1366">
            <v>4.4060305095984425E-3</v>
          </cell>
        </row>
        <row r="1367">
          <cell r="C1367">
            <v>0</v>
          </cell>
          <cell r="G1367">
            <v>1.3138262306243681E-3</v>
          </cell>
        </row>
        <row r="1368">
          <cell r="C1368">
            <v>-7.6530612244897463E-3</v>
          </cell>
          <cell r="G1368">
            <v>-1.0294766242488415E-2</v>
          </cell>
        </row>
        <row r="1369">
          <cell r="C1369">
            <v>-1.5424164524421607E-2</v>
          </cell>
          <cell r="G1369">
            <v>1.888615402805358E-3</v>
          </cell>
        </row>
        <row r="1370">
          <cell r="C1370">
            <v>-2.6109660574412556E-2</v>
          </cell>
          <cell r="G1370">
            <v>-6.0318267934371221E-4</v>
          </cell>
        </row>
        <row r="1371">
          <cell r="C1371">
            <v>-2.6809651474530259E-3</v>
          </cell>
          <cell r="G1371">
            <v>1.5154464181846999E-2</v>
          </cell>
        </row>
        <row r="1372">
          <cell r="C1372">
            <v>-1.075268817204302E-2</v>
          </cell>
          <cell r="G1372">
            <v>8.4313333360441743E-3</v>
          </cell>
        </row>
        <row r="1373">
          <cell r="C1373">
            <v>-2.7173913043478889E-3</v>
          </cell>
          <cell r="G1373">
            <v>-2.1040725142980464E-2</v>
          </cell>
        </row>
        <row r="1374">
          <cell r="C1374">
            <v>-2.1798365122615824E-2</v>
          </cell>
          <cell r="G1374">
            <v>-1.9704712642831673E-2</v>
          </cell>
        </row>
        <row r="1375">
          <cell r="C1375">
            <v>-5.5710306406685289E-3</v>
          </cell>
          <cell r="G1375">
            <v>5.7028854002695237E-3</v>
          </cell>
        </row>
        <row r="1376">
          <cell r="C1376">
            <v>-1.9607843137254857E-2</v>
          </cell>
          <cell r="G1376">
            <v>5.1897088498892453E-3</v>
          </cell>
        </row>
        <row r="1377">
          <cell r="C1377">
            <v>2.8571428571427964E-3</v>
          </cell>
          <cell r="G1377">
            <v>-1.1684067195981222E-2</v>
          </cell>
        </row>
        <row r="1378">
          <cell r="C1378">
            <v>-1.7094017094016985E-2</v>
          </cell>
          <cell r="G1378">
            <v>-5.6049924218800765E-3</v>
          </cell>
        </row>
        <row r="1379">
          <cell r="C1379">
            <v>0.15942028985507239</v>
          </cell>
          <cell r="G1379">
            <v>1.0229847656354762E-2</v>
          </cell>
        </row>
        <row r="1380">
          <cell r="C1380">
            <v>-4.500000000000004E-2</v>
          </cell>
          <cell r="G1380">
            <v>-2.5236040003177506E-3</v>
          </cell>
        </row>
        <row r="1381">
          <cell r="C1381">
            <v>-2.6178010471204098E-2</v>
          </cell>
          <cell r="G1381">
            <v>-9.4344553860091791E-3</v>
          </cell>
        </row>
        <row r="1382">
          <cell r="C1382">
            <v>3.2258064516128941E-2</v>
          </cell>
          <cell r="G1382">
            <v>-1.8832413474960011E-3</v>
          </cell>
        </row>
        <row r="1383">
          <cell r="C1383">
            <v>2.8645833333333419E-2</v>
          </cell>
          <cell r="G1383">
            <v>6.2473380926831691E-3</v>
          </cell>
        </row>
        <row r="1384">
          <cell r="C1384">
            <v>-1.2658227848101333E-2</v>
          </cell>
          <cell r="G1384">
            <v>-1.4592210925321623E-2</v>
          </cell>
        </row>
        <row r="1385">
          <cell r="C1385">
            <v>-3.0769230769230799E-2</v>
          </cell>
          <cell r="G1385">
            <v>1.3861413625489546E-3</v>
          </cell>
        </row>
        <row r="1386">
          <cell r="C1386">
            <v>-7.9365079365078858E-3</v>
          </cell>
          <cell r="G1386">
            <v>-9.9557800136636145E-4</v>
          </cell>
        </row>
        <row r="1387">
          <cell r="C1387">
            <v>-1.3333333333333286E-2</v>
          </cell>
          <cell r="G1387">
            <v>9.8519746418603803E-3</v>
          </cell>
        </row>
        <row r="1388">
          <cell r="C1388">
            <v>-1.081081081081082E-2</v>
          </cell>
          <cell r="G1388">
            <v>8.9293992286535312E-3</v>
          </cell>
        </row>
        <row r="1389">
          <cell r="C1389">
            <v>-8.1967213114754779E-3</v>
          </cell>
          <cell r="G1389">
            <v>-7.5003573265432968E-3</v>
          </cell>
        </row>
        <row r="1390">
          <cell r="C1390">
            <v>-1.3774104683195544E-2</v>
          </cell>
          <cell r="G1390">
            <v>-1.3191795003583001E-3</v>
          </cell>
        </row>
        <row r="1391">
          <cell r="C1391">
            <v>5.3072625698324008E-2</v>
          </cell>
          <cell r="G1391">
            <v>2.9348686692496706E-3</v>
          </cell>
        </row>
        <row r="1392">
          <cell r="C1392">
            <v>3.9787798408488041E-2</v>
          </cell>
          <cell r="G1392">
            <v>-7.7676510812614162E-4</v>
          </cell>
        </row>
        <row r="1393">
          <cell r="C1393">
            <v>-2.8061224489795887E-2</v>
          </cell>
          <cell r="G1393">
            <v>-2.7544256022559352E-3</v>
          </cell>
        </row>
        <row r="1394">
          <cell r="C1394">
            <v>-5.2493438320210016E-3</v>
          </cell>
          <cell r="G1394">
            <v>-1.0898063660006168E-3</v>
          </cell>
        </row>
        <row r="1395">
          <cell r="C1395">
            <v>5.0131926121372017E-2</v>
          </cell>
          <cell r="G1395">
            <v>6.6285491434104043E-3</v>
          </cell>
        </row>
        <row r="1396">
          <cell r="C1396">
            <v>-7.5376884422110064E-3</v>
          </cell>
          <cell r="G1396">
            <v>6.8048063872541515E-3</v>
          </cell>
        </row>
        <row r="1397">
          <cell r="C1397">
            <v>-1.2658227848101333E-2</v>
          </cell>
          <cell r="G1397">
            <v>1.0178516198232216E-4</v>
          </cell>
        </row>
        <row r="1398">
          <cell r="C1398">
            <v>-1.0256410256410265E-2</v>
          </cell>
          <cell r="G1398">
            <v>-2.9234241053746786E-3</v>
          </cell>
        </row>
        <row r="1399">
          <cell r="C1399">
            <v>-1.0362694300518144E-2</v>
          </cell>
          <cell r="G1399">
            <v>-6.1959199735881435E-3</v>
          </cell>
        </row>
        <row r="1400">
          <cell r="C1400">
            <v>1.8324607329843007E-2</v>
          </cell>
          <cell r="G1400">
            <v>-1.1711710327207082E-3</v>
          </cell>
        </row>
        <row r="1401">
          <cell r="C1401">
            <v>1.5424164524421607E-2</v>
          </cell>
          <cell r="G1401">
            <v>4.5756793672852318E-3</v>
          </cell>
        </row>
        <row r="1402">
          <cell r="C1402">
            <v>1.7721518987341617E-2</v>
          </cell>
          <cell r="G1402">
            <v>1.7684824669309052E-3</v>
          </cell>
        </row>
        <row r="1403">
          <cell r="C1403">
            <v>1.4925373134328483E-2</v>
          </cell>
          <cell r="G1403">
            <v>-2.6108376518157532E-3</v>
          </cell>
        </row>
        <row r="1404">
          <cell r="C1404">
            <v>1.9607843137254919E-2</v>
          </cell>
          <cell r="G1404">
            <v>9.3276599223594391E-4</v>
          </cell>
        </row>
        <row r="1405">
          <cell r="C1405">
            <v>-1.4423076923077042E-2</v>
          </cell>
          <cell r="G1405">
            <v>6.2750522229730512E-3</v>
          </cell>
        </row>
        <row r="1406">
          <cell r="C1406">
            <v>7.3170731707317685E-3</v>
          </cell>
          <cell r="G1406">
            <v>1.9442469125094909E-4</v>
          </cell>
        </row>
        <row r="1407">
          <cell r="C1407">
            <v>2.4213075060532173E-3</v>
          </cell>
          <cell r="G1407">
            <v>4.3607080298652606E-4</v>
          </cell>
        </row>
        <row r="1408">
          <cell r="C1408">
            <v>-1.9323671497584561E-2</v>
          </cell>
          <cell r="G1408">
            <v>-3.5834998041134507E-3</v>
          </cell>
        </row>
        <row r="1409">
          <cell r="C1409">
            <v>2.4630541871921315E-2</v>
          </cell>
          <cell r="G1409">
            <v>8.5446797684920854E-3</v>
          </cell>
        </row>
        <row r="1410">
          <cell r="C1410">
            <v>-3.1249999999999972E-2</v>
          </cell>
          <cell r="G1410">
            <v>-8.0081486513381966E-3</v>
          </cell>
        </row>
        <row r="1411">
          <cell r="C1411">
            <v>-2.7295285359801566E-2</v>
          </cell>
          <cell r="G1411">
            <v>4.6511332226343511E-3</v>
          </cell>
        </row>
        <row r="1412">
          <cell r="C1412">
            <v>-2.2959183673469351E-2</v>
          </cell>
          <cell r="G1412">
            <v>3.9920210201218713E-3</v>
          </cell>
        </row>
        <row r="1413">
          <cell r="C1413">
            <v>-1.0443864229765022E-2</v>
          </cell>
          <cell r="G1413">
            <v>1.9926119073183581E-3</v>
          </cell>
        </row>
        <row r="1414">
          <cell r="C1414">
            <v>-5.2770448548812715E-3</v>
          </cell>
          <cell r="G1414">
            <v>1.2205133804849158E-2</v>
          </cell>
        </row>
        <row r="1415">
          <cell r="C1415">
            <v>1.3262599469495973E-2</v>
          </cell>
          <cell r="G1415">
            <v>1.2402850859804188E-2</v>
          </cell>
        </row>
        <row r="1416">
          <cell r="C1416">
            <v>-2.6178010471203631E-3</v>
          </cell>
          <cell r="G1416">
            <v>7.5517476275573179E-3</v>
          </cell>
        </row>
        <row r="1417">
          <cell r="C1417">
            <v>-1.8372703412073449E-2</v>
          </cell>
          <cell r="G1417">
            <v>-2.7286201735131589E-3</v>
          </cell>
        </row>
        <row r="1418">
          <cell r="C1418">
            <v>1.0695187165775291E-2</v>
          </cell>
          <cell r="G1418">
            <v>-4.4820740252044956E-3</v>
          </cell>
        </row>
        <row r="1419">
          <cell r="C1419">
            <v>1.3227513227513298E-2</v>
          </cell>
          <cell r="G1419">
            <v>9.3795515271531665E-3</v>
          </cell>
        </row>
        <row r="1420">
          <cell r="C1420">
            <v>-7.8328981723238249E-3</v>
          </cell>
          <cell r="G1420">
            <v>-7.1728257687245717E-3</v>
          </cell>
        </row>
        <row r="1421">
          <cell r="C1421">
            <v>-5.2631578947368472E-3</v>
          </cell>
          <cell r="G1421">
            <v>-4.4801505597064986E-3</v>
          </cell>
        </row>
        <row r="1422">
          <cell r="C1422">
            <v>-5.2910052910052959E-3</v>
          </cell>
          <cell r="G1422">
            <v>-2.1887727631199668E-3</v>
          </cell>
        </row>
        <row r="1423">
          <cell r="C1423">
            <v>2.6595744680851679E-3</v>
          </cell>
          <cell r="G1423">
            <v>8.5113334040155669E-3</v>
          </cell>
        </row>
        <row r="1424">
          <cell r="C1424">
            <v>-7.9575596816975607E-3</v>
          </cell>
          <cell r="G1424">
            <v>1.9854631628860712E-3</v>
          </cell>
        </row>
        <row r="1425">
          <cell r="C1425">
            <v>3.2085561497326109E-2</v>
          </cell>
          <cell r="G1425">
            <v>9.2080948176590724E-3</v>
          </cell>
        </row>
        <row r="1426">
          <cell r="C1426">
            <v>-1.2953367875647622E-2</v>
          </cell>
          <cell r="G1426">
            <v>9.7941569673860012E-3</v>
          </cell>
        </row>
        <row r="1427">
          <cell r="C1427">
            <v>0</v>
          </cell>
          <cell r="G1427">
            <v>1.6500750132045224E-2</v>
          </cell>
        </row>
        <row r="1428">
          <cell r="C1428">
            <v>1.3123359580052446E-2</v>
          </cell>
          <cell r="G1428">
            <v>8.8761905210556664E-3</v>
          </cell>
        </row>
        <row r="1429">
          <cell r="C1429">
            <v>-7.7720207253885506E-3</v>
          </cell>
          <cell r="G1429">
            <v>6.1869644627799341E-5</v>
          </cell>
        </row>
        <row r="1430">
          <cell r="C1430">
            <v>-7.8328981723238249E-3</v>
          </cell>
          <cell r="G1430">
            <v>-2.522024230856121E-3</v>
          </cell>
        </row>
        <row r="1431">
          <cell r="C1431">
            <v>0</v>
          </cell>
          <cell r="G1431">
            <v>3.5317569074627046E-4</v>
          </cell>
        </row>
        <row r="1432">
          <cell r="C1432">
            <v>-2.3684210526315752E-2</v>
          </cell>
          <cell r="G1432">
            <v>-2.5971124218268668E-3</v>
          </cell>
        </row>
        <row r="1433">
          <cell r="C1433">
            <v>1.3477088948787014E-2</v>
          </cell>
          <cell r="G1433">
            <v>6.7902951148227477E-3</v>
          </cell>
        </row>
        <row r="1434">
          <cell r="C1434">
            <v>2.6595744680851679E-3</v>
          </cell>
          <cell r="G1434">
            <v>4.2558079336592449E-3</v>
          </cell>
        </row>
        <row r="1435">
          <cell r="C1435">
            <v>1.5915119363395239E-2</v>
          </cell>
          <cell r="G1435">
            <v>-7.1947712017982396E-3</v>
          </cell>
        </row>
        <row r="1436">
          <cell r="C1436">
            <v>5.2219321148825109E-3</v>
          </cell>
          <cell r="G1436">
            <v>-3.9181902807521856E-3</v>
          </cell>
        </row>
        <row r="1437">
          <cell r="C1437">
            <v>-5.1948051948051991E-3</v>
          </cell>
          <cell r="G1437">
            <v>9.4713096490573519E-3</v>
          </cell>
        </row>
        <row r="1438">
          <cell r="C1438">
            <v>-1.3054830287206335E-2</v>
          </cell>
          <cell r="G1438">
            <v>4.7533324223147221E-3</v>
          </cell>
        </row>
        <row r="1439">
          <cell r="C1439">
            <v>-1.0582010582010474E-2</v>
          </cell>
          <cell r="G1439">
            <v>8.4189752850175395E-3</v>
          </cell>
        </row>
        <row r="1440">
          <cell r="C1440">
            <v>-8.0213903743316176E-3</v>
          </cell>
          <cell r="G1440">
            <v>2.0086693501680401E-2</v>
          </cell>
        </row>
        <row r="1441">
          <cell r="C1441">
            <v>5.3908355795148294E-3</v>
          </cell>
          <cell r="G1441">
            <v>1.1782206257977407E-2</v>
          </cell>
        </row>
        <row r="1442">
          <cell r="C1442">
            <v>8.0428954423591974E-3</v>
          </cell>
          <cell r="G1442">
            <v>2.239594497275794E-3</v>
          </cell>
        </row>
        <row r="1443">
          <cell r="C1443">
            <v>2.6595744680851679E-3</v>
          </cell>
          <cell r="G1443">
            <v>7.4124524144879083E-3</v>
          </cell>
        </row>
        <row r="1444">
          <cell r="C1444">
            <v>2.3872679045092802E-2</v>
          </cell>
          <cell r="G1444">
            <v>-6.3558662173361282E-3</v>
          </cell>
        </row>
        <row r="1445">
          <cell r="C1445">
            <v>6.4766839378238461E-2</v>
          </cell>
          <cell r="G1445">
            <v>-1.4617899428453233E-2</v>
          </cell>
        </row>
        <row r="1446">
          <cell r="C1446">
            <v>-2.1897810218978284E-2</v>
          </cell>
          <cell r="G1446">
            <v>2.1278506570486955E-2</v>
          </cell>
        </row>
        <row r="1447">
          <cell r="C1447">
            <v>2.48756218905474E-2</v>
          </cell>
          <cell r="G1447">
            <v>1.1866187320361951E-2</v>
          </cell>
        </row>
        <row r="1448">
          <cell r="C1448">
            <v>9.7087378640776573E-2</v>
          </cell>
          <cell r="G1448">
            <v>3.9843150836091868E-3</v>
          </cell>
        </row>
        <row r="1449">
          <cell r="C1449">
            <v>1.7699115044247805E-2</v>
          </cell>
          <cell r="G1449">
            <v>-3.0646452950414955E-3</v>
          </cell>
        </row>
        <row r="1450">
          <cell r="C1450">
            <v>-1.9565217391304318E-2</v>
          </cell>
          <cell r="G1450">
            <v>5.423192682053257E-3</v>
          </cell>
        </row>
        <row r="1451">
          <cell r="C1451">
            <v>1.9955654101995533E-2</v>
          </cell>
          <cell r="G1451">
            <v>8.3353427981195053E-3</v>
          </cell>
        </row>
        <row r="1452">
          <cell r="C1452">
            <v>-3.2608695652173801E-2</v>
          </cell>
          <cell r="G1452">
            <v>3.8229561307075695E-3</v>
          </cell>
        </row>
        <row r="1453">
          <cell r="C1453">
            <v>1.3483146067415642E-2</v>
          </cell>
          <cell r="G1453">
            <v>-4.5251207362694461E-3</v>
          </cell>
        </row>
        <row r="1454">
          <cell r="C1454">
            <v>2.8824833702882462E-2</v>
          </cell>
          <cell r="G1454">
            <v>1.4038146170922701E-3</v>
          </cell>
        </row>
        <row r="1455">
          <cell r="C1455">
            <v>-3.6637931034482749E-2</v>
          </cell>
          <cell r="G1455">
            <v>8.9599501603710302E-3</v>
          </cell>
        </row>
        <row r="1456">
          <cell r="C1456">
            <v>3.5794183445190191E-2</v>
          </cell>
          <cell r="G1456">
            <v>6.0700555005319462E-3</v>
          </cell>
        </row>
        <row r="1457">
          <cell r="C1457">
            <v>-3.023758099352045E-2</v>
          </cell>
          <cell r="G1457">
            <v>2.4485129528582783E-3</v>
          </cell>
        </row>
        <row r="1458">
          <cell r="C1458">
            <v>4.8997772828507737E-2</v>
          </cell>
          <cell r="G1458">
            <v>9.0635710027625466E-3</v>
          </cell>
        </row>
        <row r="1459">
          <cell r="C1459">
            <v>-5.5201698513800378E-2</v>
          </cell>
          <cell r="G1459">
            <v>-3.2361858595754667E-3</v>
          </cell>
        </row>
        <row r="1460">
          <cell r="C1460">
            <v>4.7191011235955045E-2</v>
          </cell>
          <cell r="G1460">
            <v>1.8649984520619473E-2</v>
          </cell>
        </row>
        <row r="1461">
          <cell r="C1461">
            <v>6.4377682403434005E-3</v>
          </cell>
          <cell r="G1461">
            <v>4.8272652175521411E-3</v>
          </cell>
        </row>
        <row r="1462">
          <cell r="C1462">
            <v>6.3965884861405878E-3</v>
          </cell>
          <cell r="G1462">
            <v>2.8788864583745833E-3</v>
          </cell>
        </row>
        <row r="1463">
          <cell r="C1463">
            <v>0.21186440677966104</v>
          </cell>
          <cell r="G1463">
            <v>-3.5742535311559583E-2</v>
          </cell>
        </row>
        <row r="1464">
          <cell r="C1464">
            <v>0.17482517482517484</v>
          </cell>
          <cell r="G1464">
            <v>4.9644532925272572E-2</v>
          </cell>
        </row>
        <row r="1465">
          <cell r="C1465">
            <v>1.9345238095238079E-2</v>
          </cell>
          <cell r="G1465">
            <v>8.1950855879338678E-3</v>
          </cell>
        </row>
        <row r="1466">
          <cell r="C1466">
            <v>2.9197080291971478E-3</v>
          </cell>
          <cell r="G1466">
            <v>1.2734959274208766E-2</v>
          </cell>
        </row>
        <row r="1467">
          <cell r="C1467">
            <v>0</v>
          </cell>
          <cell r="G1467">
            <v>1.8919501817924841E-2</v>
          </cell>
        </row>
        <row r="1468">
          <cell r="C1468">
            <v>3.7845705967976678E-2</v>
          </cell>
          <cell r="G1468">
            <v>1.2433992947951172E-2</v>
          </cell>
        </row>
        <row r="1469">
          <cell r="C1469">
            <v>-2.664796633941087E-2</v>
          </cell>
          <cell r="G1469">
            <v>5.2149469194780473E-3</v>
          </cell>
        </row>
        <row r="1470">
          <cell r="C1470">
            <v>2.4495677233429384E-2</v>
          </cell>
          <cell r="G1470">
            <v>2.9823982530122018E-2</v>
          </cell>
        </row>
        <row r="1471">
          <cell r="C1471">
            <v>1.4064697609001356E-2</v>
          </cell>
          <cell r="G1471">
            <v>7.5294508068581576E-3</v>
          </cell>
        </row>
        <row r="1472">
          <cell r="C1472">
            <v>-2.773925104022194E-2</v>
          </cell>
          <cell r="G1472">
            <v>8.403547051711582E-3</v>
          </cell>
        </row>
        <row r="1473">
          <cell r="C1473">
            <v>1.5691868758915879E-2</v>
          </cell>
          <cell r="G1473">
            <v>-9.7639009918943209E-3</v>
          </cell>
        </row>
        <row r="1474">
          <cell r="C1474">
            <v>-5.6179775280898927E-3</v>
          </cell>
          <cell r="G1474">
            <v>1.7572349562635831E-2</v>
          </cell>
        </row>
        <row r="1475">
          <cell r="C1475">
            <v>-7.6271186440677971E-2</v>
          </cell>
          <cell r="G1475">
            <v>3.0414974358863232E-2</v>
          </cell>
        </row>
        <row r="1476">
          <cell r="C1476">
            <v>-0.10703363914373092</v>
          </cell>
          <cell r="G1476">
            <v>1.0622653550943866E-3</v>
          </cell>
        </row>
        <row r="1477">
          <cell r="C1477">
            <v>1.1986301369863063E-2</v>
          </cell>
          <cell r="G1477">
            <v>1.6339287745249859E-2</v>
          </cell>
        </row>
        <row r="1478">
          <cell r="C1478">
            <v>0.1489001692047377</v>
          </cell>
          <cell r="G1478">
            <v>-1.1265616309835792E-2</v>
          </cell>
        </row>
        <row r="1479">
          <cell r="C1479">
            <v>-4.5655375552282711E-2</v>
          </cell>
          <cell r="G1479">
            <v>-3.2999975883829434E-2</v>
          </cell>
        </row>
        <row r="1480">
          <cell r="C1480">
            <v>-2.9320987654321045E-2</v>
          </cell>
          <cell r="G1480">
            <v>-4.3173651567849497E-2</v>
          </cell>
        </row>
        <row r="1481">
          <cell r="C1481">
            <v>3.6565977742448255E-2</v>
          </cell>
          <cell r="G1481">
            <v>3.0469730504771662E-2</v>
          </cell>
        </row>
        <row r="1482">
          <cell r="C1482">
            <v>0.14110429447852774</v>
          </cell>
          <cell r="G1482">
            <v>4.02807334096408E-2</v>
          </cell>
        </row>
        <row r="1483">
          <cell r="C1483">
            <v>5.5107526881720326E-2</v>
          </cell>
          <cell r="G1483">
            <v>-1.3250978148495298E-2</v>
          </cell>
        </row>
        <row r="1484">
          <cell r="C1484">
            <v>-2.4203821656050895E-2</v>
          </cell>
          <cell r="G1484">
            <v>-1.7715548333889376E-2</v>
          </cell>
        </row>
        <row r="1485">
          <cell r="C1485">
            <v>-1.3054830287206335E-2</v>
          </cell>
          <cell r="G1485">
            <v>8.4027540559366079E-3</v>
          </cell>
        </row>
        <row r="1486">
          <cell r="C1486">
            <v>-1.3227513227512947E-3</v>
          </cell>
          <cell r="G1486">
            <v>3.5094554004726372E-2</v>
          </cell>
        </row>
        <row r="1487">
          <cell r="C1487">
            <v>-1.8543046357615851E-2</v>
          </cell>
          <cell r="G1487">
            <v>-1.1461144032136824E-3</v>
          </cell>
        </row>
        <row r="1488">
          <cell r="C1488">
            <v>-8.0971659919029017E-3</v>
          </cell>
          <cell r="G1488">
            <v>1.6340056059878341E-2</v>
          </cell>
        </row>
        <row r="1489">
          <cell r="C1489">
            <v>-4.7619047619047575E-2</v>
          </cell>
          <cell r="G1489">
            <v>9.5360935757600452E-4</v>
          </cell>
        </row>
        <row r="1490">
          <cell r="C1490">
            <v>-4.4285714285714227E-2</v>
          </cell>
          <cell r="G1490">
            <v>3.9901072117182754E-3</v>
          </cell>
        </row>
        <row r="1491">
          <cell r="C1491">
            <v>-1.4947683109119096E-3</v>
          </cell>
          <cell r="G1491">
            <v>-1.1326509108406315E-2</v>
          </cell>
        </row>
        <row r="1492">
          <cell r="C1492">
            <v>4.0419161676646775E-2</v>
          </cell>
          <cell r="G1492">
            <v>-1.7414285287884641E-3</v>
          </cell>
        </row>
        <row r="1493">
          <cell r="C1493">
            <v>3.7410071942446013E-2</v>
          </cell>
          <cell r="G1493">
            <v>-1.6408238051891493E-2</v>
          </cell>
        </row>
        <row r="1494">
          <cell r="C1494">
            <v>-2.0804438280166485E-2</v>
          </cell>
          <cell r="G1494">
            <v>-1.3230139066265209E-2</v>
          </cell>
        </row>
        <row r="1495">
          <cell r="C1495">
            <v>-2.5495750708215258E-2</v>
          </cell>
          <cell r="G1495">
            <v>5.4069549724933509E-3</v>
          </cell>
        </row>
        <row r="1496">
          <cell r="C1496">
            <v>4.3604651162791061E-3</v>
          </cell>
          <cell r="G1496">
            <v>8.6780884558032619E-3</v>
          </cell>
        </row>
        <row r="1497">
          <cell r="C1497">
            <v>-2.8943560057887786E-3</v>
          </cell>
          <cell r="G1497">
            <v>5.0259099925186118E-3</v>
          </cell>
        </row>
        <row r="1498">
          <cell r="C1498">
            <v>5.8055152394775093E-2</v>
          </cell>
          <cell r="G1498">
            <v>-2.6868362011588241E-3</v>
          </cell>
        </row>
        <row r="1499">
          <cell r="C1499">
            <v>9.6021947873800115E-3</v>
          </cell>
          <cell r="G1499">
            <v>-5.7554121460096728E-3</v>
          </cell>
        </row>
        <row r="1500">
          <cell r="C1500">
            <v>7.7445652173912957E-2</v>
          </cell>
          <cell r="G1500">
            <v>1.2608758824260045E-2</v>
          </cell>
        </row>
        <row r="1501">
          <cell r="C1501">
            <v>-2.7742749054224435E-2</v>
          </cell>
          <cell r="G1501">
            <v>4.9685925681223521E-3</v>
          </cell>
        </row>
        <row r="1502">
          <cell r="C1502">
            <v>-1.8158236057068702E-2</v>
          </cell>
          <cell r="G1502">
            <v>-6.9279748546374961E-3</v>
          </cell>
        </row>
        <row r="1503">
          <cell r="C1503">
            <v>-2.7741083223249665E-2</v>
          </cell>
          <cell r="G1503">
            <v>-1.3897676723117003E-2</v>
          </cell>
        </row>
        <row r="1504">
          <cell r="C1504">
            <v>2.309782608695651E-2</v>
          </cell>
          <cell r="G1504">
            <v>5.2392633050675624E-3</v>
          </cell>
        </row>
        <row r="1505">
          <cell r="C1505">
            <v>1.8592297476759584E-2</v>
          </cell>
          <cell r="G1505">
            <v>7.3896556571292002E-3</v>
          </cell>
        </row>
        <row r="1506">
          <cell r="C1506">
            <v>1.0430247718383322E-2</v>
          </cell>
          <cell r="G1506">
            <v>-1.1839869415598751E-2</v>
          </cell>
        </row>
        <row r="1507">
          <cell r="C1507">
            <v>-2.8387096774193515E-2</v>
          </cell>
          <cell r="G1507">
            <v>-1.3125051092174567E-2</v>
          </cell>
        </row>
        <row r="1508">
          <cell r="C1508">
            <v>-5.3120849933598986E-3</v>
          </cell>
          <cell r="G1508">
            <v>-4.8469004294907202E-3</v>
          </cell>
        </row>
        <row r="1509">
          <cell r="C1509">
            <v>-2.670226969292392E-2</v>
          </cell>
          <cell r="G1509">
            <v>1.5419147067434313E-2</v>
          </cell>
        </row>
        <row r="1510">
          <cell r="C1510">
            <v>-4.1152263374485938E-3</v>
          </cell>
          <cell r="G1510">
            <v>9.2691755943127042E-3</v>
          </cell>
        </row>
        <row r="1511">
          <cell r="C1511">
            <v>3.7190082644628163E-2</v>
          </cell>
          <cell r="G1511">
            <v>-1.3222269027557753E-2</v>
          </cell>
        </row>
        <row r="1512">
          <cell r="C1512">
            <v>-1.0624169986719797E-2</v>
          </cell>
          <cell r="G1512">
            <v>-7.1810716944367657E-3</v>
          </cell>
        </row>
        <row r="1513">
          <cell r="C1513">
            <v>-2.6845637583893236E-3</v>
          </cell>
          <cell r="G1513">
            <v>-1.4599673490186937E-2</v>
          </cell>
        </row>
        <row r="1514">
          <cell r="C1514">
            <v>1.4804845222072722E-2</v>
          </cell>
          <cell r="G1514">
            <v>1.9745939208616514E-4</v>
          </cell>
        </row>
        <row r="1515">
          <cell r="C1515">
            <v>-3.4482758620689627E-2</v>
          </cell>
          <cell r="G1515">
            <v>9.563106276899427E-3</v>
          </cell>
        </row>
        <row r="1516">
          <cell r="C1516">
            <v>-2.3351648351648342E-2</v>
          </cell>
          <cell r="G1516">
            <v>1.4656489070504729E-2</v>
          </cell>
        </row>
        <row r="1517">
          <cell r="C1517">
            <v>2.1097046413502032E-2</v>
          </cell>
          <cell r="G1517">
            <v>-7.5603674635907185E-4</v>
          </cell>
        </row>
        <row r="1518">
          <cell r="C1518">
            <v>-5.5096418732782423E-3</v>
          </cell>
          <cell r="G1518">
            <v>-3.1955739803802472E-3</v>
          </cell>
        </row>
        <row r="1519">
          <cell r="C1519">
            <v>-1.3850415512465079E-3</v>
          </cell>
          <cell r="G1519">
            <v>-4.2533994858750578E-3</v>
          </cell>
        </row>
        <row r="1520">
          <cell r="C1520">
            <v>-6.9348127600554537E-3</v>
          </cell>
          <cell r="G1520">
            <v>-3.0491955680183223E-3</v>
          </cell>
        </row>
        <row r="1521">
          <cell r="C1521">
            <v>1.2569832402234617E-2</v>
          </cell>
          <cell r="G1521">
            <v>1.2036043608072854E-2</v>
          </cell>
        </row>
        <row r="1522">
          <cell r="C1522">
            <v>-1.6551724137931049E-2</v>
          </cell>
          <cell r="G1522">
            <v>2.2456752447287858E-3</v>
          </cell>
        </row>
        <row r="1523">
          <cell r="C1523">
            <v>7.8541374474053363E-2</v>
          </cell>
          <cell r="G1523">
            <v>3.5001893377273434E-3</v>
          </cell>
        </row>
        <row r="1524">
          <cell r="C1524">
            <v>1.5604681404421224E-2</v>
          </cell>
          <cell r="G1524">
            <v>-8.2489619230528034E-3</v>
          </cell>
        </row>
        <row r="1525">
          <cell r="C1525">
            <v>-2.9449423815620941E-2</v>
          </cell>
          <cell r="G1525">
            <v>1.3556359863345213E-2</v>
          </cell>
        </row>
        <row r="1526">
          <cell r="C1526">
            <v>-3.0343007915567339E-2</v>
          </cell>
          <cell r="G1526">
            <v>1.7317399355024677E-3</v>
          </cell>
        </row>
        <row r="1527">
          <cell r="C1527">
            <v>1.4965986394557868E-2</v>
          </cell>
          <cell r="G1527">
            <v>-5.8130717101804001E-3</v>
          </cell>
        </row>
        <row r="1528">
          <cell r="C1528">
            <v>-1.7426273458445028E-2</v>
          </cell>
          <cell r="G1528">
            <v>-6.8521345031323413E-4</v>
          </cell>
        </row>
        <row r="1529">
          <cell r="C1529">
            <v>2.1828103683492514E-2</v>
          </cell>
          <cell r="G1529">
            <v>-4.6811374960220743E-3</v>
          </cell>
        </row>
        <row r="1530">
          <cell r="C1530">
            <v>1.2016021361815735E-2</v>
          </cell>
          <cell r="G1530">
            <v>-1.1167870637139381E-2</v>
          </cell>
        </row>
        <row r="1531">
          <cell r="C1531">
            <v>-5.2770448548812715E-3</v>
          </cell>
          <cell r="G1531">
            <v>6.7589161552749927E-3</v>
          </cell>
        </row>
        <row r="1532">
          <cell r="C1532">
            <v>-1.8567639257294388E-2</v>
          </cell>
          <cell r="G1532">
            <v>-4.3464917804793531E-3</v>
          </cell>
        </row>
        <row r="1533">
          <cell r="C1533">
            <v>-4.0540540540540872E-3</v>
          </cell>
          <cell r="G1533">
            <v>1.3001078983902173E-2</v>
          </cell>
        </row>
        <row r="1534">
          <cell r="C1534">
            <v>1.6282225237449131E-2</v>
          </cell>
          <cell r="G1534">
            <v>6.0285008298950407E-3</v>
          </cell>
        </row>
        <row r="1535">
          <cell r="C1535">
            <v>-1.3351134846461665E-3</v>
          </cell>
          <cell r="G1535">
            <v>-3.7028392805163506E-4</v>
          </cell>
        </row>
        <row r="1536">
          <cell r="C1536">
            <v>2.6737967914437933E-3</v>
          </cell>
          <cell r="G1536">
            <v>-1.5624844236882102E-3</v>
          </cell>
        </row>
        <row r="1537">
          <cell r="C1537">
            <v>2.6666666666666098E-3</v>
          </cell>
          <cell r="G1537">
            <v>-8.1557110208783305E-4</v>
          </cell>
        </row>
        <row r="1538">
          <cell r="C1538">
            <v>-2.6595744680850499E-3</v>
          </cell>
          <cell r="G1538">
            <v>8.8504542333256702E-3</v>
          </cell>
        </row>
        <row r="1539">
          <cell r="C1539">
            <v>9.4666666666666774E-2</v>
          </cell>
          <cell r="G1539">
            <v>3.8397229956945978E-3</v>
          </cell>
        </row>
        <row r="1540">
          <cell r="C1540">
            <v>-2.8014616321559122E-2</v>
          </cell>
          <cell r="G1540">
            <v>5.7420979075210668E-3</v>
          </cell>
        </row>
        <row r="1541">
          <cell r="C1541">
            <v>-5.0125313283208061E-3</v>
          </cell>
          <cell r="G1541">
            <v>6.8976146989847388E-3</v>
          </cell>
        </row>
        <row r="1542">
          <cell r="C1542">
            <v>0</v>
          </cell>
          <cell r="G1542">
            <v>8.3156490251501281E-3</v>
          </cell>
        </row>
        <row r="1543">
          <cell r="C1543">
            <v>7.5566750629722425E-3</v>
          </cell>
          <cell r="G1543">
            <v>6.7450438032845474E-3</v>
          </cell>
        </row>
        <row r="1544">
          <cell r="C1544">
            <v>3.2499999999999973E-2</v>
          </cell>
          <cell r="G1544">
            <v>-2.7581934359223819E-3</v>
          </cell>
        </row>
        <row r="1545">
          <cell r="C1545">
            <v>-1.0895883777239693E-2</v>
          </cell>
          <cell r="G1545">
            <v>-1.6907490220122577E-2</v>
          </cell>
        </row>
        <row r="1546">
          <cell r="C1546">
            <v>1.468788249693993E-2</v>
          </cell>
          <cell r="G1546">
            <v>1.6622348990833439E-3</v>
          </cell>
        </row>
        <row r="1547">
          <cell r="C1547">
            <v>-5.5488540410132584E-2</v>
          </cell>
          <cell r="G1547">
            <v>9.7668613482768188E-3</v>
          </cell>
        </row>
        <row r="1548">
          <cell r="C1548">
            <v>7.2796934865900415E-2</v>
          </cell>
          <cell r="G1548">
            <v>2.9242867020271853E-4</v>
          </cell>
        </row>
        <row r="1549">
          <cell r="C1549">
            <v>-9.5238095238095316E-3</v>
          </cell>
          <cell r="G1549">
            <v>9.6035244160457747E-3</v>
          </cell>
        </row>
        <row r="1550">
          <cell r="C1550">
            <v>2.4038461538461453E-2</v>
          </cell>
          <cell r="G1550">
            <v>-1.2313126549597694E-3</v>
          </cell>
        </row>
        <row r="1551">
          <cell r="C1551">
            <v>-1.2910798122065661E-2</v>
          </cell>
          <cell r="G1551">
            <v>-3.2680492889820702E-2</v>
          </cell>
        </row>
        <row r="1552">
          <cell r="C1552">
            <v>2.7348394768133225E-2</v>
          </cell>
          <cell r="G1552">
            <v>5.4211362351359125E-3</v>
          </cell>
        </row>
        <row r="1553">
          <cell r="C1553">
            <v>-1.2731481481481621E-2</v>
          </cell>
          <cell r="G1553">
            <v>-1.1938379552823303E-2</v>
          </cell>
        </row>
        <row r="1554">
          <cell r="C1554">
            <v>-2.344665885111322E-3</v>
          </cell>
          <cell r="G1554">
            <v>1.7836124729267266E-2</v>
          </cell>
        </row>
        <row r="1555">
          <cell r="C1555">
            <v>2.3501762632196915E-3</v>
          </cell>
          <cell r="G1555">
            <v>-1.1497453162819547E-2</v>
          </cell>
        </row>
        <row r="1556">
          <cell r="C1556">
            <v>1.172332942555661E-3</v>
          </cell>
          <cell r="G1556">
            <v>1.3379760081836476E-2</v>
          </cell>
        </row>
        <row r="1557">
          <cell r="C1557">
            <v>1.1709601873538132E-3</v>
          </cell>
          <cell r="G1557">
            <v>3.3117954079232761E-3</v>
          </cell>
        </row>
        <row r="1558">
          <cell r="C1558">
            <v>-1.403508771929836E-2</v>
          </cell>
          <cell r="G1558">
            <v>-6.4687370210360856E-3</v>
          </cell>
        </row>
        <row r="1559">
          <cell r="C1559">
            <v>-2.4911032028469643E-2</v>
          </cell>
          <cell r="G1559">
            <v>7.5936835433098974E-3</v>
          </cell>
        </row>
        <row r="1560">
          <cell r="C1560">
            <v>-2.7980535279805402E-2</v>
          </cell>
          <cell r="G1560">
            <v>3.5453891677522009E-3</v>
          </cell>
        </row>
        <row r="1561">
          <cell r="C1561">
            <v>-2.127659574468084E-2</v>
          </cell>
          <cell r="G1561">
            <v>9.1018593521969941E-3</v>
          </cell>
        </row>
        <row r="1562">
          <cell r="C1562">
            <v>-3.5805626598465506E-2</v>
          </cell>
          <cell r="G1562">
            <v>3.9676177517486969E-4</v>
          </cell>
        </row>
        <row r="1563">
          <cell r="C1563">
            <v>3.5809018567639198E-2</v>
          </cell>
          <cell r="G1563">
            <v>-1.0168001698888939E-2</v>
          </cell>
        </row>
        <row r="1564">
          <cell r="C1564">
            <v>-9.2189500640204841E-2</v>
          </cell>
          <cell r="G1564">
            <v>-1.8821141869796009E-2</v>
          </cell>
        </row>
        <row r="1565">
          <cell r="C1565">
            <v>2.8208744710861017E-3</v>
          </cell>
          <cell r="G1565">
            <v>3.9082829376710796E-3</v>
          </cell>
        </row>
        <row r="1566">
          <cell r="C1566">
            <v>-8.4388185654009143E-3</v>
          </cell>
          <cell r="G1566">
            <v>-1.2171628228616612E-2</v>
          </cell>
        </row>
        <row r="1567">
          <cell r="C1567">
            <v>5.6737588652482325E-3</v>
          </cell>
          <cell r="G1567">
            <v>7.0862034350920745E-3</v>
          </cell>
        </row>
        <row r="1568">
          <cell r="C1568">
            <v>-7.1932299012693907E-2</v>
          </cell>
          <cell r="G1568">
            <v>-3.0865610803242276E-2</v>
          </cell>
        </row>
        <row r="1569">
          <cell r="C1569">
            <v>-0.1306990881458967</v>
          </cell>
          <cell r="G1569">
            <v>2.5037686417744984E-2</v>
          </cell>
        </row>
        <row r="1570">
          <cell r="C1570">
            <v>0.12237762237762241</v>
          </cell>
          <cell r="G1570">
            <v>-1.0252910380622287E-4</v>
          </cell>
        </row>
        <row r="1571">
          <cell r="C1571">
            <v>0.1557632398753894</v>
          </cell>
          <cell r="G1571">
            <v>-4.6776469944850374E-3</v>
          </cell>
        </row>
        <row r="1572">
          <cell r="C1572">
            <v>-1.2129380053908336E-2</v>
          </cell>
          <cell r="G1572">
            <v>-3.1342138767163505E-2</v>
          </cell>
        </row>
        <row r="1573">
          <cell r="C1573">
            <v>5.4570259208731285E-3</v>
          </cell>
          <cell r="G1573">
            <v>-5.8924344665160597E-2</v>
          </cell>
        </row>
        <row r="1574">
          <cell r="C1574">
            <v>6.5128900949796412E-2</v>
          </cell>
          <cell r="G1574">
            <v>3.5235507088887619E-2</v>
          </cell>
        </row>
        <row r="1575">
          <cell r="C1575">
            <v>-2.1656050955414004E-2</v>
          </cell>
          <cell r="G1575">
            <v>9.4454154452956379E-2</v>
          </cell>
        </row>
        <row r="1576">
          <cell r="C1576">
            <v>2.6041666666667268E-3</v>
          </cell>
          <cell r="G1576">
            <v>1.0896715563037781E-2</v>
          </cell>
        </row>
        <row r="1577">
          <cell r="C1577">
            <v>2.5974025974025419E-3</v>
          </cell>
          <cell r="G1577">
            <v>-3.3193931751219059E-4</v>
          </cell>
        </row>
        <row r="1578">
          <cell r="C1578">
            <v>2.8497409326424954E-2</v>
          </cell>
          <cell r="G1578">
            <v>1.2024816316117948E-2</v>
          </cell>
        </row>
        <row r="1579">
          <cell r="C1579">
            <v>-4.0302267002518925E-2</v>
          </cell>
          <cell r="G1579">
            <v>-2.6072442494455453E-3</v>
          </cell>
        </row>
        <row r="1580">
          <cell r="C1580">
            <v>-2.6246719160105594E-3</v>
          </cell>
          <cell r="G1580">
            <v>3.3840610973054412E-4</v>
          </cell>
        </row>
        <row r="1581">
          <cell r="C1581">
            <v>1.0526315789473694E-2</v>
          </cell>
          <cell r="G1581">
            <v>-6.0030263273434794E-3</v>
          </cell>
        </row>
        <row r="1582">
          <cell r="C1582">
            <v>-1.6927083333333322E-2</v>
          </cell>
          <cell r="G1582">
            <v>8.0719582977820063E-3</v>
          </cell>
        </row>
        <row r="1583">
          <cell r="C1583">
            <v>3.1788079470198703E-2</v>
          </cell>
          <cell r="G1583">
            <v>-6.4905405137235285E-3</v>
          </cell>
        </row>
        <row r="1584">
          <cell r="C1584">
            <v>8.985879332477572E-3</v>
          </cell>
          <cell r="G1584">
            <v>-4.2273365413081652E-4</v>
          </cell>
        </row>
        <row r="1585">
          <cell r="C1585">
            <v>-2.5445292620865163E-2</v>
          </cell>
          <cell r="G1585">
            <v>-7.4015972941664778E-3</v>
          </cell>
        </row>
        <row r="1586">
          <cell r="C1586">
            <v>3.9164490861619125E-3</v>
          </cell>
          <cell r="G1586">
            <v>9.4560092139211798E-4</v>
          </cell>
        </row>
        <row r="1587">
          <cell r="C1587">
            <v>1.6905071521456424E-2</v>
          </cell>
          <cell r="G1587">
            <v>5.395793951150191E-3</v>
          </cell>
        </row>
        <row r="1588">
          <cell r="C1588">
            <v>1.4066496163682791E-2</v>
          </cell>
          <cell r="G1588">
            <v>6.0491844217026008E-3</v>
          </cell>
        </row>
        <row r="1589">
          <cell r="C1589">
            <v>1.2610340479192893E-2</v>
          </cell>
          <cell r="G1589">
            <v>-6.7948249113613957E-3</v>
          </cell>
        </row>
        <row r="1590">
          <cell r="C1590">
            <v>-3.6114570361145598E-2</v>
          </cell>
          <cell r="G1590">
            <v>1.3232578897609214E-2</v>
          </cell>
        </row>
        <row r="1591">
          <cell r="C1591">
            <v>-1.1627906976744167E-2</v>
          </cell>
          <cell r="G1591">
            <v>1.1191284878224624E-2</v>
          </cell>
        </row>
        <row r="1592">
          <cell r="C1592">
            <v>-4.5751633986928171E-2</v>
          </cell>
          <cell r="G1592">
            <v>-1.2961532401737008E-3</v>
          </cell>
        </row>
        <row r="1593">
          <cell r="C1593">
            <v>-8.219178082191728E-3</v>
          </cell>
          <cell r="G1593">
            <v>3.152226634111873E-3</v>
          </cell>
        </row>
        <row r="1594">
          <cell r="C1594">
            <v>-5.5248618784530436E-3</v>
          </cell>
          <cell r="G1594">
            <v>1.9080112148025352E-2</v>
          </cell>
        </row>
        <row r="1595">
          <cell r="C1595">
            <v>-1.111111111111112E-2</v>
          </cell>
          <cell r="G1595">
            <v>-2.0872891521115404E-3</v>
          </cell>
        </row>
        <row r="1596">
          <cell r="C1596">
            <v>7.0224719101123342E-3</v>
          </cell>
          <cell r="G1596">
            <v>-1.5710379431188356E-2</v>
          </cell>
        </row>
        <row r="1597">
          <cell r="C1597">
            <v>-8.3682008368200292E-3</v>
          </cell>
          <cell r="G1597">
            <v>6.696218229088407E-4</v>
          </cell>
        </row>
        <row r="1598">
          <cell r="C1598">
            <v>-6.7510548523206815E-2</v>
          </cell>
          <cell r="G1598">
            <v>-2.080746581560545E-3</v>
          </cell>
        </row>
        <row r="1599">
          <cell r="C1599">
            <v>7.9939668174962328E-2</v>
          </cell>
          <cell r="G1599">
            <v>-1.2339896421314441E-2</v>
          </cell>
        </row>
        <row r="1600">
          <cell r="C1600">
            <v>1.2569832402234617E-2</v>
          </cell>
          <cell r="G1600">
            <v>-3.8462327066249896E-3</v>
          </cell>
        </row>
        <row r="1601">
          <cell r="C1601">
            <v>-1.3793103448275813E-2</v>
          </cell>
          <cell r="G1601">
            <v>1.7207961928162327E-4</v>
          </cell>
        </row>
        <row r="1602">
          <cell r="C1602">
            <v>-5.5944055944055987E-3</v>
          </cell>
          <cell r="G1602">
            <v>-3.2125195087218145E-2</v>
          </cell>
        </row>
        <row r="1603">
          <cell r="C1603">
            <v>2.8129395218002211E-3</v>
          </cell>
          <cell r="G1603">
            <v>5.2331087179569274E-2</v>
          </cell>
        </row>
        <row r="1604">
          <cell r="C1604">
            <v>1.2622720897615689E-2</v>
          </cell>
          <cell r="G1604">
            <v>4.2127947238468069E-3</v>
          </cell>
        </row>
        <row r="1605">
          <cell r="C1605">
            <v>-5.5401662049861548E-3</v>
          </cell>
          <cell r="G1605">
            <v>-5.825761206839474E-3</v>
          </cell>
        </row>
        <row r="1606">
          <cell r="C1606">
            <v>-1.1142061281337058E-2</v>
          </cell>
          <cell r="G1606">
            <v>1.9112475691634156E-2</v>
          </cell>
        </row>
        <row r="1607">
          <cell r="C1607">
            <v>1.4084507042254472E-3</v>
          </cell>
          <cell r="G1607">
            <v>1.0035772095739184E-2</v>
          </cell>
        </row>
        <row r="1608">
          <cell r="C1608">
            <v>7.0323488045006778E-3</v>
          </cell>
          <cell r="G1608">
            <v>2.0474210583670025E-2</v>
          </cell>
        </row>
        <row r="1609">
          <cell r="C1609">
            <v>0</v>
          </cell>
          <cell r="G1609">
            <v>1.6728623520401033E-2</v>
          </cell>
        </row>
        <row r="1610">
          <cell r="C1610">
            <v>4.1899441340782469E-3</v>
          </cell>
          <cell r="G1610">
            <v>2.6286589420321336E-3</v>
          </cell>
        </row>
        <row r="1611">
          <cell r="C1611">
            <v>-9.735744089012557E-3</v>
          </cell>
          <cell r="G1611">
            <v>9.6597464500201794E-3</v>
          </cell>
        </row>
        <row r="1612">
          <cell r="C1612">
            <v>0</v>
          </cell>
          <cell r="G1612">
            <v>1.0770065357040103E-2</v>
          </cell>
        </row>
        <row r="1613">
          <cell r="C1613">
            <v>8.4269662921347757E-3</v>
          </cell>
          <cell r="G1613">
            <v>2.4765659724783139E-4</v>
          </cell>
        </row>
        <row r="1614">
          <cell r="C1614">
            <v>-1.9498607242339788E-2</v>
          </cell>
          <cell r="G1614">
            <v>-6.193330159496125E-3</v>
          </cell>
        </row>
        <row r="1615">
          <cell r="C1615">
            <v>4.2613636363636716E-3</v>
          </cell>
          <cell r="G1615">
            <v>9.0917744543584107E-3</v>
          </cell>
        </row>
        <row r="1616">
          <cell r="C1616">
            <v>7.0721357850070466E-3</v>
          </cell>
          <cell r="G1616">
            <v>3.8677003257679078E-3</v>
          </cell>
        </row>
        <row r="1617">
          <cell r="C1617">
            <v>-1.5449438202247236E-2</v>
          </cell>
          <cell r="G1617">
            <v>1.640196405399651E-2</v>
          </cell>
        </row>
        <row r="1618">
          <cell r="C1618">
            <v>-5.7061340941512179E-3</v>
          </cell>
          <cell r="G1618">
            <v>-4.1220475368407682E-3</v>
          </cell>
        </row>
        <row r="1619">
          <cell r="C1619">
            <v>2.86944045911054E-3</v>
          </cell>
          <cell r="G1619">
            <v>3.23738699784049E-3</v>
          </cell>
        </row>
        <row r="1620">
          <cell r="C1620">
            <v>-5.7224606580829809E-3</v>
          </cell>
          <cell r="G1620">
            <v>1.675854599469408E-2</v>
          </cell>
        </row>
        <row r="1621">
          <cell r="C1621">
            <v>2.0143884892086284E-2</v>
          </cell>
          <cell r="G1621">
            <v>-4.9139836513057659E-4</v>
          </cell>
        </row>
        <row r="1622">
          <cell r="C1622">
            <v>-8.4626234132580552E-3</v>
          </cell>
          <cell r="G1622">
            <v>-2.7401676337846471E-3</v>
          </cell>
        </row>
        <row r="1623">
          <cell r="C1623">
            <v>-4.2674253200569341E-3</v>
          </cell>
          <cell r="G1623">
            <v>8.6967952991219896E-3</v>
          </cell>
        </row>
        <row r="1624">
          <cell r="C1624">
            <v>-2.1428571428571481E-2</v>
          </cell>
          <cell r="G1624">
            <v>-1.185414134293848E-3</v>
          </cell>
        </row>
        <row r="1625">
          <cell r="C1625">
            <v>-5.8394160583941663E-3</v>
          </cell>
          <cell r="G1625">
            <v>-4.0335541379097452E-3</v>
          </cell>
        </row>
        <row r="1626">
          <cell r="C1626">
            <v>-1.1747430249632774E-2</v>
          </cell>
          <cell r="G1626">
            <v>3.7105782158492985E-3</v>
          </cell>
        </row>
        <row r="1627">
          <cell r="C1627">
            <v>5.6463595839524497E-2</v>
          </cell>
          <cell r="G1627">
            <v>1.2410268714356885E-3</v>
          </cell>
        </row>
        <row r="1628">
          <cell r="C1628">
            <v>3.9381153305203843E-2</v>
          </cell>
          <cell r="G1628">
            <v>-1.0153891453339883E-2</v>
          </cell>
        </row>
        <row r="1629">
          <cell r="C1629">
            <v>-1.488497970230033E-2</v>
          </cell>
          <cell r="G1629">
            <v>3.2431458427696334E-3</v>
          </cell>
        </row>
        <row r="1630">
          <cell r="C1630">
            <v>-1.2362637362637343E-2</v>
          </cell>
          <cell r="G1630">
            <v>7.0670767941422297E-3</v>
          </cell>
        </row>
        <row r="1631">
          <cell r="C1631">
            <v>5.5632823365785863E-3</v>
          </cell>
          <cell r="G1631">
            <v>1.1798228314399207E-2</v>
          </cell>
        </row>
        <row r="1632">
          <cell r="C1632">
            <v>-1.2448132780083091E-2</v>
          </cell>
          <cell r="G1632">
            <v>7.2157985203386635E-3</v>
          </cell>
        </row>
        <row r="1633">
          <cell r="C1633">
            <v>1.4005602240896434E-2</v>
          </cell>
          <cell r="G1633">
            <v>6.9305988356712879E-3</v>
          </cell>
        </row>
        <row r="1634">
          <cell r="C1634">
            <v>-1.6574585635359129E-2</v>
          </cell>
          <cell r="G1634">
            <v>1.4341237316146475E-2</v>
          </cell>
        </row>
        <row r="1635">
          <cell r="C1635">
            <v>-8.4269662921349006E-3</v>
          </cell>
          <cell r="G1635">
            <v>3.8503396203008093E-3</v>
          </cell>
        </row>
        <row r="1636">
          <cell r="C1636">
            <v>0</v>
          </cell>
          <cell r="G1636">
            <v>-1.8149343680900674E-3</v>
          </cell>
        </row>
        <row r="1637">
          <cell r="C1637">
            <v>-4.2492917847024589E-3</v>
          </cell>
          <cell r="G1637">
            <v>1.0641148746619327E-2</v>
          </cell>
        </row>
        <row r="1638">
          <cell r="C1638">
            <v>8.5348506401137416E-3</v>
          </cell>
          <cell r="G1638">
            <v>5.1364651319297128E-4</v>
          </cell>
        </row>
        <row r="1639">
          <cell r="C1639">
            <v>-1.4104372355429884E-3</v>
          </cell>
          <cell r="G1639">
            <v>-3.2379782743902244E-3</v>
          </cell>
        </row>
        <row r="1640">
          <cell r="C1640">
            <v>0</v>
          </cell>
          <cell r="G1640">
            <v>-2.5714991765123996E-4</v>
          </cell>
        </row>
        <row r="1641">
          <cell r="C1641">
            <v>4.237288135593255E-3</v>
          </cell>
          <cell r="G1641">
            <v>1.1637456692918279E-2</v>
          </cell>
        </row>
        <row r="1642">
          <cell r="C1642">
            <v>-1.1251758087201134E-2</v>
          </cell>
          <cell r="G1642">
            <v>1.0623266068100613E-2</v>
          </cell>
        </row>
        <row r="1643">
          <cell r="C1643">
            <v>7.1123755334281391E-3</v>
          </cell>
          <cell r="G1643">
            <v>5.4767035619438372E-3</v>
          </cell>
        </row>
        <row r="1644">
          <cell r="C1644">
            <v>-2.2598870056497196E-2</v>
          </cell>
          <cell r="G1644">
            <v>-9.0027292467678051E-3</v>
          </cell>
        </row>
        <row r="1645">
          <cell r="C1645">
            <v>8.6705202312139448E-3</v>
          </cell>
          <cell r="G1645">
            <v>1.7274066646578129E-3</v>
          </cell>
        </row>
        <row r="1646">
          <cell r="C1646">
            <v>3.4383954154727697E-2</v>
          </cell>
          <cell r="G1646">
            <v>-4.5336552746997084E-3</v>
          </cell>
        </row>
        <row r="1647">
          <cell r="C1647">
            <v>4.1551246537396471E-3</v>
          </cell>
          <cell r="G1647">
            <v>-2.55518064639989E-3</v>
          </cell>
        </row>
        <row r="1648">
          <cell r="C1648">
            <v>-4.1379310344827926E-3</v>
          </cell>
          <cell r="G1648">
            <v>-6.3396747372217784E-3</v>
          </cell>
        </row>
        <row r="1649">
          <cell r="C1649">
            <v>-4.1551246537395239E-3</v>
          </cell>
          <cell r="G1649">
            <v>-1.0204480818648003E-3</v>
          </cell>
        </row>
        <row r="1650">
          <cell r="C1650">
            <v>2.3643949930458961E-2</v>
          </cell>
          <cell r="G1650">
            <v>8.6482255887466875E-3</v>
          </cell>
        </row>
        <row r="1651">
          <cell r="C1651">
            <v>-1.2228260869565319E-2</v>
          </cell>
          <cell r="G1651">
            <v>9.1062455649654154E-3</v>
          </cell>
        </row>
        <row r="1652">
          <cell r="C1652">
            <v>-6.8775790921595361E-3</v>
          </cell>
          <cell r="G1652">
            <v>6.6969556073892744E-3</v>
          </cell>
        </row>
        <row r="1653">
          <cell r="C1653">
            <v>-9.6952908587256779E-3</v>
          </cell>
          <cell r="G1653">
            <v>8.1231733788824124E-3</v>
          </cell>
        </row>
        <row r="1654">
          <cell r="C1654">
            <v>1.3986013986013687E-3</v>
          </cell>
          <cell r="G1654">
            <v>3.0475313445536712E-3</v>
          </cell>
        </row>
        <row r="1655">
          <cell r="C1655">
            <v>0</v>
          </cell>
          <cell r="G1655">
            <v>1.0555545802947781E-2</v>
          </cell>
        </row>
        <row r="1656">
          <cell r="C1656">
            <v>-4.1899441340782469E-3</v>
          </cell>
          <cell r="G1656">
            <v>1.1732907502398736E-2</v>
          </cell>
        </row>
        <row r="1657">
          <cell r="C1657">
            <v>4.207573632538604E-3</v>
          </cell>
          <cell r="G1657">
            <v>3.0509847341209299E-3</v>
          </cell>
        </row>
        <row r="1658">
          <cell r="C1658">
            <v>2.7932960893854771E-2</v>
          </cell>
          <cell r="G1658">
            <v>2.9206674121360801E-3</v>
          </cell>
        </row>
        <row r="1659">
          <cell r="C1659">
            <v>6.7934782608695407E-3</v>
          </cell>
          <cell r="G1659">
            <v>-5.6014871915057649E-3</v>
          </cell>
        </row>
        <row r="1660">
          <cell r="C1660">
            <v>0.1349527665317139</v>
          </cell>
          <cell r="G1660">
            <v>-1.0897568707820628E-2</v>
          </cell>
        </row>
        <row r="1661">
          <cell r="C1661">
            <v>-3.4482758620689766E-2</v>
          </cell>
          <cell r="G1661">
            <v>6.1177926477318572E-3</v>
          </cell>
        </row>
        <row r="1662">
          <cell r="C1662">
            <v>5.1724137931034482E-2</v>
          </cell>
          <cell r="G1662">
            <v>5.1254783938581069E-3</v>
          </cell>
        </row>
        <row r="1663">
          <cell r="C1663">
            <v>-4.6838407494144202E-3</v>
          </cell>
          <cell r="G1663">
            <v>-2.0040857738496492E-5</v>
          </cell>
        </row>
        <row r="1664">
          <cell r="C1664">
            <v>1.2941176470588168E-2</v>
          </cell>
          <cell r="G1664">
            <v>1.1369476880230319E-2</v>
          </cell>
        </row>
        <row r="1665">
          <cell r="C1665">
            <v>2.7874564459930341E-2</v>
          </cell>
          <cell r="G1665">
            <v>5.3123239394489718E-4</v>
          </cell>
        </row>
        <row r="1666">
          <cell r="C1666">
            <v>-4.5197740112993389E-3</v>
          </cell>
          <cell r="G1666">
            <v>-3.0544672405984023E-3</v>
          </cell>
        </row>
        <row r="1667">
          <cell r="C1667">
            <v>-1.0215664018161165E-2</v>
          </cell>
          <cell r="G1667">
            <v>2.4776798096609477E-3</v>
          </cell>
        </row>
        <row r="1668">
          <cell r="C1668">
            <v>-4.47247706422019E-2</v>
          </cell>
          <cell r="G1668">
            <v>1.8465918174190318E-3</v>
          </cell>
        </row>
        <row r="1669">
          <cell r="C1669">
            <v>1.3205282112845069E-2</v>
          </cell>
          <cell r="G1669">
            <v>6.5939195265016862E-3</v>
          </cell>
        </row>
        <row r="1670">
          <cell r="C1670">
            <v>9.4786729857819999E-3</v>
          </cell>
          <cell r="G1670">
            <v>1.8689906566476656E-2</v>
          </cell>
        </row>
        <row r="1671">
          <cell r="C1671">
            <v>6.4553990610328724E-2</v>
          </cell>
          <cell r="G1671">
            <v>9.8033971041746795E-3</v>
          </cell>
        </row>
        <row r="1672">
          <cell r="C1672">
            <v>-3.0871003307607621E-2</v>
          </cell>
          <cell r="G1672">
            <v>1.0045304880404442E-2</v>
          </cell>
        </row>
        <row r="1673">
          <cell r="C1673">
            <v>-3.4129692832763781E-3</v>
          </cell>
          <cell r="G1673">
            <v>8.8674129312198743E-4</v>
          </cell>
        </row>
        <row r="1674">
          <cell r="C1674">
            <v>-2.054794520547942E-2</v>
          </cell>
          <cell r="G1674">
            <v>1.7201667178418062E-2</v>
          </cell>
        </row>
        <row r="1675">
          <cell r="C1675">
            <v>-1.7482517482517525E-2</v>
          </cell>
          <cell r="G1675">
            <v>2.970093767788516E-3</v>
          </cell>
        </row>
        <row r="1676">
          <cell r="C1676">
            <v>-1.8979833926453162E-2</v>
          </cell>
          <cell r="G1676">
            <v>-7.3238035420544511E-3</v>
          </cell>
        </row>
        <row r="1677">
          <cell r="C1677">
            <v>-5.320435308343404E-2</v>
          </cell>
          <cell r="G1677">
            <v>-9.4106546666006367E-3</v>
          </cell>
        </row>
        <row r="1678">
          <cell r="C1678">
            <v>5.2362707535121344E-2</v>
          </cell>
          <cell r="G1678">
            <v>-5.4581424563145504E-3</v>
          </cell>
        </row>
        <row r="1679">
          <cell r="C1679">
            <v>-1.2135922330097044E-2</v>
          </cell>
          <cell r="G1679">
            <v>-4.4530433375134584E-3</v>
          </cell>
        </row>
        <row r="1680">
          <cell r="C1680">
            <v>2.2113022113022077E-2</v>
          </cell>
          <cell r="G1680">
            <v>-8.7073053369152893E-3</v>
          </cell>
        </row>
        <row r="1681">
          <cell r="C1681">
            <v>-1.3221153846153777E-2</v>
          </cell>
          <cell r="G1681">
            <v>-2.8539679073078552E-2</v>
          </cell>
        </row>
        <row r="1682">
          <cell r="C1682">
            <v>-7.3081607795372093E-3</v>
          </cell>
          <cell r="G1682">
            <v>4.4385560473259013E-2</v>
          </cell>
        </row>
        <row r="1683">
          <cell r="C1683">
            <v>-4.9079754601228124E-3</v>
          </cell>
          <cell r="G1683">
            <v>1.2712415974230897E-3</v>
          </cell>
        </row>
        <row r="1684">
          <cell r="C1684">
            <v>-4.9321824907520529E-3</v>
          </cell>
          <cell r="G1684">
            <v>-7.494037832198419E-3</v>
          </cell>
        </row>
        <row r="1685">
          <cell r="C1685">
            <v>-1.7348203221809241E-2</v>
          </cell>
          <cell r="G1685">
            <v>-3.8827637640174765E-3</v>
          </cell>
        </row>
        <row r="1686">
          <cell r="C1686">
            <v>-1.6393442622950807E-2</v>
          </cell>
          <cell r="G1686">
            <v>1.4875442458778441E-2</v>
          </cell>
        </row>
        <row r="1687">
          <cell r="C1687">
            <v>-1.0256410256410265E-2</v>
          </cell>
          <cell r="G1687">
            <v>6.6404034914931635E-3</v>
          </cell>
        </row>
        <row r="1688">
          <cell r="C1688">
            <v>3.886010362694333E-3</v>
          </cell>
          <cell r="G1688">
            <v>-4.7419482042174834E-3</v>
          </cell>
        </row>
        <row r="1689">
          <cell r="C1689">
            <v>-4.3870967741935468E-2</v>
          </cell>
          <cell r="G1689">
            <v>-1.1785237732934443E-2</v>
          </cell>
        </row>
        <row r="1690">
          <cell r="C1690">
            <v>2.6990553306342202E-3</v>
          </cell>
          <cell r="G1690">
            <v>-7.8150361251302473E-3</v>
          </cell>
        </row>
        <row r="1691">
          <cell r="C1691">
            <v>2.8263795423956926E-2</v>
          </cell>
          <cell r="G1691">
            <v>-6.9827995164605267E-3</v>
          </cell>
        </row>
        <row r="1692">
          <cell r="C1692">
            <v>2.6178010471204213E-2</v>
          </cell>
          <cell r="G1692">
            <v>-1.2720347406736427E-2</v>
          </cell>
        </row>
        <row r="1693">
          <cell r="C1693">
            <v>-1.5306122448979605E-2</v>
          </cell>
          <cell r="G1693">
            <v>-1.0218360244153339E-2</v>
          </cell>
        </row>
        <row r="1694">
          <cell r="C1694">
            <v>1.4248704663212477E-2</v>
          </cell>
          <cell r="G1694">
            <v>-1.0930990087026081E-2</v>
          </cell>
        </row>
        <row r="1695">
          <cell r="C1695">
            <v>-1.0217113665389537E-2</v>
          </cell>
          <cell r="G1695">
            <v>3.1256045317357824E-2</v>
          </cell>
        </row>
        <row r="1696">
          <cell r="C1696">
            <v>9.0322580645161663E-3</v>
          </cell>
          <cell r="G1696">
            <v>7.2475249754487747E-3</v>
          </cell>
        </row>
        <row r="1697">
          <cell r="C1697">
            <v>1.5345268542199501E-2</v>
          </cell>
          <cell r="G1697">
            <v>-9.3449660313719585E-3</v>
          </cell>
        </row>
        <row r="1698">
          <cell r="C1698">
            <v>-3.1486146095717885E-2</v>
          </cell>
          <cell r="G1698">
            <v>-1.0562756100704918E-2</v>
          </cell>
        </row>
        <row r="1699">
          <cell r="C1699">
            <v>-1.3003901170351174E-2</v>
          </cell>
          <cell r="G1699">
            <v>-3.0166403065482444E-3</v>
          </cell>
        </row>
        <row r="1700">
          <cell r="C1700">
            <v>1.3175230566534633E-3</v>
          </cell>
          <cell r="G1700">
            <v>3.1182902484526097E-3</v>
          </cell>
        </row>
        <row r="1701">
          <cell r="C1701">
            <v>1.3157894736842994E-3</v>
          </cell>
          <cell r="G1701">
            <v>1.2190391164620031E-2</v>
          </cell>
        </row>
        <row r="1702">
          <cell r="C1702">
            <v>3.0223390275952632E-2</v>
          </cell>
          <cell r="G1702">
            <v>-2.2706116768142038E-2</v>
          </cell>
        </row>
        <row r="1703">
          <cell r="C1703">
            <v>1.5306122448979605E-2</v>
          </cell>
          <cell r="G1703">
            <v>1.985488105757641E-3</v>
          </cell>
        </row>
        <row r="1704">
          <cell r="C1704">
            <v>-5.0251256281407079E-3</v>
          </cell>
          <cell r="G1704">
            <v>1.5637174315093209E-2</v>
          </cell>
        </row>
        <row r="1705">
          <cell r="C1705">
            <v>1.2626262626262356E-3</v>
          </cell>
          <cell r="G1705">
            <v>7.952881129110077E-3</v>
          </cell>
        </row>
        <row r="1706">
          <cell r="C1706">
            <v>-1.1349306431273626E-2</v>
          </cell>
          <cell r="G1706">
            <v>-1.5314768828196021E-3</v>
          </cell>
        </row>
        <row r="1707">
          <cell r="C1707">
            <v>-2.1683673469387748E-2</v>
          </cell>
          <cell r="G1707">
            <v>-4.6513270469973386E-3</v>
          </cell>
        </row>
        <row r="1708">
          <cell r="C1708">
            <v>-7.8226857887874323E-3</v>
          </cell>
          <cell r="G1708">
            <v>8.0227977570838278E-3</v>
          </cell>
        </row>
        <row r="1709">
          <cell r="C1709">
            <v>-5.2562417871222121E-3</v>
          </cell>
          <cell r="G1709">
            <v>4.3806712451275069E-3</v>
          </cell>
        </row>
        <row r="1710">
          <cell r="C1710">
            <v>-5.2840158520475605E-3</v>
          </cell>
          <cell r="G1710">
            <v>-5.118667381380732E-3</v>
          </cell>
        </row>
        <row r="1711">
          <cell r="C1711">
            <v>-3.9840637450199532E-3</v>
          </cell>
          <cell r="G1711">
            <v>-7.3305280373738046E-4</v>
          </cell>
        </row>
        <row r="1712">
          <cell r="C1712">
            <v>2.5333333333333385E-2</v>
          </cell>
          <cell r="G1712">
            <v>-1.8002385295987158E-3</v>
          </cell>
        </row>
        <row r="1713">
          <cell r="C1713">
            <v>-2.0806241872561786E-2</v>
          </cell>
          <cell r="G1713">
            <v>9.2524401876944943E-3</v>
          </cell>
        </row>
        <row r="1714">
          <cell r="C1714">
            <v>-5.3120849933598986E-3</v>
          </cell>
          <cell r="G1714">
            <v>1.3388073291670676E-2</v>
          </cell>
        </row>
        <row r="1715">
          <cell r="C1715">
            <v>3.2042723631508709E-2</v>
          </cell>
          <cell r="G1715">
            <v>7.8875484804652816E-3</v>
          </cell>
        </row>
        <row r="1716">
          <cell r="C1716">
            <v>1.6817593790426893E-2</v>
          </cell>
          <cell r="G1716">
            <v>8.3063901169741997E-3</v>
          </cell>
        </row>
        <row r="1717">
          <cell r="C1717">
            <v>8.9058524173027225E-3</v>
          </cell>
          <cell r="G1717">
            <v>-2.4985393799759688E-3</v>
          </cell>
        </row>
        <row r="1718">
          <cell r="C1718">
            <v>-3.7831021437578008E-3</v>
          </cell>
          <cell r="G1718">
            <v>-8.9293703235246054E-3</v>
          </cell>
        </row>
        <row r="1719">
          <cell r="C1719">
            <v>-1.3924050632911432E-2</v>
          </cell>
          <cell r="G1719">
            <v>8.3186203115893508E-4</v>
          </cell>
        </row>
        <row r="1720">
          <cell r="C1720">
            <v>-8.985879332477572E-3</v>
          </cell>
          <cell r="G1720">
            <v>4.8232672444147298E-3</v>
          </cell>
        </row>
        <row r="1721">
          <cell r="C1721">
            <v>2.5906735751295936E-3</v>
          </cell>
          <cell r="G1721">
            <v>7.2877025055065369E-3</v>
          </cell>
        </row>
        <row r="1722">
          <cell r="C1722">
            <v>-7.7519379844961881E-3</v>
          </cell>
          <cell r="G1722">
            <v>6.8515610958196829E-3</v>
          </cell>
        </row>
        <row r="1723">
          <cell r="C1723">
            <v>-3.9062499999999167E-3</v>
          </cell>
          <cell r="G1723">
            <v>-2.6732541629312057E-5</v>
          </cell>
        </row>
        <row r="1724">
          <cell r="C1724">
            <v>1.1764705882352922E-2</v>
          </cell>
          <cell r="G1724">
            <v>-5.1765144389679984E-3</v>
          </cell>
        </row>
        <row r="1725">
          <cell r="C1725">
            <v>-3.8759689922480941E-3</v>
          </cell>
          <cell r="G1725">
            <v>7.6514451843274723E-3</v>
          </cell>
        </row>
        <row r="1726">
          <cell r="C1726">
            <v>-1.6861219195849531E-2</v>
          </cell>
          <cell r="G1726">
            <v>5.1618192450183552E-3</v>
          </cell>
        </row>
        <row r="1727">
          <cell r="C1727">
            <v>-9.2348284960422546E-3</v>
          </cell>
          <cell r="G1727">
            <v>-1.7221371227378686E-3</v>
          </cell>
        </row>
        <row r="1728">
          <cell r="C1728">
            <v>-1.3315579227696358E-2</v>
          </cell>
          <cell r="G1728">
            <v>-7.8288127767352331E-4</v>
          </cell>
        </row>
        <row r="1729">
          <cell r="C1729">
            <v>-2.6990553306343403E-3</v>
          </cell>
          <cell r="G1729">
            <v>9.6692071919456096E-3</v>
          </cell>
        </row>
        <row r="1730">
          <cell r="C1730">
            <v>-1.2178619756427585E-2</v>
          </cell>
          <cell r="G1730">
            <v>-3.2343444134256814E-3</v>
          </cell>
        </row>
        <row r="1731">
          <cell r="C1731">
            <v>-1.3698630136986254E-2</v>
          </cell>
          <cell r="G1731">
            <v>-1.1685225497023656E-3</v>
          </cell>
        </row>
        <row r="1732">
          <cell r="C1732">
            <v>3.055555555555552E-2</v>
          </cell>
          <cell r="G1732">
            <v>-7.6201406052031704E-4</v>
          </cell>
        </row>
        <row r="1733">
          <cell r="C1733">
            <v>-8.0862533692721839E-3</v>
          </cell>
          <cell r="G1733">
            <v>-1.4234213517178196E-3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ucky Cement Stock Price Histor"/>
      <sheetName val="Sheet1"/>
      <sheetName val="Sheet2"/>
    </sheetNames>
    <sheetDataSet>
      <sheetData sheetId="0"/>
      <sheetData sheetId="1">
        <row r="4">
          <cell r="M4"/>
          <cell r="S4"/>
        </row>
        <row r="5">
          <cell r="M5">
            <v>-3.4500944930338832E-2</v>
          </cell>
          <cell r="S5">
            <v>-3.3495934959348996E-3</v>
          </cell>
        </row>
        <row r="6">
          <cell r="M6">
            <v>6.4639475600873431E-3</v>
          </cell>
          <cell r="S6">
            <v>4.3315179787927118E-3</v>
          </cell>
        </row>
        <row r="7">
          <cell r="M7">
            <v>-1.1080958842153079E-3</v>
          </cell>
          <cell r="S7">
            <v>-1.0539704499429804E-3</v>
          </cell>
        </row>
        <row r="8">
          <cell r="M8">
            <v>4.4327726336284082E-2</v>
          </cell>
          <cell r="S8">
            <v>9.3080297922512167E-3</v>
          </cell>
        </row>
        <row r="9">
          <cell r="M9">
            <v>1.9727286522577912E-2</v>
          </cell>
          <cell r="S9">
            <v>5.1156294124586037E-3</v>
          </cell>
        </row>
        <row r="10">
          <cell r="M10">
            <v>-1.7559897106656161E-2</v>
          </cell>
          <cell r="S10">
            <v>-8.6390804098633381E-3</v>
          </cell>
        </row>
        <row r="11">
          <cell r="M11">
            <v>4.9769545366026488E-4</v>
          </cell>
          <cell r="S11">
            <v>-7.1425042918691847E-4</v>
          </cell>
        </row>
        <row r="12">
          <cell r="M12">
            <v>-8.0240505234017573E-3</v>
          </cell>
          <cell r="S12">
            <v>1.5954075908377224E-3</v>
          </cell>
        </row>
        <row r="13">
          <cell r="M13">
            <v>1.9688215414804384E-2</v>
          </cell>
          <cell r="S13">
            <v>6.0364061923599607E-3</v>
          </cell>
        </row>
        <row r="14">
          <cell r="M14">
            <v>2.9934998289428182E-3</v>
          </cell>
          <cell r="S14">
            <v>9.0643861220111883E-3</v>
          </cell>
        </row>
        <row r="15">
          <cell r="M15">
            <v>-1.6905431909269224E-2</v>
          </cell>
          <cell r="S15">
            <v>3.9005358349825593E-3</v>
          </cell>
        </row>
        <row r="16">
          <cell r="M16">
            <v>1.1319527268784621E-2</v>
          </cell>
          <cell r="S16">
            <v>5.7743987757706656E-3</v>
          </cell>
        </row>
        <row r="17">
          <cell r="M17">
            <v>-6.2825653451122647E-3</v>
          </cell>
          <cell r="S17">
            <v>-6.0512554741783283E-4</v>
          </cell>
        </row>
        <row r="18">
          <cell r="M18">
            <v>-1.6075435870878622E-2</v>
          </cell>
          <cell r="S18">
            <v>3.8572171510684442E-3</v>
          </cell>
        </row>
        <row r="19">
          <cell r="M19">
            <v>7.0834886729972549E-3</v>
          </cell>
          <cell r="S19">
            <v>5.0544172464732987E-3</v>
          </cell>
        </row>
        <row r="20">
          <cell r="M20">
            <v>-8.0571403684509503E-4</v>
          </cell>
          <cell r="S20">
            <v>-4.2511407555896342E-4</v>
          </cell>
        </row>
        <row r="21">
          <cell r="M21">
            <v>2.0725727361882947E-2</v>
          </cell>
          <cell r="S21">
            <v>4.7380853406987292E-3</v>
          </cell>
        </row>
        <row r="22">
          <cell r="M22">
            <v>-6.7682978905116058E-3</v>
          </cell>
          <cell r="S22">
            <v>7.6763157997937811E-3</v>
          </cell>
        </row>
        <row r="23">
          <cell r="M23">
            <v>7.0293858423439498E-3</v>
          </cell>
          <cell r="S23">
            <v>1.2202552446676474E-2</v>
          </cell>
        </row>
        <row r="24">
          <cell r="M24">
            <v>3.8423771506639016E-3</v>
          </cell>
          <cell r="S24">
            <v>-2.6123175180508265E-3</v>
          </cell>
        </row>
        <row r="25">
          <cell r="M25">
            <v>-5.1886190617955975E-3</v>
          </cell>
          <cell r="S25">
            <v>-4.1664177047575244E-3</v>
          </cell>
        </row>
        <row r="26">
          <cell r="M26">
            <v>3.099482707024045E-3</v>
          </cell>
          <cell r="S26">
            <v>-1.0775958531672861E-2</v>
          </cell>
        </row>
        <row r="27">
          <cell r="M27">
            <v>2.4804483559571343E-2</v>
          </cell>
          <cell r="S27">
            <v>-1.3716222743709233E-2</v>
          </cell>
        </row>
        <row r="28">
          <cell r="M28">
            <v>4.705662182113076E-2</v>
          </cell>
          <cell r="S28">
            <v>6.6891448383979485E-3</v>
          </cell>
        </row>
        <row r="29">
          <cell r="M29">
            <v>5.3620367796000678E-4</v>
          </cell>
          <cell r="S29">
            <v>-1.2850931169062351E-3</v>
          </cell>
        </row>
        <row r="30">
          <cell r="M30">
            <v>-1.4449891824298901E-2</v>
          </cell>
          <cell r="S30">
            <v>-9.1579270083860223E-4</v>
          </cell>
        </row>
        <row r="31">
          <cell r="M31">
            <v>-1.0774776952047139E-2</v>
          </cell>
          <cell r="S31">
            <v>-5.0139506820811989E-4</v>
          </cell>
        </row>
        <row r="32">
          <cell r="M32">
            <v>-2.6202206930249612E-2</v>
          </cell>
          <cell r="S32">
            <v>-6.5997030627610795E-3</v>
          </cell>
        </row>
        <row r="33">
          <cell r="M33">
            <v>3.8113357446007856E-2</v>
          </cell>
          <cell r="S33">
            <v>-6.5242033273934606E-3</v>
          </cell>
        </row>
        <row r="34">
          <cell r="M34">
            <v>-6.4647359729327674E-3</v>
          </cell>
          <cell r="S34">
            <v>8.0664072716041917E-3</v>
          </cell>
        </row>
        <row r="35">
          <cell r="M35">
            <v>-1.1959540267163922E-2</v>
          </cell>
          <cell r="S35">
            <v>-5.1805663344370806E-3</v>
          </cell>
        </row>
        <row r="36">
          <cell r="M36">
            <v>-4.1441848060233917E-3</v>
          </cell>
          <cell r="S36">
            <v>-1.3620921615814081E-3</v>
          </cell>
        </row>
        <row r="37">
          <cell r="M37">
            <v>-1.6789930162131053E-2</v>
          </cell>
          <cell r="S37">
            <v>-1.0229375004529338E-2</v>
          </cell>
        </row>
        <row r="38">
          <cell r="M38">
            <v>9.386916984452957E-3</v>
          </cell>
          <cell r="S38">
            <v>-1.9822863705945434E-2</v>
          </cell>
        </row>
        <row r="39">
          <cell r="M39">
            <v>1.4821272885788985E-2</v>
          </cell>
          <cell r="S39">
            <v>-3.3223712426589565E-3</v>
          </cell>
        </row>
        <row r="40">
          <cell r="M40">
            <v>1.1188839797087275E-2</v>
          </cell>
          <cell r="S40">
            <v>9.353446348651288E-3</v>
          </cell>
        </row>
        <row r="41">
          <cell r="M41">
            <v>-4.9155456660261087E-3</v>
          </cell>
          <cell r="S41">
            <v>1.2403404464518994E-2</v>
          </cell>
        </row>
        <row r="42">
          <cell r="M42">
            <v>-1.8641242478451812E-2</v>
          </cell>
          <cell r="S42">
            <v>5.3296731506427683E-3</v>
          </cell>
        </row>
        <row r="43">
          <cell r="M43">
            <v>-3.2169860176074518E-2</v>
          </cell>
          <cell r="S43">
            <v>-1.5403874339805978E-3</v>
          </cell>
        </row>
        <row r="44">
          <cell r="M44">
            <v>-4.195025897864039E-3</v>
          </cell>
          <cell r="S44">
            <v>-3.0338755473562368E-3</v>
          </cell>
        </row>
        <row r="45">
          <cell r="M45">
            <v>3.1810170657267296E-3</v>
          </cell>
          <cell r="S45">
            <v>-6.9247702063025517E-3</v>
          </cell>
        </row>
        <row r="46">
          <cell r="M46">
            <v>6.1490337232720672E-3</v>
          </cell>
          <cell r="S46">
            <v>-8.7511865649040274E-3</v>
          </cell>
        </row>
        <row r="47">
          <cell r="M47">
            <v>5.3874491599411696E-3</v>
          </cell>
          <cell r="S47">
            <v>-6.7059937771876102E-4</v>
          </cell>
        </row>
        <row r="48">
          <cell r="M48">
            <v>-5.337399923751391E-3</v>
          </cell>
          <cell r="S48">
            <v>-7.095859096072491E-4</v>
          </cell>
        </row>
        <row r="49">
          <cell r="M49">
            <v>7.9638856948171053E-3</v>
          </cell>
          <cell r="S49">
            <v>8.3400841566944289E-4</v>
          </cell>
        </row>
        <row r="50">
          <cell r="M50">
            <v>-1.2907723508534759E-2</v>
          </cell>
          <cell r="S50">
            <v>-3.0907605218021585E-3</v>
          </cell>
        </row>
        <row r="51">
          <cell r="M51">
            <v>-1.562332798287857E-2</v>
          </cell>
          <cell r="S51">
            <v>-1.2926512956789833E-2</v>
          </cell>
        </row>
        <row r="52">
          <cell r="M52">
            <v>1.7175779976084803E-3</v>
          </cell>
          <cell r="S52">
            <v>1.4227183317909675E-2</v>
          </cell>
        </row>
        <row r="53">
          <cell r="M53">
            <v>6.5546729174805352E-3</v>
          </cell>
          <cell r="S53">
            <v>-6.1664858520613375E-3</v>
          </cell>
        </row>
        <row r="54">
          <cell r="M54">
            <v>-5.2829049508366149E-3</v>
          </cell>
          <cell r="S54">
            <v>-1.6732979612492209E-3</v>
          </cell>
        </row>
        <row r="55">
          <cell r="M55">
            <v>-1.5564371030326693E-2</v>
          </cell>
          <cell r="S55">
            <v>-4.2298177637300561E-3</v>
          </cell>
        </row>
        <row r="56">
          <cell r="M56">
            <v>-4.1926320657080615E-2</v>
          </cell>
          <cell r="S56">
            <v>3.8338182052177414E-3</v>
          </cell>
        </row>
        <row r="57">
          <cell r="M57">
            <v>2.3811165505987299E-2</v>
          </cell>
          <cell r="S57">
            <v>-1.046432472651857E-2</v>
          </cell>
        </row>
        <row r="58">
          <cell r="M58">
            <v>-2.1214502188797821E-2</v>
          </cell>
          <cell r="S58">
            <v>5.2577247666189654E-3</v>
          </cell>
        </row>
        <row r="59">
          <cell r="M59">
            <v>-2.4770642201834498E-3</v>
          </cell>
          <cell r="S59">
            <v>1.658999304184584E-2</v>
          </cell>
        </row>
        <row r="60">
          <cell r="M60">
            <v>-3.4259174100984297E-3</v>
          </cell>
          <cell r="S60">
            <v>-1.0575128814287611E-2</v>
          </cell>
        </row>
        <row r="61">
          <cell r="M61">
            <v>-8.3289112428766212E-3</v>
          </cell>
          <cell r="S61">
            <v>2.5001977799364102E-3</v>
          </cell>
        </row>
        <row r="62">
          <cell r="M62">
            <v>-2.7802335861523402E-2</v>
          </cell>
          <cell r="S62">
            <v>-7.6195350295761325E-3</v>
          </cell>
        </row>
        <row r="63">
          <cell r="M63">
            <v>4.2836288797952005E-3</v>
          </cell>
          <cell r="S63">
            <v>-8.3123777045145449E-3</v>
          </cell>
        </row>
        <row r="64">
          <cell r="M64">
            <v>3.8936281751894328E-2</v>
          </cell>
          <cell r="S64">
            <v>-3.4782809877886638E-4</v>
          </cell>
        </row>
        <row r="65">
          <cell r="M65">
            <v>-3.0504587155963329E-2</v>
          </cell>
          <cell r="S65">
            <v>-1.3325951797342707E-2</v>
          </cell>
        </row>
        <row r="66">
          <cell r="M66">
            <v>1.3106221906789735E-2</v>
          </cell>
          <cell r="S66">
            <v>1.5193472884041256E-4</v>
          </cell>
        </row>
        <row r="67">
          <cell r="M67">
            <v>-2.4098636278722194E-2</v>
          </cell>
          <cell r="S67">
            <v>-1.5988034692356105E-2</v>
          </cell>
        </row>
        <row r="68">
          <cell r="M68">
            <v>2.0099540581928958E-3</v>
          </cell>
          <cell r="S68">
            <v>5.6351364271241024E-3</v>
          </cell>
        </row>
        <row r="69">
          <cell r="M69">
            <v>1.6381698347502183E-2</v>
          </cell>
          <cell r="S69">
            <v>-1.483033786453373E-2</v>
          </cell>
        </row>
        <row r="70">
          <cell r="M70">
            <v>-1.8514167567313555E-2</v>
          </cell>
          <cell r="S70">
            <v>5.6950211212236784E-3</v>
          </cell>
        </row>
        <row r="71">
          <cell r="M71">
            <v>9.8147172882646666E-4</v>
          </cell>
          <cell r="S71">
            <v>1.4956925750061793E-2</v>
          </cell>
        </row>
        <row r="72">
          <cell r="M72">
            <v>-4.8571086930527328E-2</v>
          </cell>
          <cell r="S72">
            <v>4.4515126331523226E-3</v>
          </cell>
        </row>
        <row r="73">
          <cell r="M73">
            <v>-2.2798109792881546E-2</v>
          </cell>
          <cell r="S73">
            <v>-3.2564456987081046E-3</v>
          </cell>
        </row>
        <row r="74">
          <cell r="M74">
            <v>-4.9232193842117418E-2</v>
          </cell>
          <cell r="S74">
            <v>-1.6836467867513531E-2</v>
          </cell>
        </row>
        <row r="75">
          <cell r="M75">
            <v>2.1480940399859313E-2</v>
          </cell>
          <cell r="S75">
            <v>1.6132205176400147E-3</v>
          </cell>
        </row>
        <row r="76">
          <cell r="M76">
            <v>4.8944566570437317E-2</v>
          </cell>
          <cell r="S76">
            <v>1.3055846675500792E-2</v>
          </cell>
        </row>
        <row r="77">
          <cell r="M77">
            <v>2.1461936624162753E-3</v>
          </cell>
          <cell r="S77">
            <v>-1.0478791026713941E-2</v>
          </cell>
        </row>
        <row r="78">
          <cell r="M78">
            <v>1.5621063240110974E-3</v>
          </cell>
          <cell r="S78">
            <v>-1.3486103210991243E-2</v>
          </cell>
        </row>
        <row r="79">
          <cell r="M79">
            <v>-8.8297444153753041E-3</v>
          </cell>
          <cell r="S79">
            <v>2.7529919077640902E-3</v>
          </cell>
        </row>
        <row r="80">
          <cell r="M80">
            <v>-1.7131544884647597E-2</v>
          </cell>
          <cell r="S80">
            <v>7.9930419060793966E-3</v>
          </cell>
        </row>
        <row r="81">
          <cell r="M81">
            <v>2.4789547074317935E-3</v>
          </cell>
          <cell r="S81">
            <v>9.0933723013052921E-3</v>
          </cell>
        </row>
        <row r="82">
          <cell r="M82">
            <v>-1.6485497913554258E-2</v>
          </cell>
          <cell r="S82">
            <v>-2.8106175413668065E-3</v>
          </cell>
        </row>
        <row r="83">
          <cell r="M83">
            <v>-2.1554659263527363E-2</v>
          </cell>
          <cell r="S83">
            <v>-6.5313087167568999E-3</v>
          </cell>
        </row>
        <row r="84">
          <cell r="M84">
            <v>1.2580636526674357E-3</v>
          </cell>
          <cell r="S84">
            <v>-6.437776407633362E-3</v>
          </cell>
        </row>
        <row r="85">
          <cell r="M85">
            <v>8.6884457038977712E-3</v>
          </cell>
          <cell r="S85">
            <v>-1.1619905312601674E-2</v>
          </cell>
        </row>
        <row r="86">
          <cell r="M86">
            <v>4.9084307333492304E-2</v>
          </cell>
          <cell r="S86">
            <v>-1.4326902979961462E-2</v>
          </cell>
        </row>
        <row r="87">
          <cell r="M87">
            <v>-1.1621150493898811E-2</v>
          </cell>
          <cell r="S87">
            <v>7.2011508360242404E-4</v>
          </cell>
        </row>
        <row r="88">
          <cell r="M88">
            <v>-7.2335966055773861E-3</v>
          </cell>
          <cell r="S88">
            <v>-1.6727821176243392E-2</v>
          </cell>
        </row>
        <row r="89">
          <cell r="M89">
            <v>-3.3213182286301844E-3</v>
          </cell>
          <cell r="S89">
            <v>-4.2069323188819712E-3</v>
          </cell>
        </row>
        <row r="90">
          <cell r="M90">
            <v>-6.4322802304254837E-3</v>
          </cell>
          <cell r="S90">
            <v>-4.9046023176116411E-3</v>
          </cell>
        </row>
        <row r="91">
          <cell r="M91">
            <v>-4.1677499870001633E-2</v>
          </cell>
          <cell r="S91">
            <v>-2.3508973967156323E-2</v>
          </cell>
        </row>
        <row r="92">
          <cell r="M92">
            <v>-2.0619116091049584E-2</v>
          </cell>
          <cell r="S92">
            <v>-4.5102739261332391E-4</v>
          </cell>
        </row>
        <row r="93">
          <cell r="M93">
            <v>-5.7619324635030996E-3</v>
          </cell>
          <cell r="S93">
            <v>1.1998197437280084E-2</v>
          </cell>
        </row>
        <row r="94">
          <cell r="M94">
            <v>1.7497422752221929E-2</v>
          </cell>
          <cell r="S94">
            <v>-9.3471734372653058E-3</v>
          </cell>
        </row>
        <row r="95">
          <cell r="M95">
            <v>-5.4766012212817611E-4</v>
          </cell>
          <cell r="S95">
            <v>-2.3681880373682115E-2</v>
          </cell>
        </row>
        <row r="96">
          <cell r="M96">
            <v>-2.1014274363681241E-2</v>
          </cell>
          <cell r="S96">
            <v>2.5302548164388848E-3</v>
          </cell>
        </row>
        <row r="97">
          <cell r="M97">
            <v>-2.4627784618828936E-3</v>
          </cell>
          <cell r="S97">
            <v>5.7611094436360328E-3</v>
          </cell>
        </row>
        <row r="98">
          <cell r="M98">
            <v>1.0184042195039825E-2</v>
          </cell>
          <cell r="S98">
            <v>3.573459800670415E-2</v>
          </cell>
        </row>
        <row r="99">
          <cell r="M99">
            <v>-2.5356180742633364E-2</v>
          </cell>
          <cell r="S99">
            <v>2.7259756434855682E-2</v>
          </cell>
        </row>
        <row r="100">
          <cell r="M100">
            <v>-1.9006097908474427E-2</v>
          </cell>
          <cell r="S100">
            <v>3.4419726744411867E-3</v>
          </cell>
        </row>
        <row r="101">
          <cell r="M101">
            <v>4.9960786591919928E-3</v>
          </cell>
          <cell r="S101">
            <v>-1.8037290698093712E-4</v>
          </cell>
        </row>
        <row r="102">
          <cell r="M102">
            <v>3.0289892771467434E-2</v>
          </cell>
          <cell r="S102">
            <v>-2.0956445810994023E-2</v>
          </cell>
        </row>
        <row r="103">
          <cell r="M103">
            <v>4.999018150194965E-2</v>
          </cell>
          <cell r="S103">
            <v>2.8903313601882544E-2</v>
          </cell>
        </row>
        <row r="104">
          <cell r="M104">
            <v>4.9987977236901814E-2</v>
          </cell>
          <cell r="S104">
            <v>4.271480387759367E-4</v>
          </cell>
        </row>
        <row r="105">
          <cell r="M105">
            <v>3.0050890585241737E-2</v>
          </cell>
          <cell r="S105">
            <v>-1.3050805855989708E-2</v>
          </cell>
        </row>
        <row r="106">
          <cell r="M106">
            <v>4.4465304710853689E-4</v>
          </cell>
          <cell r="S106">
            <v>-2.6411275615549061E-2</v>
          </cell>
        </row>
        <row r="107">
          <cell r="M107">
            <v>-8.5434208252056498E-3</v>
          </cell>
          <cell r="S107">
            <v>2.6701342733284721E-3</v>
          </cell>
        </row>
        <row r="108">
          <cell r="M108">
            <v>4.9983811919408393E-2</v>
          </cell>
          <cell r="S108">
            <v>8.0231160838838533E-3</v>
          </cell>
        </row>
        <row r="109">
          <cell r="M109">
            <v>5.2419354838709187E-3</v>
          </cell>
          <cell r="S109">
            <v>1.3313324515791274E-2</v>
          </cell>
        </row>
        <row r="110">
          <cell r="M110">
            <v>-2.6497723036266293E-2</v>
          </cell>
          <cell r="S110">
            <v>4.798453919391662E-3</v>
          </cell>
        </row>
        <row r="111">
          <cell r="M111">
            <v>-4.7481700518687227E-2</v>
          </cell>
          <cell r="S111">
            <v>-1.1360598432235657E-2</v>
          </cell>
        </row>
        <row r="112">
          <cell r="M112">
            <v>-1.7583144609277655E-2</v>
          </cell>
          <cell r="S112">
            <v>-1.3850336747152692E-2</v>
          </cell>
        </row>
        <row r="113">
          <cell r="M113">
            <v>1.1215292167426547E-2</v>
          </cell>
          <cell r="S113">
            <v>-7.381410149207866E-4</v>
          </cell>
        </row>
        <row r="114">
          <cell r="M114">
            <v>2.9763581875464119E-2</v>
          </cell>
          <cell r="S114">
            <v>9.8046174817031113E-3</v>
          </cell>
        </row>
        <row r="115">
          <cell r="M115">
            <v>3.7534512349824724E-2</v>
          </cell>
          <cell r="S115">
            <v>3.6958604591221232E-3</v>
          </cell>
        </row>
        <row r="116">
          <cell r="M116">
            <v>-2.0210011507479878E-2</v>
          </cell>
          <cell r="S116">
            <v>-1.8599155877894191E-2</v>
          </cell>
        </row>
        <row r="117">
          <cell r="M117">
            <v>-1.9550270376079693E-2</v>
          </cell>
          <cell r="S117">
            <v>-8.1611281056045426E-3</v>
          </cell>
        </row>
        <row r="118">
          <cell r="M118">
            <v>1.7968555028700457E-3</v>
          </cell>
          <cell r="S118">
            <v>-2.9850292273145367E-3</v>
          </cell>
        </row>
        <row r="119">
          <cell r="M119">
            <v>1.2082108514772472E-2</v>
          </cell>
          <cell r="S119">
            <v>-9.2154083364037499E-3</v>
          </cell>
        </row>
        <row r="120">
          <cell r="M120">
            <v>-1.2799369877174831E-3</v>
          </cell>
          <cell r="S120">
            <v>3.7649795318469865E-3</v>
          </cell>
        </row>
        <row r="121">
          <cell r="M121">
            <v>-4.9981515711645032E-2</v>
          </cell>
          <cell r="S121">
            <v>2.7948549890595069E-3</v>
          </cell>
        </row>
        <row r="122">
          <cell r="M122">
            <v>-1.782239863024361E-2</v>
          </cell>
          <cell r="S122">
            <v>9.141574987653044E-3</v>
          </cell>
        </row>
        <row r="123">
          <cell r="M123">
            <v>5.5203380876914284E-3</v>
          </cell>
          <cell r="S123">
            <v>1.7181278166537559E-2</v>
          </cell>
        </row>
        <row r="124">
          <cell r="M124">
            <v>-1.975360529564733E-2</v>
          </cell>
          <cell r="S124">
            <v>-9.3398917658049363E-3</v>
          </cell>
        </row>
        <row r="125">
          <cell r="M125">
            <v>1.9562129860385375E-2</v>
          </cell>
          <cell r="S125">
            <v>-1.1009348400462757E-2</v>
          </cell>
        </row>
        <row r="126">
          <cell r="M126">
            <v>-8.0426840486766422E-3</v>
          </cell>
          <cell r="S126">
            <v>-1.3083935019634283E-2</v>
          </cell>
        </row>
        <row r="127">
          <cell r="M127">
            <v>1.656023952730452E-2</v>
          </cell>
          <cell r="S127">
            <v>3.345910876077462E-3</v>
          </cell>
        </row>
        <row r="128">
          <cell r="M128">
            <v>3.2763384246468207E-2</v>
          </cell>
          <cell r="S128">
            <v>-4.5871315747651747E-4</v>
          </cell>
        </row>
        <row r="129">
          <cell r="M129">
            <v>-2.9679731469096207E-2</v>
          </cell>
          <cell r="S129">
            <v>1.0446202059393689E-3</v>
          </cell>
        </row>
        <row r="130">
          <cell r="M130">
            <v>-1.5475849871251451E-2</v>
          </cell>
          <cell r="S130">
            <v>-5.9898923702746973E-3</v>
          </cell>
        </row>
        <row r="131">
          <cell r="M131">
            <v>-7.0537884391840833E-3</v>
          </cell>
          <cell r="S131">
            <v>-2.1208410782808145E-2</v>
          </cell>
        </row>
        <row r="132">
          <cell r="M132">
            <v>7.9819076759345478E-3</v>
          </cell>
          <cell r="S132">
            <v>4.14765909094304E-4</v>
          </cell>
        </row>
        <row r="133">
          <cell r="M133">
            <v>6.2821697241652241E-3</v>
          </cell>
          <cell r="S133">
            <v>3.023775916671519E-4</v>
          </cell>
        </row>
        <row r="134">
          <cell r="M134">
            <v>-1.0492353697244029E-3</v>
          </cell>
          <cell r="S134">
            <v>-2.0388399850948872E-2</v>
          </cell>
        </row>
        <row r="135">
          <cell r="M135">
            <v>-6.1707323477666306E-3</v>
          </cell>
          <cell r="S135">
            <v>4.6187596604594051E-3</v>
          </cell>
        </row>
        <row r="136">
          <cell r="M136">
            <v>-2.1876981610653216E-2</v>
          </cell>
          <cell r="S136">
            <v>3.8750698193430878E-3</v>
          </cell>
        </row>
        <row r="137">
          <cell r="M137">
            <v>2.2960561858454891E-2</v>
          </cell>
          <cell r="S137">
            <v>4.0304377381305484E-3</v>
          </cell>
        </row>
        <row r="138">
          <cell r="M138">
            <v>2.5085819910218871E-3</v>
          </cell>
          <cell r="S138">
            <v>-9.6124573143072899E-3</v>
          </cell>
        </row>
        <row r="139">
          <cell r="M139">
            <v>-8.376135914658106E-3</v>
          </cell>
          <cell r="S139">
            <v>1.3888288777645409E-3</v>
          </cell>
        </row>
        <row r="140">
          <cell r="M140">
            <v>2.3295348898982604E-2</v>
          </cell>
          <cell r="S140">
            <v>-1.0575287242960729E-2</v>
          </cell>
        </row>
        <row r="141">
          <cell r="M141">
            <v>2.3362060014535803E-3</v>
          </cell>
          <cell r="S141">
            <v>-1.1495402181771541E-2</v>
          </cell>
        </row>
        <row r="142">
          <cell r="M142">
            <v>7.4584347645931413E-3</v>
          </cell>
          <cell r="S142">
            <v>-2.3983566010582448E-3</v>
          </cell>
        </row>
        <row r="143">
          <cell r="M143">
            <v>-8.8684386406868258E-3</v>
          </cell>
          <cell r="S143">
            <v>8.8558638352498695E-3</v>
          </cell>
        </row>
        <row r="144">
          <cell r="M144">
            <v>-6.950748242861236E-3</v>
          </cell>
          <cell r="S144">
            <v>-3.1112939626431499E-3</v>
          </cell>
        </row>
        <row r="145">
          <cell r="M145">
            <v>-5.9024785186345711E-3</v>
          </cell>
          <cell r="S145">
            <v>-5.4241465920373006E-3</v>
          </cell>
        </row>
        <row r="146">
          <cell r="M146">
            <v>-1.3661561096077525E-2</v>
          </cell>
          <cell r="S146">
            <v>-1.5335176927223533E-2</v>
          </cell>
        </row>
        <row r="147">
          <cell r="M147">
            <v>-1.0654449564500281E-3</v>
          </cell>
          <cell r="S147">
            <v>-5.7769524835796712E-3</v>
          </cell>
        </row>
        <row r="148">
          <cell r="M148">
            <v>7.7593792496600941E-3</v>
          </cell>
          <cell r="S148">
            <v>-2.3329173208191875E-2</v>
          </cell>
        </row>
        <row r="149">
          <cell r="M149">
            <v>-4.3922315711489258E-3</v>
          </cell>
          <cell r="S149">
            <v>-1.7817550685411129E-2</v>
          </cell>
        </row>
        <row r="150">
          <cell r="M150">
            <v>8.849792707558311E-3</v>
          </cell>
          <cell r="S150">
            <v>-1.0387726402398545E-2</v>
          </cell>
        </row>
        <row r="151">
          <cell r="M151">
            <v>-9.4834171913280012E-3</v>
          </cell>
          <cell r="S151">
            <v>-2.2577675747143852E-2</v>
          </cell>
        </row>
        <row r="152">
          <cell r="M152">
            <v>-3.8030903433419506E-3</v>
          </cell>
          <cell r="S152">
            <v>2.7735103841071387E-2</v>
          </cell>
        </row>
        <row r="153">
          <cell r="M153">
            <v>-2.8298360830797068E-2</v>
          </cell>
          <cell r="S153">
            <v>2.8982742278879842E-2</v>
          </cell>
        </row>
        <row r="154">
          <cell r="M154">
            <v>-3.0963239738447272E-2</v>
          </cell>
          <cell r="S154">
            <v>1.8196719048022888E-2</v>
          </cell>
        </row>
        <row r="155">
          <cell r="M155">
            <v>-1.7493124663321025E-2</v>
          </cell>
          <cell r="S155">
            <v>2.9435552219289559E-2</v>
          </cell>
        </row>
        <row r="156">
          <cell r="M156">
            <v>-4.9777803428175678E-2</v>
          </cell>
          <cell r="S156">
            <v>-1.6761775724530369E-2</v>
          </cell>
        </row>
        <row r="157">
          <cell r="M157">
            <v>2.8576634577424057E-2</v>
          </cell>
          <cell r="S157">
            <v>-2.6456450891084241E-2</v>
          </cell>
        </row>
        <row r="158">
          <cell r="M158">
            <v>1.9958665485680517E-2</v>
          </cell>
          <cell r="S158">
            <v>2.1051355477939493E-3</v>
          </cell>
        </row>
        <row r="159">
          <cell r="M159">
            <v>4.2957216465003278E-2</v>
          </cell>
          <cell r="S159">
            <v>1.7283066616315132E-3</v>
          </cell>
        </row>
        <row r="160">
          <cell r="M160">
            <v>4.1271162919789078E-2</v>
          </cell>
          <cell r="S160">
            <v>-1.5626167882651806E-2</v>
          </cell>
        </row>
        <row r="161">
          <cell r="M161">
            <v>-2.0497374523549317E-2</v>
          </cell>
          <cell r="S161">
            <v>-1.6142466451097789E-2</v>
          </cell>
        </row>
        <row r="162">
          <cell r="M162">
            <v>-4.7050179601611022E-2</v>
          </cell>
          <cell r="S162">
            <v>1.2980872280106777E-2</v>
          </cell>
        </row>
        <row r="163">
          <cell r="M163">
            <v>3.2268197264342248E-2</v>
          </cell>
          <cell r="S163">
            <v>-8.2379349568773696E-3</v>
          </cell>
        </row>
        <row r="164">
          <cell r="M164">
            <v>-2.6003485573598099E-3</v>
          </cell>
          <cell r="S164">
            <v>1.4594252605193992E-2</v>
          </cell>
        </row>
        <row r="165">
          <cell r="M165">
            <v>-2.5877132159201174E-2</v>
          </cell>
          <cell r="S165">
            <v>-9.9058579792245228E-4</v>
          </cell>
        </row>
        <row r="166">
          <cell r="M166">
            <v>-3.3881897386255182E-3</v>
          </cell>
          <cell r="S166">
            <v>8.354523301021332E-3</v>
          </cell>
        </row>
        <row r="167">
          <cell r="M167">
            <v>4.7138816672857593E-3</v>
          </cell>
          <cell r="S167">
            <v>1.6005080873857821E-2</v>
          </cell>
        </row>
        <row r="168">
          <cell r="M168">
            <v>-3.1278434940855325E-2</v>
          </cell>
          <cell r="S168">
            <v>1.9117533515771168E-2</v>
          </cell>
        </row>
        <row r="169">
          <cell r="M169">
            <v>4.7786779382411569E-2</v>
          </cell>
          <cell r="S169">
            <v>-2.0699529997042243E-3</v>
          </cell>
        </row>
        <row r="170">
          <cell r="M170">
            <v>-1.1766024204392617E-2</v>
          </cell>
          <cell r="S170">
            <v>1.4206524442597781E-2</v>
          </cell>
        </row>
        <row r="171">
          <cell r="M171">
            <v>-7.8807120988773471E-3</v>
          </cell>
          <cell r="S171">
            <v>-6.1481025602481228E-4</v>
          </cell>
        </row>
        <row r="172">
          <cell r="M172">
            <v>-2.9315960912052089E-2</v>
          </cell>
          <cell r="S172">
            <v>-1.1076839955723889E-2</v>
          </cell>
        </row>
        <row r="173">
          <cell r="M173">
            <v>4.9982338396326272E-2</v>
          </cell>
          <cell r="S173">
            <v>1.9919208935883309E-2</v>
          </cell>
        </row>
        <row r="174">
          <cell r="M174">
            <v>4.6818054387440397E-2</v>
          </cell>
          <cell r="S174">
            <v>-2.2660306990765389E-3</v>
          </cell>
        </row>
        <row r="175">
          <cell r="M175">
            <v>-2.1424745581146227E-2</v>
          </cell>
          <cell r="S175">
            <v>-1.1207650936903421E-2</v>
          </cell>
        </row>
        <row r="176">
          <cell r="M176">
            <v>-3.423645320197042E-2</v>
          </cell>
          <cell r="S176">
            <v>2.4575441376880592E-3</v>
          </cell>
        </row>
        <row r="177">
          <cell r="M177">
            <v>-3.6328600980475481E-2</v>
          </cell>
          <cell r="S177">
            <v>-8.295202775812506E-3</v>
          </cell>
        </row>
        <row r="178">
          <cell r="M178">
            <v>3.7286441026847437E-2</v>
          </cell>
          <cell r="S178">
            <v>-4.1602764562630725E-3</v>
          </cell>
        </row>
        <row r="179">
          <cell r="M179">
            <v>-1.7519489723600304E-2</v>
          </cell>
          <cell r="S179">
            <v>2.0262207445530984E-2</v>
          </cell>
        </row>
        <row r="180">
          <cell r="M180">
            <v>-1.8841792422887072E-2</v>
          </cell>
          <cell r="S180">
            <v>2.5069525839843877E-4</v>
          </cell>
        </row>
        <row r="181">
          <cell r="M181">
            <v>1.0557581461004514E-2</v>
          </cell>
          <cell r="S181">
            <v>5.4699591787112437E-3</v>
          </cell>
        </row>
        <row r="182">
          <cell r="M182">
            <v>-5.6456071937840057E-3</v>
          </cell>
          <cell r="S182">
            <v>3.3803223878227425E-3</v>
          </cell>
        </row>
        <row r="183">
          <cell r="M183">
            <v>-6.5263835640493378E-3</v>
          </cell>
          <cell r="S183">
            <v>1.2016679361067427E-2</v>
          </cell>
        </row>
        <row r="184">
          <cell r="M184">
            <v>2.4391680904966802E-2</v>
          </cell>
          <cell r="S184">
            <v>8.5817004938591908E-3</v>
          </cell>
        </row>
        <row r="185">
          <cell r="M185">
            <v>-1.613274285385637E-2</v>
          </cell>
          <cell r="S185">
            <v>1.8269432197550835E-2</v>
          </cell>
        </row>
        <row r="186">
          <cell r="M186">
            <v>2.1190775436237687E-2</v>
          </cell>
          <cell r="S186">
            <v>-4.7626380852885944E-3</v>
          </cell>
        </row>
        <row r="187">
          <cell r="M187">
            <v>9.3880588471006634E-3</v>
          </cell>
          <cell r="S187">
            <v>1.4075495076861207E-3</v>
          </cell>
        </row>
        <row r="188">
          <cell r="M188">
            <v>2.7675381387171752E-2</v>
          </cell>
          <cell r="S188">
            <v>1.5032928903517304E-2</v>
          </cell>
        </row>
        <row r="189">
          <cell r="M189">
            <v>3.0627448816289296E-3</v>
          </cell>
          <cell r="S189">
            <v>1.3165450500621708E-2</v>
          </cell>
        </row>
        <row r="190">
          <cell r="M190">
            <v>3.5595411657910095E-2</v>
          </cell>
          <cell r="S190">
            <v>-8.3951909301887874E-3</v>
          </cell>
        </row>
        <row r="191">
          <cell r="M191">
            <v>-1.2484394506866538E-2</v>
          </cell>
          <cell r="S191">
            <v>-3.0050084449133423E-3</v>
          </cell>
        </row>
        <row r="192">
          <cell r="M192">
            <v>-2.2164241332006375E-2</v>
          </cell>
          <cell r="S192">
            <v>5.7963479721730021E-3</v>
          </cell>
        </row>
        <row r="193">
          <cell r="M193">
            <v>3.9859158803950183E-2</v>
          </cell>
          <cell r="S193">
            <v>-1.1158630020223945E-2</v>
          </cell>
        </row>
        <row r="194">
          <cell r="M194">
            <v>2.7485318237130425E-2</v>
          </cell>
          <cell r="S194">
            <v>-8.3808869757288267E-4</v>
          </cell>
        </row>
        <row r="195">
          <cell r="M195">
            <v>-3.6095878066991161E-2</v>
          </cell>
          <cell r="S195">
            <v>-2.318915032853407E-2</v>
          </cell>
        </row>
        <row r="196">
          <cell r="M196">
            <v>-6.9179198162343412E-3</v>
          </cell>
          <cell r="S196">
            <v>3.4526502105350692E-3</v>
          </cell>
        </row>
        <row r="197">
          <cell r="M197">
            <v>-6.1592253899946754E-3</v>
          </cell>
          <cell r="S197">
            <v>7.2511307583130076E-3</v>
          </cell>
        </row>
        <row r="198">
          <cell r="M198">
            <v>-1.7807366512408281E-2</v>
          </cell>
          <cell r="S198">
            <v>9.65290049040529E-3</v>
          </cell>
        </row>
        <row r="199">
          <cell r="M199">
            <v>6.2822031796764466E-3</v>
          </cell>
          <cell r="S199">
            <v>-3.110553490146579E-3</v>
          </cell>
        </row>
        <row r="200">
          <cell r="M200">
            <v>-4.5425919334081695E-2</v>
          </cell>
          <cell r="S200">
            <v>6.0649258737883781E-3</v>
          </cell>
        </row>
        <row r="201">
          <cell r="M201">
            <v>2.2373931501347391E-3</v>
          </cell>
          <cell r="S201">
            <v>-1.8924096594399281E-3</v>
          </cell>
        </row>
        <row r="202">
          <cell r="M202">
            <v>-9.3302804808242448E-3</v>
          </cell>
          <cell r="S202">
            <v>-1.0681260246686382E-3</v>
          </cell>
        </row>
        <row r="203">
          <cell r="M203">
            <v>-3.1490148494827961E-3</v>
          </cell>
          <cell r="S203">
            <v>1.3099867570696744E-2</v>
          </cell>
        </row>
        <row r="204">
          <cell r="M204">
            <v>-6.665700623098629E-4</v>
          </cell>
          <cell r="S204">
            <v>5.0851253432379288E-3</v>
          </cell>
        </row>
        <row r="205">
          <cell r="M205">
            <v>2.9087639928078505E-2</v>
          </cell>
          <cell r="S205">
            <v>2.6175467113624201E-2</v>
          </cell>
        </row>
        <row r="206">
          <cell r="M206">
            <v>-1.2484148231647193E-2</v>
          </cell>
          <cell r="S206">
            <v>2.2918316681529382E-3</v>
          </cell>
        </row>
        <row r="207">
          <cell r="M207">
            <v>-1.4725186918554947E-2</v>
          </cell>
          <cell r="S207">
            <v>8.3437245728091667E-3</v>
          </cell>
        </row>
        <row r="208">
          <cell r="M208">
            <v>1.8420900191160324E-2</v>
          </cell>
          <cell r="S208">
            <v>2.9503555488363934E-3</v>
          </cell>
        </row>
        <row r="209">
          <cell r="M209">
            <v>3.148285080484612E-2</v>
          </cell>
          <cell r="S209">
            <v>6.14231237758181E-3</v>
          </cell>
        </row>
        <row r="210">
          <cell r="M210">
            <v>4.7257988916154257E-2</v>
          </cell>
          <cell r="S210">
            <v>2.2928910205524546E-2</v>
          </cell>
        </row>
        <row r="211">
          <cell r="M211">
            <v>-1.392728325829967E-2</v>
          </cell>
          <cell r="S211">
            <v>-1.0200227698210444E-3</v>
          </cell>
        </row>
        <row r="212">
          <cell r="M212">
            <v>1.8395898969402431E-2</v>
          </cell>
          <cell r="S212">
            <v>1.0917826357058113E-2</v>
          </cell>
        </row>
        <row r="213">
          <cell r="M213">
            <v>-8.7040872506095306E-3</v>
          </cell>
          <cell r="S213">
            <v>2.0512842589223861E-3</v>
          </cell>
        </row>
        <row r="214">
          <cell r="M214">
            <v>1.5260109491946739E-2</v>
          </cell>
          <cell r="S214">
            <v>9.1477101860205981E-3</v>
          </cell>
        </row>
        <row r="215">
          <cell r="M215">
            <v>3.2015213087423208E-2</v>
          </cell>
          <cell r="S215">
            <v>2.2021935462241887E-2</v>
          </cell>
        </row>
        <row r="216">
          <cell r="M216">
            <v>-1.6836206678950996E-2</v>
          </cell>
          <cell r="S216">
            <v>3.9782294705032794E-3</v>
          </cell>
        </row>
        <row r="217">
          <cell r="M217">
            <v>9.3196405648266895E-3</v>
          </cell>
          <cell r="S217">
            <v>-1.3657425234743944E-2</v>
          </cell>
        </row>
        <row r="218">
          <cell r="M218">
            <v>-7.9871798132932787E-3</v>
          </cell>
          <cell r="S218">
            <v>-2.4616906183552799E-2</v>
          </cell>
        </row>
        <row r="219">
          <cell r="M219">
            <v>-3.0000769250494012E-3</v>
          </cell>
          <cell r="S219">
            <v>2.2222395920791026E-2</v>
          </cell>
        </row>
        <row r="220">
          <cell r="M220">
            <v>4.5882413456098017E-2</v>
          </cell>
          <cell r="S220">
            <v>7.5539626201589459E-3</v>
          </cell>
        </row>
        <row r="221">
          <cell r="M221">
            <v>6.3443663010868635E-3</v>
          </cell>
          <cell r="S221">
            <v>-1.0918741305151013E-2</v>
          </cell>
        </row>
        <row r="222">
          <cell r="M222">
            <v>-1.7471410419313934E-2</v>
          </cell>
          <cell r="S222">
            <v>8.6696538303295857E-3</v>
          </cell>
        </row>
        <row r="223">
          <cell r="M223">
            <v>-4.6208560272575756E-2</v>
          </cell>
          <cell r="S223">
            <v>1.5307144925650521E-2</v>
          </cell>
        </row>
        <row r="224">
          <cell r="M224">
            <v>4.2658600818753133E-2</v>
          </cell>
          <cell r="S224">
            <v>1.5020305495724716E-2</v>
          </cell>
        </row>
        <row r="225">
          <cell r="M225">
            <v>4.1288418736089204E-2</v>
          </cell>
          <cell r="S225">
            <v>2.1293459904066538E-2</v>
          </cell>
        </row>
        <row r="226">
          <cell r="M226">
            <v>-2.5913828714155387E-2</v>
          </cell>
          <cell r="S226">
            <v>-8.3612840324372145E-3</v>
          </cell>
        </row>
        <row r="227">
          <cell r="M227">
            <v>1.6519144949333465E-3</v>
          </cell>
          <cell r="S227">
            <v>1.2108705153444041E-2</v>
          </cell>
        </row>
        <row r="228">
          <cell r="M228">
            <v>2.5156303844828504E-2</v>
          </cell>
          <cell r="S228">
            <v>9.2022650812555139E-3</v>
          </cell>
        </row>
        <row r="229">
          <cell r="M229">
            <v>9.1480983480599354E-3</v>
          </cell>
          <cell r="S229">
            <v>2.2428034674258682E-3</v>
          </cell>
        </row>
        <row r="230">
          <cell r="M230">
            <v>1.7963786909038888E-2</v>
          </cell>
          <cell r="S230">
            <v>-7.1061628071122287E-3</v>
          </cell>
        </row>
        <row r="231">
          <cell r="M231">
            <v>-2.7673896783844371E-2</v>
          </cell>
          <cell r="S231">
            <v>5.4842889216373649E-3</v>
          </cell>
        </row>
        <row r="232">
          <cell r="M232">
            <v>2.8052884615384653E-2</v>
          </cell>
          <cell r="S232">
            <v>-3.2750844715059364E-3</v>
          </cell>
        </row>
        <row r="233">
          <cell r="M233">
            <v>1.7723946033156367E-2</v>
          </cell>
          <cell r="S233">
            <v>-4.2559574769401122E-4</v>
          </cell>
        </row>
        <row r="234">
          <cell r="M234">
            <v>-1.095921883974723E-2</v>
          </cell>
          <cell r="S234">
            <v>9.9328210352081329E-3</v>
          </cell>
        </row>
        <row r="235">
          <cell r="M235">
            <v>-2.7992008920275067E-2</v>
          </cell>
          <cell r="S235">
            <v>1.7799381620022609E-2</v>
          </cell>
        </row>
        <row r="236">
          <cell r="M236">
            <v>2.4352938364839993E-2</v>
          </cell>
          <cell r="S236">
            <v>2.9722741427038839E-3</v>
          </cell>
        </row>
        <row r="237">
          <cell r="M237">
            <v>-1.033549531053149E-2</v>
          </cell>
          <cell r="S237">
            <v>-3.9491331539006601E-3</v>
          </cell>
        </row>
        <row r="238">
          <cell r="M238">
            <v>-8.463188665456459E-3</v>
          </cell>
          <cell r="S238">
            <v>-2.2794601731432041E-2</v>
          </cell>
        </row>
        <row r="239">
          <cell r="M239">
            <v>9.3200190204468826E-3</v>
          </cell>
          <cell r="S239">
            <v>4.3689185463075438E-3</v>
          </cell>
        </row>
        <row r="240">
          <cell r="M240">
            <v>1.9739941581079799E-2</v>
          </cell>
          <cell r="S240">
            <v>-2.0196904512748078E-2</v>
          </cell>
        </row>
        <row r="241">
          <cell r="M241">
            <v>-1.6447216447216459E-2</v>
          </cell>
          <cell r="S241">
            <v>7.9990921881439771E-3</v>
          </cell>
        </row>
        <row r="242">
          <cell r="M242">
            <v>-1.2001503123678795E-2</v>
          </cell>
          <cell r="S242">
            <v>1.9824034326250167E-2</v>
          </cell>
        </row>
        <row r="243">
          <cell r="M243">
            <v>-1.4762165117550659E-2</v>
          </cell>
          <cell r="S243">
            <v>-6.7900560667130917E-3</v>
          </cell>
        </row>
        <row r="244">
          <cell r="M244">
            <v>6.9246730685711645E-3</v>
          </cell>
          <cell r="S244">
            <v>9.5694998081947589E-4</v>
          </cell>
        </row>
        <row r="245">
          <cell r="M245">
            <v>-8.9138092157284889E-3</v>
          </cell>
          <cell r="S245">
            <v>-3.7307135998622776E-3</v>
          </cell>
        </row>
        <row r="246">
          <cell r="M246">
            <v>1.8495684340320537E-2</v>
          </cell>
          <cell r="S246">
            <v>1.6323031647415404E-2</v>
          </cell>
        </row>
        <row r="247">
          <cell r="M247">
            <v>6.7891563405023348E-3</v>
          </cell>
          <cell r="S247">
            <v>2.6105314009661883E-2</v>
          </cell>
        </row>
        <row r="248">
          <cell r="M248">
            <v>-8.5353201923983879E-3</v>
          </cell>
          <cell r="S248">
            <v>-3.7066191847791594E-3</v>
          </cell>
        </row>
        <row r="249">
          <cell r="M249">
            <v>2.4423305588584975E-2</v>
          </cell>
          <cell r="S249">
            <v>-2.4267011315280352E-2</v>
          </cell>
        </row>
        <row r="250">
          <cell r="M250">
            <v>-5.5017758896859217E-3</v>
          </cell>
          <cell r="S250">
            <v>1.4728459540142232E-2</v>
          </cell>
        </row>
        <row r="251">
          <cell r="M251">
            <v>2.0028011204481888E-2</v>
          </cell>
          <cell r="S251">
            <v>-1.305135227816993E-2</v>
          </cell>
        </row>
        <row r="252">
          <cell r="M252">
            <v>4.9979404091720386E-2</v>
          </cell>
          <cell r="S252">
            <v>2.8181304699793751E-2</v>
          </cell>
        </row>
        <row r="253">
          <cell r="M253">
            <v>1.0112898304345901E-2</v>
          </cell>
          <cell r="S253">
            <v>1.6084915788065236E-2</v>
          </cell>
        </row>
        <row r="254">
          <cell r="M254">
            <v>-3.9593492426530805E-2</v>
          </cell>
          <cell r="S254">
            <v>2.6893759236039816E-4</v>
          </cell>
        </row>
        <row r="255">
          <cell r="M255">
            <v>4.6977151715306253E-2</v>
          </cell>
          <cell r="S255">
            <v>-2.6909666586216979E-4</v>
          </cell>
        </row>
        <row r="256">
          <cell r="M256">
            <v>2.3625595468005647E-2</v>
          </cell>
          <cell r="S256">
            <v>-4.9531280087689884E-3</v>
          </cell>
        </row>
        <row r="257">
          <cell r="M257">
            <v>4.4860910215290518E-2</v>
          </cell>
          <cell r="S257">
            <v>1.676318231117921E-3</v>
          </cell>
        </row>
        <row r="258">
          <cell r="M258">
            <v>-9.4897979656120585E-3</v>
          </cell>
          <cell r="S258">
            <v>2.3840650549980902E-3</v>
          </cell>
        </row>
        <row r="259">
          <cell r="M259">
            <v>-7.6767267571398899E-3</v>
          </cell>
          <cell r="S259">
            <v>-9.7327242060453768E-3</v>
          </cell>
        </row>
        <row r="260">
          <cell r="M260">
            <v>-4.408973076687606E-3</v>
          </cell>
          <cell r="S260">
            <v>-2.8340752458088131E-3</v>
          </cell>
        </row>
        <row r="261">
          <cell r="M261">
            <v>-3.4033828805741157E-3</v>
          </cell>
          <cell r="S261">
            <v>-1.5298002556159082E-3</v>
          </cell>
        </row>
        <row r="262">
          <cell r="M262">
            <v>1.5223518278508284E-3</v>
          </cell>
          <cell r="S262">
            <v>-1.2762777050590764E-3</v>
          </cell>
        </row>
        <row r="263">
          <cell r="M263">
            <v>4.7860649508042665E-3</v>
          </cell>
          <cell r="S263">
            <v>2.9661031901842346E-3</v>
          </cell>
        </row>
        <row r="264">
          <cell r="M264">
            <v>-1.189794750183999E-2</v>
          </cell>
          <cell r="S264">
            <v>-2.2001720262433996E-3</v>
          </cell>
        </row>
        <row r="265">
          <cell r="M265">
            <v>-4.489593246989612E-3</v>
          </cell>
          <cell r="S265">
            <v>-5.6427913716350971E-3</v>
          </cell>
        </row>
        <row r="266">
          <cell r="M266">
            <v>3.0758359831244697E-2</v>
          </cell>
          <cell r="S266">
            <v>-9.4680300024658909E-3</v>
          </cell>
        </row>
        <row r="267">
          <cell r="M267">
            <v>-1.0121579934270295E-2</v>
          </cell>
          <cell r="S267">
            <v>1.1480069787379914E-4</v>
          </cell>
        </row>
        <row r="268">
          <cell r="M268">
            <v>1.11416641205826E-2</v>
          </cell>
          <cell r="S268">
            <v>-6.5047056917188961E-3</v>
          </cell>
        </row>
        <row r="269">
          <cell r="M269">
            <v>-9.3267797429595813E-3</v>
          </cell>
          <cell r="S269">
            <v>-2.9342599518531288E-2</v>
          </cell>
        </row>
        <row r="270">
          <cell r="M270">
            <v>-4.5751235283352648E-3</v>
          </cell>
          <cell r="S270">
            <v>1.1751479483228959E-2</v>
          </cell>
        </row>
        <row r="271">
          <cell r="M271">
            <v>-2.7495199575111401E-2</v>
          </cell>
          <cell r="S271">
            <v>-3.9095739802001142E-3</v>
          </cell>
        </row>
        <row r="272">
          <cell r="M272">
            <v>2.3672492018148292E-2</v>
          </cell>
          <cell r="S272">
            <v>-1.4261225638382632E-2</v>
          </cell>
        </row>
        <row r="273">
          <cell r="M273">
            <v>-2.1504052528983315E-2</v>
          </cell>
          <cell r="S273">
            <v>-2.109749417279903E-2</v>
          </cell>
        </row>
        <row r="274">
          <cell r="M274">
            <v>-3.508293664940134E-2</v>
          </cell>
          <cell r="S274">
            <v>1.0630918117806382E-2</v>
          </cell>
        </row>
        <row r="275">
          <cell r="M275">
            <v>2.2188899030729858E-2</v>
          </cell>
          <cell r="S275">
            <v>2.0563542850639244E-2</v>
          </cell>
        </row>
        <row r="276">
          <cell r="M276">
            <v>2.4875093015838397E-3</v>
          </cell>
          <cell r="S276">
            <v>-1.867453485752681E-3</v>
          </cell>
        </row>
        <row r="277">
          <cell r="M277">
            <v>-5.7473702069901159E-3</v>
          </cell>
          <cell r="S277">
            <v>-5.2447829018792101E-3</v>
          </cell>
        </row>
        <row r="278">
          <cell r="M278">
            <v>-1.6851176382756291E-2</v>
          </cell>
          <cell r="S278">
            <v>8.3666184101383067E-4</v>
          </cell>
        </row>
        <row r="279">
          <cell r="M279">
            <v>2.3974311687748051E-2</v>
          </cell>
          <cell r="S279">
            <v>-2.5220392914753371E-3</v>
          </cell>
        </row>
        <row r="280">
          <cell r="M280">
            <v>4.3033307907449789E-2</v>
          </cell>
          <cell r="S280">
            <v>9.9356943996753797E-3</v>
          </cell>
        </row>
        <row r="281">
          <cell r="M281">
            <v>-1.4829260365246623E-2</v>
          </cell>
          <cell r="S281">
            <v>-2.2888748899554537E-3</v>
          </cell>
        </row>
        <row r="282">
          <cell r="M282">
            <v>-4.3301647524596648E-4</v>
          </cell>
          <cell r="S282">
            <v>-5.7416137929160562E-3</v>
          </cell>
        </row>
        <row r="283">
          <cell r="M283">
            <v>-2.4960805346975401E-3</v>
          </cell>
          <cell r="S283">
            <v>-2.7466122324854941E-2</v>
          </cell>
        </row>
        <row r="284">
          <cell r="M284">
            <v>-4.5290042394788496E-3</v>
          </cell>
          <cell r="S284">
            <v>-7.2880126651191923E-3</v>
          </cell>
        </row>
        <row r="285">
          <cell r="M285">
            <v>1.1820674754861222E-2</v>
          </cell>
          <cell r="S285">
            <v>-1.3384990909313043E-2</v>
          </cell>
        </row>
        <row r="286">
          <cell r="M286">
            <v>-6.9397392464839247E-3</v>
          </cell>
          <cell r="S286">
            <v>-6.5472335388631177E-3</v>
          </cell>
        </row>
        <row r="287">
          <cell r="M287">
            <v>1.3066760394483828E-2</v>
          </cell>
          <cell r="S287">
            <v>-2.7226909113058383E-3</v>
          </cell>
        </row>
        <row r="288">
          <cell r="M288">
            <v>-2.6898508132819049E-2</v>
          </cell>
          <cell r="S288">
            <v>3.4559107320471301E-2</v>
          </cell>
        </row>
        <row r="289">
          <cell r="M289">
            <v>3.2297980327594231E-3</v>
          </cell>
          <cell r="S289">
            <v>-2.4587556589297874E-3</v>
          </cell>
        </row>
        <row r="290">
          <cell r="M290">
            <v>-1.4529110483955358E-2</v>
          </cell>
          <cell r="S290">
            <v>-7.4816937281120361E-3</v>
          </cell>
        </row>
        <row r="291">
          <cell r="M291">
            <v>1.1773440814594848E-2</v>
          </cell>
          <cell r="S291">
            <v>1.2227037196965001E-2</v>
          </cell>
        </row>
        <row r="292">
          <cell r="M292">
            <v>2.5453401824090546E-2</v>
          </cell>
          <cell r="S292">
            <v>-2.9516955795410717E-2</v>
          </cell>
        </row>
        <row r="293">
          <cell r="M293">
            <v>5.2567012206342349E-2</v>
          </cell>
          <cell r="S293">
            <v>-3.0369702302505523E-2</v>
          </cell>
        </row>
        <row r="294">
          <cell r="M294">
            <v>-2.2144522144522102E-2</v>
          </cell>
          <cell r="S294">
            <v>1.7183433421616181E-2</v>
          </cell>
        </row>
        <row r="295">
          <cell r="M295">
            <v>3.8736591179977069E-3</v>
          </cell>
          <cell r="S295">
            <v>-5.9688426414118299E-4</v>
          </cell>
        </row>
        <row r="296">
          <cell r="M296">
            <v>6.2135153853764669E-2</v>
          </cell>
          <cell r="S296">
            <v>-4.55644256866609E-2</v>
          </cell>
        </row>
        <row r="297">
          <cell r="M297">
            <v>-1.304145319049837E-2</v>
          </cell>
          <cell r="S297">
            <v>2.8976527038499663E-3</v>
          </cell>
        </row>
        <row r="298">
          <cell r="M298">
            <v>6.9315714959886796E-2</v>
          </cell>
          <cell r="S298">
            <v>-6.5887743172102123E-2</v>
          </cell>
        </row>
        <row r="299">
          <cell r="M299">
            <v>-1.1880593853160834E-2</v>
          </cell>
          <cell r="S299">
            <v>-3.1704997875903577E-2</v>
          </cell>
        </row>
        <row r="300">
          <cell r="M300">
            <v>-8.4682173866438143E-3</v>
          </cell>
          <cell r="S300">
            <v>-6.7476614138731045E-2</v>
          </cell>
        </row>
        <row r="301">
          <cell r="M301">
            <v>-6.8378378378378457E-2</v>
          </cell>
          <cell r="S301">
            <v>-9.4101633841342826E-3</v>
          </cell>
        </row>
        <row r="302">
          <cell r="M302">
            <v>-3.4851561744512101E-2</v>
          </cell>
          <cell r="S302">
            <v>1.7842118591442371E-2</v>
          </cell>
        </row>
        <row r="303">
          <cell r="M303">
            <v>-7.4985471815321642E-2</v>
          </cell>
          <cell r="S303">
            <v>-6.8560729451883878E-2</v>
          </cell>
        </row>
        <row r="304">
          <cell r="M304">
            <v>-6.0830571261454559E-2</v>
          </cell>
          <cell r="S304">
            <v>-4.6771851959210062E-2</v>
          </cell>
        </row>
        <row r="305">
          <cell r="M305">
            <v>-7.498904343413372E-2</v>
          </cell>
          <cell r="S305">
            <v>1.4102714772594258E-3</v>
          </cell>
        </row>
        <row r="306">
          <cell r="M306">
            <v>-7.3587352251757998E-2</v>
          </cell>
          <cell r="S306">
            <v>3.089316101396546E-2</v>
          </cell>
        </row>
        <row r="307">
          <cell r="M307">
            <v>3.2031439261392632E-3</v>
          </cell>
          <cell r="S307">
            <v>-3.0658597765814378E-3</v>
          </cell>
        </row>
        <row r="308">
          <cell r="M308">
            <v>-7.4993292192111594E-2</v>
          </cell>
          <cell r="S308">
            <v>4.3115411804210753E-2</v>
          </cell>
        </row>
        <row r="309">
          <cell r="M309">
            <v>-7.4981870920957275E-2</v>
          </cell>
          <cell r="S309">
            <v>9.3713556171858593E-3</v>
          </cell>
        </row>
        <row r="310">
          <cell r="M310">
            <v>-2.6967701473816139E-2</v>
          </cell>
          <cell r="S310">
            <v>4.3283014020742527E-2</v>
          </cell>
        </row>
        <row r="311">
          <cell r="M311">
            <v>6.7934257170480128E-2</v>
          </cell>
          <cell r="S311">
            <v>2.7259827448310219E-2</v>
          </cell>
        </row>
        <row r="312">
          <cell r="M312">
            <v>6.8048765767396976E-2</v>
          </cell>
          <cell r="S312">
            <v>-3.2972200498453737E-2</v>
          </cell>
        </row>
        <row r="313">
          <cell r="M313">
            <v>4.7382250727544942E-2</v>
          </cell>
          <cell r="S313">
            <v>2.1334798383866059E-2</v>
          </cell>
        </row>
        <row r="314">
          <cell r="M314">
            <v>-1.6913946587537042E-2</v>
          </cell>
          <cell r="S314">
            <v>-8.3338803229426276E-3</v>
          </cell>
        </row>
        <row r="315">
          <cell r="M315">
            <v>7.4993825974809927E-2</v>
          </cell>
          <cell r="S315">
            <v>2.7962366412484823E-2</v>
          </cell>
        </row>
        <row r="316">
          <cell r="M316">
            <v>4.842250357361657E-2</v>
          </cell>
          <cell r="S316">
            <v>6.1531599727364271E-3</v>
          </cell>
        </row>
        <row r="317">
          <cell r="M317">
            <v>-4.677038443746509E-2</v>
          </cell>
          <cell r="S317">
            <v>-3.1224167426295191E-2</v>
          </cell>
        </row>
        <row r="318">
          <cell r="M318">
            <v>4.5744789538210116E-2</v>
          </cell>
          <cell r="S318">
            <v>6.1144607722298109E-3</v>
          </cell>
        </row>
        <row r="319">
          <cell r="M319">
            <v>-2.7013164643528813E-2</v>
          </cell>
          <cell r="S319">
            <v>6.2294340599182158E-4</v>
          </cell>
        </row>
        <row r="320">
          <cell r="M320">
            <v>2.904335165800636E-2</v>
          </cell>
          <cell r="S320">
            <v>2.7933381110607303E-3</v>
          </cell>
        </row>
        <row r="321">
          <cell r="M321">
            <v>6.805874030345954E-3</v>
          </cell>
          <cell r="S321">
            <v>4.7953906642502063E-2</v>
          </cell>
        </row>
        <row r="322">
          <cell r="M322">
            <v>-3.2030625348290716E-2</v>
          </cell>
          <cell r="S322">
            <v>2.0340626763722877E-2</v>
          </cell>
        </row>
        <row r="323">
          <cell r="M323">
            <v>1.999949938674879E-2</v>
          </cell>
          <cell r="S323">
            <v>-3.2144216432111967E-2</v>
          </cell>
        </row>
        <row r="324">
          <cell r="M324">
            <v>1.5263803680981663E-2</v>
          </cell>
          <cell r="S324">
            <v>1.2768780516690806E-3</v>
          </cell>
        </row>
        <row r="325">
          <cell r="M325">
            <v>-1.0828579715749825E-2</v>
          </cell>
          <cell r="S325">
            <v>1.190849128409952E-2</v>
          </cell>
        </row>
        <row r="326">
          <cell r="M326">
            <v>7.4992669338285592E-2</v>
          </cell>
          <cell r="S326">
            <v>-1.3530860559688861E-3</v>
          </cell>
        </row>
        <row r="327">
          <cell r="M327">
            <v>7.23751505921396E-2</v>
          </cell>
          <cell r="S327">
            <v>-1.4991291328089162E-2</v>
          </cell>
        </row>
        <row r="328">
          <cell r="M328">
            <v>-2.552091061322247E-2</v>
          </cell>
          <cell r="S328">
            <v>7.3904743278341541E-3</v>
          </cell>
        </row>
        <row r="329">
          <cell r="M329">
            <v>2.0881821938964099E-2</v>
          </cell>
          <cell r="S329">
            <v>1.859867743420876E-2</v>
          </cell>
        </row>
        <row r="330">
          <cell r="M330">
            <v>-2.3799884942364562E-2</v>
          </cell>
          <cell r="S330">
            <v>2.873441893624756E-2</v>
          </cell>
        </row>
        <row r="331">
          <cell r="M331">
            <v>-4.583551597695178E-3</v>
          </cell>
          <cell r="S331">
            <v>-5.7165237438012361E-3</v>
          </cell>
        </row>
        <row r="332">
          <cell r="M332">
            <v>-2.9447879664956381E-2</v>
          </cell>
          <cell r="S332">
            <v>2.2440312483783943E-3</v>
          </cell>
        </row>
        <row r="333">
          <cell r="M333">
            <v>2.6297358967986774E-2</v>
          </cell>
          <cell r="S333">
            <v>-7.7831302262982459E-3</v>
          </cell>
        </row>
        <row r="334">
          <cell r="M334">
            <v>2.9784049133775133E-2</v>
          </cell>
          <cell r="S334">
            <v>-1.2571683381670662E-2</v>
          </cell>
        </row>
        <row r="335">
          <cell r="M335">
            <v>5.6434373663958662E-3</v>
          </cell>
          <cell r="S335">
            <v>-1.0950583951074328E-3</v>
          </cell>
        </row>
        <row r="336">
          <cell r="M336">
            <v>-1.8960972706402551E-2</v>
          </cell>
          <cell r="S336">
            <v>4.8395304873883769E-4</v>
          </cell>
        </row>
        <row r="337">
          <cell r="M337">
            <v>-1.4300572022880227E-3</v>
          </cell>
          <cell r="S337">
            <v>9.5911553341730595E-3</v>
          </cell>
        </row>
        <row r="338">
          <cell r="M338">
            <v>-1.8118300568502416E-2</v>
          </cell>
          <cell r="S338">
            <v>2.6789258822571328E-3</v>
          </cell>
        </row>
        <row r="339">
          <cell r="M339">
            <v>-2.5458000928156244E-2</v>
          </cell>
          <cell r="S339">
            <v>3.3199735019458195E-3</v>
          </cell>
        </row>
        <row r="340">
          <cell r="M340">
            <v>-1.324293067870027E-2</v>
          </cell>
          <cell r="S340">
            <v>6.017766655129886E-3</v>
          </cell>
        </row>
        <row r="341">
          <cell r="M341">
            <v>-3.9526600022979901E-3</v>
          </cell>
          <cell r="S341">
            <v>-5.9797114412851373E-3</v>
          </cell>
        </row>
        <row r="342">
          <cell r="M342">
            <v>3.99833883210668E-2</v>
          </cell>
          <cell r="S342">
            <v>1.0459408779241683E-2</v>
          </cell>
        </row>
        <row r="343">
          <cell r="M343">
            <v>1.0182802378205768E-2</v>
          </cell>
          <cell r="S343">
            <v>-6.6085943343615356E-3</v>
          </cell>
        </row>
        <row r="344">
          <cell r="M344">
            <v>-7.4667837926870187E-3</v>
          </cell>
          <cell r="S344">
            <v>-2.8350142531666871E-3</v>
          </cell>
        </row>
        <row r="345">
          <cell r="M345">
            <v>1.4625511671645124E-2</v>
          </cell>
          <cell r="S345">
            <v>-4.1726993336508094E-3</v>
          </cell>
        </row>
        <row r="346">
          <cell r="M346">
            <v>-1.7118806699232429E-2</v>
          </cell>
          <cell r="S346">
            <v>6.9982804784746696E-3</v>
          </cell>
        </row>
        <row r="347">
          <cell r="M347">
            <v>1.1537352177675325E-2</v>
          </cell>
          <cell r="S347">
            <v>2.6742325580298137E-3</v>
          </cell>
        </row>
        <row r="348">
          <cell r="M348">
            <v>2.8514399771883804E-3</v>
          </cell>
          <cell r="S348">
            <v>1.1347961332045197E-2</v>
          </cell>
        </row>
        <row r="349">
          <cell r="M349">
            <v>-1.0148509437676312E-2</v>
          </cell>
          <cell r="S349">
            <v>-1.9268746703183284E-4</v>
          </cell>
        </row>
        <row r="350">
          <cell r="M350">
            <v>-7.8882824756391131E-3</v>
          </cell>
          <cell r="S350">
            <v>-8.1982080972238594E-3</v>
          </cell>
        </row>
        <row r="351">
          <cell r="M351">
            <v>1.804008908685974E-2</v>
          </cell>
          <cell r="S351">
            <v>6.7712230494155626E-3</v>
          </cell>
        </row>
        <row r="352">
          <cell r="M352">
            <v>-6.7818858017939677E-3</v>
          </cell>
          <cell r="S352">
            <v>1.1619945258311296E-2</v>
          </cell>
        </row>
        <row r="353">
          <cell r="M353">
            <v>-4.4052863436123352E-3</v>
          </cell>
          <cell r="S353">
            <v>1.554839383623994E-3</v>
          </cell>
        </row>
        <row r="354">
          <cell r="M354">
            <v>-4.9778761061946902E-3</v>
          </cell>
          <cell r="S354">
            <v>7.5130158949075158E-3</v>
          </cell>
        </row>
        <row r="355">
          <cell r="M355">
            <v>-6.1145080600333518E-3</v>
          </cell>
          <cell r="S355">
            <v>1.8109184407963704E-3</v>
          </cell>
        </row>
        <row r="356">
          <cell r="M356">
            <v>1.1185682326621925E-2</v>
          </cell>
          <cell r="S356">
            <v>-1.4788243646626342E-2</v>
          </cell>
        </row>
        <row r="357">
          <cell r="M357">
            <v>1.0066371681415954E-2</v>
          </cell>
          <cell r="S357">
            <v>-2.2669766815596553E-2</v>
          </cell>
        </row>
        <row r="358">
          <cell r="M358">
            <v>2.5035593034716912E-2</v>
          </cell>
          <cell r="S358">
            <v>5.7535201544678862E-3</v>
          </cell>
        </row>
        <row r="359">
          <cell r="M359">
            <v>-3.7822129150819235E-3</v>
          </cell>
          <cell r="S359">
            <v>-5.0101237186618089E-3</v>
          </cell>
        </row>
        <row r="360">
          <cell r="M360">
            <v>2.3144076703631455E-2</v>
          </cell>
          <cell r="S360">
            <v>-9.1238417569016496E-3</v>
          </cell>
        </row>
        <row r="361">
          <cell r="M361">
            <v>-1.2578616352201259E-2</v>
          </cell>
          <cell r="S361">
            <v>-3.0086598479121471E-3</v>
          </cell>
        </row>
        <row r="362">
          <cell r="M362">
            <v>-3.3927813163481993E-2</v>
          </cell>
          <cell r="S362">
            <v>8.9410728928607155E-3</v>
          </cell>
        </row>
        <row r="363">
          <cell r="M363">
            <v>-2.2416597072655747E-3</v>
          </cell>
          <cell r="S363">
            <v>9.3274866974609686E-3</v>
          </cell>
        </row>
        <row r="364">
          <cell r="M364">
            <v>-1.2136563876651962E-2</v>
          </cell>
          <cell r="S364">
            <v>-5.2741919048199617E-4</v>
          </cell>
        </row>
        <row r="365">
          <cell r="M365">
            <v>-2.2074070770808918E-3</v>
          </cell>
          <cell r="S365">
            <v>-9.5496795177856704E-3</v>
          </cell>
        </row>
        <row r="366">
          <cell r="M366">
            <v>-1.9553072625698324E-2</v>
          </cell>
          <cell r="S366">
            <v>6.8188229891577154E-3</v>
          </cell>
        </row>
        <row r="367">
          <cell r="M367">
            <v>8.5470085470085479E-3</v>
          </cell>
          <cell r="S367">
            <v>7.1394708641763609E-3</v>
          </cell>
        </row>
        <row r="368">
          <cell r="M368">
            <v>1.1299435028248588E-2</v>
          </cell>
          <cell r="S368">
            <v>7.0247909706333579E-3</v>
          </cell>
        </row>
        <row r="369">
          <cell r="M369">
            <v>-1.1173184357541898E-3</v>
          </cell>
          <cell r="S369">
            <v>1.3581171532558476E-2</v>
          </cell>
        </row>
        <row r="370">
          <cell r="M370">
            <v>-1.3310961968680065E-2</v>
          </cell>
          <cell r="S370">
            <v>2.5443250545078518E-3</v>
          </cell>
        </row>
        <row r="371">
          <cell r="M371">
            <v>2.9339077202131272E-2</v>
          </cell>
          <cell r="S371">
            <v>2.0927332411233828E-3</v>
          </cell>
        </row>
        <row r="372">
          <cell r="M372">
            <v>1.546289565849464E-2</v>
          </cell>
          <cell r="S372">
            <v>4.3190881500243198E-3</v>
          </cell>
        </row>
        <row r="373">
          <cell r="M373">
            <v>2.1691503438103295E-3</v>
          </cell>
          <cell r="S373">
            <v>4.8456414083324056E-3</v>
          </cell>
        </row>
        <row r="374">
          <cell r="M374">
            <v>7.1167290751282433E-2</v>
          </cell>
          <cell r="S374">
            <v>9.0898939455833529E-3</v>
          </cell>
        </row>
        <row r="375">
          <cell r="M375">
            <v>-6.8500070722786605E-3</v>
          </cell>
          <cell r="S375">
            <v>1.2530645142764099E-2</v>
          </cell>
        </row>
        <row r="376">
          <cell r="M376">
            <v>-4.7812817904374829E-3</v>
          </cell>
          <cell r="S376">
            <v>1.3344522478866987E-3</v>
          </cell>
        </row>
        <row r="377">
          <cell r="M377">
            <v>3.7820709393846935E-3</v>
          </cell>
          <cell r="S377">
            <v>1.1831038065343247E-2</v>
          </cell>
        </row>
        <row r="378">
          <cell r="M378">
            <v>6.1099796334012219E-3</v>
          </cell>
          <cell r="S378">
            <v>3.4586276853520348E-3</v>
          </cell>
        </row>
        <row r="379">
          <cell r="M379">
            <v>-9.1093117408906875E-3</v>
          </cell>
          <cell r="S379">
            <v>-1.801322729868057E-3</v>
          </cell>
        </row>
        <row r="380">
          <cell r="M380">
            <v>-3.0643513789581204E-3</v>
          </cell>
          <cell r="S380">
            <v>8.790036159625909E-3</v>
          </cell>
        </row>
        <row r="381">
          <cell r="M381">
            <v>1.8442622950819672E-2</v>
          </cell>
          <cell r="S381">
            <v>8.9026264923742476E-3</v>
          </cell>
        </row>
        <row r="382">
          <cell r="M382">
            <v>3.5030181086519049E-2</v>
          </cell>
          <cell r="S382">
            <v>8.5644982635005949E-3</v>
          </cell>
        </row>
        <row r="383">
          <cell r="M383">
            <v>-6.6289535584455363E-3</v>
          </cell>
          <cell r="S383">
            <v>1.3210955371989843E-3</v>
          </cell>
        </row>
        <row r="384">
          <cell r="M384">
            <v>2.9158512720156736E-3</v>
          </cell>
          <cell r="S384">
            <v>2.7665555004720895E-3</v>
          </cell>
        </row>
        <row r="385">
          <cell r="M385">
            <v>2.63810025561474E-2</v>
          </cell>
          <cell r="S385">
            <v>-5.9886876230174427E-3</v>
          </cell>
        </row>
        <row r="386">
          <cell r="M386">
            <v>-3.2318777209550971E-4</v>
          </cell>
          <cell r="S386">
            <v>7.8263440435304111E-4</v>
          </cell>
        </row>
        <row r="387">
          <cell r="M387">
            <v>1.1714589989350311E-2</v>
          </cell>
          <cell r="S387">
            <v>1.6314246953144092E-2</v>
          </cell>
        </row>
        <row r="388">
          <cell r="M388">
            <v>9.3984962406015032E-3</v>
          </cell>
          <cell r="S388">
            <v>1.0625266213793439E-2</v>
          </cell>
        </row>
        <row r="389">
          <cell r="M389">
            <v>3.4078212290502709E-2</v>
          </cell>
          <cell r="S389">
            <v>5.4106852490481468E-3</v>
          </cell>
        </row>
        <row r="390">
          <cell r="M390">
            <v>-2.7552674230145787E-2</v>
          </cell>
          <cell r="S390">
            <v>1.0870508419063046E-2</v>
          </cell>
        </row>
        <row r="391">
          <cell r="M391">
            <v>-1.6481481481481441E-2</v>
          </cell>
          <cell r="S391">
            <v>1.5618807064162464E-2</v>
          </cell>
        </row>
        <row r="392">
          <cell r="M392">
            <v>2.8299755225004653E-2</v>
          </cell>
          <cell r="S392">
            <v>-7.3734168246528788E-3</v>
          </cell>
        </row>
        <row r="393">
          <cell r="M393">
            <v>2.7209638730705168E-2</v>
          </cell>
          <cell r="S393">
            <v>7.7104181605664058E-3</v>
          </cell>
        </row>
        <row r="394">
          <cell r="M394">
            <v>1.9447761992192319E-2</v>
          </cell>
          <cell r="S394">
            <v>7.1043192074374904E-3</v>
          </cell>
        </row>
        <row r="395">
          <cell r="M395">
            <v>1.7677915719531413E-2</v>
          </cell>
          <cell r="S395">
            <v>-3.3966437385537932E-3</v>
          </cell>
        </row>
        <row r="396">
          <cell r="M396">
            <v>3.0910121819212745E-2</v>
          </cell>
          <cell r="S396">
            <v>-2.8711189119875842E-3</v>
          </cell>
        </row>
        <row r="397">
          <cell r="M397">
            <v>-2.9166666666666667E-2</v>
          </cell>
          <cell r="S397">
            <v>1.6144153190448832E-2</v>
          </cell>
        </row>
        <row r="398">
          <cell r="M398">
            <v>3.0042918454935622E-2</v>
          </cell>
          <cell r="S398">
            <v>-2.1196203569355167E-3</v>
          </cell>
        </row>
        <row r="399">
          <cell r="M399">
            <v>5.0000000000000001E-3</v>
          </cell>
          <cell r="S399">
            <v>-4.507676441534921E-3</v>
          </cell>
        </row>
        <row r="400">
          <cell r="M400">
            <v>-6.6500829187396198E-3</v>
          </cell>
          <cell r="S400">
            <v>-4.1756492931129575E-3</v>
          </cell>
        </row>
        <row r="401">
          <cell r="M401">
            <v>1.0066946025810068E-2</v>
          </cell>
          <cell r="S401">
            <v>1.5330550190043501E-3</v>
          </cell>
        </row>
        <row r="402">
          <cell r="M402">
            <v>1.980099831410535E-2</v>
          </cell>
          <cell r="S402">
            <v>-7.4407705950703905E-4</v>
          </cell>
        </row>
        <row r="403">
          <cell r="M403">
            <v>-1.1717990275526773E-2</v>
          </cell>
          <cell r="S403">
            <v>-7.1116007800944327E-3</v>
          </cell>
        </row>
        <row r="404">
          <cell r="M404">
            <v>3.6571166177411453E-3</v>
          </cell>
          <cell r="S404">
            <v>-6.1943562030725065E-3</v>
          </cell>
        </row>
        <row r="405">
          <cell r="M405">
            <v>-1.568627450980396E-2</v>
          </cell>
          <cell r="S405">
            <v>4.568468857509304E-3</v>
          </cell>
        </row>
        <row r="406">
          <cell r="M406">
            <v>1.0126162018592335E-2</v>
          </cell>
          <cell r="S406">
            <v>1.2316280845974916E-2</v>
          </cell>
        </row>
        <row r="407">
          <cell r="M407">
            <v>2.4650780608052587E-3</v>
          </cell>
          <cell r="S407">
            <v>1.4140732765787969E-2</v>
          </cell>
        </row>
        <row r="408">
          <cell r="M408">
            <v>-1.1475409836065573E-2</v>
          </cell>
          <cell r="S408">
            <v>5.367990624187205E-3</v>
          </cell>
        </row>
        <row r="409">
          <cell r="M409">
            <v>-8.5240464344941737E-3</v>
          </cell>
          <cell r="S409">
            <v>-6.2606585764939928E-4</v>
          </cell>
        </row>
        <row r="410">
          <cell r="M410">
            <v>2.7013013079985243E-2</v>
          </cell>
          <cell r="S410">
            <v>1.3325630075052971E-3</v>
          </cell>
        </row>
        <row r="411">
          <cell r="M411">
            <v>-1.0602433185127264E-2</v>
          </cell>
          <cell r="S411">
            <v>6.4783258369489997E-3</v>
          </cell>
        </row>
        <row r="412">
          <cell r="M412">
            <v>6.5843621399173209E-4</v>
          </cell>
          <cell r="S412">
            <v>1.1058972972110684E-2</v>
          </cell>
        </row>
        <row r="413">
          <cell r="M413">
            <v>1.6450074025336855E-4</v>
          </cell>
          <cell r="S413">
            <v>8.4441560086865874E-3</v>
          </cell>
        </row>
        <row r="414">
          <cell r="M414">
            <v>-5.016447368420978E-3</v>
          </cell>
          <cell r="S414">
            <v>-3.9136619298660354E-3</v>
          </cell>
        </row>
        <row r="415">
          <cell r="M415">
            <v>1.4959914042482774E-2</v>
          </cell>
          <cell r="S415">
            <v>6.49049330128739E-3</v>
          </cell>
        </row>
        <row r="416">
          <cell r="M416">
            <v>1.7915309446254442E-3</v>
          </cell>
          <cell r="S416">
            <v>-7.3425817014711329E-3</v>
          </cell>
        </row>
        <row r="417">
          <cell r="M417">
            <v>1.463176719232608E-3</v>
          </cell>
          <cell r="S417">
            <v>8.8269220646608167E-4</v>
          </cell>
        </row>
        <row r="418">
          <cell r="M418">
            <v>8.1168831168831161E-3</v>
          </cell>
          <cell r="S418">
            <v>1.4875452885078704E-2</v>
          </cell>
        </row>
        <row r="419">
          <cell r="M419">
            <v>-1.0563607085346129E-2</v>
          </cell>
          <cell r="S419">
            <v>-2.735926147814584E-3</v>
          </cell>
        </row>
        <row r="420">
          <cell r="M420">
            <v>2.3696373933988581E-2</v>
          </cell>
          <cell r="S420">
            <v>1.5047964210284436E-5</v>
          </cell>
        </row>
        <row r="421">
          <cell r="M421">
            <v>1.2718600953895072E-2</v>
          </cell>
          <cell r="S421">
            <v>-4.3471503699274586E-3</v>
          </cell>
        </row>
        <row r="422">
          <cell r="M422">
            <v>1.2558869701726845E-2</v>
          </cell>
          <cell r="S422">
            <v>-1.5146498806746691E-3</v>
          </cell>
        </row>
        <row r="423">
          <cell r="M423">
            <v>3.1798449612403086E-2</v>
          </cell>
          <cell r="S423">
            <v>1.2411818851775071E-3</v>
          </cell>
        </row>
        <row r="424">
          <cell r="M424">
            <v>-1.2231221168727721E-2</v>
          </cell>
          <cell r="S424">
            <v>4.0156127021860992E-3</v>
          </cell>
        </row>
        <row r="425">
          <cell r="M425">
            <v>9.5836439143860447E-4</v>
          </cell>
          <cell r="S425">
            <v>-7.7786582020461861E-3</v>
          </cell>
        </row>
        <row r="426">
          <cell r="M426">
            <v>-6.0790273556231003E-3</v>
          </cell>
          <cell r="S426">
            <v>-8.1855867566205612E-3</v>
          </cell>
        </row>
        <row r="427">
          <cell r="M427">
            <v>1.5137614678899047E-2</v>
          </cell>
          <cell r="S427">
            <v>1.1319922034783727E-3</v>
          </cell>
        </row>
        <row r="428">
          <cell r="M428">
            <v>1.6568760355475565E-3</v>
          </cell>
          <cell r="S428">
            <v>-1.6689647069723851E-3</v>
          </cell>
        </row>
        <row r="429">
          <cell r="M429">
            <v>-5.8646616541353043E-3</v>
          </cell>
          <cell r="S429">
            <v>-2.5149277490487554E-3</v>
          </cell>
        </row>
        <row r="430">
          <cell r="M430">
            <v>1.3613674179397629E-3</v>
          </cell>
          <cell r="S430">
            <v>-2.3027618130208774E-2</v>
          </cell>
        </row>
        <row r="431">
          <cell r="M431">
            <v>-1.5105740181268882E-3</v>
          </cell>
          <cell r="S431">
            <v>1.1374550667080751E-2</v>
          </cell>
        </row>
        <row r="432">
          <cell r="M432">
            <v>-4.5385779122541605E-3</v>
          </cell>
          <cell r="S432">
            <v>-1.5359539621535133E-2</v>
          </cell>
        </row>
        <row r="433">
          <cell r="M433">
            <v>9.103343465045606E-3</v>
          </cell>
          <cell r="S433">
            <v>2.5988699450943138E-3</v>
          </cell>
        </row>
        <row r="434">
          <cell r="M434">
            <v>-2.0391873371586867E-2</v>
          </cell>
          <cell r="S434">
            <v>-1.490009568079384E-2</v>
          </cell>
        </row>
        <row r="435">
          <cell r="M435">
            <v>-6.8414174802060804E-3</v>
          </cell>
          <cell r="S435">
            <v>-2.4914881972746772E-2</v>
          </cell>
        </row>
        <row r="436">
          <cell r="M436">
            <v>2.6315789473684209E-2</v>
          </cell>
          <cell r="S436">
            <v>1.4078966597197986E-3</v>
          </cell>
        </row>
        <row r="437">
          <cell r="M437">
            <v>-2.2624434389140271E-2</v>
          </cell>
          <cell r="S437">
            <v>1.8464772073233337E-2</v>
          </cell>
        </row>
        <row r="438">
          <cell r="M438">
            <v>-3.0864197530864196E-3</v>
          </cell>
          <cell r="S438">
            <v>1.2638908545955969E-2</v>
          </cell>
        </row>
        <row r="439">
          <cell r="M439">
            <v>-1.4705882352941176E-2</v>
          </cell>
          <cell r="S439">
            <v>1.1022802910866426E-2</v>
          </cell>
        </row>
        <row r="440">
          <cell r="M440">
            <v>-8.6252945797329287E-3</v>
          </cell>
          <cell r="S440">
            <v>-1.4427270853314713E-2</v>
          </cell>
        </row>
        <row r="441">
          <cell r="M441">
            <v>-1.5847609388123802E-3</v>
          </cell>
          <cell r="S441">
            <v>-5.0522484308559816E-3</v>
          </cell>
        </row>
        <row r="442">
          <cell r="M442">
            <v>2.8555102299963508E-2</v>
          </cell>
          <cell r="S442">
            <v>3.439926392274154E-3</v>
          </cell>
        </row>
        <row r="443">
          <cell r="M443">
            <v>1.0725308641975378E-2</v>
          </cell>
          <cell r="S443">
            <v>-1.8881888308400251E-3</v>
          </cell>
        </row>
        <row r="444">
          <cell r="M444">
            <v>0</v>
          </cell>
          <cell r="S444">
            <v>2.3841677088405088E-3</v>
          </cell>
        </row>
        <row r="445">
          <cell r="M445">
            <v>-1.0764180471791843E-2</v>
          </cell>
          <cell r="S445">
            <v>4.3857661658370222E-3</v>
          </cell>
        </row>
        <row r="446">
          <cell r="M446">
            <v>-1.2347584503780745E-3</v>
          </cell>
          <cell r="S446">
            <v>1.5280302487570169E-2</v>
          </cell>
        </row>
        <row r="447">
          <cell r="M447">
            <v>-1.5453562046055129E-4</v>
          </cell>
          <cell r="S447">
            <v>1.4145224039702448E-2</v>
          </cell>
        </row>
        <row r="448">
          <cell r="M448">
            <v>-6.785162287480659E-3</v>
          </cell>
          <cell r="S448">
            <v>-8.1110518317639643E-3</v>
          </cell>
        </row>
        <row r="449">
          <cell r="M449">
            <v>-7.1738690652184273E-3</v>
          </cell>
          <cell r="S449">
            <v>1.6257668264925526E-3</v>
          </cell>
        </row>
        <row r="450">
          <cell r="M450">
            <v>-1.567398119122257E-3</v>
          </cell>
          <cell r="S450">
            <v>1.4163475985072485E-2</v>
          </cell>
        </row>
        <row r="451">
          <cell r="M451">
            <v>2.6687598116169546E-2</v>
          </cell>
          <cell r="S451">
            <v>-1.119796265131549E-2</v>
          </cell>
        </row>
        <row r="452">
          <cell r="M452">
            <v>4.5871559633027525E-3</v>
          </cell>
          <cell r="S452">
            <v>-4.7114881096365522E-3</v>
          </cell>
        </row>
        <row r="453">
          <cell r="M453">
            <v>-1.2176560121765601E-2</v>
          </cell>
          <cell r="S453">
            <v>-3.153578592784205E-2</v>
          </cell>
        </row>
        <row r="454">
          <cell r="M454">
            <v>1.8397534668721193E-2</v>
          </cell>
          <cell r="S454">
            <v>-1.9449959887685511E-2</v>
          </cell>
        </row>
        <row r="455">
          <cell r="M455">
            <v>6.8175628650104306E-2</v>
          </cell>
          <cell r="S455">
            <v>3.4994214078581075E-2</v>
          </cell>
        </row>
        <row r="456">
          <cell r="M456">
            <v>-1.69971671388102E-2</v>
          </cell>
          <cell r="S456">
            <v>-4.9139247961012275E-3</v>
          </cell>
        </row>
        <row r="457">
          <cell r="M457">
            <v>-1.7291066282420751E-2</v>
          </cell>
          <cell r="S457">
            <v>1.9595372221212767E-2</v>
          </cell>
        </row>
        <row r="458">
          <cell r="M458">
            <v>-1.3196480938416423E-2</v>
          </cell>
          <cell r="S458">
            <v>-8.2707389344871558E-3</v>
          </cell>
        </row>
        <row r="459">
          <cell r="M459">
            <v>-1.9613670133729638E-2</v>
          </cell>
          <cell r="S459">
            <v>1.2872066682362983E-3</v>
          </cell>
        </row>
        <row r="460">
          <cell r="M460">
            <v>3.0600181873295024E-2</v>
          </cell>
          <cell r="S460">
            <v>9.0479020714966454E-3</v>
          </cell>
        </row>
        <row r="461">
          <cell r="M461">
            <v>-5.8824394476389361E-3</v>
          </cell>
          <cell r="S461">
            <v>1.0757404372214647E-3</v>
          </cell>
        </row>
        <row r="462">
          <cell r="M462">
            <v>1.5621532862912093E-2</v>
          </cell>
          <cell r="S462">
            <v>-1.5359494258364302E-2</v>
          </cell>
        </row>
        <row r="463">
          <cell r="M463">
            <v>-5.374699584880841E-3</v>
          </cell>
          <cell r="S463">
            <v>1.1832992107630022E-4</v>
          </cell>
        </row>
        <row r="464">
          <cell r="M464">
            <v>-1.1510412090326001E-2</v>
          </cell>
          <cell r="S464">
            <v>-1.5923351002665447E-3</v>
          </cell>
        </row>
        <row r="465">
          <cell r="M465">
            <v>-1.4814814814814814E-3</v>
          </cell>
          <cell r="S465">
            <v>3.6519173677160891E-3</v>
          </cell>
        </row>
        <row r="466">
          <cell r="M466">
            <v>-1.4094955489614243E-2</v>
          </cell>
          <cell r="S466">
            <v>-3.3946109812713408E-3</v>
          </cell>
        </row>
        <row r="467">
          <cell r="M467">
            <v>-1.4296463506395787E-2</v>
          </cell>
          <cell r="S467">
            <v>6.4248332764400742E-4</v>
          </cell>
        </row>
        <row r="468">
          <cell r="M468">
            <v>7.6030534351145315E-3</v>
          </cell>
          <cell r="S468">
            <v>-8.7201257008388319E-3</v>
          </cell>
        </row>
        <row r="469">
          <cell r="M469">
            <v>-1.0576078062971632E-2</v>
          </cell>
          <cell r="S469">
            <v>-1.380191394370054E-2</v>
          </cell>
        </row>
        <row r="470">
          <cell r="M470">
            <v>7.656967840735069E-3</v>
          </cell>
          <cell r="S470">
            <v>5.824509771268741E-3</v>
          </cell>
        </row>
        <row r="471">
          <cell r="M471">
            <v>-6.0790273556231003E-3</v>
          </cell>
          <cell r="S471">
            <v>1.2898310629108992E-2</v>
          </cell>
        </row>
        <row r="472">
          <cell r="M472">
            <v>6.8807339449541288E-3</v>
          </cell>
          <cell r="S472">
            <v>1.6184744336763542E-2</v>
          </cell>
        </row>
        <row r="473">
          <cell r="M473">
            <v>-1.219438116932418E-2</v>
          </cell>
          <cell r="S473">
            <v>-5.4578205811553438E-3</v>
          </cell>
        </row>
        <row r="474">
          <cell r="M474">
            <v>-5.3346042092641127E-3</v>
          </cell>
          <cell r="S474">
            <v>6.4138364191125424E-3</v>
          </cell>
        </row>
        <row r="475">
          <cell r="M475">
            <v>9.2735703245749607E-3</v>
          </cell>
          <cell r="S475">
            <v>1.4523183281136325E-2</v>
          </cell>
        </row>
        <row r="476">
          <cell r="M476">
            <v>-1.2251148545176111E-2</v>
          </cell>
          <cell r="S476">
            <v>8.6909313200178619E-3</v>
          </cell>
        </row>
        <row r="477">
          <cell r="M477">
            <v>1.3023255813953452E-2</v>
          </cell>
          <cell r="S477">
            <v>4.8397021180011186E-4</v>
          </cell>
        </row>
        <row r="478">
          <cell r="M478">
            <v>-7.300275482093636E-3</v>
          </cell>
          <cell r="S478">
            <v>3.7880769753984005E-3</v>
          </cell>
        </row>
        <row r="479">
          <cell r="M479">
            <v>8.8185868677058219E-3</v>
          </cell>
          <cell r="S479">
            <v>-2.1723884663681931E-3</v>
          </cell>
        </row>
        <row r="480">
          <cell r="M480">
            <v>9.3986398716282976E-3</v>
          </cell>
          <cell r="S480">
            <v>-3.2126084314703697E-4</v>
          </cell>
        </row>
        <row r="481">
          <cell r="M481">
            <v>9.8410295230885701E-3</v>
          </cell>
          <cell r="S481">
            <v>2.428638409112394E-3</v>
          </cell>
        </row>
        <row r="482">
          <cell r="M482">
            <v>1.0179910044977456E-2</v>
          </cell>
          <cell r="S482">
            <v>2.4123288700154386E-3</v>
          </cell>
        </row>
        <row r="483">
          <cell r="M483">
            <v>-1.1724721352349599E-3</v>
          </cell>
          <cell r="S483">
            <v>3.8895339272309194E-3</v>
          </cell>
        </row>
        <row r="484">
          <cell r="M484">
            <v>-4.4576523031203564E-3</v>
          </cell>
          <cell r="S484">
            <v>1.8738466964866623E-2</v>
          </cell>
        </row>
        <row r="485">
          <cell r="M485">
            <v>3.7313432835820896E-4</v>
          </cell>
          <cell r="S485">
            <v>-3.5547362353366337E-4</v>
          </cell>
        </row>
        <row r="486">
          <cell r="M486">
            <v>2.6109660574412533E-3</v>
          </cell>
          <cell r="S486">
            <v>2.5282745953605947E-3</v>
          </cell>
        </row>
        <row r="487">
          <cell r="M487">
            <v>0</v>
          </cell>
          <cell r="S487">
            <v>9.3749589196910794E-3</v>
          </cell>
        </row>
        <row r="488">
          <cell r="M488">
            <v>1.0907738095238156E-2</v>
          </cell>
          <cell r="S488">
            <v>-5.9725786894095523E-4</v>
          </cell>
        </row>
        <row r="489">
          <cell r="M489">
            <v>3.0427038405487699E-2</v>
          </cell>
          <cell r="S489">
            <v>-9.3000659571038959E-3</v>
          </cell>
        </row>
        <row r="490">
          <cell r="M490">
            <v>-2.1428571428571429E-2</v>
          </cell>
          <cell r="S490">
            <v>-9.8495953270613876E-3</v>
          </cell>
        </row>
        <row r="491">
          <cell r="M491">
            <v>-9.4890510948905105E-3</v>
          </cell>
          <cell r="S491">
            <v>4.2128382960890422E-3</v>
          </cell>
        </row>
        <row r="492">
          <cell r="M492">
            <v>6.6322770817980837E-3</v>
          </cell>
          <cell r="S492">
            <v>7.6372143326285625E-3</v>
          </cell>
        </row>
        <row r="493">
          <cell r="M493">
            <v>2.1961932650069876E-4</v>
          </cell>
          <cell r="S493">
            <v>5.9311183213307224E-3</v>
          </cell>
        </row>
        <row r="494">
          <cell r="M494">
            <v>-1.3408475444631441E-2</v>
          </cell>
          <cell r="S494">
            <v>-9.5875650382787284E-3</v>
          </cell>
        </row>
        <row r="495">
          <cell r="M495">
            <v>-9.6143859701182787E-3</v>
          </cell>
          <cell r="S495">
            <v>1.0153841530162005E-2</v>
          </cell>
        </row>
        <row r="496">
          <cell r="M496">
            <v>1.4366825965154128E-2</v>
          </cell>
          <cell r="S496">
            <v>1.3873517099074429E-3</v>
          </cell>
        </row>
        <row r="497">
          <cell r="M497">
            <v>2.6436272337911647E-2</v>
          </cell>
          <cell r="S497">
            <v>1.552769053771229E-2</v>
          </cell>
        </row>
        <row r="498">
          <cell r="M498">
            <v>-1.2949640287769457E-3</v>
          </cell>
          <cell r="S498">
            <v>5.6635789966421862E-3</v>
          </cell>
        </row>
        <row r="499">
          <cell r="M499">
            <v>-1.0229073620515809E-2</v>
          </cell>
          <cell r="S499">
            <v>-8.0628449870495081E-4</v>
          </cell>
        </row>
        <row r="500">
          <cell r="M500">
            <v>6.9723435225618104E-3</v>
          </cell>
          <cell r="S500">
            <v>1.1265065084479544E-2</v>
          </cell>
        </row>
        <row r="501">
          <cell r="M501">
            <v>6.0856618337935455E-3</v>
          </cell>
          <cell r="S501">
            <v>4.2326804924190152E-3</v>
          </cell>
        </row>
        <row r="502">
          <cell r="M502">
            <v>9.482758620689688E-3</v>
          </cell>
          <cell r="S502">
            <v>6.8321345855530922E-3</v>
          </cell>
        </row>
        <row r="503">
          <cell r="M503">
            <v>-1.0816965556504445E-2</v>
          </cell>
          <cell r="S503">
            <v>-1.0715301108284176E-3</v>
          </cell>
        </row>
        <row r="504">
          <cell r="M504">
            <v>-2.8776978417266188E-3</v>
          </cell>
          <cell r="S504">
            <v>6.9425958581239384E-3</v>
          </cell>
        </row>
        <row r="505">
          <cell r="M505">
            <v>1.6594516594516596E-2</v>
          </cell>
          <cell r="S505">
            <v>3.7001840510569269E-3</v>
          </cell>
        </row>
        <row r="506">
          <cell r="M506">
            <v>-6.3875088715400997E-3</v>
          </cell>
          <cell r="S506">
            <v>-2.2262017063279711E-3</v>
          </cell>
        </row>
        <row r="507">
          <cell r="M507">
            <v>-2.8571428571428571E-3</v>
          </cell>
          <cell r="S507">
            <v>-1.268772009171657E-3</v>
          </cell>
        </row>
        <row r="508">
          <cell r="M508">
            <v>-2.1489971346701613E-4</v>
          </cell>
          <cell r="S508">
            <v>-4.4484117480568615E-3</v>
          </cell>
        </row>
        <row r="509">
          <cell r="M509">
            <v>3.9836641111986428E-3</v>
          </cell>
          <cell r="S509">
            <v>3.8609844405936076E-3</v>
          </cell>
        </row>
        <row r="510">
          <cell r="M510">
            <v>4.8099567532078336E-3</v>
          </cell>
          <cell r="S510">
            <v>-4.9297184533637576E-3</v>
          </cell>
        </row>
        <row r="511">
          <cell r="M511">
            <v>-1.4204545454545455E-3</v>
          </cell>
          <cell r="S511">
            <v>6.7325000317446128E-3</v>
          </cell>
        </row>
        <row r="512">
          <cell r="M512">
            <v>-5.6899004267425323E-3</v>
          </cell>
          <cell r="S512">
            <v>-2.5317248479159752E-3</v>
          </cell>
        </row>
        <row r="513">
          <cell r="M513">
            <v>-1.1802575107296138E-2</v>
          </cell>
          <cell r="S513">
            <v>4.7876473466055783E-3</v>
          </cell>
        </row>
        <row r="514">
          <cell r="M514">
            <v>3.6192544335866811E-4</v>
          </cell>
          <cell r="S514">
            <v>4.3339168592706843E-3</v>
          </cell>
        </row>
        <row r="515">
          <cell r="M515">
            <v>-8.5672937771345287E-3</v>
          </cell>
          <cell r="S515">
            <v>3.6889104546422805E-3</v>
          </cell>
        </row>
        <row r="516">
          <cell r="M516">
            <v>2.1048636655573012E-2</v>
          </cell>
          <cell r="S516">
            <v>-6.2869512828001147E-3</v>
          </cell>
        </row>
        <row r="517">
          <cell r="M517">
            <v>-9.7212294496061471E-4</v>
          </cell>
          <cell r="S517">
            <v>4.7543595347663047E-3</v>
          </cell>
        </row>
        <row r="518">
          <cell r="M518">
            <v>6.596834664147992E-3</v>
          </cell>
          <cell r="S518">
            <v>-2.9554468914235726E-3</v>
          </cell>
        </row>
        <row r="519">
          <cell r="M519">
            <v>9.9654549848600497E-3</v>
          </cell>
          <cell r="S519">
            <v>7.1762405010329959E-3</v>
          </cell>
        </row>
        <row r="520">
          <cell r="M520">
            <v>1.0444231743708066E-2</v>
          </cell>
          <cell r="S520">
            <v>7.5845302975461517E-3</v>
          </cell>
        </row>
        <row r="521">
          <cell r="M521">
            <v>1.4027804864458163E-2</v>
          </cell>
          <cell r="S521">
            <v>-5.9317806868969031E-4</v>
          </cell>
        </row>
        <row r="522">
          <cell r="M522">
            <v>-8.7920541810337038E-4</v>
          </cell>
          <cell r="S522">
            <v>-3.9210511111740839E-3</v>
          </cell>
        </row>
        <row r="523">
          <cell r="M523">
            <v>-2.3085701714584229E-2</v>
          </cell>
          <cell r="S523">
            <v>-1.0080932120226742E-3</v>
          </cell>
        </row>
        <row r="524">
          <cell r="M524">
            <v>4.9964813511610903E-3</v>
          </cell>
          <cell r="S524">
            <v>-6.5302946324097429E-4</v>
          </cell>
        </row>
        <row r="525">
          <cell r="M525">
            <v>1.8135984875008816E-2</v>
          </cell>
          <cell r="S525">
            <v>-1.2622552513930517E-2</v>
          </cell>
        </row>
        <row r="526">
          <cell r="M526">
            <v>2.1389270976616168E-2</v>
          </cell>
          <cell r="S526">
            <v>-5.3665662661065653E-3</v>
          </cell>
        </row>
        <row r="527">
          <cell r="M527">
            <v>-6.1275334994275871E-3</v>
          </cell>
          <cell r="S527">
            <v>1.238267425421901E-2</v>
          </cell>
        </row>
        <row r="528">
          <cell r="M528">
            <v>8.8075880758807581E-3</v>
          </cell>
          <cell r="S528">
            <v>1.0616792152940816E-2</v>
          </cell>
        </row>
        <row r="529">
          <cell r="M529">
            <v>3.0221625251846879E-2</v>
          </cell>
          <cell r="S529">
            <v>-2.1296002918838497E-3</v>
          </cell>
        </row>
        <row r="530">
          <cell r="M530">
            <v>0</v>
          </cell>
          <cell r="S530">
            <v>-1.3372351348589049E-2</v>
          </cell>
        </row>
        <row r="531">
          <cell r="M531">
            <v>2.9752281616688463E-2</v>
          </cell>
          <cell r="S531">
            <v>1.8401594703739634E-3</v>
          </cell>
        </row>
        <row r="532">
          <cell r="M532">
            <v>2.7601225595704714E-3</v>
          </cell>
          <cell r="S532">
            <v>-7.3032049000976811E-3</v>
          </cell>
        </row>
        <row r="533">
          <cell r="M533">
            <v>4.924242424242424E-2</v>
          </cell>
          <cell r="S533">
            <v>-3.5147060233549779E-3</v>
          </cell>
        </row>
        <row r="534">
          <cell r="M534">
            <v>2.2864019253910951E-2</v>
          </cell>
          <cell r="S534">
            <v>-8.0074351474728311E-3</v>
          </cell>
        </row>
        <row r="535">
          <cell r="M535">
            <v>-1.5294117647058824E-2</v>
          </cell>
          <cell r="S535">
            <v>1.329377650036662E-2</v>
          </cell>
        </row>
        <row r="536">
          <cell r="M536">
            <v>-8.3512544802867485E-3</v>
          </cell>
          <cell r="S536">
            <v>-2.1885922565605732E-3</v>
          </cell>
        </row>
        <row r="537">
          <cell r="M537">
            <v>3.602366236551378E-3</v>
          </cell>
          <cell r="S537">
            <v>-5.9215061936089101E-3</v>
          </cell>
        </row>
        <row r="538">
          <cell r="M538">
            <v>-4.8019207683073226E-3</v>
          </cell>
          <cell r="S538">
            <v>8.133628024914916E-3</v>
          </cell>
        </row>
        <row r="539">
          <cell r="M539">
            <v>9.6501809408926411E-3</v>
          </cell>
          <cell r="S539">
            <v>4.275277296909144E-3</v>
          </cell>
        </row>
        <row r="540">
          <cell r="M540">
            <v>3.3452807646356032E-2</v>
          </cell>
          <cell r="S540">
            <v>-1.9112545325273966E-2</v>
          </cell>
        </row>
        <row r="541">
          <cell r="M541">
            <v>2.2809248554913317E-2</v>
          </cell>
          <cell r="S541">
            <v>1.2341831768831711E-2</v>
          </cell>
        </row>
        <row r="542">
          <cell r="M542">
            <v>3.0517785086973633E-4</v>
          </cell>
          <cell r="S542">
            <v>-1.7154133037795501E-2</v>
          </cell>
        </row>
        <row r="543">
          <cell r="M543">
            <v>-1.0146892655367253E-2</v>
          </cell>
          <cell r="S543">
            <v>-1.8382257461257826E-2</v>
          </cell>
        </row>
        <row r="544">
          <cell r="M544">
            <v>4.5432752676879736E-3</v>
          </cell>
          <cell r="S544">
            <v>-1.2012551865085385E-2</v>
          </cell>
        </row>
        <row r="545">
          <cell r="M545">
            <v>-2.0454545454545454E-2</v>
          </cell>
          <cell r="S545">
            <v>-2.0871708297781139E-2</v>
          </cell>
        </row>
        <row r="546">
          <cell r="M546">
            <v>8.9559164733178966E-3</v>
          </cell>
          <cell r="S546">
            <v>2.3570024703270884E-2</v>
          </cell>
        </row>
        <row r="547">
          <cell r="M547">
            <v>-4.335878213677969E-2</v>
          </cell>
          <cell r="S547">
            <v>2.2346492470096763E-2</v>
          </cell>
        </row>
        <row r="548">
          <cell r="M548">
            <v>-3.6177449790266835E-3</v>
          </cell>
          <cell r="S548">
            <v>2.0209267670376761E-3</v>
          </cell>
        </row>
        <row r="549">
          <cell r="M549">
            <v>-1.9300361881785282E-2</v>
          </cell>
          <cell r="S549">
            <v>1.3225342900314912E-2</v>
          </cell>
        </row>
        <row r="550">
          <cell r="M550">
            <v>-9.8400984009840101E-3</v>
          </cell>
          <cell r="S550">
            <v>-1.5978328860683264E-2</v>
          </cell>
        </row>
        <row r="551">
          <cell r="M551">
            <v>2.4397515527950293E-2</v>
          </cell>
          <cell r="S551">
            <v>3.9625177393212739E-3</v>
          </cell>
        </row>
        <row r="552">
          <cell r="M552">
            <v>2.8327512611563851E-2</v>
          </cell>
          <cell r="S552">
            <v>1.1269604383480217E-2</v>
          </cell>
        </row>
        <row r="553">
          <cell r="M553">
            <v>-5.89622641509434E-3</v>
          </cell>
          <cell r="S553">
            <v>3.014050815143735E-3</v>
          </cell>
        </row>
        <row r="554">
          <cell r="M554">
            <v>8.3036773428232496E-3</v>
          </cell>
          <cell r="S554">
            <v>3.9954602332372396E-3</v>
          </cell>
        </row>
        <row r="555">
          <cell r="M555">
            <v>-1.2941176470588235E-2</v>
          </cell>
          <cell r="S555">
            <v>-4.4729319059375657E-3</v>
          </cell>
        </row>
        <row r="556">
          <cell r="M556">
            <v>6.1978545887959695E-4</v>
          </cell>
          <cell r="S556">
            <v>-2.3940926544150431E-2</v>
          </cell>
        </row>
        <row r="557">
          <cell r="M557">
            <v>5.5984372022111124E-4</v>
          </cell>
          <cell r="S557">
            <v>1.3330542539351528E-3</v>
          </cell>
        </row>
        <row r="558">
          <cell r="M558">
            <v>-2.3690758223312292E-3</v>
          </cell>
          <cell r="S558">
            <v>2.1761689940646397E-3</v>
          </cell>
        </row>
        <row r="559">
          <cell r="M559">
            <v>7.1599045346062056E-3</v>
          </cell>
          <cell r="S559">
            <v>-3.5828146008385696E-3</v>
          </cell>
        </row>
        <row r="560">
          <cell r="M560">
            <v>-8.5900473933649291E-3</v>
          </cell>
          <cell r="S560">
            <v>-2.8619274738285335E-3</v>
          </cell>
        </row>
        <row r="561">
          <cell r="M561">
            <v>-2.0017926501344489E-2</v>
          </cell>
          <cell r="S561">
            <v>-1.69915092114277E-2</v>
          </cell>
        </row>
        <row r="562">
          <cell r="M562">
            <v>-1.2195121951219512E-3</v>
          </cell>
          <cell r="S562">
            <v>1.9667628129835829E-2</v>
          </cell>
        </row>
        <row r="563">
          <cell r="M563">
            <v>6.105006105006105E-4</v>
          </cell>
          <cell r="S563">
            <v>-1.015928494055799E-2</v>
          </cell>
        </row>
        <row r="564">
          <cell r="M564">
            <v>-9.1519219035997561E-3</v>
          </cell>
          <cell r="S564">
            <v>1.7922999673746685E-2</v>
          </cell>
        </row>
        <row r="565">
          <cell r="M565">
            <v>5.7266009852216465E-3</v>
          </cell>
          <cell r="S565">
            <v>9.948736471131021E-3</v>
          </cell>
        </row>
        <row r="566">
          <cell r="M566">
            <v>-1.6714626829118933E-2</v>
          </cell>
          <cell r="S566">
            <v>-4.6126629027089579E-3</v>
          </cell>
        </row>
        <row r="567">
          <cell r="M567">
            <v>3.4869240348692404E-2</v>
          </cell>
          <cell r="S567">
            <v>1.5678758861266062E-3</v>
          </cell>
        </row>
        <row r="568">
          <cell r="M568">
            <v>1.684717208182912E-2</v>
          </cell>
          <cell r="S568">
            <v>5.8303737499326054E-3</v>
          </cell>
        </row>
        <row r="569">
          <cell r="M569">
            <v>1.1242603550295858E-2</v>
          </cell>
          <cell r="S569">
            <v>-1.7885194881091455E-3</v>
          </cell>
        </row>
        <row r="570">
          <cell r="M570">
            <v>4.2598010532474972E-3</v>
          </cell>
          <cell r="S570">
            <v>1.6681339760309839E-3</v>
          </cell>
        </row>
        <row r="571">
          <cell r="M571">
            <v>-2.4355000349593676E-3</v>
          </cell>
          <cell r="S571">
            <v>-8.653670636519074E-3</v>
          </cell>
        </row>
        <row r="572">
          <cell r="M572">
            <v>4.6025348986625256E-3</v>
          </cell>
          <cell r="S572">
            <v>1.0825458764466934E-2</v>
          </cell>
        </row>
        <row r="573">
          <cell r="M573">
            <v>3.5000406981476424E-3</v>
          </cell>
          <cell r="S573">
            <v>-2.0537544455060787E-3</v>
          </cell>
        </row>
        <row r="574">
          <cell r="M574">
            <v>-1.7381228273464658E-3</v>
          </cell>
          <cell r="S574">
            <v>-8.3195494513595668E-3</v>
          </cell>
        </row>
        <row r="575">
          <cell r="M575">
            <v>-5.8038305281485781E-4</v>
          </cell>
          <cell r="S575">
            <v>-4.9599807343085897E-3</v>
          </cell>
        </row>
        <row r="576">
          <cell r="M576">
            <v>-5.2264808362369342E-3</v>
          </cell>
          <cell r="S576">
            <v>2.1831374047235692E-2</v>
          </cell>
        </row>
        <row r="577">
          <cell r="M577">
            <v>7.5890251021599534E-3</v>
          </cell>
          <cell r="S577">
            <v>-8.5349465454917506E-3</v>
          </cell>
        </row>
        <row r="578">
          <cell r="M578">
            <v>-1.0428736964078795E-2</v>
          </cell>
          <cell r="S578">
            <v>-5.1608564438508754E-3</v>
          </cell>
        </row>
        <row r="579">
          <cell r="M579">
            <v>-7.1428571428571695E-3</v>
          </cell>
          <cell r="S579">
            <v>-4.3500627619891827E-3</v>
          </cell>
        </row>
        <row r="580">
          <cell r="M580">
            <v>-1.0614459252270047E-3</v>
          </cell>
          <cell r="S580">
            <v>-1.3390957514982845E-2</v>
          </cell>
        </row>
        <row r="581">
          <cell r="M581">
            <v>2.3624557260920886E-2</v>
          </cell>
          <cell r="S581">
            <v>-4.2056058930445735E-3</v>
          </cell>
        </row>
        <row r="582">
          <cell r="M582">
            <v>-4.6250908294021877E-3</v>
          </cell>
          <cell r="S582">
            <v>1.1057895190601718E-2</v>
          </cell>
        </row>
        <row r="583">
          <cell r="M583">
            <v>-1.3325608342989572E-2</v>
          </cell>
          <cell r="S583">
            <v>8.5275894513885467E-3</v>
          </cell>
        </row>
        <row r="584">
          <cell r="M584">
            <v>-7.6218438050499222E-3</v>
          </cell>
          <cell r="S584">
            <v>5.1411090475375178E-3</v>
          </cell>
        </row>
        <row r="585">
          <cell r="M585">
            <v>-1.1834179477165951E-2</v>
          </cell>
          <cell r="S585">
            <v>1.376080887807259E-2</v>
          </cell>
        </row>
        <row r="586">
          <cell r="M586">
            <v>2.3832049915569983E-3</v>
          </cell>
          <cell r="S586">
            <v>4.0507630418259036E-3</v>
          </cell>
        </row>
        <row r="587">
          <cell r="M587">
            <v>1.0752688172043012E-2</v>
          </cell>
          <cell r="S587">
            <v>-6.5180108138390156E-3</v>
          </cell>
        </row>
        <row r="588">
          <cell r="M588">
            <v>1.1820330969267139E-2</v>
          </cell>
          <cell r="S588">
            <v>-2.3650396183539E-3</v>
          </cell>
        </row>
        <row r="589">
          <cell r="M589">
            <v>2.9205607476635514E-2</v>
          </cell>
          <cell r="S589">
            <v>7.4803501201451501E-3</v>
          </cell>
        </row>
        <row r="590">
          <cell r="M590">
            <v>3.5187287173666287E-2</v>
          </cell>
          <cell r="S590">
            <v>3.966679284189983E-3</v>
          </cell>
        </row>
        <row r="591">
          <cell r="M591">
            <v>-3.2894736842105261E-3</v>
          </cell>
          <cell r="S591">
            <v>4.4156781195177509E-3</v>
          </cell>
        </row>
        <row r="592">
          <cell r="M592">
            <v>-1.2101210121012101E-2</v>
          </cell>
          <cell r="S592">
            <v>1.1050598414795689E-2</v>
          </cell>
        </row>
        <row r="593">
          <cell r="M593">
            <v>-6.6815144766146995E-3</v>
          </cell>
          <cell r="S593">
            <v>-4.6056261696971742E-4</v>
          </cell>
        </row>
        <row r="594">
          <cell r="M594">
            <v>1.0145739910313851E-2</v>
          </cell>
          <cell r="S594">
            <v>7.171075479662131E-3</v>
          </cell>
        </row>
        <row r="595">
          <cell r="M595">
            <v>7.7132234615171699E-3</v>
          </cell>
          <cell r="S595">
            <v>1.6340136259399916E-2</v>
          </cell>
        </row>
        <row r="596">
          <cell r="M596">
            <v>-1.1013215859030838E-3</v>
          </cell>
          <cell r="S596">
            <v>6.157464223780054E-3</v>
          </cell>
        </row>
        <row r="597">
          <cell r="M597">
            <v>-3.3076074972436605E-3</v>
          </cell>
          <cell r="S597">
            <v>-1.3355118749748519E-3</v>
          </cell>
        </row>
        <row r="598">
          <cell r="M598">
            <v>1.7588495575221214E-2</v>
          </cell>
          <cell r="S598">
            <v>-6.9337522258866905E-4</v>
          </cell>
        </row>
        <row r="599">
          <cell r="M599">
            <v>-4.9788020437003229E-3</v>
          </cell>
          <cell r="S599">
            <v>2.4570872630891986E-3</v>
          </cell>
        </row>
        <row r="600">
          <cell r="M600">
            <v>1.8223135078442455E-2</v>
          </cell>
          <cell r="S600">
            <v>1.8866789596717478E-3</v>
          </cell>
        </row>
        <row r="601">
          <cell r="M601">
            <v>8.4763948497853826E-3</v>
          </cell>
          <cell r="S601">
            <v>-3.2023081130521649E-3</v>
          </cell>
        </row>
        <row r="602">
          <cell r="M602">
            <v>-7.2348122140652778E-3</v>
          </cell>
          <cell r="S602">
            <v>-7.6921191709392704E-3</v>
          </cell>
        </row>
        <row r="603">
          <cell r="M603">
            <v>-1.8326010073947081E-2</v>
          </cell>
          <cell r="S603">
            <v>9.9182420555899466E-3</v>
          </cell>
        </row>
        <row r="604">
          <cell r="M604">
            <v>2.1834061135371178E-3</v>
          </cell>
          <cell r="S604">
            <v>1.1031783681706658E-3</v>
          </cell>
        </row>
        <row r="605">
          <cell r="M605">
            <v>-3.2679738562091504E-3</v>
          </cell>
          <cell r="S605">
            <v>8.7229570940479638E-3</v>
          </cell>
        </row>
        <row r="606">
          <cell r="M606">
            <v>1.092896174863388E-3</v>
          </cell>
          <cell r="S606">
            <v>-1.9193007112413736E-3</v>
          </cell>
        </row>
        <row r="607">
          <cell r="M607">
            <v>0</v>
          </cell>
          <cell r="S607">
            <v>-3.1184868738145027E-3</v>
          </cell>
        </row>
        <row r="608">
          <cell r="M608">
            <v>-1.0917030567685589E-3</v>
          </cell>
          <cell r="S608">
            <v>-7.2121185869074515E-3</v>
          </cell>
        </row>
        <row r="609">
          <cell r="M609">
            <v>-5.4644808743169399E-3</v>
          </cell>
          <cell r="S609">
            <v>2.2318140501233243E-3</v>
          </cell>
        </row>
        <row r="610">
          <cell r="M610">
            <v>1.0978021978021987E-2</v>
          </cell>
          <cell r="S610">
            <v>-4.6881474966038962E-3</v>
          </cell>
        </row>
        <row r="611">
          <cell r="M611">
            <v>-1.0695768432265603E-2</v>
          </cell>
          <cell r="S611">
            <v>-5.2861212033855718E-4</v>
          </cell>
        </row>
        <row r="612">
          <cell r="M612">
            <v>9.3391199252872907E-4</v>
          </cell>
          <cell r="S612">
            <v>-1.8013159358945402E-3</v>
          </cell>
        </row>
        <row r="613">
          <cell r="M613">
            <v>2.2063666300768288E-3</v>
          </cell>
          <cell r="S613">
            <v>1.2910040980612764E-3</v>
          </cell>
        </row>
        <row r="614">
          <cell r="M614">
            <v>9.8246459513039591E-3</v>
          </cell>
          <cell r="S614">
            <v>-5.3917077786121946E-3</v>
          </cell>
        </row>
        <row r="615">
          <cell r="M615">
            <v>-8.698670253150808E-3</v>
          </cell>
          <cell r="S615">
            <v>-1.4707170938081923E-2</v>
          </cell>
        </row>
        <row r="616">
          <cell r="M616">
            <v>-5.4269333450041972E-3</v>
          </cell>
          <cell r="S616">
            <v>2.8811325391176878E-3</v>
          </cell>
        </row>
        <row r="617">
          <cell r="M617">
            <v>-7.7007700770077006E-3</v>
          </cell>
          <cell r="S617">
            <v>4.6300450785007443E-3</v>
          </cell>
        </row>
        <row r="618">
          <cell r="M618">
            <v>1.1086474501108647E-3</v>
          </cell>
          <cell r="S618">
            <v>9.3874020663054659E-3</v>
          </cell>
        </row>
        <row r="619">
          <cell r="M619">
            <v>-2.408637873754153E-2</v>
          </cell>
          <cell r="S619">
            <v>-2.3930676977282784E-3</v>
          </cell>
        </row>
        <row r="620">
          <cell r="M620">
            <v>-2.4113475177304965E-2</v>
          </cell>
          <cell r="S620">
            <v>-5.3906603548448976E-3</v>
          </cell>
        </row>
        <row r="621">
          <cell r="M621">
            <v>9.2906976744186152E-3</v>
          </cell>
          <cell r="S621">
            <v>-1.7491363955308285E-3</v>
          </cell>
        </row>
        <row r="622">
          <cell r="M622">
            <v>-3.4562610168319911E-3</v>
          </cell>
          <cell r="S622">
            <v>-2.0749306807564803E-3</v>
          </cell>
        </row>
        <row r="623">
          <cell r="M623">
            <v>2.4289298142175043E-2</v>
          </cell>
          <cell r="S623">
            <v>1.7043078298473246E-2</v>
          </cell>
        </row>
        <row r="624">
          <cell r="M624">
            <v>9.0067720090293655E-3</v>
          </cell>
          <cell r="S624">
            <v>-1.0191211110526135E-2</v>
          </cell>
        </row>
        <row r="625">
          <cell r="M625">
            <v>-1.3400747220295776E-2</v>
          </cell>
          <cell r="S625">
            <v>-2.4466265588386745E-3</v>
          </cell>
        </row>
        <row r="626">
          <cell r="M626">
            <v>-6.8027210884353739E-3</v>
          </cell>
          <cell r="S626">
            <v>7.0415292152849478E-4</v>
          </cell>
        </row>
        <row r="627">
          <cell r="M627">
            <v>1.1415525114155251E-3</v>
          </cell>
          <cell r="S627">
            <v>2.3125287881408136E-4</v>
          </cell>
        </row>
        <row r="628">
          <cell r="M628">
            <v>3.7058152793614595E-2</v>
          </cell>
          <cell r="S628">
            <v>2.8803067161324099E-3</v>
          </cell>
        </row>
        <row r="629">
          <cell r="M629">
            <v>-2.2210005497526164E-2</v>
          </cell>
          <cell r="S629">
            <v>4.3266329695856977E-3</v>
          </cell>
        </row>
        <row r="630">
          <cell r="M630">
            <v>-7.0842235466096418E-3</v>
          </cell>
          <cell r="S630">
            <v>8.1385063823409445E-4</v>
          </cell>
        </row>
        <row r="631">
          <cell r="M631">
            <v>-2.2650056625120962E-5</v>
          </cell>
          <cell r="S631">
            <v>-1.6750478241925101E-3</v>
          </cell>
        </row>
        <row r="632">
          <cell r="M632">
            <v>2.355659244829925E-3</v>
          </cell>
          <cell r="S632">
            <v>-2.5189844469082948E-3</v>
          </cell>
        </row>
        <row r="633">
          <cell r="M633">
            <v>8.9711431993311809E-3</v>
          </cell>
          <cell r="S633">
            <v>3.0017192236722737E-4</v>
          </cell>
        </row>
        <row r="634">
          <cell r="M634">
            <v>2.0750279955207136E-2</v>
          </cell>
          <cell r="S634">
            <v>-7.7371207534801239E-3</v>
          </cell>
        </row>
        <row r="635">
          <cell r="M635">
            <v>-6.0667229822386239E-3</v>
          </cell>
          <cell r="S635">
            <v>-1.2046148159585447E-4</v>
          </cell>
        </row>
        <row r="636">
          <cell r="M636">
            <v>-1.1037527593818985E-3</v>
          </cell>
          <cell r="S636">
            <v>-5.4328332593216368E-3</v>
          </cell>
        </row>
        <row r="637">
          <cell r="M637">
            <v>-5.5248618784530384E-3</v>
          </cell>
          <cell r="S637">
            <v>8.4572850363901515E-3</v>
          </cell>
        </row>
        <row r="638">
          <cell r="M638">
            <v>0</v>
          </cell>
          <cell r="S638">
            <v>6.428853661234999E-3</v>
          </cell>
        </row>
        <row r="639">
          <cell r="M639">
            <v>-0.01</v>
          </cell>
          <cell r="S639">
            <v>6.6082726528063948E-4</v>
          </cell>
        </row>
        <row r="640">
          <cell r="M640">
            <v>-1.2345679012345678E-2</v>
          </cell>
          <cell r="S640">
            <v>-3.1178149013975347E-3</v>
          </cell>
        </row>
        <row r="641">
          <cell r="M641">
            <v>5.1136363636363636E-3</v>
          </cell>
          <cell r="S641">
            <v>-3.1680774998278853E-3</v>
          </cell>
        </row>
        <row r="642">
          <cell r="M642">
            <v>2.8264556246466932E-3</v>
          </cell>
          <cell r="S642">
            <v>-7.7138426130159013E-3</v>
          </cell>
        </row>
        <row r="643">
          <cell r="M643">
            <v>-3.3821871476888386E-3</v>
          </cell>
          <cell r="S643">
            <v>2.5167845763972676E-4</v>
          </cell>
        </row>
        <row r="644">
          <cell r="M644">
            <v>5.6561085972850684E-4</v>
          </cell>
          <cell r="S644">
            <v>5.1320152038335908E-3</v>
          </cell>
        </row>
        <row r="645">
          <cell r="M645">
            <v>-5.0876201243640479E-3</v>
          </cell>
          <cell r="S645">
            <v>-2.2504410332524795E-3</v>
          </cell>
        </row>
        <row r="646">
          <cell r="M646">
            <v>-8.386363636363631E-3</v>
          </cell>
          <cell r="S646">
            <v>-2.1349349999874243E-3</v>
          </cell>
        </row>
        <row r="647">
          <cell r="M647">
            <v>-1.4462194311384112E-2</v>
          </cell>
          <cell r="S647">
            <v>-5.4494566867302422E-3</v>
          </cell>
        </row>
        <row r="648">
          <cell r="M648">
            <v>5.8139534883720929E-3</v>
          </cell>
          <cell r="S648">
            <v>7.3681399038512995E-3</v>
          </cell>
        </row>
        <row r="649">
          <cell r="M649">
            <v>3.4450867052023331E-3</v>
          </cell>
          <cell r="S649">
            <v>7.2234700884181062E-3</v>
          </cell>
        </row>
        <row r="650">
          <cell r="M650">
            <v>-5.7374593884651926E-3</v>
          </cell>
          <cell r="S650">
            <v>1.0764536504549794E-2</v>
          </cell>
        </row>
        <row r="651">
          <cell r="M651">
            <v>-6.3731170336037077E-3</v>
          </cell>
          <cell r="S651">
            <v>-5.8924751118271225E-3</v>
          </cell>
        </row>
        <row r="652">
          <cell r="M652">
            <v>-1.2303206997084495E-2</v>
          </cell>
          <cell r="S652">
            <v>-4.0312607218550879E-3</v>
          </cell>
        </row>
        <row r="653">
          <cell r="M653">
            <v>4.7818643367376519E-3</v>
          </cell>
          <cell r="S653">
            <v>-5.7232045579070547E-3</v>
          </cell>
        </row>
        <row r="654">
          <cell r="M654">
            <v>1.0458284371327823E-2</v>
          </cell>
          <cell r="S654">
            <v>-4.7872539206013009E-3</v>
          </cell>
        </row>
        <row r="655">
          <cell r="M655">
            <v>7.5590184905218892E-4</v>
          </cell>
          <cell r="S655">
            <v>4.8618343352809009E-3</v>
          </cell>
        </row>
        <row r="656">
          <cell r="M656">
            <v>-1.0969728661902203E-2</v>
          </cell>
          <cell r="S656">
            <v>1.1409099833846197E-3</v>
          </cell>
        </row>
        <row r="657">
          <cell r="M657">
            <v>-9.5287330662311726E-3</v>
          </cell>
          <cell r="S657">
            <v>-1.3243429845880293E-4</v>
          </cell>
        </row>
        <row r="658">
          <cell r="M658">
            <v>-3.3214709371292998E-2</v>
          </cell>
          <cell r="S658">
            <v>-1.0764875628144445E-2</v>
          </cell>
        </row>
        <row r="659">
          <cell r="M659">
            <v>3.6809815950920245E-3</v>
          </cell>
          <cell r="S659">
            <v>1.1600522439261637E-3</v>
          </cell>
        </row>
        <row r="660">
          <cell r="M660">
            <v>6.2958435207823684E-3</v>
          </cell>
          <cell r="S660">
            <v>-8.2947398997442509E-4</v>
          </cell>
        </row>
        <row r="661">
          <cell r="M661">
            <v>8.3216910648120299E-3</v>
          </cell>
          <cell r="S661">
            <v>-4.018882096025145E-3</v>
          </cell>
        </row>
        <row r="662">
          <cell r="M662">
            <v>1.2048192771084338E-3</v>
          </cell>
          <cell r="S662">
            <v>-7.1313992136950262E-3</v>
          </cell>
        </row>
        <row r="663">
          <cell r="M663">
            <v>-1.2033694344163659E-2</v>
          </cell>
          <cell r="S663">
            <v>4.9229783749753699E-3</v>
          </cell>
        </row>
        <row r="664">
          <cell r="M664">
            <v>2.4360535931790498E-3</v>
          </cell>
          <cell r="S664">
            <v>1.2293158709296582E-2</v>
          </cell>
        </row>
        <row r="665">
          <cell r="M665">
            <v>-9.6597812879708929E-3</v>
          </cell>
          <cell r="S665">
            <v>1.5290808205127399E-3</v>
          </cell>
        </row>
        <row r="666">
          <cell r="M666">
            <v>-9.8766946813078401E-3</v>
          </cell>
          <cell r="S666">
            <v>-8.0202308164549832E-3</v>
          </cell>
        </row>
        <row r="667">
          <cell r="M667">
            <v>-4.0892193308550186E-2</v>
          </cell>
          <cell r="S667">
            <v>-3.7239285548247365E-3</v>
          </cell>
        </row>
        <row r="668">
          <cell r="M668">
            <v>-2.1963824289405683E-2</v>
          </cell>
          <cell r="S668">
            <v>4.3611794663666022E-3</v>
          </cell>
        </row>
        <row r="669">
          <cell r="M669">
            <v>3.7542932628797834E-2</v>
          </cell>
          <cell r="S669">
            <v>-6.0608953961661374E-3</v>
          </cell>
        </row>
        <row r="670">
          <cell r="M670">
            <v>-6.2641643961192216E-3</v>
          </cell>
          <cell r="S670">
            <v>-2.3130160167836281E-3</v>
          </cell>
        </row>
        <row r="671">
          <cell r="M671">
            <v>-1.6002562459961574E-2</v>
          </cell>
          <cell r="S671">
            <v>-1.1162260486702595E-2</v>
          </cell>
        </row>
        <row r="672">
          <cell r="M672">
            <v>-5.8723193708415137E-3</v>
          </cell>
          <cell r="S672">
            <v>-8.9463222836476154E-3</v>
          </cell>
        </row>
        <row r="673">
          <cell r="M673">
            <v>-8.5134250163719713E-3</v>
          </cell>
          <cell r="S673">
            <v>-6.5872408066804172E-3</v>
          </cell>
        </row>
        <row r="674">
          <cell r="M674">
            <v>-2.6776750330250967E-2</v>
          </cell>
          <cell r="S674">
            <v>-4.9310239469031996E-3</v>
          </cell>
        </row>
        <row r="675">
          <cell r="M675">
            <v>4.4385324338631271E-3</v>
          </cell>
          <cell r="S675">
            <v>-5.6742850347608698E-3</v>
          </cell>
        </row>
        <row r="676">
          <cell r="M676">
            <v>-1.6216216216216217E-2</v>
          </cell>
          <cell r="S676">
            <v>1.0200643673400862E-2</v>
          </cell>
        </row>
        <row r="677">
          <cell r="M677">
            <v>-9.601648351648364E-3</v>
          </cell>
          <cell r="S677">
            <v>-2.0059445702069606E-2</v>
          </cell>
        </row>
        <row r="678">
          <cell r="M678">
            <v>9.5560394446678777E-3</v>
          </cell>
          <cell r="S678">
            <v>1.2010348292437096E-2</v>
          </cell>
        </row>
        <row r="679">
          <cell r="M679">
            <v>-6.731693913999145E-3</v>
          </cell>
          <cell r="S679">
            <v>-6.2138638206134255E-4</v>
          </cell>
        </row>
        <row r="680">
          <cell r="M680">
            <v>-4.1493775933609959E-3</v>
          </cell>
          <cell r="S680">
            <v>3.8509795706425857E-3</v>
          </cell>
        </row>
        <row r="681">
          <cell r="M681">
            <v>8.3333333333333332E-3</v>
          </cell>
          <cell r="S681">
            <v>-8.3901475207850077E-3</v>
          </cell>
        </row>
        <row r="682">
          <cell r="M682">
            <v>-1.805785123966944E-2</v>
          </cell>
          <cell r="S682">
            <v>-6.5673276457090058E-3</v>
          </cell>
        </row>
        <row r="683">
          <cell r="M683">
            <v>1.1516503247345364E-2</v>
          </cell>
          <cell r="S683">
            <v>4.7959096058591555E-3</v>
          </cell>
        </row>
        <row r="684">
          <cell r="M684">
            <v>-1.2619608930800198E-2</v>
          </cell>
          <cell r="S684">
            <v>-2.4404499704391257E-3</v>
          </cell>
        </row>
        <row r="685">
          <cell r="M685">
            <v>-8.4971910112358918E-3</v>
          </cell>
          <cell r="S685">
            <v>-1.4566554616823138E-2</v>
          </cell>
        </row>
        <row r="686">
          <cell r="M686">
            <v>-3.4308378780366917E-2</v>
          </cell>
          <cell r="S686">
            <v>1.2258908699308386E-3</v>
          </cell>
        </row>
        <row r="687">
          <cell r="M687">
            <v>-1.6839511243454178E-2</v>
          </cell>
          <cell r="S687">
            <v>-1.5069589463638443E-2</v>
          </cell>
        </row>
        <row r="688">
          <cell r="M688">
            <v>2.5960462513987454E-3</v>
          </cell>
          <cell r="S688">
            <v>2.5725456008521663E-2</v>
          </cell>
        </row>
        <row r="689">
          <cell r="M689">
            <v>-1.7128231074867172E-2</v>
          </cell>
          <cell r="S689">
            <v>1.1004049291644604E-2</v>
          </cell>
        </row>
        <row r="690">
          <cell r="M690">
            <v>-8.2969961240310346E-3</v>
          </cell>
          <cell r="S690">
            <v>-4.2854405014733261E-3</v>
          </cell>
        </row>
        <row r="691">
          <cell r="M691">
            <v>-1.5267175572519084E-3</v>
          </cell>
          <cell r="S691">
            <v>1.9494078461643648E-2</v>
          </cell>
        </row>
        <row r="692">
          <cell r="M692">
            <v>-2.1406727828746176E-2</v>
          </cell>
          <cell r="S692">
            <v>7.0756883708070891E-3</v>
          </cell>
        </row>
        <row r="693">
          <cell r="M693">
            <v>4.6875E-2</v>
          </cell>
          <cell r="S693">
            <v>-5.3040718965374446E-3</v>
          </cell>
        </row>
        <row r="694">
          <cell r="M694">
            <v>1.9402985074626865E-2</v>
          </cell>
          <cell r="S694">
            <v>-3.2721668791944121E-3</v>
          </cell>
        </row>
        <row r="695">
          <cell r="M695">
            <v>-2.9282576866764276E-3</v>
          </cell>
          <cell r="S695">
            <v>-3.8134046765495415E-3</v>
          </cell>
        </row>
        <row r="696">
          <cell r="M696">
            <v>3.0807635829662287E-2</v>
          </cell>
          <cell r="S696">
            <v>1.3148759567243878E-2</v>
          </cell>
        </row>
        <row r="697">
          <cell r="M697">
            <v>6.8662924869653495E-3</v>
          </cell>
          <cell r="S697">
            <v>3.0466048316461812E-3</v>
          </cell>
        </row>
        <row r="698">
          <cell r="M698">
            <v>2.8579513299378831E-3</v>
          </cell>
          <cell r="S698">
            <v>4.9618694897862478E-3</v>
          </cell>
        </row>
        <row r="699">
          <cell r="M699">
            <v>-1.5956096046951352E-2</v>
          </cell>
          <cell r="S699">
            <v>1.5735543856164536E-2</v>
          </cell>
        </row>
        <row r="700">
          <cell r="M700">
            <v>7.0249888890483165E-4</v>
          </cell>
          <cell r="S700">
            <v>3.5510853804811746E-3</v>
          </cell>
        </row>
        <row r="701">
          <cell r="M701">
            <v>3.0085959885386818E-2</v>
          </cell>
          <cell r="S701">
            <v>-1.7082362969647377E-3</v>
          </cell>
        </row>
        <row r="702">
          <cell r="M702">
            <v>2.1307371349096035E-2</v>
          </cell>
          <cell r="S702">
            <v>3.9704510333718164E-3</v>
          </cell>
        </row>
        <row r="703">
          <cell r="M703">
            <v>5.5398191524131099E-2</v>
          </cell>
          <cell r="S703">
            <v>1.6226457130344622E-3</v>
          </cell>
        </row>
        <row r="704">
          <cell r="M704">
            <v>1.6774193548387096E-2</v>
          </cell>
          <cell r="S704">
            <v>-3.8219038476989928E-3</v>
          </cell>
        </row>
        <row r="705">
          <cell r="M705">
            <v>-1.3324873096446701E-2</v>
          </cell>
          <cell r="S705">
            <v>-1.5178380406766022E-2</v>
          </cell>
        </row>
        <row r="706">
          <cell r="M706">
            <v>-9.6334405144694654E-3</v>
          </cell>
          <cell r="S706">
            <v>4.9562596134344631E-3</v>
          </cell>
        </row>
        <row r="707">
          <cell r="M707">
            <v>-1.1701146738354035E-2</v>
          </cell>
          <cell r="S707">
            <v>-6.0411907557985801E-3</v>
          </cell>
        </row>
        <row r="708">
          <cell r="M708">
            <v>4.1130091984231216E-3</v>
          </cell>
          <cell r="S708">
            <v>-1.2924563596671948E-2</v>
          </cell>
        </row>
        <row r="709">
          <cell r="M709">
            <v>8.990616779867306E-3</v>
          </cell>
          <cell r="S709">
            <v>-2.8175386865109884E-4</v>
          </cell>
        </row>
        <row r="710">
          <cell r="M710">
            <v>-6.485084306095979E-4</v>
          </cell>
          <cell r="S710">
            <v>1.7636990868951711E-2</v>
          </cell>
        </row>
        <row r="711">
          <cell r="M711">
            <v>-6.4892926670992862E-3</v>
          </cell>
          <cell r="S711">
            <v>-7.4874991701207594E-3</v>
          </cell>
        </row>
        <row r="712">
          <cell r="M712">
            <v>-1.1103853690398433E-2</v>
          </cell>
          <cell r="S712">
            <v>-1.8166696323927924E-3</v>
          </cell>
        </row>
        <row r="713">
          <cell r="M713">
            <v>-2.1849405548216596E-2</v>
          </cell>
          <cell r="S713">
            <v>8.2174342069594453E-3</v>
          </cell>
        </row>
        <row r="714">
          <cell r="M714">
            <v>-7.3737946681792883E-3</v>
          </cell>
          <cell r="S714">
            <v>-1.601246391382475E-2</v>
          </cell>
        </row>
        <row r="715">
          <cell r="M715">
            <v>4.4081632653061191E-2</v>
          </cell>
          <cell r="S715">
            <v>-1.7411301781615547E-2</v>
          </cell>
        </row>
        <row r="716">
          <cell r="M716">
            <v>-3.4414907479801887E-2</v>
          </cell>
          <cell r="S716">
            <v>-1.3010884451812869E-2</v>
          </cell>
        </row>
        <row r="717">
          <cell r="M717">
            <v>2.2955775381584085E-2</v>
          </cell>
          <cell r="S717">
            <v>-9.6464000973768439E-3</v>
          </cell>
        </row>
        <row r="718">
          <cell r="M718">
            <v>1.3192612137203167E-2</v>
          </cell>
          <cell r="S718">
            <v>4.060702275481891E-3</v>
          </cell>
        </row>
        <row r="719">
          <cell r="M719">
            <v>-4.9466145833333343E-2</v>
          </cell>
          <cell r="S719">
            <v>2.7562351861624462E-2</v>
          </cell>
        </row>
        <row r="720">
          <cell r="M720">
            <v>-2.0561362173120903E-2</v>
          </cell>
          <cell r="S720">
            <v>-5.6843087532443826E-3</v>
          </cell>
        </row>
        <row r="721">
          <cell r="M721">
            <v>-3.3566433566433566E-2</v>
          </cell>
          <cell r="S721">
            <v>6.5840765453255862E-3</v>
          </cell>
        </row>
        <row r="722">
          <cell r="M722">
            <v>-1.1577424023154847E-2</v>
          </cell>
          <cell r="S722">
            <v>-4.7058198590495613E-2</v>
          </cell>
        </row>
        <row r="723">
          <cell r="M723">
            <v>2.6354319180087848E-2</v>
          </cell>
          <cell r="S723">
            <v>-3.0531420185194089E-5</v>
          </cell>
        </row>
        <row r="724">
          <cell r="M724">
            <v>2.7189728958630449E-2</v>
          </cell>
          <cell r="S724">
            <v>1.1088795251200316E-3</v>
          </cell>
        </row>
        <row r="725">
          <cell r="M725">
            <v>-1.4720995472598749E-3</v>
          </cell>
          <cell r="S725">
            <v>1.3232666609212388E-2</v>
          </cell>
        </row>
        <row r="726">
          <cell r="M726">
            <v>1.2795549374130801E-2</v>
          </cell>
          <cell r="S726">
            <v>-1.5095719861738129E-4</v>
          </cell>
        </row>
        <row r="727">
          <cell r="M727">
            <v>-7.3661082120296761E-2</v>
          </cell>
          <cell r="S727">
            <v>-7.4812637709374945E-3</v>
          </cell>
        </row>
        <row r="728">
          <cell r="M728">
            <v>-3.2702798861479997E-2</v>
          </cell>
          <cell r="S728">
            <v>-2.8277408129444093E-3</v>
          </cell>
        </row>
        <row r="729">
          <cell r="M729">
            <v>-2.268199233716503E-3</v>
          </cell>
          <cell r="S729">
            <v>-1.1969136169461552E-2</v>
          </cell>
        </row>
        <row r="730">
          <cell r="M730">
            <v>1.5329790175417066E-2</v>
          </cell>
          <cell r="S730">
            <v>8.6373916448616445E-3</v>
          </cell>
        </row>
        <row r="731">
          <cell r="M731">
            <v>-1.5128593040847202E-2</v>
          </cell>
          <cell r="S731">
            <v>2.5901392267758668E-2</v>
          </cell>
        </row>
        <row r="732">
          <cell r="M732">
            <v>-3.1490015360983101E-2</v>
          </cell>
          <cell r="S732">
            <v>-1.4327360556956329E-2</v>
          </cell>
        </row>
        <row r="733">
          <cell r="M733">
            <v>5.5352894528152407E-3</v>
          </cell>
          <cell r="S733">
            <v>3.8754939265330749E-3</v>
          </cell>
        </row>
        <row r="734">
          <cell r="M734">
            <v>-6.2777015410337986E-3</v>
          </cell>
          <cell r="S734">
            <v>1.0005995351324782E-2</v>
          </cell>
        </row>
        <row r="735">
          <cell r="M735">
            <v>1.9047316709258584E-2</v>
          </cell>
          <cell r="S735">
            <v>-3.6734367088821118E-3</v>
          </cell>
        </row>
        <row r="736">
          <cell r="M736">
            <v>6.5403965670316672E-2</v>
          </cell>
          <cell r="S736">
            <v>-4.7535972847419367E-5</v>
          </cell>
        </row>
        <row r="737">
          <cell r="M737">
            <v>-3.3625730994152045E-2</v>
          </cell>
          <cell r="S737">
            <v>2.081042726231626E-3</v>
          </cell>
        </row>
        <row r="738">
          <cell r="M738">
            <v>2.0544629349470562E-2</v>
          </cell>
          <cell r="S738">
            <v>-3.3548768944742465E-3</v>
          </cell>
        </row>
        <row r="739">
          <cell r="M739">
            <v>3.0226214829968255E-2</v>
          </cell>
          <cell r="S739">
            <v>-4.6454551038693183E-3</v>
          </cell>
        </row>
        <row r="740">
          <cell r="M740">
            <v>-6.7628818510155446E-4</v>
          </cell>
          <cell r="S740">
            <v>2.9672009298291283E-3</v>
          </cell>
        </row>
        <row r="741">
          <cell r="M741">
            <v>-1.3390928725701879E-2</v>
          </cell>
          <cell r="S741">
            <v>4.9126164126843596E-3</v>
          </cell>
        </row>
        <row r="742">
          <cell r="M742">
            <v>-7.2095738470520348E-3</v>
          </cell>
          <cell r="S742">
            <v>3.5266518768253515E-3</v>
          </cell>
        </row>
        <row r="743">
          <cell r="M743">
            <v>-2.8077499779495608E-3</v>
          </cell>
          <cell r="S743">
            <v>4.0496485516546355E-3</v>
          </cell>
        </row>
        <row r="744">
          <cell r="M744">
            <v>9.4346576251195743E-4</v>
          </cell>
          <cell r="S744">
            <v>6.5212024288238786E-3</v>
          </cell>
        </row>
        <row r="745">
          <cell r="M745">
            <v>-1.4580479830336368E-3</v>
          </cell>
          <cell r="S745">
            <v>1.1227108850713362E-2</v>
          </cell>
        </row>
        <row r="746">
          <cell r="M746">
            <v>1.4749262536873156E-3</v>
          </cell>
          <cell r="S746">
            <v>3.7562644797943621E-4</v>
          </cell>
        </row>
        <row r="747">
          <cell r="M747">
            <v>-1.4727540500736377E-3</v>
          </cell>
          <cell r="S747">
            <v>-7.1703397801570722E-3</v>
          </cell>
        </row>
        <row r="748">
          <cell r="M748">
            <v>1.8879056047197238E-3</v>
          </cell>
          <cell r="S748">
            <v>5.8415386970052221E-3</v>
          </cell>
        </row>
        <row r="749">
          <cell r="M749">
            <v>1.400011777175832E-2</v>
          </cell>
          <cell r="S749">
            <v>1.1952193870856321E-2</v>
          </cell>
        </row>
        <row r="750">
          <cell r="M750">
            <v>1.3371274263563694E-2</v>
          </cell>
          <cell r="S750">
            <v>-1.4165037505750461E-4</v>
          </cell>
        </row>
        <row r="751">
          <cell r="M751">
            <v>-9.1690544412607131E-3</v>
          </cell>
          <cell r="S751">
            <v>7.6545629979040666E-4</v>
          </cell>
        </row>
        <row r="752">
          <cell r="M752">
            <v>-8.0682475419318108E-3</v>
          </cell>
          <cell r="S752">
            <v>-3.3332425884083066E-3</v>
          </cell>
        </row>
        <row r="753">
          <cell r="M753">
            <v>3.7462464651177082E-3</v>
          </cell>
          <cell r="S753">
            <v>5.4629046919795826E-6</v>
          </cell>
        </row>
        <row r="754">
          <cell r="M754">
            <v>7.8566345720965571E-3</v>
          </cell>
          <cell r="S754">
            <v>-3.3050392835330378E-3</v>
          </cell>
        </row>
        <row r="755">
          <cell r="M755">
            <v>-5.763688760806916E-3</v>
          </cell>
          <cell r="S755">
            <v>-2.2974116574073079E-3</v>
          </cell>
        </row>
        <row r="756">
          <cell r="M756">
            <v>-5.7971014492753624E-3</v>
          </cell>
          <cell r="S756">
            <v>-1.4810335283858236E-2</v>
          </cell>
        </row>
        <row r="757">
          <cell r="M757">
            <v>-9.4752186588921289E-3</v>
          </cell>
          <cell r="S757">
            <v>-1.6639369327751919E-4</v>
          </cell>
        </row>
        <row r="758">
          <cell r="M758">
            <v>-6.6225165562913907E-3</v>
          </cell>
          <cell r="S758">
            <v>4.2901469839915938E-3</v>
          </cell>
        </row>
        <row r="759">
          <cell r="M759">
            <v>1.037037037037037E-2</v>
          </cell>
          <cell r="S759">
            <v>-2.0962595638926084E-3</v>
          </cell>
        </row>
        <row r="760">
          <cell r="M760">
            <v>-8.7976539589442824E-3</v>
          </cell>
          <cell r="S760">
            <v>-8.0447138283392273E-4</v>
          </cell>
        </row>
        <row r="761">
          <cell r="M761">
            <v>-2.9585798816568046E-2</v>
          </cell>
          <cell r="S761">
            <v>1.4988492411185969E-3</v>
          </cell>
        </row>
        <row r="762">
          <cell r="M762">
            <v>4.5731707317073168E-3</v>
          </cell>
          <cell r="S762">
            <v>2.8470661249403117E-3</v>
          </cell>
        </row>
        <row r="763">
          <cell r="M763">
            <v>1.0622154779969651E-2</v>
          </cell>
          <cell r="S763">
            <v>-1.1379001948398733E-4</v>
          </cell>
        </row>
        <row r="764">
          <cell r="M764">
            <v>-2.8528528528528187E-3</v>
          </cell>
          <cell r="S764">
            <v>6.5834906720386279E-3</v>
          </cell>
        </row>
        <row r="765">
          <cell r="M765">
            <v>3.1471163981328078E-2</v>
          </cell>
          <cell r="S765">
            <v>6.607649905189408E-3</v>
          </cell>
        </row>
        <row r="766">
          <cell r="M766">
            <v>6.0000000000000201E-3</v>
          </cell>
          <cell r="S766">
            <v>9.7351914087729797E-3</v>
          </cell>
        </row>
        <row r="767">
          <cell r="M767">
            <v>1.4366356604896301E-3</v>
          </cell>
          <cell r="S767">
            <v>-5.5556097629726733E-3</v>
          </cell>
        </row>
        <row r="768">
          <cell r="M768">
            <v>-1.3490798435009504E-2</v>
          </cell>
          <cell r="S768">
            <v>1.0186876416312949E-3</v>
          </cell>
        </row>
        <row r="769">
          <cell r="M769">
            <v>3.0846516546958151E-4</v>
          </cell>
          <cell r="S769">
            <v>-1.4898828459812142E-3</v>
          </cell>
        </row>
        <row r="770">
          <cell r="M770">
            <v>4.4052863436123352E-3</v>
          </cell>
          <cell r="S770">
            <v>2.3275979603522394E-3</v>
          </cell>
        </row>
        <row r="771">
          <cell r="M771">
            <v>1.3157894736842105E-2</v>
          </cell>
          <cell r="S771">
            <v>8.5272574728579836E-3</v>
          </cell>
        </row>
        <row r="772">
          <cell r="M772">
            <v>-7.5036075036075695E-3</v>
          </cell>
          <cell r="S772">
            <v>-8.6258539103353394E-3</v>
          </cell>
        </row>
        <row r="773">
          <cell r="M773">
            <v>1.3521372492004415E-3</v>
          </cell>
          <cell r="S773">
            <v>3.032866318792969E-3</v>
          </cell>
        </row>
        <row r="774">
          <cell r="M774">
            <v>-8.3196608249967597E-3</v>
          </cell>
          <cell r="S774">
            <v>-9.446309704321176E-3</v>
          </cell>
        </row>
        <row r="775">
          <cell r="M775">
            <v>1.4787701317715825E-3</v>
          </cell>
          <cell r="S775">
            <v>1.9194160733624131E-3</v>
          </cell>
        </row>
        <row r="776">
          <cell r="M776">
            <v>1.0219148842853187E-2</v>
          </cell>
          <cell r="S776">
            <v>-1.0255468307540324E-3</v>
          </cell>
        </row>
        <row r="777">
          <cell r="M777">
            <v>-8.755426917510788E-3</v>
          </cell>
          <cell r="S777">
            <v>-5.3343781739222749E-3</v>
          </cell>
        </row>
        <row r="778">
          <cell r="M778">
            <v>5.9128403533103939E-3</v>
          </cell>
          <cell r="S778">
            <v>5.1664682413058681E-3</v>
          </cell>
        </row>
        <row r="779">
          <cell r="M779">
            <v>-1.3076923076923064E-2</v>
          </cell>
          <cell r="S779">
            <v>-6.853071435749424E-3</v>
          </cell>
        </row>
        <row r="780">
          <cell r="M780">
            <v>-4.397123487110118E-3</v>
          </cell>
          <cell r="S780">
            <v>-7.730334403592329E-3</v>
          </cell>
        </row>
        <row r="781">
          <cell r="M781">
            <v>-1.4771048744460858E-3</v>
          </cell>
          <cell r="S781">
            <v>2.6823850788830483E-3</v>
          </cell>
        </row>
        <row r="782">
          <cell r="M782">
            <v>1.4792899408284023E-3</v>
          </cell>
          <cell r="S782">
            <v>-2.885720666865774E-2</v>
          </cell>
        </row>
        <row r="783">
          <cell r="M783">
            <v>6.9128508124076072E-3</v>
          </cell>
          <cell r="S783">
            <v>3.5073742012127151E-3</v>
          </cell>
        </row>
        <row r="784">
          <cell r="M784">
            <v>-1.5520478817040148E-2</v>
          </cell>
          <cell r="S784">
            <v>1.0839564353050186E-2</v>
          </cell>
        </row>
        <row r="785">
          <cell r="M785">
            <v>-1.2069736253911521E-2</v>
          </cell>
          <cell r="S785">
            <v>7.7049531713292091E-3</v>
          </cell>
        </row>
        <row r="786">
          <cell r="M786">
            <v>5.4298642533936996E-3</v>
          </cell>
          <cell r="S786">
            <v>-6.4606444395737825E-3</v>
          </cell>
        </row>
        <row r="787">
          <cell r="M787">
            <v>-5.4740474047404751E-2</v>
          </cell>
          <cell r="S787">
            <v>2.605914707512705E-4</v>
          </cell>
        </row>
        <row r="788">
          <cell r="M788">
            <v>7.7288092555268199E-3</v>
          </cell>
          <cell r="S788">
            <v>5.7562235939132218E-4</v>
          </cell>
        </row>
        <row r="789">
          <cell r="M789">
            <v>3.1528552080380454E-2</v>
          </cell>
          <cell r="S789">
            <v>-2.8829204951140591E-2</v>
          </cell>
        </row>
        <row r="790">
          <cell r="M790">
            <v>-2.2900763358778626E-2</v>
          </cell>
          <cell r="S790">
            <v>-8.9819092947808141E-3</v>
          </cell>
        </row>
        <row r="791">
          <cell r="M791">
            <v>-2.6578124999999987E-2</v>
          </cell>
          <cell r="S791">
            <v>3.8390003346677423E-3</v>
          </cell>
        </row>
        <row r="792">
          <cell r="M792">
            <v>-9.6309732098428542E-3</v>
          </cell>
          <cell r="S792">
            <v>1.8833741917377512E-2</v>
          </cell>
        </row>
        <row r="793">
          <cell r="M793">
            <v>3.6953597303035265E-3</v>
          </cell>
          <cell r="S793">
            <v>-4.567239831056156E-3</v>
          </cell>
        </row>
        <row r="794">
          <cell r="M794">
            <v>-7.4717005506483414E-2</v>
          </cell>
          <cell r="S794">
            <v>-6.5616987295127847E-3</v>
          </cell>
        </row>
        <row r="795">
          <cell r="M795">
            <v>-1.0471204188481676E-2</v>
          </cell>
          <cell r="S795">
            <v>8.1382363365231011E-3</v>
          </cell>
        </row>
        <row r="796">
          <cell r="M796">
            <v>-2.821869488536155E-2</v>
          </cell>
          <cell r="S796">
            <v>5.8524943606813257E-3</v>
          </cell>
        </row>
        <row r="797">
          <cell r="M797">
            <v>7.3557168784028987E-2</v>
          </cell>
          <cell r="S797">
            <v>-3.8307528545885039E-3</v>
          </cell>
        </row>
        <row r="798">
          <cell r="M798">
            <v>-3.174817845248757E-2</v>
          </cell>
          <cell r="S798">
            <v>-1.7742733334200816E-2</v>
          </cell>
        </row>
        <row r="799">
          <cell r="M799">
            <v>-3.0379746835443198E-3</v>
          </cell>
          <cell r="S799">
            <v>4.6537332003717411E-3</v>
          </cell>
        </row>
        <row r="800">
          <cell r="M800">
            <v>2.0997880947794277E-2</v>
          </cell>
          <cell r="S800">
            <v>-6.1137787408901208E-4</v>
          </cell>
        </row>
        <row r="801">
          <cell r="M801">
            <v>3.4305317324185248E-3</v>
          </cell>
          <cell r="S801">
            <v>7.3780564158839315E-3</v>
          </cell>
        </row>
        <row r="802">
          <cell r="M802">
            <v>-1.7094017094017094E-3</v>
          </cell>
          <cell r="S802">
            <v>6.5690084795115415E-4</v>
          </cell>
        </row>
        <row r="803">
          <cell r="M803">
            <v>-2.8030821917808226E-2</v>
          </cell>
          <cell r="S803">
            <v>8.7809412107237202E-3</v>
          </cell>
        </row>
        <row r="804">
          <cell r="M804">
            <v>1.4745520849849382E-2</v>
          </cell>
          <cell r="S804">
            <v>1.1497816247988997E-2</v>
          </cell>
        </row>
        <row r="805">
          <cell r="M805">
            <v>-8.6805555555555559E-3</v>
          </cell>
          <cell r="S805">
            <v>-2.2759441657834146E-3</v>
          </cell>
        </row>
        <row r="806">
          <cell r="M806">
            <v>2.8021015761821366E-2</v>
          </cell>
          <cell r="S806">
            <v>1.3335645894812526E-2</v>
          </cell>
        </row>
        <row r="807">
          <cell r="M807">
            <v>1.8177172061328722E-2</v>
          </cell>
          <cell r="S807">
            <v>4.9696375356313265E-3</v>
          </cell>
        </row>
        <row r="808">
          <cell r="M808">
            <v>3.5671859052654561E-2</v>
          </cell>
          <cell r="S808">
            <v>-2.7685749348147843E-2</v>
          </cell>
        </row>
        <row r="809">
          <cell r="M809">
            <v>1.2940435225124785E-2</v>
          </cell>
          <cell r="S809">
            <v>5.9313872430531408E-4</v>
          </cell>
        </row>
        <row r="810">
          <cell r="M810">
            <v>1.594896331738437E-3</v>
          </cell>
          <cell r="S810">
            <v>4.1663555520750463E-3</v>
          </cell>
        </row>
        <row r="811">
          <cell r="M811">
            <v>1.3296178343949082E-2</v>
          </cell>
          <cell r="S811">
            <v>-7.3512109197004108E-3</v>
          </cell>
        </row>
        <row r="812">
          <cell r="M812">
            <v>1.1455959770566454E-2</v>
          </cell>
          <cell r="S812">
            <v>1.5021640068486346E-2</v>
          </cell>
        </row>
        <row r="813">
          <cell r="M813">
            <v>-7.4793362749362977E-2</v>
          </cell>
          <cell r="S813">
            <v>3.8258433311778341E-2</v>
          </cell>
        </row>
        <row r="814">
          <cell r="M814">
            <v>-1.9311502938706968E-2</v>
          </cell>
          <cell r="S814">
            <v>5.6842610763993056E-3</v>
          </cell>
        </row>
        <row r="815">
          <cell r="M815">
            <v>1.7294520547945049E-3</v>
          </cell>
          <cell r="S815">
            <v>-5.20952971582468E-3</v>
          </cell>
        </row>
        <row r="816">
          <cell r="M816">
            <v>-1.0273328661048515E-2</v>
          </cell>
          <cell r="S816">
            <v>6.9084056275790428E-3</v>
          </cell>
        </row>
        <row r="817">
          <cell r="M817">
            <v>1.8998272884283247E-2</v>
          </cell>
          <cell r="S817">
            <v>2.5193381956065846E-3</v>
          </cell>
        </row>
        <row r="818">
          <cell r="M818">
            <v>6.2711864406779658E-2</v>
          </cell>
          <cell r="S818">
            <v>-1.3293552101498012E-3</v>
          </cell>
        </row>
        <row r="819">
          <cell r="M819">
            <v>-4.7846889952153108E-3</v>
          </cell>
          <cell r="S819">
            <v>-4.4312809803437447E-3</v>
          </cell>
        </row>
        <row r="820">
          <cell r="M820">
            <v>-2.0833333333333332E-2</v>
          </cell>
          <cell r="S820">
            <v>-8.4215778868615854E-3</v>
          </cell>
        </row>
        <row r="821">
          <cell r="M821">
            <v>4.893617021276611E-3</v>
          </cell>
          <cell r="S821">
            <v>-6.32390109866193E-3</v>
          </cell>
        </row>
        <row r="822">
          <cell r="M822">
            <v>-9.7558592159481573E-3</v>
          </cell>
          <cell r="S822">
            <v>-2.181692967457417E-3</v>
          </cell>
        </row>
        <row r="823">
          <cell r="M823">
            <v>-7.9769736842105633E-3</v>
          </cell>
          <cell r="S823">
            <v>1.1420318565048009E-2</v>
          </cell>
        </row>
        <row r="824">
          <cell r="M824">
            <v>-1.3512393268672764E-2</v>
          </cell>
          <cell r="S824">
            <v>-5.5472535581926989E-3</v>
          </cell>
        </row>
        <row r="825">
          <cell r="M825">
            <v>-6.7226890756302525E-3</v>
          </cell>
          <cell r="S825">
            <v>-6.206557426425118E-3</v>
          </cell>
        </row>
        <row r="826">
          <cell r="M826">
            <v>-1.6920473773265651E-3</v>
          </cell>
          <cell r="S826">
            <v>-6.234777624288145E-3</v>
          </cell>
        </row>
        <row r="827">
          <cell r="M827">
            <v>-8.4915254237287983E-3</v>
          </cell>
          <cell r="S827">
            <v>-9.0299519927443429E-3</v>
          </cell>
        </row>
        <row r="828">
          <cell r="M828">
            <v>3.5898049539314584E-4</v>
          </cell>
          <cell r="S828">
            <v>-3.2284653198726747E-2</v>
          </cell>
        </row>
        <row r="829">
          <cell r="M829">
            <v>-9.0567327409433827E-3</v>
          </cell>
          <cell r="S829">
            <v>2.563077942734754E-3</v>
          </cell>
        </row>
        <row r="830">
          <cell r="M830">
            <v>-1.6209691326090667E-2</v>
          </cell>
          <cell r="S830">
            <v>-1.4738982483594728E-2</v>
          </cell>
        </row>
        <row r="831">
          <cell r="M831">
            <v>-8.7642418930762491E-3</v>
          </cell>
          <cell r="S831">
            <v>8.2331793160327397E-4</v>
          </cell>
        </row>
        <row r="832">
          <cell r="M832">
            <v>-8.9832007073387104E-3</v>
          </cell>
          <cell r="S832">
            <v>1.3707258352518105E-2</v>
          </cell>
        </row>
        <row r="833">
          <cell r="M833">
            <v>-7.4997323435994384E-2</v>
          </cell>
          <cell r="S833">
            <v>-1.8836667781189809E-2</v>
          </cell>
        </row>
        <row r="834">
          <cell r="M834">
            <v>-3.6459036632650829E-3</v>
          </cell>
          <cell r="S834">
            <v>1.3766976693168908E-3</v>
          </cell>
        </row>
        <row r="835">
          <cell r="M835">
            <v>-8.6931268151016639E-3</v>
          </cell>
          <cell r="S835">
            <v>7.040667920234155E-3</v>
          </cell>
        </row>
        <row r="836">
          <cell r="M836">
            <v>5.8397296927794554E-3</v>
          </cell>
          <cell r="S836">
            <v>-1.0093690269896468E-3</v>
          </cell>
        </row>
        <row r="837">
          <cell r="M837">
            <v>1.6174757281553476E-2</v>
          </cell>
          <cell r="S837">
            <v>2.7277940695779423E-3</v>
          </cell>
        </row>
        <row r="838">
          <cell r="M838">
            <v>-4.4388817763170496E-2</v>
          </cell>
          <cell r="S838">
            <v>-1.5323417021069197E-2</v>
          </cell>
        </row>
        <row r="839">
          <cell r="M839">
            <v>-1.0197960407918462E-2</v>
          </cell>
          <cell r="S839">
            <v>-1.1543994203615678E-2</v>
          </cell>
        </row>
        <row r="840">
          <cell r="M840">
            <v>1.8282828282828307E-2</v>
          </cell>
          <cell r="S840">
            <v>1.4860434914442556E-3</v>
          </cell>
        </row>
        <row r="841">
          <cell r="M841">
            <v>-4.0670568395992689E-3</v>
          </cell>
          <cell r="S841">
            <v>1.2592632792115414E-2</v>
          </cell>
        </row>
        <row r="842">
          <cell r="M842">
            <v>1.5737051792829094E-3</v>
          </cell>
          <cell r="S842">
            <v>7.5159179073901348E-3</v>
          </cell>
        </row>
        <row r="843">
          <cell r="M843">
            <v>-5.3282682630919509E-2</v>
          </cell>
          <cell r="S843">
            <v>4.1690143473914754E-3</v>
          </cell>
        </row>
        <row r="844">
          <cell r="M844">
            <v>-1.8382352941176471E-2</v>
          </cell>
          <cell r="S844">
            <v>8.8289675637672187E-4</v>
          </cell>
        </row>
        <row r="845">
          <cell r="M845">
            <v>1.0743713215623289E-2</v>
          </cell>
          <cell r="S845">
            <v>-7.4771102002082392E-3</v>
          </cell>
        </row>
        <row r="846">
          <cell r="M846">
            <v>1.8802803481059553E-2</v>
          </cell>
          <cell r="S846">
            <v>-1.21182878489214E-2</v>
          </cell>
        </row>
        <row r="847">
          <cell r="M847">
            <v>9.7682635352801528E-3</v>
          </cell>
          <cell r="S847">
            <v>-2.1853117258879666E-2</v>
          </cell>
        </row>
        <row r="848">
          <cell r="M848">
            <v>2.3669856951733606E-3</v>
          </cell>
          <cell r="S848">
            <v>6.3495283055403223E-3</v>
          </cell>
        </row>
        <row r="849">
          <cell r="M849">
            <v>-2.8747433264887063E-2</v>
          </cell>
          <cell r="S849">
            <v>-2.1165441355963121E-4</v>
          </cell>
        </row>
        <row r="850">
          <cell r="M850">
            <v>-2.0084566596194502E-2</v>
          </cell>
          <cell r="S850">
            <v>-3.6686512666710125E-4</v>
          </cell>
        </row>
        <row r="851">
          <cell r="M851">
            <v>-2.696871628910464E-2</v>
          </cell>
          <cell r="S851">
            <v>4.399184081306828E-3</v>
          </cell>
        </row>
        <row r="852">
          <cell r="M852">
            <v>-3.2882483370288214E-2</v>
          </cell>
          <cell r="S852">
            <v>6.6793719372935014E-3</v>
          </cell>
        </row>
        <row r="853">
          <cell r="M853">
            <v>2.5746841827727632E-2</v>
          </cell>
          <cell r="S853">
            <v>-2.7009574975252793E-2</v>
          </cell>
        </row>
        <row r="854">
          <cell r="M854">
            <v>-4.0232454179703944E-3</v>
          </cell>
          <cell r="S854">
            <v>4.2747137776410083E-3</v>
          </cell>
        </row>
        <row r="855">
          <cell r="M855">
            <v>4.1292639138240522E-2</v>
          </cell>
          <cell r="S855">
            <v>9.3560587976815445E-3</v>
          </cell>
        </row>
        <row r="856">
          <cell r="M856">
            <v>4.5258620689655662E-3</v>
          </cell>
          <cell r="S856">
            <v>7.0313346504567971E-3</v>
          </cell>
        </row>
        <row r="857">
          <cell r="M857">
            <v>2.317099334906638E-3</v>
          </cell>
          <cell r="S857">
            <v>9.8394063190747061E-3</v>
          </cell>
        </row>
        <row r="858">
          <cell r="M858">
            <v>-4.0476903977053863E-2</v>
          </cell>
          <cell r="S858">
            <v>-8.6324973730895881E-3</v>
          </cell>
        </row>
        <row r="859">
          <cell r="M859">
            <v>-2.833113971490356E-3</v>
          </cell>
          <cell r="S859">
            <v>1.7927815749247403E-2</v>
          </cell>
        </row>
        <row r="860">
          <cell r="M860">
            <v>1.5659955257270694E-2</v>
          </cell>
          <cell r="S860">
            <v>-1.5945557947558532E-3</v>
          </cell>
        </row>
        <row r="861">
          <cell r="M861">
            <v>1.0969162995594754E-2</v>
          </cell>
          <cell r="S861">
            <v>6.0961219686025284E-3</v>
          </cell>
        </row>
        <row r="862">
          <cell r="M862">
            <v>1.047975946664343E-2</v>
          </cell>
          <cell r="S862">
            <v>-3.8981697437809854E-2</v>
          </cell>
        </row>
        <row r="863">
          <cell r="M863">
            <v>-2.8655210332262489E-2</v>
          </cell>
          <cell r="S863">
            <v>2.0139925688989417E-2</v>
          </cell>
        </row>
        <row r="864">
          <cell r="M864">
            <v>3.2164261931187592E-2</v>
          </cell>
          <cell r="S864">
            <v>-2.6970834964039386E-3</v>
          </cell>
        </row>
        <row r="865">
          <cell r="M865">
            <v>-1.2881997462311038E-2</v>
          </cell>
          <cell r="S865">
            <v>-1.120275480167658E-2</v>
          </cell>
        </row>
        <row r="866">
          <cell r="M866">
            <v>6.5359477124183009E-3</v>
          </cell>
          <cell r="S866">
            <v>5.8865220921343261E-3</v>
          </cell>
        </row>
        <row r="867">
          <cell r="M867">
            <v>-5.5909090909090874E-2</v>
          </cell>
          <cell r="S867">
            <v>2.1549882368743427E-3</v>
          </cell>
        </row>
        <row r="868">
          <cell r="M868">
            <v>2.0244400119219533E-2</v>
          </cell>
          <cell r="S868">
            <v>-6.7777474847075803E-3</v>
          </cell>
        </row>
        <row r="869">
          <cell r="M869">
            <v>1.1460674157303423E-2</v>
          </cell>
          <cell r="S869">
            <v>-5.9402842059108904E-3</v>
          </cell>
        </row>
        <row r="870">
          <cell r="M870">
            <v>6.4430126638524267E-3</v>
          </cell>
          <cell r="S870">
            <v>1.392127061641186E-3</v>
          </cell>
        </row>
        <row r="871">
          <cell r="M871">
            <v>6.6225165562913907E-3</v>
          </cell>
          <cell r="S871">
            <v>4.4757274028852231E-3</v>
          </cell>
        </row>
        <row r="872">
          <cell r="M872">
            <v>-7.2587719298245661E-3</v>
          </cell>
          <cell r="S872">
            <v>1.2547404085863823E-2</v>
          </cell>
        </row>
        <row r="873">
          <cell r="M873">
            <v>-1.9196359539640807E-2</v>
          </cell>
          <cell r="S873">
            <v>1.1612705036002317E-2</v>
          </cell>
        </row>
        <row r="874">
          <cell r="M874">
            <v>-1.5765765765765764E-2</v>
          </cell>
          <cell r="S874">
            <v>-6.4700602683752662E-3</v>
          </cell>
        </row>
        <row r="875">
          <cell r="M875">
            <v>-3.1350114416476079E-3</v>
          </cell>
          <cell r="S875">
            <v>-1.682237704132945E-2</v>
          </cell>
        </row>
        <row r="876">
          <cell r="M876">
            <v>-1.4232261322682197E-3</v>
          </cell>
          <cell r="S876">
            <v>-2.3642937589790556E-2</v>
          </cell>
        </row>
        <row r="877">
          <cell r="M877">
            <v>2.7562584768166271E-2</v>
          </cell>
          <cell r="S877">
            <v>1.7487404389355185E-3</v>
          </cell>
        </row>
        <row r="878">
          <cell r="M878">
            <v>2.1252796420581657E-2</v>
          </cell>
          <cell r="S878">
            <v>-1.5520382009752844E-2</v>
          </cell>
        </row>
        <row r="879">
          <cell r="M879">
            <v>-1.2048192771084338E-2</v>
          </cell>
          <cell r="S879">
            <v>6.1646801860325727E-3</v>
          </cell>
        </row>
        <row r="880">
          <cell r="M880">
            <v>-2.4434589800443419E-2</v>
          </cell>
          <cell r="S880">
            <v>-5.8207513979236652E-3</v>
          </cell>
        </row>
        <row r="881">
          <cell r="M881">
            <v>-2.4978408109459539E-2</v>
          </cell>
          <cell r="S881">
            <v>1.2556463931100857E-3</v>
          </cell>
        </row>
        <row r="882">
          <cell r="M882">
            <v>1.1888389006736542E-3</v>
          </cell>
          <cell r="S882">
            <v>1.9699679526144001E-3</v>
          </cell>
        </row>
        <row r="883">
          <cell r="M883">
            <v>-1.7438882421420276E-2</v>
          </cell>
          <cell r="S883">
            <v>7.6052019581393671E-3</v>
          </cell>
        </row>
        <row r="884">
          <cell r="M884">
            <v>-7.2273168882254248E-3</v>
          </cell>
          <cell r="S884">
            <v>-3.1353161534824862E-3</v>
          </cell>
        </row>
        <row r="885">
          <cell r="M885">
            <v>-2.3152568264272733E-3</v>
          </cell>
          <cell r="S885">
            <v>-1.8530344435268189E-3</v>
          </cell>
        </row>
        <row r="886">
          <cell r="M886">
            <v>-7.1772051962965622E-3</v>
          </cell>
          <cell r="S886">
            <v>2.885769922916418E-3</v>
          </cell>
        </row>
        <row r="887">
          <cell r="M887">
            <v>1.6867876334367859E-4</v>
          </cell>
          <cell r="S887">
            <v>2.1826943483975934E-2</v>
          </cell>
        </row>
        <row r="888">
          <cell r="M888">
            <v>2.2647328097142529E-3</v>
          </cell>
          <cell r="S888">
            <v>8.6805407599478621E-3</v>
          </cell>
        </row>
        <row r="889">
          <cell r="M889">
            <v>-9.7836538461538291E-3</v>
          </cell>
          <cell r="S889">
            <v>1.6194665249821435E-2</v>
          </cell>
        </row>
        <row r="890">
          <cell r="M890">
            <v>6.2632000582622874E-3</v>
          </cell>
          <cell r="S890">
            <v>9.4690167102810269E-3</v>
          </cell>
        </row>
        <row r="891">
          <cell r="M891">
            <v>6.0070927118766959E-3</v>
          </cell>
          <cell r="S891">
            <v>-5.9188348705783598E-3</v>
          </cell>
        </row>
        <row r="892">
          <cell r="M892">
            <v>5.5203836930455594E-2</v>
          </cell>
          <cell r="S892">
            <v>1.454052036143926E-2</v>
          </cell>
        </row>
        <row r="893">
          <cell r="M893">
            <v>3.3930275896550177E-2</v>
          </cell>
          <cell r="S893">
            <v>1.7832322271188032E-2</v>
          </cell>
        </row>
        <row r="894">
          <cell r="M894">
            <v>2.4618089899988985E-2</v>
          </cell>
          <cell r="S894">
            <v>-4.2487910866625123E-3</v>
          </cell>
        </row>
        <row r="895">
          <cell r="M895">
            <v>-1.0618899495870405E-2</v>
          </cell>
          <cell r="S895">
            <v>5.5271513713817154E-3</v>
          </cell>
        </row>
        <row r="896">
          <cell r="M896">
            <v>7.0468343451864706E-3</v>
          </cell>
          <cell r="S896">
            <v>-4.4660110594789901E-3</v>
          </cell>
        </row>
        <row r="897">
          <cell r="M897">
            <v>-2.4760469372375441E-3</v>
          </cell>
          <cell r="S897">
            <v>-4.8491887354391765E-3</v>
          </cell>
        </row>
        <row r="898">
          <cell r="M898">
            <v>2.2879343837686091E-2</v>
          </cell>
          <cell r="S898">
            <v>-1.0260765669108229E-2</v>
          </cell>
        </row>
        <row r="899">
          <cell r="M899">
            <v>1.0782865583456454E-2</v>
          </cell>
          <cell r="S899">
            <v>1.2611770331844588E-2</v>
          </cell>
        </row>
        <row r="900">
          <cell r="M900">
            <v>5.2170100832968018E-2</v>
          </cell>
          <cell r="S900">
            <v>-6.6433339067363713E-4</v>
          </cell>
        </row>
        <row r="901">
          <cell r="M901">
            <v>-1.0912698412698412E-2</v>
          </cell>
          <cell r="S901">
            <v>-7.0469382852958147E-3</v>
          </cell>
        </row>
        <row r="902">
          <cell r="M902">
            <v>-1.1253761283851582E-2</v>
          </cell>
          <cell r="S902">
            <v>-1.0249445942921783E-2</v>
          </cell>
        </row>
        <row r="903">
          <cell r="M903">
            <v>-5.8633772241270593E-3</v>
          </cell>
          <cell r="S903">
            <v>-2.0466520205554002E-3</v>
          </cell>
        </row>
        <row r="904">
          <cell r="M904">
            <v>5.7142857142857141E-2</v>
          </cell>
          <cell r="S904">
            <v>-7.2719632865725367E-3</v>
          </cell>
        </row>
        <row r="905">
          <cell r="M905">
            <v>-1.9305019305019305E-2</v>
          </cell>
          <cell r="S905">
            <v>3.694728672066203E-3</v>
          </cell>
        </row>
        <row r="906">
          <cell r="M906">
            <v>1.968503937007874E-2</v>
          </cell>
          <cell r="S906">
            <v>2.5720671103382146E-3</v>
          </cell>
        </row>
        <row r="907">
          <cell r="M907">
            <v>1.505791505791453E-3</v>
          </cell>
          <cell r="S907">
            <v>-3.5555750248233435E-3</v>
          </cell>
        </row>
        <row r="908">
          <cell r="M908">
            <v>-1.306912371332737E-2</v>
          </cell>
          <cell r="S908">
            <v>-1.0631516474820616E-2</v>
          </cell>
        </row>
        <row r="909">
          <cell r="M909">
            <v>-5.859375E-3</v>
          </cell>
          <cell r="S909">
            <v>2.5322927043635981E-5</v>
          </cell>
        </row>
        <row r="910">
          <cell r="M910">
            <v>1.8664047151277015E-2</v>
          </cell>
          <cell r="S910">
            <v>-2.2529667685609409E-3</v>
          </cell>
        </row>
        <row r="911">
          <cell r="M911">
            <v>9.1610414657666353E-3</v>
          </cell>
          <cell r="S911">
            <v>1.406405441740312E-3</v>
          </cell>
        </row>
        <row r="912">
          <cell r="M912">
            <v>-4.7969421882465184E-3</v>
          </cell>
          <cell r="S912">
            <v>2.9496860593921123E-3</v>
          </cell>
        </row>
        <row r="913">
          <cell r="M913">
            <v>-1.3711257057264635E-2</v>
          </cell>
          <cell r="S913">
            <v>-2.0470504546564764E-3</v>
          </cell>
        </row>
        <row r="914">
          <cell r="M914">
            <v>-3.1347352024922383E-3</v>
          </cell>
          <cell r="S914">
            <v>3.3216051964666919E-3</v>
          </cell>
        </row>
        <row r="915">
          <cell r="M915">
            <v>-7.8126525908709145E-3</v>
          </cell>
          <cell r="S915">
            <v>-1.5170944546053506E-3</v>
          </cell>
        </row>
        <row r="916">
          <cell r="M916">
            <v>1.1830941553967579E-2</v>
          </cell>
          <cell r="S916">
            <v>-3.9470527893572908E-3</v>
          </cell>
        </row>
        <row r="917">
          <cell r="M917">
            <v>1.0505836575874779E-3</v>
          </cell>
          <cell r="S917">
            <v>-2.2167911636692956E-3</v>
          </cell>
        </row>
        <row r="918">
          <cell r="M918">
            <v>-2.9929645897305629E-3</v>
          </cell>
          <cell r="S918">
            <v>-3.8124266875626707E-3</v>
          </cell>
        </row>
        <row r="919">
          <cell r="M919">
            <v>0</v>
          </cell>
          <cell r="S919">
            <v>-7.2176238343432267E-3</v>
          </cell>
        </row>
        <row r="920">
          <cell r="M920">
            <v>-3.7037037037047677E-4</v>
          </cell>
          <cell r="S920">
            <v>-6.1941863971465387E-3</v>
          </cell>
        </row>
        <row r="921">
          <cell r="M921">
            <v>-5.4796123320527013E-3</v>
          </cell>
          <cell r="S921">
            <v>-9.1857603383144225E-4</v>
          </cell>
        </row>
        <row r="922">
          <cell r="M922">
            <v>-3.5882352941176161E-3</v>
          </cell>
          <cell r="S922">
            <v>-7.5190670434262643E-3</v>
          </cell>
        </row>
        <row r="923">
          <cell r="M923">
            <v>-1.2633567506936685E-2</v>
          </cell>
          <cell r="S923">
            <v>1.3080434591549422E-2</v>
          </cell>
        </row>
        <row r="924">
          <cell r="M924">
            <v>-1.9431988041853511E-2</v>
          </cell>
          <cell r="S924">
            <v>8.9107236327000718E-3</v>
          </cell>
        </row>
        <row r="925">
          <cell r="M925">
            <v>-2.2357723577235773E-2</v>
          </cell>
          <cell r="S925">
            <v>-2.001530412062504E-3</v>
          </cell>
        </row>
        <row r="926">
          <cell r="M926">
            <v>1.2993762993762994E-2</v>
          </cell>
          <cell r="S926">
            <v>-1.0166976669314102E-2</v>
          </cell>
        </row>
        <row r="927">
          <cell r="M927">
            <v>-1.5597742432016466E-2</v>
          </cell>
          <cell r="S927">
            <v>2.7992976032979503E-3</v>
          </cell>
        </row>
        <row r="928">
          <cell r="M928">
            <v>1.7408527050974718E-2</v>
          </cell>
          <cell r="S928">
            <v>2.018786408604967E-3</v>
          </cell>
        </row>
        <row r="929">
          <cell r="M929">
            <v>1.2295081967213115E-2</v>
          </cell>
          <cell r="S929">
            <v>3.3662770523905398E-3</v>
          </cell>
        </row>
        <row r="930">
          <cell r="M930">
            <v>6.0728744939271256E-3</v>
          </cell>
          <cell r="S930">
            <v>6.3116635062802967E-3</v>
          </cell>
        </row>
        <row r="931">
          <cell r="M931">
            <v>1.3078470824949699E-2</v>
          </cell>
          <cell r="S931">
            <v>1.3197098296573428E-2</v>
          </cell>
        </row>
        <row r="932">
          <cell r="M932">
            <v>-1.3783515392254217E-2</v>
          </cell>
          <cell r="S932">
            <v>-1.7865033608416515E-3</v>
          </cell>
        </row>
        <row r="933">
          <cell r="M933">
            <v>-7.1693249556951874E-3</v>
          </cell>
          <cell r="S933">
            <v>3.0031899537248659E-3</v>
          </cell>
        </row>
        <row r="934">
          <cell r="M934">
            <v>2.7687626774847825E-2</v>
          </cell>
          <cell r="S934">
            <v>-1.3304387131131655E-3</v>
          </cell>
        </row>
        <row r="935">
          <cell r="M935">
            <v>2.1138853251751775E-2</v>
          </cell>
          <cell r="S935">
            <v>-3.5188782099030485E-3</v>
          </cell>
        </row>
        <row r="936">
          <cell r="M936">
            <v>-9.3745167774857401E-3</v>
          </cell>
          <cell r="S936">
            <v>1.8706343731089939E-3</v>
          </cell>
        </row>
        <row r="937">
          <cell r="M937">
            <v>-1.2682679362353462E-3</v>
          </cell>
          <cell r="S937">
            <v>-3.260488355670312E-3</v>
          </cell>
        </row>
        <row r="938">
          <cell r="M938">
            <v>8.0881491032703985E-3</v>
          </cell>
          <cell r="S938">
            <v>-4.6020715877803237E-3</v>
          </cell>
        </row>
        <row r="939">
          <cell r="M939">
            <v>-3.875968992248062E-3</v>
          </cell>
          <cell r="S939">
            <v>2.0071631367882506E-3</v>
          </cell>
        </row>
        <row r="940">
          <cell r="M940">
            <v>-1.8677042801557128E-3</v>
          </cell>
          <cell r="S940">
            <v>9.2446663731624527E-3</v>
          </cell>
        </row>
        <row r="941">
          <cell r="M941">
            <v>-3.898331514108415E-5</v>
          </cell>
          <cell r="S941">
            <v>-2.1079404775014958E-3</v>
          </cell>
        </row>
        <row r="942">
          <cell r="M942">
            <v>-1.9882265798603989E-3</v>
          </cell>
          <cell r="S942">
            <v>1.8140809131349123E-3</v>
          </cell>
        </row>
        <row r="943">
          <cell r="M943">
            <v>-2.9296875E-3</v>
          </cell>
          <cell r="S943">
            <v>3.1684191874254385E-3</v>
          </cell>
        </row>
        <row r="944">
          <cell r="M944">
            <v>-1.9588638589618022E-3</v>
          </cell>
          <cell r="S944">
            <v>-3.7124033850621727E-3</v>
          </cell>
        </row>
        <row r="945">
          <cell r="M945">
            <v>8.832188420019628E-3</v>
          </cell>
          <cell r="S945">
            <v>-1.5406250103697462E-2</v>
          </cell>
        </row>
        <row r="946">
          <cell r="M946">
            <v>-3.8910505836575876E-3</v>
          </cell>
          <cell r="S946">
            <v>1.512276230903052E-3</v>
          </cell>
        </row>
        <row r="947">
          <cell r="M947">
            <v>1.7578124999999556E-3</v>
          </cell>
          <cell r="S947">
            <v>-1.1117507574601183E-2</v>
          </cell>
        </row>
        <row r="948">
          <cell r="M948">
            <v>-2.7490738935464385E-3</v>
          </cell>
          <cell r="S948">
            <v>3.0220953502317978E-3</v>
          </cell>
        </row>
        <row r="949">
          <cell r="M949">
            <v>-1.0733347670531211E-2</v>
          </cell>
          <cell r="S949">
            <v>1.3183920575136177E-2</v>
          </cell>
        </row>
        <row r="950">
          <cell r="M950">
            <v>-1.6798418972332016E-2</v>
          </cell>
          <cell r="S950">
            <v>3.2505204061642249E-3</v>
          </cell>
        </row>
        <row r="951">
          <cell r="M951">
            <v>-1.0050251256281407E-2</v>
          </cell>
          <cell r="S951">
            <v>3.4836435402039365E-3</v>
          </cell>
        </row>
        <row r="952">
          <cell r="M952">
            <v>-2.4060913705583803E-2</v>
          </cell>
          <cell r="S952">
            <v>-5.5689248292557069E-3</v>
          </cell>
        </row>
        <row r="953">
          <cell r="M953">
            <v>1.1109955268906756E-2</v>
          </cell>
          <cell r="S953">
            <v>4.5644252921483745E-3</v>
          </cell>
        </row>
        <row r="954">
          <cell r="M954">
            <v>1.2366509598962922E-2</v>
          </cell>
          <cell r="S954">
            <v>5.1846299030426646E-3</v>
          </cell>
        </row>
        <row r="955">
          <cell r="M955">
            <v>-4.5731707317073168E-3</v>
          </cell>
          <cell r="S955">
            <v>1.5045654408243446E-2</v>
          </cell>
        </row>
        <row r="956">
          <cell r="M956">
            <v>3.266972945380807E-4</v>
          </cell>
          <cell r="S956">
            <v>4.4679330005848381E-3</v>
          </cell>
        </row>
        <row r="957">
          <cell r="M957">
            <v>-1.2675797595476794E-2</v>
          </cell>
          <cell r="S957">
            <v>-5.6185524546357437E-3</v>
          </cell>
        </row>
        <row r="958">
          <cell r="M958">
            <v>-1.137068430845589E-3</v>
          </cell>
          <cell r="S958">
            <v>-1.259718889925894E-3</v>
          </cell>
        </row>
        <row r="959">
          <cell r="M959">
            <v>1.0038290386008534E-2</v>
          </cell>
          <cell r="S959">
            <v>4.3671438435305748E-3</v>
          </cell>
        </row>
        <row r="960">
          <cell r="M960">
            <v>4.221311475409841E-3</v>
          </cell>
          <cell r="S960">
            <v>-3.8160932910692724E-3</v>
          </cell>
        </row>
        <row r="961">
          <cell r="M961">
            <v>1.1019058890748489E-3</v>
          </cell>
          <cell r="S961">
            <v>-2.0896913851842841E-3</v>
          </cell>
        </row>
        <row r="962">
          <cell r="M962">
            <v>-3.2613126783530835E-3</v>
          </cell>
          <cell r="S962">
            <v>7.2431140101259363E-4</v>
          </cell>
        </row>
        <row r="963">
          <cell r="M963">
            <v>-6.1349693251533744E-3</v>
          </cell>
          <cell r="S963">
            <v>3.9154663375832221E-3</v>
          </cell>
        </row>
        <row r="964">
          <cell r="M964">
            <v>2.4691358024692291E-4</v>
          </cell>
          <cell r="S964">
            <v>-1.1253564638230846E-3</v>
          </cell>
        </row>
        <row r="965">
          <cell r="M965">
            <v>1.8513947173536931E-3</v>
          </cell>
          <cell r="S965">
            <v>5.4430576644627301E-4</v>
          </cell>
        </row>
        <row r="966">
          <cell r="M966">
            <v>2.0122376904439616E-3</v>
          </cell>
          <cell r="S966">
            <v>7.7102997064356401E-4</v>
          </cell>
        </row>
        <row r="967">
          <cell r="M967">
            <v>-7.9713114754098088E-3</v>
          </cell>
          <cell r="S967">
            <v>-2.0155004817553796E-2</v>
          </cell>
        </row>
        <row r="968">
          <cell r="M968">
            <v>4.9368945074466262E-3</v>
          </cell>
          <cell r="S968">
            <v>7.1842256510013715E-3</v>
          </cell>
        </row>
        <row r="969">
          <cell r="M969">
            <v>1.0277492291880781E-3</v>
          </cell>
          <cell r="S969">
            <v>-5.8904614879218709E-4</v>
          </cell>
        </row>
        <row r="970">
          <cell r="M970">
            <v>-2.0328542094456038E-3</v>
          </cell>
          <cell r="S970">
            <v>1.0600106780313653E-3</v>
          </cell>
        </row>
        <row r="971">
          <cell r="M971">
            <v>-4.650110080039487E-3</v>
          </cell>
          <cell r="S971">
            <v>-5.7419152738436979E-3</v>
          </cell>
        </row>
        <row r="972">
          <cell r="M972">
            <v>-4.909560723514212E-2</v>
          </cell>
          <cell r="S972">
            <v>-1.2750384933843581E-2</v>
          </cell>
        </row>
        <row r="973">
          <cell r="M973">
            <v>1.5217391304347827E-2</v>
          </cell>
          <cell r="S973">
            <v>-1.7477849895235257E-3</v>
          </cell>
        </row>
        <row r="974">
          <cell r="M974">
            <v>1.284796573875803E-2</v>
          </cell>
          <cell r="S974">
            <v>6.7248532376310254E-3</v>
          </cell>
        </row>
        <row r="975">
          <cell r="M975">
            <v>-1.0338266384777984E-2</v>
          </cell>
          <cell r="S975">
            <v>-4.0096328751635978E-3</v>
          </cell>
        </row>
        <row r="976">
          <cell r="M976">
            <v>-2.193928777424118E-2</v>
          </cell>
          <cell r="S976">
            <v>1.1204848984228521E-3</v>
          </cell>
        </row>
        <row r="977">
          <cell r="M977">
            <v>-3.4597239210204384E-2</v>
          </cell>
          <cell r="S977">
            <v>-3.7826500277708319E-3</v>
          </cell>
        </row>
        <row r="978">
          <cell r="M978">
            <v>0</v>
          </cell>
          <cell r="S978">
            <v>4.1826600755165734E-3</v>
          </cell>
        </row>
        <row r="979">
          <cell r="M979">
            <v>2.3190045248868779E-2</v>
          </cell>
          <cell r="S979">
            <v>5.5904090443803945E-4</v>
          </cell>
        </row>
        <row r="980">
          <cell r="M980">
            <v>-5.5279159756771695E-4</v>
          </cell>
          <cell r="S980">
            <v>-1.3365879511098154E-2</v>
          </cell>
        </row>
        <row r="981">
          <cell r="M981">
            <v>1.7699115044248039E-3</v>
          </cell>
          <cell r="S981">
            <v>2.9558210149840882E-3</v>
          </cell>
        </row>
        <row r="982">
          <cell r="M982">
            <v>-1.7667844522968449E-3</v>
          </cell>
          <cell r="S982">
            <v>-8.0060085013903496E-3</v>
          </cell>
        </row>
        <row r="983">
          <cell r="M983">
            <v>2.5442477876105691E-3</v>
          </cell>
          <cell r="S983">
            <v>-2.7784896665480521E-2</v>
          </cell>
        </row>
        <row r="984">
          <cell r="M984">
            <v>-3.3101621979471981E-4</v>
          </cell>
          <cell r="S984">
            <v>-1.2290481755453097E-2</v>
          </cell>
        </row>
        <row r="985">
          <cell r="M985">
            <v>-4.525386313465809E-3</v>
          </cell>
          <cell r="S985">
            <v>1.2592872562234302E-2</v>
          </cell>
        </row>
        <row r="986">
          <cell r="M986">
            <v>-9.5354252134384487E-4</v>
          </cell>
          <cell r="S986">
            <v>-4.245408881346298E-3</v>
          </cell>
        </row>
        <row r="987">
          <cell r="M987">
            <v>-1.8911480067477542E-2</v>
          </cell>
          <cell r="S987">
            <v>1.2250310064231355E-2</v>
          </cell>
        </row>
        <row r="988">
          <cell r="M988">
            <v>-4.072398190045249E-2</v>
          </cell>
          <cell r="S988">
            <v>-8.7722225487334628E-3</v>
          </cell>
        </row>
        <row r="989">
          <cell r="M989">
            <v>1.2051886792452862E-2</v>
          </cell>
          <cell r="S989">
            <v>-1.3151802217476138E-2</v>
          </cell>
        </row>
        <row r="990">
          <cell r="M990">
            <v>1.8386893803453628E-2</v>
          </cell>
          <cell r="S990">
            <v>1.1912596491344152E-2</v>
          </cell>
        </row>
        <row r="991">
          <cell r="M991">
            <v>-1.6178489702517146E-2</v>
          </cell>
          <cell r="S991">
            <v>1.6934462297486463E-2</v>
          </cell>
        </row>
        <row r="992">
          <cell r="M992">
            <v>9.4899169632265343E-3</v>
          </cell>
          <cell r="S992">
            <v>9.783414088660675E-3</v>
          </cell>
        </row>
        <row r="993">
          <cell r="M993">
            <v>-2.3040943757035333E-5</v>
          </cell>
          <cell r="S993">
            <v>-4.5389174316872111E-3</v>
          </cell>
        </row>
        <row r="994">
          <cell r="M994">
            <v>-4.8387096774194071E-3</v>
          </cell>
          <cell r="S994">
            <v>-2.248057131268336E-3</v>
          </cell>
        </row>
        <row r="995">
          <cell r="M995">
            <v>3.7392915026626616E-2</v>
          </cell>
          <cell r="S995">
            <v>4.3769872691436472E-3</v>
          </cell>
        </row>
        <row r="996">
          <cell r="M996">
            <v>-4.5753822118067434E-3</v>
          </cell>
          <cell r="S996">
            <v>7.1415344155744999E-3</v>
          </cell>
        </row>
        <row r="997">
          <cell r="M997">
            <v>-1.3452914798206279E-2</v>
          </cell>
          <cell r="S997">
            <v>-1.2260190326066896E-2</v>
          </cell>
        </row>
        <row r="998">
          <cell r="M998">
            <v>-1.7045454545454544E-2</v>
          </cell>
          <cell r="S998">
            <v>7.3260525429603325E-3</v>
          </cell>
        </row>
        <row r="999">
          <cell r="M999">
            <v>1.1560693641618498E-3</v>
          </cell>
          <cell r="S999">
            <v>-1.0612354937931917E-3</v>
          </cell>
        </row>
        <row r="1000">
          <cell r="M1000">
            <v>-6.9745958429560783E-3</v>
          </cell>
          <cell r="S1000">
            <v>1.1210014181196012E-3</v>
          </cell>
        </row>
        <row r="1001">
          <cell r="M1001">
            <v>7.279408344574155E-3</v>
          </cell>
          <cell r="S1001">
            <v>-1.1774367590933177E-2</v>
          </cell>
        </row>
        <row r="1002">
          <cell r="M1002">
            <v>-1.8840479323959328E-2</v>
          </cell>
          <cell r="S1002">
            <v>-1.4946637750490028E-2</v>
          </cell>
        </row>
        <row r="1003">
          <cell r="M1003">
            <v>2.7532650900105867E-2</v>
          </cell>
          <cell r="S1003">
            <v>-3.4705789795006409E-2</v>
          </cell>
        </row>
        <row r="1004">
          <cell r="M1004">
            <v>-6.8017863277223646E-3</v>
          </cell>
          <cell r="S1004">
            <v>1.1707202062687503E-2</v>
          </cell>
        </row>
        <row r="1005">
          <cell r="M1005">
            <v>5.3495665006456214E-3</v>
          </cell>
          <cell r="S1005">
            <v>1.0437963975749389E-3</v>
          </cell>
        </row>
        <row r="1006">
          <cell r="M1006">
            <v>-1.7935779816513744E-2</v>
          </cell>
          <cell r="S1006">
            <v>-1.0908647034192235E-2</v>
          </cell>
        </row>
        <row r="1007">
          <cell r="M1007">
            <v>-1.7352515297304888E-2</v>
          </cell>
          <cell r="S1007">
            <v>9.2715107641675777E-4</v>
          </cell>
        </row>
        <row r="1008">
          <cell r="M1008">
            <v>-7.3083778966131913E-2</v>
          </cell>
          <cell r="S1008">
            <v>1.5920989689048422E-2</v>
          </cell>
        </row>
        <row r="1009">
          <cell r="M1009">
            <v>2.564102564102564E-2</v>
          </cell>
          <cell r="S1009">
            <v>1.8672074334955376E-2</v>
          </cell>
        </row>
        <row r="1010">
          <cell r="M1010">
            <v>-0.02</v>
          </cell>
          <cell r="S1010">
            <v>2.668424452493276E-2</v>
          </cell>
        </row>
        <row r="1011">
          <cell r="M1011">
            <v>-1.6581632653061226E-2</v>
          </cell>
          <cell r="S1011">
            <v>-9.6948259742014806E-3</v>
          </cell>
        </row>
        <row r="1012">
          <cell r="M1012">
            <v>1.6809338521400825E-2</v>
          </cell>
          <cell r="S1012">
            <v>-1.4320207918165771E-2</v>
          </cell>
        </row>
        <row r="1013">
          <cell r="M1013">
            <v>5.2298586662583666E-3</v>
          </cell>
          <cell r="S1013">
            <v>2.0109467293116093E-2</v>
          </cell>
        </row>
        <row r="1014">
          <cell r="M1014">
            <v>8.8064360581682297E-3</v>
          </cell>
          <cell r="S1014">
            <v>-1.3060241840666855E-3</v>
          </cell>
        </row>
        <row r="1015">
          <cell r="M1015">
            <v>1.3836477987421384E-2</v>
          </cell>
          <cell r="S1015">
            <v>2.7959174730440199E-3</v>
          </cell>
        </row>
        <row r="1016">
          <cell r="M1016">
            <v>-1.2580645161290305E-2</v>
          </cell>
          <cell r="S1016">
            <v>-6.4406430970470885E-3</v>
          </cell>
        </row>
        <row r="1017">
          <cell r="M1017">
            <v>-4.850099263689611E-3</v>
          </cell>
          <cell r="S1017">
            <v>1.7780809840884058E-2</v>
          </cell>
        </row>
        <row r="1018">
          <cell r="M1018">
            <v>3.2828282828282832E-2</v>
          </cell>
          <cell r="S1018">
            <v>8.0598153421265317E-3</v>
          </cell>
        </row>
        <row r="1019">
          <cell r="M1019">
            <v>-8.4352078239608528E-3</v>
          </cell>
          <cell r="S1019">
            <v>4.8301220824434037E-3</v>
          </cell>
        </row>
        <row r="1020">
          <cell r="M1020">
            <v>2.8233263469362564E-2</v>
          </cell>
          <cell r="S1020">
            <v>1.7814258309261987E-2</v>
          </cell>
        </row>
        <row r="1021">
          <cell r="M1021">
            <v>-9.5923261390887284E-3</v>
          </cell>
          <cell r="S1021">
            <v>-1.7067770216539584E-2</v>
          </cell>
        </row>
        <row r="1022">
          <cell r="M1022">
            <v>2.6634382566585957E-2</v>
          </cell>
          <cell r="S1022">
            <v>-5.9484765623319725E-4</v>
          </cell>
        </row>
        <row r="1023">
          <cell r="M1023">
            <v>-1.3537735849056626E-2</v>
          </cell>
          <cell r="S1023">
            <v>-1.3586563734884588E-2</v>
          </cell>
        </row>
        <row r="1024">
          <cell r="M1024">
            <v>8.9418065318223328E-3</v>
          </cell>
          <cell r="S1024">
            <v>4.2937864640136278E-3</v>
          </cell>
        </row>
        <row r="1025">
          <cell r="M1025">
            <v>2.2511848341232227E-2</v>
          </cell>
          <cell r="S1025">
            <v>-6.005780745447502E-3</v>
          </cell>
        </row>
        <row r="1026">
          <cell r="M1026">
            <v>-4.0069524913093908E-2</v>
          </cell>
          <cell r="S1026">
            <v>9.7276809242755361E-4</v>
          </cell>
        </row>
        <row r="1027">
          <cell r="M1027">
            <v>4.3214794427947675E-3</v>
          </cell>
          <cell r="S1027">
            <v>-1.0821620672488715E-2</v>
          </cell>
        </row>
        <row r="1028">
          <cell r="M1028">
            <v>-8.437499999999978E-3</v>
          </cell>
          <cell r="S1028">
            <v>6.7906388511084102E-3</v>
          </cell>
        </row>
        <row r="1029">
          <cell r="M1029">
            <v>6.084995999903006E-3</v>
          </cell>
          <cell r="S1029">
            <v>5.3177252951416183E-3</v>
          </cell>
        </row>
        <row r="1030">
          <cell r="M1030">
            <v>-1.0843373493975903E-2</v>
          </cell>
          <cell r="S1030">
            <v>-7.993907830429671E-3</v>
          </cell>
        </row>
        <row r="1031">
          <cell r="M1031">
            <v>2.4360535931790498E-3</v>
          </cell>
          <cell r="S1031">
            <v>-3.201634927425119E-3</v>
          </cell>
        </row>
        <row r="1032">
          <cell r="M1032">
            <v>-3.6452004860267314E-3</v>
          </cell>
          <cell r="S1032">
            <v>1.8760550813897729E-3</v>
          </cell>
        </row>
        <row r="1033">
          <cell r="M1033">
            <v>1.0243902439024363E-2</v>
          </cell>
          <cell r="S1033">
            <v>-6.7124148535225537E-3</v>
          </cell>
        </row>
        <row r="1034">
          <cell r="M1034">
            <v>1.2071463061325778E-4</v>
          </cell>
          <cell r="S1034">
            <v>-2.4092596537628715E-3</v>
          </cell>
        </row>
        <row r="1035">
          <cell r="M1035">
            <v>-5.5522027761018271E-4</v>
          </cell>
          <cell r="S1035">
            <v>6.3868425747604183E-3</v>
          </cell>
        </row>
        <row r="1036">
          <cell r="M1036">
            <v>4.2026955219554834E-3</v>
          </cell>
          <cell r="S1036">
            <v>1.6378303100400154E-2</v>
          </cell>
        </row>
        <row r="1037">
          <cell r="M1037">
            <v>-1.3349047527419692E-2</v>
          </cell>
          <cell r="S1037">
            <v>2.3545491932167729E-3</v>
          </cell>
        </row>
        <row r="1038">
          <cell r="M1038">
            <v>8.0202822944346087E-3</v>
          </cell>
          <cell r="S1038">
            <v>-2.4047691853590829E-3</v>
          </cell>
        </row>
        <row r="1039">
          <cell r="M1039">
            <v>-1.5719467956469165E-2</v>
          </cell>
          <cell r="S1039">
            <v>5.8643236467959383E-4</v>
          </cell>
        </row>
        <row r="1040">
          <cell r="M1040">
            <v>-2.8206388206388253E-2</v>
          </cell>
          <cell r="S1040">
            <v>5.4791069304742793E-3</v>
          </cell>
        </row>
        <row r="1041">
          <cell r="M1041">
            <v>2.3311084142394894E-2</v>
          </cell>
          <cell r="S1041">
            <v>5.009674035734578E-3</v>
          </cell>
        </row>
        <row r="1042">
          <cell r="M1042">
            <v>1.3119533527696799E-2</v>
          </cell>
          <cell r="S1042">
            <v>1.5069195554275284E-3</v>
          </cell>
        </row>
        <row r="1043">
          <cell r="M1043">
            <v>8.5355444457992924E-3</v>
          </cell>
          <cell r="S1043">
            <v>-9.6567228542038534E-4</v>
          </cell>
        </row>
        <row r="1044">
          <cell r="M1044">
            <v>5.9243138677305971E-3</v>
          </cell>
          <cell r="S1044">
            <v>1.3776881479361242E-3</v>
          </cell>
        </row>
        <row r="1045">
          <cell r="M1045">
            <v>1.194711538461545E-2</v>
          </cell>
          <cell r="S1045">
            <v>-4.2974119526084506E-3</v>
          </cell>
        </row>
        <row r="1046">
          <cell r="M1046">
            <v>-1.7815996389291397E-3</v>
          </cell>
          <cell r="S1046">
            <v>-8.7336118860010959E-3</v>
          </cell>
        </row>
        <row r="1047">
          <cell r="M1047">
            <v>6.4965970206081608E-3</v>
          </cell>
          <cell r="S1047">
            <v>-9.9564601457296717E-3</v>
          </cell>
        </row>
        <row r="1048">
          <cell r="M1048">
            <v>-1.9742286322260234E-2</v>
          </cell>
          <cell r="S1048">
            <v>-9.8904039620254175E-4</v>
          </cell>
        </row>
        <row r="1049">
          <cell r="M1049">
            <v>2.3878437047756818E-2</v>
          </cell>
          <cell r="S1049">
            <v>-1.2277514691283782E-2</v>
          </cell>
        </row>
        <row r="1050">
          <cell r="M1050">
            <v>-8.4805653710250562E-4</v>
          </cell>
          <cell r="S1050">
            <v>-1.0750171512354974E-2</v>
          </cell>
        </row>
        <row r="1051">
          <cell r="M1051">
            <v>-9.7137737539491793E-3</v>
          </cell>
          <cell r="S1051">
            <v>1.4601153421018628E-3</v>
          </cell>
        </row>
        <row r="1052">
          <cell r="M1052">
            <v>-9.5709728108184892E-3</v>
          </cell>
          <cell r="S1052">
            <v>2.0499810376754012E-3</v>
          </cell>
        </row>
        <row r="1053">
          <cell r="M1053">
            <v>-4.831730769230747E-3</v>
          </cell>
          <cell r="S1053">
            <v>-5.0515974978526269E-3</v>
          </cell>
        </row>
        <row r="1054">
          <cell r="M1054">
            <v>-2.1473948646102529E-2</v>
          </cell>
          <cell r="S1054">
            <v>-7.9087479930363077E-4</v>
          </cell>
        </row>
        <row r="1055">
          <cell r="M1055">
            <v>-8.8126388546039252E-3</v>
          </cell>
          <cell r="S1055">
            <v>3.8265072455949422E-3</v>
          </cell>
        </row>
        <row r="1056">
          <cell r="M1056">
            <v>3.9598535601325724E-3</v>
          </cell>
          <cell r="S1056">
            <v>-2.7731924562565398E-3</v>
          </cell>
        </row>
        <row r="1057">
          <cell r="M1057">
            <v>-6.4993054177416264E-3</v>
          </cell>
          <cell r="S1057">
            <v>-5.0799826522503044E-3</v>
          </cell>
        </row>
        <row r="1058">
          <cell r="M1058">
            <v>-1.1460674157303308E-2</v>
          </cell>
          <cell r="S1058">
            <v>7.5313841267952021E-4</v>
          </cell>
        </row>
        <row r="1059">
          <cell r="M1059">
            <v>6.5418908337752891E-3</v>
          </cell>
          <cell r="S1059">
            <v>1.5956331207047786E-2</v>
          </cell>
        </row>
        <row r="1060">
          <cell r="M1060">
            <v>1.631116687578419E-2</v>
          </cell>
          <cell r="S1060">
            <v>-7.4655106739900398E-3</v>
          </cell>
        </row>
        <row r="1061">
          <cell r="M1061">
            <v>-1.2345679012345678E-2</v>
          </cell>
          <cell r="S1061">
            <v>-5.337125293229778E-3</v>
          </cell>
        </row>
        <row r="1062">
          <cell r="M1062">
            <v>1.1700000000000018E-2</v>
          </cell>
          <cell r="S1062">
            <v>-7.8296210202361005E-4</v>
          </cell>
        </row>
        <row r="1063">
          <cell r="M1063">
            <v>-5.2634180092912802E-3</v>
          </cell>
          <cell r="S1063">
            <v>8.0729139842999429E-3</v>
          </cell>
        </row>
        <row r="1064">
          <cell r="M1064">
            <v>1.651968699540424E-2</v>
          </cell>
          <cell r="S1064">
            <v>1.9810073505864135E-3</v>
          </cell>
        </row>
        <row r="1065">
          <cell r="M1065">
            <v>-1.2707722385141713E-2</v>
          </cell>
          <cell r="S1065">
            <v>1.0227446267355846E-3</v>
          </cell>
        </row>
        <row r="1066">
          <cell r="M1066">
            <v>-1.2351485148514875E-2</v>
          </cell>
          <cell r="S1066">
            <v>5.0038934907890341E-3</v>
          </cell>
        </row>
        <row r="1067">
          <cell r="M1067">
            <v>-2.756823137265072E-4</v>
          </cell>
          <cell r="S1067">
            <v>1.2680462964220424E-3</v>
          </cell>
        </row>
        <row r="1068">
          <cell r="M1068">
            <v>2.88292805214348E-3</v>
          </cell>
          <cell r="S1068">
            <v>1.255526633273538E-2</v>
          </cell>
        </row>
        <row r="1069">
          <cell r="M1069">
            <v>5.1493563304586985E-3</v>
          </cell>
          <cell r="S1069">
            <v>2.2376219950244135E-3</v>
          </cell>
        </row>
        <row r="1070">
          <cell r="M1070">
            <v>-1.432443858645642E-2</v>
          </cell>
          <cell r="S1070">
            <v>8.8645674724656971E-3</v>
          </cell>
        </row>
        <row r="1071">
          <cell r="M1071">
            <v>-9.7136369370506431E-3</v>
          </cell>
          <cell r="S1071">
            <v>2.8202839529604187E-3</v>
          </cell>
        </row>
        <row r="1072">
          <cell r="M1072">
            <v>6.369426751592357E-3</v>
          </cell>
          <cell r="S1072">
            <v>8.3401373468796544E-3</v>
          </cell>
        </row>
        <row r="1073">
          <cell r="M1073">
            <v>1.5443037974683603E-2</v>
          </cell>
          <cell r="S1073">
            <v>3.8230150802668807E-3</v>
          </cell>
        </row>
        <row r="1074">
          <cell r="M1074">
            <v>-1.5208177511842488E-2</v>
          </cell>
          <cell r="S1074">
            <v>1.3946991453375396E-4</v>
          </cell>
        </row>
        <row r="1075">
          <cell r="M1075">
            <v>2.0253164556962026E-2</v>
          </cell>
          <cell r="S1075">
            <v>3.520233383538675E-3</v>
          </cell>
        </row>
        <row r="1076">
          <cell r="M1076">
            <v>-2.5062034739453867E-3</v>
          </cell>
          <cell r="S1076">
            <v>-9.7649305264574538E-3</v>
          </cell>
        </row>
        <row r="1077">
          <cell r="M1077">
            <v>7.2787880295529711E-2</v>
          </cell>
          <cell r="S1077">
            <v>-1.0893749840124761E-2</v>
          </cell>
        </row>
        <row r="1078">
          <cell r="M1078">
            <v>6.689855072463774E-2</v>
          </cell>
          <cell r="S1078">
            <v>-7.2234101717971004E-3</v>
          </cell>
        </row>
        <row r="1079">
          <cell r="M1079">
            <v>-7.28102586394267E-3</v>
          </cell>
          <cell r="S1079">
            <v>6.102989778441612E-3</v>
          </cell>
        </row>
        <row r="1080">
          <cell r="M1080">
            <v>-3.3278598795839776E-3</v>
          </cell>
          <cell r="S1080">
            <v>3.9188755259146535E-3</v>
          </cell>
        </row>
        <row r="1081">
          <cell r="M1081">
            <v>-2.0209564396019692E-2</v>
          </cell>
          <cell r="S1081">
            <v>5.5120110645161821E-3</v>
          </cell>
        </row>
        <row r="1082">
          <cell r="M1082">
            <v>-7.914265856556673E-3</v>
          </cell>
          <cell r="S1082">
            <v>6.3253513138520883E-3</v>
          </cell>
        </row>
        <row r="1083">
          <cell r="M1083">
            <v>3.3898305084745762E-3</v>
          </cell>
          <cell r="S1083">
            <v>-3.44353388138621E-3</v>
          </cell>
        </row>
        <row r="1084">
          <cell r="M1084">
            <v>3.3783783783783786E-2</v>
          </cell>
          <cell r="S1084">
            <v>-8.685671068901479E-3</v>
          </cell>
        </row>
        <row r="1085">
          <cell r="M1085">
            <v>1.2854030501089275E-2</v>
          </cell>
          <cell r="S1085">
            <v>3.440135801814361E-3</v>
          </cell>
        </row>
        <row r="1086">
          <cell r="M1086">
            <v>6.4099806409981036E-3</v>
          </cell>
          <cell r="S1086">
            <v>-9.8851684506043782E-3</v>
          </cell>
        </row>
        <row r="1087">
          <cell r="M1087">
            <v>-6.1554244678122495E-3</v>
          </cell>
          <cell r="S1087">
            <v>-2.1083160411130759E-3</v>
          </cell>
        </row>
        <row r="1088">
          <cell r="M1088">
            <v>2.5806451612902983E-3</v>
          </cell>
          <cell r="S1088">
            <v>-4.4142722786362065E-4</v>
          </cell>
        </row>
        <row r="1089">
          <cell r="M1089">
            <v>7.0785070785071031E-3</v>
          </cell>
          <cell r="S1089">
            <v>-6.8567012697307267E-4</v>
          </cell>
        </row>
        <row r="1090">
          <cell r="M1090">
            <v>8.136315228966972E-3</v>
          </cell>
          <cell r="S1090">
            <v>-1.648393121063259E-3</v>
          </cell>
        </row>
        <row r="1091">
          <cell r="M1091">
            <v>-1.3098960534099649E-3</v>
          </cell>
          <cell r="S1091">
            <v>8.4787306170828556E-3</v>
          </cell>
        </row>
        <row r="1092">
          <cell r="M1092">
            <v>-6.6638459911148237E-3</v>
          </cell>
          <cell r="S1092">
            <v>7.6323601429253403E-3</v>
          </cell>
        </row>
        <row r="1093">
          <cell r="M1093">
            <v>-2.2361835800234508E-3</v>
          </cell>
          <cell r="S1093">
            <v>-7.8728743083364156E-3</v>
          </cell>
        </row>
        <row r="1094">
          <cell r="M1094">
            <v>2.7726787620064055E-2</v>
          </cell>
          <cell r="S1094">
            <v>-1.5506381323446314E-3</v>
          </cell>
        </row>
        <row r="1095">
          <cell r="M1095">
            <v>6.5401150595027949E-2</v>
          </cell>
          <cell r="S1095">
            <v>1.9993351701760053E-3</v>
          </cell>
        </row>
        <row r="1096">
          <cell r="M1096">
            <v>-1.0721665562011544E-3</v>
          </cell>
          <cell r="S1096">
            <v>6.8258139521388036E-3</v>
          </cell>
        </row>
        <row r="1097">
          <cell r="M1097">
            <v>4.7987042132584028E-2</v>
          </cell>
          <cell r="S1097">
            <v>6.5888493181675374E-3</v>
          </cell>
        </row>
        <row r="1098">
          <cell r="M1098">
            <v>-3.9141931399202974E-2</v>
          </cell>
          <cell r="S1098">
            <v>4.9230689945430565E-3</v>
          </cell>
        </row>
        <row r="1099">
          <cell r="M1099">
            <v>0</v>
          </cell>
          <cell r="S1099">
            <v>-1.0711261984433744E-2</v>
          </cell>
        </row>
        <row r="1100">
          <cell r="M1100">
            <v>-1.8992248062015857E-3</v>
          </cell>
          <cell r="S1100">
            <v>5.6827686043534262E-3</v>
          </cell>
        </row>
        <row r="1101">
          <cell r="M1101">
            <v>-7.8443555590073464E-3</v>
          </cell>
          <cell r="S1101">
            <v>-3.162640323819214E-3</v>
          </cell>
        </row>
        <row r="1102">
          <cell r="M1102">
            <v>8.8261771497905803E-3</v>
          </cell>
          <cell r="S1102">
            <v>-5.6537425611642503E-3</v>
          </cell>
        </row>
        <row r="1103">
          <cell r="M1103">
            <v>-3.8604046635240434E-3</v>
          </cell>
          <cell r="S1103">
            <v>1.7093539701289834E-5</v>
          </cell>
        </row>
        <row r="1104">
          <cell r="M1104">
            <v>-1.3612463485881226E-2</v>
          </cell>
          <cell r="S1104">
            <v>-3.1868072871163045E-3</v>
          </cell>
        </row>
        <row r="1105">
          <cell r="M1105">
            <v>8.8645831276776554E-3</v>
          </cell>
          <cell r="S1105">
            <v>-1.6657609680107515E-3</v>
          </cell>
        </row>
        <row r="1106">
          <cell r="M1106">
            <v>4.1095890410958902E-2</v>
          </cell>
          <cell r="S1106">
            <v>-1.6573635320510025E-2</v>
          </cell>
        </row>
        <row r="1107">
          <cell r="M1107">
            <v>-4.0225563909774394E-2</v>
          </cell>
          <cell r="S1107">
            <v>-7.3061921823593299E-5</v>
          </cell>
        </row>
        <row r="1108">
          <cell r="M1108">
            <v>2.2522522522522076E-3</v>
          </cell>
          <cell r="S1108">
            <v>-1.0276651836719056E-2</v>
          </cell>
        </row>
        <row r="1109">
          <cell r="M1109">
            <v>-1.3190034196384953E-2</v>
          </cell>
          <cell r="S1109">
            <v>-1.1911579885141132E-3</v>
          </cell>
        </row>
        <row r="1110">
          <cell r="M1110">
            <v>1.0396039603960397E-2</v>
          </cell>
          <cell r="S1110">
            <v>-2.276650347520072E-3</v>
          </cell>
        </row>
        <row r="1111">
          <cell r="M1111">
            <v>5.3895149436550714E-3</v>
          </cell>
          <cell r="S1111">
            <v>3.2332211534144346E-2</v>
          </cell>
        </row>
        <row r="1112">
          <cell r="M1112">
            <v>-1.9493177387914229E-3</v>
          </cell>
          <cell r="S1112">
            <v>1.597378086659527E-3</v>
          </cell>
        </row>
        <row r="1113">
          <cell r="M1113">
            <v>0</v>
          </cell>
          <cell r="S1113">
            <v>5.9118252426622372E-2</v>
          </cell>
        </row>
        <row r="1114">
          <cell r="M1114">
            <v>2.2460937499999556E-3</v>
          </cell>
          <cell r="S1114">
            <v>-9.1200454453413734E-3</v>
          </cell>
        </row>
        <row r="1115">
          <cell r="M1115">
            <v>1.6564357400370706E-3</v>
          </cell>
          <cell r="S1115">
            <v>1.17049694859349E-3</v>
          </cell>
        </row>
        <row r="1116">
          <cell r="M1116">
            <v>2.6926070038910569E-2</v>
          </cell>
          <cell r="S1116">
            <v>1.5105681913935968E-2</v>
          </cell>
        </row>
        <row r="1117">
          <cell r="M1117">
            <v>-1.2011215519854561E-2</v>
          </cell>
          <cell r="S1117">
            <v>1.6556695826354887E-3</v>
          </cell>
        </row>
        <row r="1118">
          <cell r="M1118">
            <v>7.6222435282837966E-2</v>
          </cell>
          <cell r="S1118">
            <v>6.2526927902320124E-3</v>
          </cell>
        </row>
        <row r="1119">
          <cell r="M1119">
            <v>-2.6280623608017816E-2</v>
          </cell>
          <cell r="S1119">
            <v>1.3855134283115085E-2</v>
          </cell>
        </row>
        <row r="1120">
          <cell r="M1120">
            <v>-6.4043915827996338E-3</v>
          </cell>
          <cell r="S1120">
            <v>8.895680603675498E-3</v>
          </cell>
        </row>
        <row r="1121">
          <cell r="M1121">
            <v>3.1289134438305728E-2</v>
          </cell>
          <cell r="S1121">
            <v>-6.2440312471410998E-3</v>
          </cell>
        </row>
        <row r="1122">
          <cell r="M1122">
            <v>-7.1251272344149165E-3</v>
          </cell>
          <cell r="S1122">
            <v>-4.9579967732619303E-3</v>
          </cell>
        </row>
        <row r="1123">
          <cell r="M1123">
            <v>1.9784172661870911E-3</v>
          </cell>
          <cell r="S1123">
            <v>-5.455722562641808E-4</v>
          </cell>
        </row>
        <row r="1124">
          <cell r="M1124">
            <v>2.1360617483396117E-2</v>
          </cell>
          <cell r="S1124">
            <v>-6.1624046697535009E-4</v>
          </cell>
        </row>
        <row r="1125">
          <cell r="M1125">
            <v>2.0035149384885726E-2</v>
          </cell>
          <cell r="S1125">
            <v>1.482465744357184E-3</v>
          </cell>
        </row>
        <row r="1126">
          <cell r="M1126">
            <v>1.8952446588560007E-3</v>
          </cell>
          <cell r="S1126">
            <v>7.5466333143549271E-3</v>
          </cell>
        </row>
        <row r="1127">
          <cell r="M1127">
            <v>-2.5795356835769563E-3</v>
          </cell>
          <cell r="S1127">
            <v>1.0163212815052339E-2</v>
          </cell>
        </row>
        <row r="1128">
          <cell r="M1128">
            <v>1.7241379310348748E-4</v>
          </cell>
          <cell r="S1128">
            <v>3.863515417668939E-3</v>
          </cell>
        </row>
        <row r="1129">
          <cell r="M1129">
            <v>1.7238407171177382E-3</v>
          </cell>
          <cell r="S1129">
            <v>7.2433738444455395E-3</v>
          </cell>
        </row>
        <row r="1130">
          <cell r="M1130">
            <v>1.5487867836860734E-3</v>
          </cell>
          <cell r="S1130">
            <v>7.012186842796077E-3</v>
          </cell>
        </row>
        <row r="1131">
          <cell r="M1131">
            <v>3.2302405498281709E-3</v>
          </cell>
          <cell r="S1131">
            <v>8.8707057398909935E-3</v>
          </cell>
        </row>
        <row r="1132">
          <cell r="M1132">
            <v>2.0552168253751551E-4</v>
          </cell>
          <cell r="S1132">
            <v>1.8997621081116148E-2</v>
          </cell>
        </row>
        <row r="1133">
          <cell r="M1133">
            <v>-8.5616438356164379E-4</v>
          </cell>
          <cell r="S1133">
            <v>4.0785192503985882E-3</v>
          </cell>
        </row>
        <row r="1134">
          <cell r="M1134">
            <v>8.3976006855185793E-4</v>
          </cell>
          <cell r="S1134">
            <v>1.1072868827816483E-2</v>
          </cell>
        </row>
        <row r="1135">
          <cell r="M1135">
            <v>1.2157742427096978E-3</v>
          </cell>
          <cell r="S1135">
            <v>-3.1451125869100117E-3</v>
          </cell>
        </row>
        <row r="1136">
          <cell r="M1136">
            <v>5.6439199589532309E-3</v>
          </cell>
          <cell r="S1136">
            <v>-5.2395354319728844E-4</v>
          </cell>
        </row>
        <row r="1137">
          <cell r="M1137">
            <v>2.5510204081632651E-3</v>
          </cell>
          <cell r="S1137">
            <v>-4.1053223262559942E-3</v>
          </cell>
        </row>
        <row r="1138">
          <cell r="M1138">
            <v>4.2408821034775231E-3</v>
          </cell>
          <cell r="S1138">
            <v>-1.9766565914903517E-2</v>
          </cell>
        </row>
        <row r="1139">
          <cell r="M1139">
            <v>1.8581081081081466E-3</v>
          </cell>
          <cell r="S1139">
            <v>1.6820219853248417E-2</v>
          </cell>
        </row>
        <row r="1140">
          <cell r="M1140">
            <v>8.2616759399763567E-3</v>
          </cell>
          <cell r="S1140">
            <v>-8.6933623070607289E-3</v>
          </cell>
        </row>
        <row r="1141">
          <cell r="M1141">
            <v>8.5618729096990035E-3</v>
          </cell>
          <cell r="S1141">
            <v>1.288603620205188E-2</v>
          </cell>
        </row>
        <row r="1142">
          <cell r="M1142">
            <v>4.9575540522615886E-3</v>
          </cell>
          <cell r="S1142">
            <v>2.9189829920453023E-3</v>
          </cell>
        </row>
        <row r="1143">
          <cell r="M1143">
            <v>-6.7644486974311963E-3</v>
          </cell>
          <cell r="S1143">
            <v>-8.6340682476848344E-3</v>
          </cell>
        </row>
        <row r="1144">
          <cell r="M1144">
            <v>9.9333898108005161E-3</v>
          </cell>
          <cell r="S1144">
            <v>3.7263406653410486E-3</v>
          </cell>
        </row>
        <row r="1145">
          <cell r="M1145">
            <v>4.1283573742989044E-3</v>
          </cell>
          <cell r="S1145">
            <v>-2.2213788730831899E-3</v>
          </cell>
        </row>
        <row r="1146">
          <cell r="M1146">
            <v>9.0090090090090089E-3</v>
          </cell>
          <cell r="S1146">
            <v>-1.5980176898944803E-2</v>
          </cell>
        </row>
        <row r="1147">
          <cell r="M1147">
            <v>8.1168831168831161E-3</v>
          </cell>
          <cell r="S1147">
            <v>-6.3332557044078056E-4</v>
          </cell>
        </row>
        <row r="1148">
          <cell r="M1148">
            <v>1.0466988727858293E-2</v>
          </cell>
          <cell r="S1148">
            <v>1.5395030146757352E-5</v>
          </cell>
        </row>
        <row r="1149">
          <cell r="M1149">
            <v>-7.1394422310757264E-3</v>
          </cell>
          <cell r="S1149">
            <v>7.0042091051556038E-3</v>
          </cell>
        </row>
        <row r="1150">
          <cell r="M1150">
            <v>-1.5264357484510917E-2</v>
          </cell>
          <cell r="S1150">
            <v>-1.6659420708697182E-3</v>
          </cell>
        </row>
        <row r="1151">
          <cell r="M1151">
            <v>-1.3007122948281231E-2</v>
          </cell>
          <cell r="S1151">
            <v>-4.0401743526123747E-3</v>
          </cell>
        </row>
        <row r="1152">
          <cell r="M1152">
            <v>-4.1781579773090896E-3</v>
          </cell>
          <cell r="S1152">
            <v>-1.4916190680392646E-2</v>
          </cell>
        </row>
        <row r="1153">
          <cell r="M1153">
            <v>-3.3001658374792854E-3</v>
          </cell>
          <cell r="S1153">
            <v>-1.1243433615399149E-2</v>
          </cell>
        </row>
        <row r="1154">
          <cell r="M1154">
            <v>3.1447064108750043E-3</v>
          </cell>
          <cell r="S1154">
            <v>-2.6860246234421122E-2</v>
          </cell>
        </row>
        <row r="1155">
          <cell r="M1155">
            <v>-3.5660971968817009E-3</v>
          </cell>
          <cell r="S1155">
            <v>6.8938530180938738E-3</v>
          </cell>
        </row>
        <row r="1156">
          <cell r="M1156">
            <v>-2.034124011652106E-2</v>
          </cell>
          <cell r="S1156">
            <v>8.7121366770647225E-3</v>
          </cell>
        </row>
        <row r="1157">
          <cell r="M1157">
            <v>-5.9810035172378328E-3</v>
          </cell>
          <cell r="S1157">
            <v>-4.724397045381145E-3</v>
          </cell>
        </row>
        <row r="1158">
          <cell r="M1158">
            <v>-6.8203962325430493E-3</v>
          </cell>
          <cell r="S1158">
            <v>6.9483340616747682E-3</v>
          </cell>
        </row>
        <row r="1159">
          <cell r="M1159">
            <v>-4.3044989845444206E-2</v>
          </cell>
          <cell r="S1159">
            <v>-1.0989449997019381E-3</v>
          </cell>
        </row>
        <row r="1160">
          <cell r="M1160">
            <v>-1.7985288034371512E-5</v>
          </cell>
          <cell r="S1160">
            <v>5.6002078797164944E-3</v>
          </cell>
        </row>
        <row r="1161">
          <cell r="M1161">
            <v>7.1942446043165471E-3</v>
          </cell>
          <cell r="S1161">
            <v>-3.2110155545722685E-3</v>
          </cell>
        </row>
        <row r="1162">
          <cell r="M1162">
            <v>-6.2500000000000003E-3</v>
          </cell>
          <cell r="S1162">
            <v>-7.7910021272964312E-3</v>
          </cell>
        </row>
        <row r="1163">
          <cell r="M1163">
            <v>-4.4923629829290209E-3</v>
          </cell>
          <cell r="S1163">
            <v>1.8135117502508622E-3</v>
          </cell>
        </row>
        <row r="1164">
          <cell r="M1164">
            <v>-2.8158844765343E-2</v>
          </cell>
          <cell r="S1164">
            <v>1.2969687823804533E-3</v>
          </cell>
        </row>
        <row r="1165">
          <cell r="M1165">
            <v>8.5252600297177419E-3</v>
          </cell>
          <cell r="S1165">
            <v>2.2663721069308604E-3</v>
          </cell>
        </row>
        <row r="1166">
          <cell r="M1166">
            <v>-1.8232379970165363E-3</v>
          </cell>
          <cell r="S1166">
            <v>1.833957657019018E-3</v>
          </cell>
        </row>
        <row r="1167">
          <cell r="M1167">
            <v>-2.1217712177121772E-2</v>
          </cell>
          <cell r="S1167">
            <v>1.674614321661255E-3</v>
          </cell>
        </row>
        <row r="1168">
          <cell r="M1168">
            <v>2.7332704995287466E-2</v>
          </cell>
          <cell r="S1168">
            <v>3.9944086990111787E-4</v>
          </cell>
        </row>
        <row r="1169">
          <cell r="M1169">
            <v>-3.4862385321100919E-2</v>
          </cell>
          <cell r="S1169">
            <v>8.103409087940449E-3</v>
          </cell>
        </row>
        <row r="1170">
          <cell r="M1170">
            <v>3.3174904942965863E-2</v>
          </cell>
          <cell r="S1170">
            <v>2.8437699561146405E-3</v>
          </cell>
        </row>
        <row r="1171">
          <cell r="M1171">
            <v>-8.1700248412918466E-3</v>
          </cell>
          <cell r="S1171">
            <v>-9.0640081780662594E-4</v>
          </cell>
        </row>
        <row r="1172">
          <cell r="M1172">
            <v>-3.8032689560489686E-3</v>
          </cell>
          <cell r="S1172">
            <v>-1.8489332314817598E-3</v>
          </cell>
        </row>
        <row r="1173">
          <cell r="M1173">
            <v>-1.7878426698451212E-3</v>
          </cell>
          <cell r="S1173">
            <v>2.1481998784672529E-3</v>
          </cell>
        </row>
        <row r="1174">
          <cell r="M1174">
            <v>4.1791044776119363E-2</v>
          </cell>
          <cell r="S1174">
            <v>-3.7801655834487293E-3</v>
          </cell>
        </row>
        <row r="1175">
          <cell r="M1175">
            <v>-1.5042979942693369E-2</v>
          </cell>
          <cell r="S1175">
            <v>8.532725508131932E-3</v>
          </cell>
        </row>
        <row r="1176">
          <cell r="M1176">
            <v>9.0909090909090905E-3</v>
          </cell>
          <cell r="S1176">
            <v>2.7820742795817617E-3</v>
          </cell>
        </row>
        <row r="1177">
          <cell r="M1177">
            <v>7.2072072072072073E-3</v>
          </cell>
          <cell r="S1177">
            <v>6.9087277144714524E-3</v>
          </cell>
        </row>
        <row r="1178">
          <cell r="M1178">
            <v>2.2361359570661895E-3</v>
          </cell>
          <cell r="S1178">
            <v>8.5966750517152656E-3</v>
          </cell>
        </row>
        <row r="1179">
          <cell r="M1179">
            <v>5.0870147255689833E-3</v>
          </cell>
          <cell r="S1179">
            <v>5.0774399088884012E-4</v>
          </cell>
        </row>
        <row r="1180">
          <cell r="M1180">
            <v>6.0380039069436635E-3</v>
          </cell>
          <cell r="S1180">
            <v>4.7978611061939291E-3</v>
          </cell>
        </row>
        <row r="1181">
          <cell r="M1181">
            <v>4.4130626654898496E-3</v>
          </cell>
          <cell r="S1181">
            <v>8.5236467357024184E-3</v>
          </cell>
        </row>
        <row r="1182">
          <cell r="M1182">
            <v>1.7574692442882249E-3</v>
          </cell>
          <cell r="S1182">
            <v>7.4423338560761663E-3</v>
          </cell>
        </row>
        <row r="1183">
          <cell r="M1183">
            <v>2.1052631578947368E-2</v>
          </cell>
          <cell r="S1183">
            <v>5.5649481050187048E-3</v>
          </cell>
        </row>
        <row r="1184">
          <cell r="M1184">
            <v>-1.718213058419244E-3</v>
          </cell>
          <cell r="S1184">
            <v>1.4798742959801943E-2</v>
          </cell>
        </row>
        <row r="1185">
          <cell r="M1185">
            <v>-1.7211703958691911E-3</v>
          </cell>
          <cell r="S1185">
            <v>4.5743408170815557E-3</v>
          </cell>
        </row>
        <row r="1186">
          <cell r="M1186">
            <v>3.620689655172453E-3</v>
          </cell>
          <cell r="S1186">
            <v>-3.8614340705236203E-3</v>
          </cell>
        </row>
        <row r="1187">
          <cell r="M1187">
            <v>-3.1781480845215989E-3</v>
          </cell>
          <cell r="S1187">
            <v>-2.4569999765787485E-3</v>
          </cell>
        </row>
        <row r="1188">
          <cell r="M1188">
            <v>9.0478242137009904E-3</v>
          </cell>
          <cell r="S1188">
            <v>1.8576214842715027E-2</v>
          </cell>
        </row>
        <row r="1189">
          <cell r="M1189">
            <v>1.1101622544833475E-2</v>
          </cell>
          <cell r="S1189">
            <v>6.965865371909164E-3</v>
          </cell>
        </row>
        <row r="1190">
          <cell r="M1190">
            <v>-1.1385135135135151E-2</v>
          </cell>
          <cell r="S1190">
            <v>7.858189875306296E-3</v>
          </cell>
        </row>
        <row r="1191">
          <cell r="M1191">
            <v>1.1721286265933113E-2</v>
          </cell>
          <cell r="S1191">
            <v>-8.9676036507187803E-5</v>
          </cell>
        </row>
        <row r="1192">
          <cell r="M1192">
            <v>6.5527257988245548E-3</v>
          </cell>
          <cell r="S1192">
            <v>1.1194844536173379E-3</v>
          </cell>
        </row>
        <row r="1193">
          <cell r="M1193">
            <v>4.5302013422819556E-3</v>
          </cell>
          <cell r="S1193">
            <v>6.4703751487524665E-4</v>
          </cell>
        </row>
        <row r="1194">
          <cell r="M1194">
            <v>1.0957073659595699E-2</v>
          </cell>
          <cell r="S1194">
            <v>-3.9084490523551233E-3</v>
          </cell>
        </row>
        <row r="1195">
          <cell r="M1195">
            <v>4.5269801407659665E-3</v>
          </cell>
          <cell r="S1195">
            <v>1.0292306771497233E-2</v>
          </cell>
        </row>
        <row r="1196">
          <cell r="M1196">
            <v>3.2072368421053377E-3</v>
          </cell>
          <cell r="S1196">
            <v>9.583370643434579E-3</v>
          </cell>
        </row>
        <row r="1197">
          <cell r="M1197">
            <v>-6.0660709894254372E-3</v>
          </cell>
          <cell r="S1197">
            <v>7.3252602964697811E-3</v>
          </cell>
        </row>
        <row r="1198">
          <cell r="M1198">
            <v>6.1525773195876586E-3</v>
          </cell>
          <cell r="S1198">
            <v>6.577528718672984E-3</v>
          </cell>
        </row>
        <row r="1199">
          <cell r="M1199">
            <v>3.3115839863601788E-3</v>
          </cell>
          <cell r="S1199">
            <v>8.9995660459308378E-3</v>
          </cell>
        </row>
        <row r="1200">
          <cell r="M1200">
            <v>3.349673202614379E-2</v>
          </cell>
          <cell r="S1200">
            <v>1.4392282793726154E-2</v>
          </cell>
        </row>
        <row r="1201">
          <cell r="M1201">
            <v>3.952569169960474E-3</v>
          </cell>
          <cell r="S1201">
            <v>-2.4141173399697367E-3</v>
          </cell>
        </row>
        <row r="1202">
          <cell r="M1202">
            <v>4.7086614173228493E-3</v>
          </cell>
          <cell r="S1202">
            <v>9.2276980726181627E-3</v>
          </cell>
        </row>
        <row r="1203">
          <cell r="M1203">
            <v>3.1364127964388144E-2</v>
          </cell>
          <cell r="S1203">
            <v>2.0113108036717682E-2</v>
          </cell>
        </row>
        <row r="1204">
          <cell r="M1204">
            <v>1.1398176291793313E-2</v>
          </cell>
          <cell r="S1204">
            <v>2.0343987670682375E-2</v>
          </cell>
        </row>
        <row r="1205">
          <cell r="M1205">
            <v>4.4327573253193087E-2</v>
          </cell>
          <cell r="S1205">
            <v>2.0852089215877348E-3</v>
          </cell>
        </row>
        <row r="1206">
          <cell r="M1206">
            <v>3.3093525179856115E-2</v>
          </cell>
          <cell r="S1206">
            <v>2.1308305225318483E-3</v>
          </cell>
        </row>
        <row r="1207">
          <cell r="M1207">
            <v>1.3927576601671309E-3</v>
          </cell>
          <cell r="S1207">
            <v>1.0197782870092506E-2</v>
          </cell>
        </row>
        <row r="1208">
          <cell r="M1208">
            <v>1.3908205841446453E-3</v>
          </cell>
          <cell r="S1208">
            <v>-5.705899258093664E-3</v>
          </cell>
        </row>
        <row r="1209">
          <cell r="M1209">
            <v>2.9861111111111113E-2</v>
          </cell>
          <cell r="S1209">
            <v>8.599195748071949E-4</v>
          </cell>
        </row>
        <row r="1210">
          <cell r="M1210">
            <v>-1.5509103169251517E-2</v>
          </cell>
          <cell r="S1210">
            <v>5.9963911955264832E-3</v>
          </cell>
        </row>
        <row r="1211">
          <cell r="M1211">
            <v>-1.3698630136986301E-2</v>
          </cell>
          <cell r="S1211">
            <v>1.341429043735573E-2</v>
          </cell>
        </row>
        <row r="1212">
          <cell r="M1212">
            <v>-4.1666666666666666E-3</v>
          </cell>
          <cell r="S1212">
            <v>1.25911272370252E-2</v>
          </cell>
        </row>
        <row r="1213">
          <cell r="M1213">
            <v>-2.6499302649930265E-2</v>
          </cell>
          <cell r="S1213">
            <v>4.4565682353659023E-3</v>
          </cell>
        </row>
        <row r="1214">
          <cell r="M1214">
            <v>-2.7363896848137569E-2</v>
          </cell>
          <cell r="S1214">
            <v>1.0151869068063443E-2</v>
          </cell>
        </row>
        <row r="1215">
          <cell r="M1215">
            <v>1.4877006922963652E-2</v>
          </cell>
          <cell r="S1215">
            <v>1.7925334166693733E-2</v>
          </cell>
        </row>
        <row r="1216">
          <cell r="M1216">
            <v>4.0638606676342524E-2</v>
          </cell>
          <cell r="S1216">
            <v>-5.6958991071324339E-3</v>
          </cell>
        </row>
        <row r="1217">
          <cell r="M1217">
            <v>1.5132496513249683E-2</v>
          </cell>
          <cell r="S1217">
            <v>4.5967732337874357E-4</v>
          </cell>
        </row>
        <row r="1218">
          <cell r="M1218">
            <v>-1.2846053445078E-2</v>
          </cell>
          <cell r="S1218">
            <v>1.9239090405782488E-2</v>
          </cell>
        </row>
        <row r="1219">
          <cell r="M1219">
            <v>1.8093249826026444E-2</v>
          </cell>
          <cell r="S1219">
            <v>1.433104370554979E-2</v>
          </cell>
        </row>
        <row r="1220">
          <cell r="M1220">
            <v>5.5365686944634313E-2</v>
          </cell>
          <cell r="S1220">
            <v>7.2357565718769263E-3</v>
          </cell>
        </row>
        <row r="1221">
          <cell r="M1221">
            <v>-1.8134715025906734E-2</v>
          </cell>
          <cell r="S1221">
            <v>1.190928558407179E-2</v>
          </cell>
        </row>
        <row r="1222">
          <cell r="M1222">
            <v>4.0897097625329816E-2</v>
          </cell>
          <cell r="S1222">
            <v>1.4727946220332034E-2</v>
          </cell>
        </row>
        <row r="1223">
          <cell r="M1223">
            <v>4.0557667934093787E-2</v>
          </cell>
          <cell r="S1223">
            <v>2.3263205583354804E-2</v>
          </cell>
        </row>
        <row r="1224">
          <cell r="M1224">
            <v>-7.3081607795371494E-3</v>
          </cell>
          <cell r="S1224">
            <v>-3.190703982853294E-3</v>
          </cell>
        </row>
        <row r="1225">
          <cell r="M1225">
            <v>-1.3496932515337423E-2</v>
          </cell>
          <cell r="S1225">
            <v>6.2783725404026349E-3</v>
          </cell>
        </row>
        <row r="1226">
          <cell r="M1226">
            <v>5.1119402985074797E-3</v>
          </cell>
          <cell r="S1226">
            <v>-1.726141173785626E-2</v>
          </cell>
        </row>
        <row r="1227">
          <cell r="M1227">
            <v>-7.5608518642264217E-3</v>
          </cell>
          <cell r="S1227">
            <v>2.6046198416180173E-3</v>
          </cell>
        </row>
        <row r="1228">
          <cell r="M1228">
            <v>-8.6034912718204199E-3</v>
          </cell>
          <cell r="S1228">
            <v>1.0386982833816094E-2</v>
          </cell>
        </row>
        <row r="1229">
          <cell r="M1229">
            <v>-7.6719909445353068E-3</v>
          </cell>
          <cell r="S1229">
            <v>-1.3992737337747724E-2</v>
          </cell>
        </row>
        <row r="1230">
          <cell r="M1230">
            <v>2.6615969581749048E-2</v>
          </cell>
          <cell r="S1230">
            <v>-3.6372389221141818E-2</v>
          </cell>
        </row>
        <row r="1231">
          <cell r="M1231">
            <v>-4.8148148148147865E-3</v>
          </cell>
          <cell r="S1231">
            <v>-6.1276688391439472E-3</v>
          </cell>
        </row>
        <row r="1232">
          <cell r="M1232">
            <v>8.745813174544044E-3</v>
          </cell>
          <cell r="S1232">
            <v>3.932230987024209E-3</v>
          </cell>
        </row>
        <row r="1233">
          <cell r="M1233">
            <v>-3.2589313164852456E-3</v>
          </cell>
          <cell r="S1233">
            <v>-1.5766848179167389E-2</v>
          </cell>
        </row>
        <row r="1234">
          <cell r="M1234">
            <v>-1.7853177051202995E-2</v>
          </cell>
          <cell r="S1234">
            <v>-4.1068086927674739E-2</v>
          </cell>
        </row>
        <row r="1235">
          <cell r="M1235">
            <v>-1.974799944725705E-2</v>
          </cell>
          <cell r="S1235">
            <v>2.8605914588536462E-2</v>
          </cell>
        </row>
        <row r="1236">
          <cell r="M1236">
            <v>-1.0649613615101621E-2</v>
          </cell>
          <cell r="S1236">
            <v>1.9529236019809458E-2</v>
          </cell>
        </row>
        <row r="1237">
          <cell r="M1237">
            <v>1.2953367875647669E-3</v>
          </cell>
          <cell r="S1237">
            <v>6.426842931052979E-3</v>
          </cell>
        </row>
        <row r="1238">
          <cell r="M1238">
            <v>-1.034928848641656E-2</v>
          </cell>
          <cell r="S1238">
            <v>3.5399570607631159E-2</v>
          </cell>
        </row>
        <row r="1239">
          <cell r="M1239">
            <v>-3.2679738562091505E-2</v>
          </cell>
          <cell r="S1239">
            <v>-4.8278906024548087E-3</v>
          </cell>
        </row>
        <row r="1240">
          <cell r="M1240">
            <v>3.1067567567567581E-2</v>
          </cell>
          <cell r="S1240">
            <v>4.6192983328567699E-3</v>
          </cell>
        </row>
        <row r="1241">
          <cell r="M1241">
            <v>2.6225769669327239E-2</v>
          </cell>
          <cell r="S1241">
            <v>-1.1895397842269272E-4</v>
          </cell>
        </row>
        <row r="1242">
          <cell r="M1242">
            <v>8.9399744572158362E-3</v>
          </cell>
          <cell r="S1242">
            <v>-1.9223640901274402E-3</v>
          </cell>
        </row>
        <row r="1243">
          <cell r="M1243">
            <v>2.7848101265822784E-2</v>
          </cell>
          <cell r="S1243">
            <v>-4.3070670496273356E-3</v>
          </cell>
        </row>
        <row r="1244">
          <cell r="M1244">
            <v>-1.2315270935960592E-2</v>
          </cell>
          <cell r="S1244">
            <v>-1.034450067196399E-3</v>
          </cell>
        </row>
        <row r="1245">
          <cell r="M1245">
            <v>-1.2344139650872932E-3</v>
          </cell>
          <cell r="S1245">
            <v>-3.9072422284480391E-3</v>
          </cell>
        </row>
        <row r="1246">
          <cell r="M1246">
            <v>-9.9998751576135022E-3</v>
          </cell>
          <cell r="S1246">
            <v>1.0915545014576868E-2</v>
          </cell>
        </row>
        <row r="1247">
          <cell r="M1247">
            <v>-2.5220680958385876E-3</v>
          </cell>
          <cell r="S1247">
            <v>3.1059663803513054E-4</v>
          </cell>
        </row>
        <row r="1248">
          <cell r="M1248">
            <v>-7.5853350189633373E-3</v>
          </cell>
          <cell r="S1248">
            <v>-5.6972995920024621E-3</v>
          </cell>
        </row>
        <row r="1249">
          <cell r="M1249">
            <v>-3.5031847133757963E-3</v>
          </cell>
          <cell r="S1249">
            <v>-8.2764140559625481E-3</v>
          </cell>
        </row>
        <row r="1250">
          <cell r="M1250">
            <v>-4.0907638223075049E-3</v>
          </cell>
          <cell r="S1250">
            <v>-2.6690740421724153E-3</v>
          </cell>
        </row>
        <row r="1251">
          <cell r="M1251">
            <v>1.2771965855850134E-2</v>
          </cell>
          <cell r="S1251">
            <v>-5.7409984435402685E-3</v>
          </cell>
        </row>
        <row r="1252">
          <cell r="M1252">
            <v>0</v>
          </cell>
          <cell r="S1252">
            <v>1.2630849461413133E-3</v>
          </cell>
        </row>
        <row r="1253">
          <cell r="M1253">
            <v>-1.48288973384031E-2</v>
          </cell>
          <cell r="S1253">
            <v>1.038490584165571E-2</v>
          </cell>
        </row>
        <row r="1254">
          <cell r="M1254">
            <v>-5.5319696384921587E-3</v>
          </cell>
          <cell r="S1254">
            <v>8.0515287832652448E-3</v>
          </cell>
        </row>
        <row r="1255">
          <cell r="M1255">
            <v>-6.481241914618358E-3</v>
          </cell>
          <cell r="S1255">
            <v>5.7127368851876432E-3</v>
          </cell>
        </row>
        <row r="1256">
          <cell r="M1256">
            <v>-2.1745074805661593E-2</v>
          </cell>
          <cell r="S1256">
            <v>-8.0901009110580738E-3</v>
          </cell>
        </row>
        <row r="1257">
          <cell r="M1257">
            <v>2.1429807397942389E-3</v>
          </cell>
          <cell r="S1257">
            <v>-7.5422240906056716E-3</v>
          </cell>
        </row>
        <row r="1258">
          <cell r="M1258">
            <v>1.3281976358085103E-4</v>
          </cell>
          <cell r="S1258">
            <v>-1.6287261573101126E-2</v>
          </cell>
        </row>
        <row r="1259">
          <cell r="M1259">
            <v>-1.7051792828685301E-2</v>
          </cell>
          <cell r="S1259">
            <v>-1.4846658761022976E-2</v>
          </cell>
        </row>
        <row r="1260">
          <cell r="M1260">
            <v>1.3307933419801155E-2</v>
          </cell>
          <cell r="S1260">
            <v>2.2224471691773603E-3</v>
          </cell>
        </row>
        <row r="1261">
          <cell r="M1261">
            <v>-1.3333155557913768E-5</v>
          </cell>
          <cell r="S1261">
            <v>6.6886977207507052E-3</v>
          </cell>
        </row>
        <row r="1262">
          <cell r="M1262">
            <v>-8.0000000000000002E-3</v>
          </cell>
          <cell r="S1262">
            <v>9.7634794772680777E-3</v>
          </cell>
        </row>
        <row r="1263">
          <cell r="M1263">
            <v>-4.166666666666697E-3</v>
          </cell>
          <cell r="S1263">
            <v>1.2635922271539137E-2</v>
          </cell>
        </row>
        <row r="1264">
          <cell r="M1264">
            <v>-1.0662707517883625E-2</v>
          </cell>
          <cell r="S1264">
            <v>5.4052554412278722E-3</v>
          </cell>
        </row>
        <row r="1265">
          <cell r="M1265">
            <v>5.3888130968622718E-3</v>
          </cell>
          <cell r="S1265">
            <v>-1.8709815918497005E-2</v>
          </cell>
        </row>
        <row r="1266">
          <cell r="M1266">
            <v>-1.6201913291268136E-2</v>
          </cell>
          <cell r="S1266">
            <v>-2.9842994737364716E-2</v>
          </cell>
        </row>
        <row r="1267">
          <cell r="M1267">
            <v>2.2027282382312007E-2</v>
          </cell>
          <cell r="S1267">
            <v>2.6465103269744691E-3</v>
          </cell>
        </row>
        <row r="1268">
          <cell r="M1268">
            <v>1.3522632189802668E-2</v>
          </cell>
          <cell r="S1268">
            <v>1.5138926612848238E-2</v>
          </cell>
        </row>
        <row r="1269">
          <cell r="M1269">
            <v>9.2942743009321142E-3</v>
          </cell>
          <cell r="S1269">
            <v>-1.8241511707080351E-2</v>
          </cell>
        </row>
        <row r="1270">
          <cell r="M1270">
            <v>-1.0541175228897871E-2</v>
          </cell>
          <cell r="S1270">
            <v>-1.8798736022219556E-2</v>
          </cell>
        </row>
        <row r="1271">
          <cell r="M1271">
            <v>-3.4653795383938465E-2</v>
          </cell>
          <cell r="S1271">
            <v>9.8005844374489063E-3</v>
          </cell>
        </row>
        <row r="1272">
          <cell r="M1272">
            <v>2.7486187845303994E-3</v>
          </cell>
          <cell r="S1272">
            <v>7.4264283262798192E-5</v>
          </cell>
        </row>
        <row r="1273">
          <cell r="M1273">
            <v>1.0991886940591493E-2</v>
          </cell>
          <cell r="S1273">
            <v>1.8108554742439591E-2</v>
          </cell>
        </row>
        <row r="1274">
          <cell r="M1274">
            <v>-1.7466653950434008E-2</v>
          </cell>
          <cell r="S1274">
            <v>5.769734349851314E-3</v>
          </cell>
        </row>
        <row r="1275">
          <cell r="M1275">
            <v>-2.5237467933162217E-2</v>
          </cell>
          <cell r="S1275">
            <v>1.4560116444752592E-2</v>
          </cell>
        </row>
        <row r="1276">
          <cell r="M1276">
            <v>1.3585603527989123E-2</v>
          </cell>
          <cell r="S1276">
            <v>7.8023338706714419E-3</v>
          </cell>
        </row>
        <row r="1277">
          <cell r="M1277">
            <v>-2.0350877192982456E-2</v>
          </cell>
          <cell r="S1277">
            <v>-1.3715934668363887E-3</v>
          </cell>
        </row>
        <row r="1278">
          <cell r="M1278">
            <v>4.2979942693409739E-2</v>
          </cell>
          <cell r="S1278">
            <v>7.6614504160925825E-3</v>
          </cell>
        </row>
        <row r="1279">
          <cell r="M1279">
            <v>-1.7857142857142856E-2</v>
          </cell>
          <cell r="S1279">
            <v>1.3736618660370823E-2</v>
          </cell>
        </row>
        <row r="1280">
          <cell r="M1280">
            <v>3.6363636363636362E-2</v>
          </cell>
          <cell r="S1280">
            <v>1.1569946167858997E-2</v>
          </cell>
        </row>
        <row r="1281">
          <cell r="M1281">
            <v>-7.0445344129555021E-3</v>
          </cell>
          <cell r="S1281">
            <v>9.5833660539979531E-3</v>
          </cell>
        </row>
        <row r="1282">
          <cell r="M1282">
            <v>2.9900241920142881E-4</v>
          </cell>
          <cell r="S1282">
            <v>-3.4220482161726818E-3</v>
          </cell>
        </row>
        <row r="1283">
          <cell r="M1283">
            <v>3.5597826086956587E-2</v>
          </cell>
          <cell r="S1283">
            <v>-1.05620238188697E-3</v>
          </cell>
        </row>
        <row r="1284">
          <cell r="M1284">
            <v>-1.7121490422461385E-2</v>
          </cell>
          <cell r="S1284">
            <v>-8.1530240210353261E-4</v>
          </cell>
        </row>
        <row r="1285">
          <cell r="M1285">
            <v>3.8043115530935366E-3</v>
          </cell>
          <cell r="S1285">
            <v>2.9064179751288888E-3</v>
          </cell>
        </row>
        <row r="1286">
          <cell r="M1286">
            <v>1.5864361702127593E-2</v>
          </cell>
          <cell r="S1286">
            <v>-5.8440192504573523E-4</v>
          </cell>
        </row>
        <row r="1287">
          <cell r="M1287">
            <v>9.1631432199350762E-5</v>
          </cell>
          <cell r="S1287">
            <v>-1.4502402923809509E-2</v>
          </cell>
        </row>
        <row r="1288">
          <cell r="M1288">
            <v>-6.5445026178010471E-3</v>
          </cell>
          <cell r="S1288">
            <v>-1.162407776339193E-2</v>
          </cell>
        </row>
        <row r="1289">
          <cell r="M1289">
            <v>-1.0408432147562553E-2</v>
          </cell>
          <cell r="S1289">
            <v>1.5860339455574475E-2</v>
          </cell>
        </row>
        <row r="1290">
          <cell r="M1290">
            <v>1.1516442550925279E-2</v>
          </cell>
          <cell r="S1290">
            <v>-3.8085419232398313E-3</v>
          </cell>
        </row>
        <row r="1291">
          <cell r="M1291">
            <v>3.1589338598222798E-3</v>
          </cell>
          <cell r="S1291">
            <v>1.1423022574355078E-3</v>
          </cell>
        </row>
        <row r="1292">
          <cell r="M1292">
            <v>-8.0299153709899682E-3</v>
          </cell>
          <cell r="S1292">
            <v>9.4326581806799866E-3</v>
          </cell>
        </row>
        <row r="1293">
          <cell r="M1293">
            <v>-3.9680965041033711E-5</v>
          </cell>
          <cell r="S1293">
            <v>3.4989450800425488E-3</v>
          </cell>
        </row>
        <row r="1294">
          <cell r="M1294">
            <v>1.5476190476190536E-2</v>
          </cell>
          <cell r="S1294">
            <v>-4.7829216274194297E-3</v>
          </cell>
        </row>
        <row r="1295">
          <cell r="M1295">
            <v>7.7764751856192697E-3</v>
          </cell>
          <cell r="S1295">
            <v>-4.0596232806562127E-3</v>
          </cell>
        </row>
        <row r="1296">
          <cell r="M1296">
            <v>-1.7410523866764789E-2</v>
          </cell>
          <cell r="S1296">
            <v>5.7376745979353105E-3</v>
          </cell>
        </row>
        <row r="1297">
          <cell r="M1297">
            <v>1.0523546435148047E-3</v>
          </cell>
          <cell r="S1297">
            <v>5.8088702668343982E-3</v>
          </cell>
        </row>
        <row r="1298">
          <cell r="M1298">
            <v>-1.3009198423127584E-3</v>
          </cell>
          <cell r="S1298">
            <v>9.7336702966696765E-3</v>
          </cell>
        </row>
        <row r="1299">
          <cell r="M1299">
            <v>-1.3184037052144028E-2</v>
          </cell>
          <cell r="S1299">
            <v>8.9308750899166119E-3</v>
          </cell>
        </row>
        <row r="1300">
          <cell r="M1300">
            <v>-6.6000880011734099E-3</v>
          </cell>
          <cell r="S1300">
            <v>-2.0405968712336573E-3</v>
          </cell>
        </row>
        <row r="1301">
          <cell r="M1301">
            <v>-8.0532588854216467E-5</v>
          </cell>
          <cell r="S1301">
            <v>-3.1160310012175729E-3</v>
          </cell>
        </row>
        <row r="1302">
          <cell r="M1302">
            <v>7.423018067599093E-3</v>
          </cell>
          <cell r="S1302">
            <v>1.3464813630449666E-3</v>
          </cell>
        </row>
        <row r="1303">
          <cell r="M1303">
            <v>1.4643375837763666E-2</v>
          </cell>
          <cell r="S1303">
            <v>1.3003866563925071E-2</v>
          </cell>
        </row>
        <row r="1304">
          <cell r="M1304">
            <v>1.1162179908076166E-2</v>
          </cell>
          <cell r="S1304">
            <v>9.7517505450437376E-3</v>
          </cell>
        </row>
        <row r="1305">
          <cell r="M1305">
            <v>-6.4935064935064939E-3</v>
          </cell>
          <cell r="S1305">
            <v>1.7586475130808646E-2</v>
          </cell>
        </row>
        <row r="1306">
          <cell r="M1306">
            <v>-1.1764705882352941E-2</v>
          </cell>
          <cell r="S1306">
            <v>9.9788868111011769E-3</v>
          </cell>
        </row>
        <row r="1307">
          <cell r="M1307">
            <v>6.6137566137566134E-3</v>
          </cell>
          <cell r="S1307">
            <v>3.2690167862433439E-3</v>
          </cell>
        </row>
        <row r="1308">
          <cell r="M1308">
            <v>4.9934296977660969E-2</v>
          </cell>
          <cell r="S1308">
            <v>-8.6356740659591783E-4</v>
          </cell>
        </row>
        <row r="1309">
          <cell r="M1309">
            <v>-1.0012515644555695E-2</v>
          </cell>
          <cell r="S1309">
            <v>-2.1329766360032453E-3</v>
          </cell>
        </row>
        <row r="1310">
          <cell r="M1310">
            <v>1.0998735777496898E-2</v>
          </cell>
          <cell r="S1310">
            <v>-6.1421812591829362E-4</v>
          </cell>
        </row>
        <row r="1311">
          <cell r="M1311">
            <v>-2.1132924846818239E-3</v>
          </cell>
          <cell r="S1311">
            <v>8.8174554261679864E-3</v>
          </cell>
        </row>
        <row r="1312">
          <cell r="M1312">
            <v>1.2531171288568947E-5</v>
          </cell>
          <cell r="S1312">
            <v>7.3834542144328545E-3</v>
          </cell>
        </row>
        <row r="1313">
          <cell r="M1313">
            <v>2.4811408235382798E-3</v>
          </cell>
          <cell r="S1313">
            <v>-1.036629053107646E-3</v>
          </cell>
        </row>
        <row r="1314">
          <cell r="M1314">
            <v>1.25E-3</v>
          </cell>
          <cell r="S1314">
            <v>9.7041161074621542E-3</v>
          </cell>
        </row>
        <row r="1315">
          <cell r="M1315">
            <v>-1.1235955056179775E-2</v>
          </cell>
          <cell r="S1315">
            <v>-1.1171115705640093E-3</v>
          </cell>
        </row>
        <row r="1316">
          <cell r="M1316">
            <v>-6.313131313131313E-3</v>
          </cell>
          <cell r="S1316">
            <v>1.0717451654407248E-2</v>
          </cell>
        </row>
        <row r="1317">
          <cell r="M1317">
            <v>2.5412960609911054E-2</v>
          </cell>
          <cell r="S1317">
            <v>-1.4403084843506758E-2</v>
          </cell>
        </row>
        <row r="1318">
          <cell r="M1318">
            <v>2.4163568773234202E-2</v>
          </cell>
          <cell r="S1318">
            <v>-8.2638922112173736E-3</v>
          </cell>
        </row>
        <row r="1319">
          <cell r="M1319">
            <v>4.2952208106473079E-2</v>
          </cell>
          <cell r="S1319">
            <v>-6.2573001952813713E-3</v>
          </cell>
        </row>
        <row r="1320">
          <cell r="M1320">
            <v>-1.7459396751740085E-2</v>
          </cell>
          <cell r="S1320">
            <v>1.7612391243183288E-2</v>
          </cell>
        </row>
        <row r="1321">
          <cell r="M1321">
            <v>1.5408229529488109E-2</v>
          </cell>
          <cell r="S1321">
            <v>1.1990611121318015E-2</v>
          </cell>
        </row>
        <row r="1322">
          <cell r="M1322">
            <v>-1.3953488372093023E-2</v>
          </cell>
          <cell r="S1322">
            <v>-4.177876385444483E-5</v>
          </cell>
        </row>
        <row r="1323">
          <cell r="M1323">
            <v>-1.4150943396226415E-2</v>
          </cell>
          <cell r="S1323">
            <v>-2.1904531536037081E-3</v>
          </cell>
        </row>
        <row r="1324">
          <cell r="M1324">
            <v>-4.7248803827751743E-3</v>
          </cell>
          <cell r="S1324">
            <v>7.744984905336522E-4</v>
          </cell>
        </row>
        <row r="1325">
          <cell r="M1325">
            <v>1.6765819361817254E-2</v>
          </cell>
          <cell r="S1325">
            <v>5.8830370482004001E-3</v>
          </cell>
        </row>
        <row r="1326">
          <cell r="M1326">
            <v>1.4302600472813266E-2</v>
          </cell>
          <cell r="S1326">
            <v>9.764043483317492E-3</v>
          </cell>
        </row>
        <row r="1327">
          <cell r="M1327">
            <v>-9.4394592704813221E-3</v>
          </cell>
          <cell r="S1327">
            <v>9.9199028280964607E-3</v>
          </cell>
        </row>
        <row r="1328">
          <cell r="M1328">
            <v>-3.6588235294117808E-3</v>
          </cell>
          <cell r="S1328">
            <v>1.7816701974031756E-3</v>
          </cell>
        </row>
        <row r="1329">
          <cell r="M1329">
            <v>-8.1238413489355121E-3</v>
          </cell>
          <cell r="S1329">
            <v>3.5722713951225368E-3</v>
          </cell>
        </row>
        <row r="1330">
          <cell r="M1330">
            <v>2.6237782883537057E-2</v>
          </cell>
          <cell r="S1330">
            <v>5.4937428850926088E-3</v>
          </cell>
        </row>
        <row r="1331">
          <cell r="M1331">
            <v>3.7120816657967006E-3</v>
          </cell>
          <cell r="S1331">
            <v>-3.429014359122138E-3</v>
          </cell>
        </row>
        <row r="1332">
          <cell r="M1332">
            <v>1.7047096214966771E-2</v>
          </cell>
          <cell r="S1332">
            <v>1.635102019072027E-3</v>
          </cell>
        </row>
        <row r="1333">
          <cell r="M1333">
            <v>1.5909090909090907E-2</v>
          </cell>
          <cell r="S1333">
            <v>-3.3254984890323811E-3</v>
          </cell>
        </row>
        <row r="1334">
          <cell r="M1334">
            <v>1.1073825503355806E-3</v>
          </cell>
          <cell r="S1334">
            <v>2.1052162536036208E-3</v>
          </cell>
        </row>
        <row r="1335">
          <cell r="M1335">
            <v>-1.2279466809685034E-2</v>
          </cell>
          <cell r="S1335">
            <v>1.1563284677372981E-2</v>
          </cell>
        </row>
        <row r="1336">
          <cell r="M1336">
            <v>-3.2692307692307539E-3</v>
          </cell>
          <cell r="S1336">
            <v>-6.1270251887788167E-3</v>
          </cell>
        </row>
        <row r="1337">
          <cell r="M1337">
            <v>-1.2484252817470423E-4</v>
          </cell>
          <cell r="S1337">
            <v>-9.0202945039619606E-3</v>
          </cell>
        </row>
        <row r="1338">
          <cell r="M1338">
            <v>-4.5402951191827468E-3</v>
          </cell>
          <cell r="S1338">
            <v>5.5881971716924045E-4</v>
          </cell>
        </row>
        <row r="1339">
          <cell r="M1339">
            <v>-6.8415051311288486E-3</v>
          </cell>
          <cell r="S1339">
            <v>1.3359843970441574E-2</v>
          </cell>
        </row>
        <row r="1340">
          <cell r="M1340">
            <v>2.1814006888633754E-2</v>
          </cell>
          <cell r="S1340">
            <v>-3.996126437957128E-3</v>
          </cell>
        </row>
        <row r="1341">
          <cell r="M1341">
            <v>-1.1235955056179776E-3</v>
          </cell>
          <cell r="S1341">
            <v>-1.2022452850310953E-2</v>
          </cell>
        </row>
        <row r="1342">
          <cell r="M1342">
            <v>-5.5905511811023927E-3</v>
          </cell>
          <cell r="S1342">
            <v>-5.9895541062102032E-3</v>
          </cell>
        </row>
        <row r="1343">
          <cell r="M1343">
            <v>1.6594459464045419E-2</v>
          </cell>
          <cell r="S1343">
            <v>-4.8034585008996204E-3</v>
          </cell>
        </row>
        <row r="1344">
          <cell r="M1344">
            <v>-1.3352620451764165E-3</v>
          </cell>
          <cell r="S1344">
            <v>-1.4744879467953539E-3</v>
          </cell>
        </row>
        <row r="1345">
          <cell r="M1345">
            <v>3.8997214484679664E-3</v>
          </cell>
          <cell r="S1345">
            <v>-6.7990870192567998E-3</v>
          </cell>
        </row>
        <row r="1346">
          <cell r="M1346">
            <v>5.0055493895671379E-3</v>
          </cell>
          <cell r="S1346">
            <v>-9.0518338198691279E-3</v>
          </cell>
        </row>
        <row r="1347">
          <cell r="M1347">
            <v>3.8541816214067311E-3</v>
          </cell>
          <cell r="S1347">
            <v>2.8646020243424737E-3</v>
          </cell>
        </row>
        <row r="1348">
          <cell r="M1348">
            <v>6.7106710671067356E-3</v>
          </cell>
          <cell r="S1348">
            <v>4.6852340803789513E-2</v>
          </cell>
        </row>
        <row r="1349">
          <cell r="M1349">
            <v>1.0053546060539383E-3</v>
          </cell>
          <cell r="S1349">
            <v>6.5427376805843439E-3</v>
          </cell>
        </row>
        <row r="1350">
          <cell r="M1350">
            <v>-1.6397021899085155E-2</v>
          </cell>
          <cell r="S1350">
            <v>2.7308671711766701E-2</v>
          </cell>
        </row>
        <row r="1351">
          <cell r="M1351">
            <v>-3.4406215316315457E-3</v>
          </cell>
          <cell r="S1351">
            <v>1.1370337606397239E-4</v>
          </cell>
        </row>
        <row r="1352">
          <cell r="M1352">
            <v>-5.4571778594498018E-3</v>
          </cell>
          <cell r="S1352">
            <v>-7.3389976385123271E-3</v>
          </cell>
        </row>
        <row r="1353">
          <cell r="M1353">
            <v>7.5027995520716692E-2</v>
          </cell>
          <cell r="S1353">
            <v>-3.7263476245684834E-3</v>
          </cell>
        </row>
        <row r="1354">
          <cell r="M1354">
            <v>-1.0416666666666666E-2</v>
          </cell>
          <cell r="S1354">
            <v>4.2990442206100139E-3</v>
          </cell>
        </row>
        <row r="1355">
          <cell r="M1355">
            <v>2.1052631578952156E-4</v>
          </cell>
          <cell r="S1355">
            <v>3.2270572010581304E-3</v>
          </cell>
        </row>
        <row r="1356">
          <cell r="M1356">
            <v>-3.3887602609976891E-2</v>
          </cell>
          <cell r="S1356">
            <v>-1.0606374139242069E-3</v>
          </cell>
        </row>
        <row r="1357">
          <cell r="M1357">
            <v>-2.2875816993464051E-2</v>
          </cell>
          <cell r="S1357">
            <v>4.8361296888926363E-3</v>
          </cell>
        </row>
        <row r="1358">
          <cell r="M1358">
            <v>8.8071348940913907E-3</v>
          </cell>
          <cell r="S1358">
            <v>9.2428314963158929E-3</v>
          </cell>
        </row>
        <row r="1359">
          <cell r="M1359">
            <v>-4.309868493756191E-3</v>
          </cell>
          <cell r="S1359">
            <v>8.5575772294381614E-3</v>
          </cell>
        </row>
        <row r="1360">
          <cell r="M1360">
            <v>2.2197558268590455E-3</v>
          </cell>
          <cell r="S1360">
            <v>6.123364417956284E-4</v>
          </cell>
        </row>
        <row r="1361">
          <cell r="M1361">
            <v>1.439645625692087E-4</v>
          </cell>
          <cell r="S1361">
            <v>-8.7204233036228566E-4</v>
          </cell>
        </row>
        <row r="1362">
          <cell r="M1362">
            <v>-4.5729850630584698E-3</v>
          </cell>
          <cell r="S1362">
            <v>4.4060305095984425E-3</v>
          </cell>
        </row>
        <row r="1363">
          <cell r="M1363">
            <v>2.2246941045606229E-3</v>
          </cell>
          <cell r="S1363">
            <v>1.3138262306243681E-3</v>
          </cell>
        </row>
        <row r="1364">
          <cell r="M1364">
            <v>1.5538290788013319E-2</v>
          </cell>
          <cell r="S1364">
            <v>-1.0294766242488415E-2</v>
          </cell>
        </row>
        <row r="1365">
          <cell r="M1365">
            <v>9.8360655737704927E-3</v>
          </cell>
          <cell r="S1365">
            <v>1.888615402805358E-3</v>
          </cell>
        </row>
        <row r="1366">
          <cell r="M1366">
            <v>-2.1753246753246653E-3</v>
          </cell>
          <cell r="S1366">
            <v>-6.0318267934371221E-4</v>
          </cell>
        </row>
        <row r="1367">
          <cell r="M1367">
            <v>9.7723402639941764E-3</v>
          </cell>
          <cell r="S1367">
            <v>1.5154464181846999E-2</v>
          </cell>
        </row>
        <row r="1368">
          <cell r="M1368">
            <v>-6.44468313641246E-3</v>
          </cell>
          <cell r="S1368">
            <v>8.4313333360441743E-3</v>
          </cell>
        </row>
        <row r="1369">
          <cell r="M1369">
            <v>-1.5135135135135135E-2</v>
          </cell>
          <cell r="S1369">
            <v>-2.1040725142980464E-2</v>
          </cell>
        </row>
        <row r="1370">
          <cell r="M1370">
            <v>-5.4884742041712408E-3</v>
          </cell>
          <cell r="S1370">
            <v>-1.9704712642831673E-2</v>
          </cell>
        </row>
        <row r="1371">
          <cell r="M1371">
            <v>-5.4083885209712775E-3</v>
          </cell>
          <cell r="S1371">
            <v>5.7028854002695237E-3</v>
          </cell>
        </row>
        <row r="1372">
          <cell r="M1372">
            <v>3.207191210742423E-2</v>
          </cell>
          <cell r="S1372">
            <v>5.1897088498892453E-3</v>
          </cell>
        </row>
        <row r="1373">
          <cell r="M1373">
            <v>-1.0752688172043011E-3</v>
          </cell>
          <cell r="S1373">
            <v>-1.1684067195981222E-2</v>
          </cell>
        </row>
        <row r="1374">
          <cell r="M1374">
            <v>-9.6878363832077503E-3</v>
          </cell>
          <cell r="S1374">
            <v>-5.6049924218800765E-3</v>
          </cell>
        </row>
        <row r="1375">
          <cell r="M1375">
            <v>-1.6304347826086956E-2</v>
          </cell>
          <cell r="S1375">
            <v>1.0229847656354762E-2</v>
          </cell>
        </row>
        <row r="1376">
          <cell r="M1376">
            <v>-5.3038674033148671E-3</v>
          </cell>
          <cell r="S1376">
            <v>-2.5236040003177506E-3</v>
          </cell>
        </row>
        <row r="1377">
          <cell r="M1377">
            <v>1.4052432792712705E-2</v>
          </cell>
          <cell r="S1377">
            <v>-9.4344553860091791E-3</v>
          </cell>
        </row>
        <row r="1378">
          <cell r="M1378">
            <v>-9.6949115407789048E-3</v>
          </cell>
          <cell r="S1378">
            <v>-1.8832413474960011E-3</v>
          </cell>
        </row>
        <row r="1379">
          <cell r="M1379">
            <v>-2.4336283185841211E-3</v>
          </cell>
          <cell r="S1379">
            <v>6.2473380926831691E-3</v>
          </cell>
        </row>
        <row r="1380">
          <cell r="M1380">
            <v>-1.8851186515856419E-3</v>
          </cell>
          <cell r="S1380">
            <v>-1.4592210925321623E-2</v>
          </cell>
        </row>
        <row r="1381">
          <cell r="M1381">
            <v>-5.6660371069881376E-3</v>
          </cell>
          <cell r="S1381">
            <v>1.3861413625489546E-3</v>
          </cell>
        </row>
        <row r="1382">
          <cell r="M1382">
            <v>-2.5698324022346369E-2</v>
          </cell>
          <cell r="S1382">
            <v>-9.9557800136636145E-4</v>
          </cell>
        </row>
        <row r="1383">
          <cell r="M1383">
            <v>9.1743119266055051E-3</v>
          </cell>
          <cell r="S1383">
            <v>9.8519746418603803E-3</v>
          </cell>
        </row>
        <row r="1384">
          <cell r="M1384">
            <v>5.681818181818182E-3</v>
          </cell>
          <cell r="S1384">
            <v>8.9293992286535312E-3</v>
          </cell>
        </row>
        <row r="1385">
          <cell r="M1385">
            <v>-1.3559322033898305E-2</v>
          </cell>
          <cell r="S1385">
            <v>-7.5003573265432968E-3</v>
          </cell>
        </row>
        <row r="1386">
          <cell r="M1386">
            <v>-1.9473081328751432E-2</v>
          </cell>
          <cell r="S1386">
            <v>-1.3191795003583001E-3</v>
          </cell>
        </row>
        <row r="1387">
          <cell r="M1387">
            <v>4.6144859813084639E-3</v>
          </cell>
          <cell r="S1387">
            <v>2.9348686692496706E-3</v>
          </cell>
        </row>
        <row r="1388">
          <cell r="M1388">
            <v>1.3744985173556528E-2</v>
          </cell>
          <cell r="S1388">
            <v>-7.7676510812614162E-4</v>
          </cell>
        </row>
        <row r="1389">
          <cell r="M1389">
            <v>9.4405634513690748E-3</v>
          </cell>
          <cell r="S1389">
            <v>-2.7544256022559352E-3</v>
          </cell>
        </row>
        <row r="1390">
          <cell r="M1390">
            <v>-2.4988636363636373E-2</v>
          </cell>
          <cell r="S1390">
            <v>-1.0898063660006168E-3</v>
          </cell>
        </row>
        <row r="1391">
          <cell r="M1391">
            <v>1.3857647346767504E-2</v>
          </cell>
          <cell r="S1391">
            <v>6.6285491434104043E-3</v>
          </cell>
        </row>
        <row r="1392">
          <cell r="M1392">
            <v>-2.74054489021727E-2</v>
          </cell>
          <cell r="S1392">
            <v>6.8048063872541515E-3</v>
          </cell>
        </row>
        <row r="1393">
          <cell r="M1393">
            <v>2.0613195281658576E-2</v>
          </cell>
          <cell r="S1393">
            <v>1.0178516198232216E-4</v>
          </cell>
        </row>
        <row r="1394">
          <cell r="M1394">
            <v>-1.2159814707585408E-2</v>
          </cell>
          <cell r="S1394">
            <v>-2.9234241053746786E-3</v>
          </cell>
        </row>
        <row r="1395">
          <cell r="M1395">
            <v>-3.5169988276670576E-3</v>
          </cell>
          <cell r="S1395">
            <v>-6.1959199735881435E-3</v>
          </cell>
        </row>
        <row r="1396">
          <cell r="M1396">
            <v>0</v>
          </cell>
          <cell r="S1396">
            <v>-1.1711710327207082E-3</v>
          </cell>
        </row>
        <row r="1397">
          <cell r="M1397">
            <v>1.411764705882353E-2</v>
          </cell>
          <cell r="S1397">
            <v>4.5756793672852318E-3</v>
          </cell>
        </row>
        <row r="1398">
          <cell r="M1398">
            <v>-1.0440835266821345E-2</v>
          </cell>
          <cell r="S1398">
            <v>1.7684824669309052E-3</v>
          </cell>
        </row>
        <row r="1399">
          <cell r="M1399">
            <v>-1.1723329425556858E-2</v>
          </cell>
          <cell r="S1399">
            <v>-2.6108376518157532E-3</v>
          </cell>
        </row>
        <row r="1400">
          <cell r="M1400">
            <v>-1.0676156583629894E-2</v>
          </cell>
          <cell r="S1400">
            <v>9.3276599223594391E-4</v>
          </cell>
        </row>
        <row r="1401">
          <cell r="M1401">
            <v>-3.5971223021582736E-3</v>
          </cell>
          <cell r="S1401">
            <v>6.2750522229730512E-3</v>
          </cell>
        </row>
        <row r="1402">
          <cell r="M1402">
            <v>-1.8050541516245488E-3</v>
          </cell>
          <cell r="S1402">
            <v>1.9442469125094909E-4</v>
          </cell>
        </row>
        <row r="1403">
          <cell r="M1403">
            <v>1.8083182640144665E-3</v>
          </cell>
          <cell r="S1403">
            <v>4.3607080298652606E-4</v>
          </cell>
        </row>
        <row r="1404">
          <cell r="M1404">
            <v>-4.8134777376654635E-3</v>
          </cell>
          <cell r="S1404">
            <v>-3.5834998041134507E-3</v>
          </cell>
        </row>
        <row r="1405">
          <cell r="M1405">
            <v>-1.4510278113664394E-3</v>
          </cell>
          <cell r="S1405">
            <v>8.5446797684920854E-3</v>
          </cell>
        </row>
        <row r="1406">
          <cell r="M1406">
            <v>2.3225962702833693E-2</v>
          </cell>
          <cell r="S1406">
            <v>-8.0081486513381966E-3</v>
          </cell>
        </row>
        <row r="1407">
          <cell r="M1407">
            <v>-1.159790764278466E-3</v>
          </cell>
          <cell r="S1407">
            <v>4.6511332226343511E-3</v>
          </cell>
        </row>
        <row r="1408">
          <cell r="M1408">
            <v>5.3317535545023701E-3</v>
          </cell>
          <cell r="S1408">
            <v>3.9920210201218713E-3</v>
          </cell>
        </row>
        <row r="1409">
          <cell r="M1409">
            <v>7.424867413081856E-3</v>
          </cell>
          <cell r="S1409">
            <v>1.9926119073183581E-3</v>
          </cell>
        </row>
        <row r="1410">
          <cell r="M1410">
            <v>2.9129620963968289E-2</v>
          </cell>
          <cell r="S1410">
            <v>1.2205133804849158E-2</v>
          </cell>
        </row>
        <row r="1411">
          <cell r="M1411">
            <v>-1.9324769807889568E-3</v>
          </cell>
          <cell r="S1411">
            <v>1.2402850859804188E-2</v>
          </cell>
        </row>
        <row r="1412">
          <cell r="M1412">
            <v>-2.8462414578587711E-2</v>
          </cell>
          <cell r="S1412">
            <v>7.5517476275573179E-3</v>
          </cell>
        </row>
        <row r="1413">
          <cell r="M1413">
            <v>-3.4583416372610466E-3</v>
          </cell>
          <cell r="S1413">
            <v>-2.7286201735131589E-3</v>
          </cell>
        </row>
        <row r="1414">
          <cell r="M1414">
            <v>-1.2469708020609669E-3</v>
          </cell>
          <cell r="S1414">
            <v>-4.4820740252044956E-3</v>
          </cell>
        </row>
        <row r="1415">
          <cell r="M1415">
            <v>7.0671378091872791E-3</v>
          </cell>
          <cell r="S1415">
            <v>9.3795515271531665E-3</v>
          </cell>
        </row>
        <row r="1416">
          <cell r="M1416">
            <v>1.7543859649122806E-2</v>
          </cell>
          <cell r="S1416">
            <v>-7.1728257687245717E-3</v>
          </cell>
        </row>
        <row r="1417">
          <cell r="M1417">
            <v>2.528735632183908E-2</v>
          </cell>
          <cell r="S1417">
            <v>-4.4801505597064986E-3</v>
          </cell>
        </row>
        <row r="1418">
          <cell r="M1418">
            <v>2.2197309417040564E-3</v>
          </cell>
          <cell r="S1418">
            <v>-2.1887727631199668E-3</v>
          </cell>
        </row>
        <row r="1419">
          <cell r="M1419">
            <v>-1.0044967448936237E-2</v>
          </cell>
          <cell r="S1419">
            <v>8.5113334040155669E-3</v>
          </cell>
        </row>
        <row r="1420">
          <cell r="M1420">
            <v>1.1322033898305064E-2</v>
          </cell>
          <cell r="S1420">
            <v>1.9854631628860712E-3</v>
          </cell>
        </row>
        <row r="1421">
          <cell r="M1421">
            <v>-3.3742262742731803E-3</v>
          </cell>
          <cell r="S1421">
            <v>9.2080948176590724E-3</v>
          </cell>
        </row>
        <row r="1422">
          <cell r="M1422">
            <v>4.4843049327354259E-3</v>
          </cell>
          <cell r="S1422">
            <v>9.7941569673860012E-3</v>
          </cell>
        </row>
        <row r="1423">
          <cell r="M1423">
            <v>-1.4508928571428572E-2</v>
          </cell>
          <cell r="S1423">
            <v>1.6500750132045224E-2</v>
          </cell>
        </row>
        <row r="1424">
          <cell r="M1424">
            <v>5.9456398640996598E-3</v>
          </cell>
          <cell r="S1424">
            <v>8.8761905210556664E-3</v>
          </cell>
        </row>
        <row r="1425">
          <cell r="M1425">
            <v>5.3475935828877002E-3</v>
          </cell>
          <cell r="S1425">
            <v>6.1869644627799341E-5</v>
          </cell>
        </row>
        <row r="1426">
          <cell r="M1426">
            <v>1.2094064949608012E-2</v>
          </cell>
          <cell r="S1426">
            <v>-2.522024230856121E-3</v>
          </cell>
        </row>
        <row r="1427">
          <cell r="M1427">
            <v>2.8867005974773218E-2</v>
          </cell>
          <cell r="S1427">
            <v>3.5317569074627046E-4</v>
          </cell>
        </row>
        <row r="1428">
          <cell r="M1428">
            <v>-5.2586865113077742E-3</v>
          </cell>
          <cell r="S1428">
            <v>-2.5971124218268668E-3</v>
          </cell>
        </row>
        <row r="1429">
          <cell r="M1429">
            <v>-2.3783783783783784E-2</v>
          </cell>
          <cell r="S1429">
            <v>6.7902951148227477E-3</v>
          </cell>
        </row>
        <row r="1430">
          <cell r="M1430">
            <v>-1.1074197120708749E-2</v>
          </cell>
          <cell r="S1430">
            <v>4.2558079336592449E-3</v>
          </cell>
        </row>
        <row r="1431">
          <cell r="M1431">
            <v>-2.3516237402015677E-2</v>
          </cell>
          <cell r="S1431">
            <v>-7.1947712017982396E-3</v>
          </cell>
        </row>
        <row r="1432">
          <cell r="M1432">
            <v>-3.096330275229358E-2</v>
          </cell>
          <cell r="S1432">
            <v>-3.9181902807521856E-3</v>
          </cell>
        </row>
        <row r="1433">
          <cell r="M1433">
            <v>-2.3668639053254438E-3</v>
          </cell>
          <cell r="S1433">
            <v>9.4713096490573519E-3</v>
          </cell>
        </row>
        <row r="1434">
          <cell r="M1434">
            <v>2.3724792408066431E-3</v>
          </cell>
          <cell r="S1434">
            <v>4.7533324223147221E-3</v>
          </cell>
        </row>
        <row r="1435">
          <cell r="M1435">
            <v>-2.3668639053254438E-3</v>
          </cell>
          <cell r="S1435">
            <v>8.4189752850175395E-3</v>
          </cell>
        </row>
        <row r="1436">
          <cell r="M1436">
            <v>-2.3724792408066431E-3</v>
          </cell>
          <cell r="S1436">
            <v>2.0086693501680401E-2</v>
          </cell>
        </row>
        <row r="1437">
          <cell r="M1437">
            <v>-4.4114149821641337E-3</v>
          </cell>
          <cell r="S1437">
            <v>1.1782206257977407E-2</v>
          </cell>
        </row>
        <row r="1438">
          <cell r="M1438">
            <v>6.2224557799568092E-3</v>
          </cell>
          <cell r="S1438">
            <v>2.239594497275794E-3</v>
          </cell>
        </row>
        <row r="1439">
          <cell r="M1439">
            <v>3.0267062314540058E-2</v>
          </cell>
          <cell r="S1439">
            <v>7.4124524144879083E-3</v>
          </cell>
        </row>
        <row r="1440">
          <cell r="M1440">
            <v>-5.9907834101380396E-4</v>
          </cell>
          <cell r="S1440">
            <v>-6.3558662173361282E-3</v>
          </cell>
        </row>
        <row r="1441">
          <cell r="M1441">
            <v>2.5960252685940866E-2</v>
          </cell>
          <cell r="S1441">
            <v>-1.4617899428453233E-2</v>
          </cell>
        </row>
        <row r="1442">
          <cell r="M1442">
            <v>2.247191011235955E-2</v>
          </cell>
          <cell r="S1442">
            <v>2.1278506570486955E-2</v>
          </cell>
        </row>
        <row r="1443">
          <cell r="M1443">
            <v>2.1978021978021978E-3</v>
          </cell>
          <cell r="S1443">
            <v>1.1866187320361951E-2</v>
          </cell>
        </row>
        <row r="1444">
          <cell r="M1444">
            <v>6.6337719298245118E-3</v>
          </cell>
          <cell r="S1444">
            <v>3.9843150836091868E-3</v>
          </cell>
        </row>
        <row r="1445">
          <cell r="M1445">
            <v>-2.0587113991612633E-2</v>
          </cell>
          <cell r="S1445">
            <v>-3.0646452950414955E-3</v>
          </cell>
        </row>
        <row r="1446">
          <cell r="M1446">
            <v>-1.7961407996441057E-2</v>
          </cell>
          <cell r="S1446">
            <v>5.423192682053257E-3</v>
          </cell>
        </row>
        <row r="1447">
          <cell r="M1447">
            <v>5.8890147225368061E-2</v>
          </cell>
          <cell r="S1447">
            <v>8.3353427981195053E-3</v>
          </cell>
        </row>
        <row r="1448">
          <cell r="M1448">
            <v>3.7326203208556126E-2</v>
          </cell>
          <cell r="S1448">
            <v>3.8229561307075695E-3</v>
          </cell>
        </row>
        <row r="1449">
          <cell r="M1449">
            <v>2.0723785957315211E-2</v>
          </cell>
          <cell r="S1449">
            <v>-4.5251207362694461E-3</v>
          </cell>
        </row>
        <row r="1450">
          <cell r="M1450">
            <v>2.0202020202020204E-2</v>
          </cell>
          <cell r="S1450">
            <v>1.4038146170922701E-3</v>
          </cell>
        </row>
        <row r="1451">
          <cell r="M1451">
            <v>3.9603960396039604E-3</v>
          </cell>
          <cell r="S1451">
            <v>8.9599501603710302E-3</v>
          </cell>
        </row>
        <row r="1452">
          <cell r="M1452">
            <v>-9.9112426035502504E-3</v>
          </cell>
          <cell r="S1452">
            <v>6.0700555005319462E-3</v>
          </cell>
        </row>
        <row r="1453">
          <cell r="M1453">
            <v>-1.1902983216295676E-2</v>
          </cell>
          <cell r="S1453">
            <v>2.4485129528582783E-3</v>
          </cell>
        </row>
        <row r="1454">
          <cell r="M1454">
            <v>-2.0161290322580645E-3</v>
          </cell>
          <cell r="S1454">
            <v>9.0635710027625466E-3</v>
          </cell>
        </row>
        <row r="1455">
          <cell r="M1455">
            <v>3.2323232323232323E-2</v>
          </cell>
          <cell r="S1455">
            <v>-3.2361858595754667E-3</v>
          </cell>
        </row>
        <row r="1456">
          <cell r="M1456">
            <v>2.2504892367906065E-2</v>
          </cell>
          <cell r="S1456">
            <v>1.8649984520619473E-2</v>
          </cell>
        </row>
        <row r="1457">
          <cell r="M1457">
            <v>-1.3301435406699522E-3</v>
          </cell>
          <cell r="S1457">
            <v>4.8272652175521411E-3</v>
          </cell>
        </row>
        <row r="1458">
          <cell r="M1458">
            <v>1.2830463487318157E-2</v>
          </cell>
          <cell r="S1458">
            <v>2.8788864583745833E-3</v>
          </cell>
        </row>
        <row r="1459">
          <cell r="M1459">
            <v>-8.5146641438032175E-3</v>
          </cell>
          <cell r="S1459">
            <v>-3.5742535311559583E-2</v>
          </cell>
        </row>
        <row r="1460">
          <cell r="M1460">
            <v>-2.2900763358778626E-2</v>
          </cell>
          <cell r="S1460">
            <v>4.9644532925272572E-2</v>
          </cell>
        </row>
        <row r="1461">
          <cell r="M1461">
            <v>1.46484375E-2</v>
          </cell>
          <cell r="S1461">
            <v>8.1950855879338678E-3</v>
          </cell>
        </row>
        <row r="1462">
          <cell r="M1462">
            <v>-1.2512030798845043E-2</v>
          </cell>
          <cell r="S1462">
            <v>1.2734959274208766E-2</v>
          </cell>
        </row>
        <row r="1463">
          <cell r="M1463">
            <v>-3.4103313840155955E-2</v>
          </cell>
          <cell r="S1463">
            <v>1.8919501817924841E-2</v>
          </cell>
        </row>
        <row r="1464">
          <cell r="M1464">
            <v>-4.1382024399350147E-2</v>
          </cell>
          <cell r="S1464">
            <v>1.2433992947951172E-2</v>
          </cell>
        </row>
        <row r="1465">
          <cell r="M1465">
            <v>5.0526315789473683E-2</v>
          </cell>
          <cell r="S1465">
            <v>5.2149469194780473E-3</v>
          </cell>
        </row>
        <row r="1466">
          <cell r="M1466">
            <v>2.2064128256513008E-2</v>
          </cell>
          <cell r="S1466">
            <v>2.9823982530122018E-2</v>
          </cell>
        </row>
        <row r="1467">
          <cell r="M1467">
            <v>1.9411384090508208E-3</v>
          </cell>
          <cell r="S1467">
            <v>7.5294508068581576E-3</v>
          </cell>
        </row>
        <row r="1468">
          <cell r="M1468">
            <v>1.7602739726027408E-2</v>
          </cell>
          <cell r="S1468">
            <v>8.403547051711582E-3</v>
          </cell>
        </row>
        <row r="1469">
          <cell r="M1469">
            <v>1.5394378792103761E-2</v>
          </cell>
          <cell r="S1469">
            <v>-9.7639009918943209E-3</v>
          </cell>
        </row>
        <row r="1470">
          <cell r="M1470">
            <v>1.1363636363636364E-2</v>
          </cell>
          <cell r="S1470">
            <v>1.7572349562635831E-2</v>
          </cell>
        </row>
        <row r="1471">
          <cell r="M1471">
            <v>4.6816479400749067E-2</v>
          </cell>
          <cell r="S1471">
            <v>3.0414974358863232E-2</v>
          </cell>
        </row>
        <row r="1472">
          <cell r="M1472">
            <v>-7.1556350626118068E-3</v>
          </cell>
          <cell r="S1472">
            <v>1.0622653550943866E-3</v>
          </cell>
        </row>
        <row r="1473">
          <cell r="M1473">
            <v>6.0360360360360361E-2</v>
          </cell>
          <cell r="S1473">
            <v>1.6339287745249859E-2</v>
          </cell>
        </row>
        <row r="1474">
          <cell r="M1474">
            <v>2.0399320305862355E-2</v>
          </cell>
          <cell r="S1474">
            <v>-1.1265616309835792E-2</v>
          </cell>
        </row>
        <row r="1475">
          <cell r="M1475">
            <v>1.7476956894613708E-2</v>
          </cell>
          <cell r="S1475">
            <v>-3.2999975883829434E-2</v>
          </cell>
        </row>
        <row r="1476">
          <cell r="M1476">
            <v>1.4729950900163666E-2</v>
          </cell>
          <cell r="S1476">
            <v>-4.3173651567849497E-2</v>
          </cell>
        </row>
        <row r="1477">
          <cell r="M1477">
            <v>2.4193548387096774E-2</v>
          </cell>
          <cell r="S1477">
            <v>3.0469730504771662E-2</v>
          </cell>
        </row>
        <row r="1478">
          <cell r="M1478">
            <v>-2.9133858267716535E-2</v>
          </cell>
          <cell r="S1478">
            <v>4.02807334096408E-2</v>
          </cell>
        </row>
        <row r="1479">
          <cell r="M1479">
            <v>-4.0551500405515001E-2</v>
          </cell>
          <cell r="S1479">
            <v>-1.3250978148495298E-2</v>
          </cell>
        </row>
        <row r="1480">
          <cell r="M1480">
            <v>-3.8038884192730348E-2</v>
          </cell>
          <cell r="S1480">
            <v>-1.7715548333889376E-2</v>
          </cell>
        </row>
        <row r="1481">
          <cell r="M1481">
            <v>-4.6572934973637958E-2</v>
          </cell>
          <cell r="S1481">
            <v>8.4027540559366079E-3</v>
          </cell>
        </row>
        <row r="1482">
          <cell r="M1482">
            <v>2.3041474654377881E-2</v>
          </cell>
          <cell r="S1482">
            <v>3.5094554004726372E-2</v>
          </cell>
        </row>
        <row r="1483">
          <cell r="M1483">
            <v>2.1621621621621623E-2</v>
          </cell>
          <cell r="S1483">
            <v>-1.1461144032136824E-3</v>
          </cell>
        </row>
        <row r="1484">
          <cell r="M1484">
            <v>-1.5873015873015872E-2</v>
          </cell>
          <cell r="S1484">
            <v>1.6340056059878341E-2</v>
          </cell>
        </row>
        <row r="1485">
          <cell r="M1485">
            <v>-4.5698924731182797E-2</v>
          </cell>
          <cell r="S1485">
            <v>9.5360935757600452E-4</v>
          </cell>
        </row>
        <row r="1486">
          <cell r="M1486">
            <v>9.3896713615023472E-4</v>
          </cell>
          <cell r="S1486">
            <v>3.9901072117182754E-3</v>
          </cell>
        </row>
        <row r="1487">
          <cell r="M1487">
            <v>3.1894934333958722E-2</v>
          </cell>
          <cell r="S1487">
            <v>-1.1326509108406315E-2</v>
          </cell>
        </row>
        <row r="1488">
          <cell r="M1488">
            <v>-4.5454545454545452E-3</v>
          </cell>
          <cell r="S1488">
            <v>-1.7414285287884641E-3</v>
          </cell>
        </row>
        <row r="1489">
          <cell r="M1489">
            <v>8.2968036529680281E-2</v>
          </cell>
          <cell r="S1489">
            <v>-1.6408238051891493E-2</v>
          </cell>
        </row>
        <row r="1490">
          <cell r="M1490">
            <v>9.5711936585572682E-3</v>
          </cell>
          <cell r="S1490">
            <v>-1.3230139066265209E-2</v>
          </cell>
        </row>
        <row r="1491">
          <cell r="M1491">
            <v>-4.2766455061810926E-2</v>
          </cell>
          <cell r="S1491">
            <v>5.4069549724933509E-3</v>
          </cell>
        </row>
        <row r="1492">
          <cell r="M1492">
            <v>4.3630017452006981E-3</v>
          </cell>
          <cell r="S1492">
            <v>8.6780884558032619E-3</v>
          </cell>
        </row>
        <row r="1493">
          <cell r="M1493">
            <v>-4.3440486533409668E-5</v>
          </cell>
          <cell r="S1493">
            <v>5.0259099925186118E-3</v>
          </cell>
        </row>
        <row r="1494">
          <cell r="M1494">
            <v>-1.4257787045484235E-2</v>
          </cell>
          <cell r="S1494">
            <v>-2.6868362011588241E-3</v>
          </cell>
        </row>
        <row r="1495">
          <cell r="M1495">
            <v>-2.8452059865672407E-2</v>
          </cell>
          <cell r="S1495">
            <v>-5.7554121460096728E-3</v>
          </cell>
        </row>
        <row r="1496">
          <cell r="M1496">
            <v>-6.8223468147260921E-3</v>
          </cell>
          <cell r="S1496">
            <v>1.2608758824260045E-2</v>
          </cell>
        </row>
        <row r="1497">
          <cell r="M1497">
            <v>8.4586294462612038E-3</v>
          </cell>
          <cell r="S1497">
            <v>4.9685925681223521E-3</v>
          </cell>
        </row>
        <row r="1498">
          <cell r="M1498">
            <v>1.1340579710144912E-2</v>
          </cell>
          <cell r="S1498">
            <v>-6.9279748546374961E-3</v>
          </cell>
        </row>
        <row r="1499">
          <cell r="M1499">
            <v>-5.2663633432449772E-3</v>
          </cell>
          <cell r="S1499">
            <v>-1.3897676723117003E-2</v>
          </cell>
        </row>
        <row r="1500">
          <cell r="M1500">
            <v>-1.0345386443852201E-2</v>
          </cell>
          <cell r="S1500">
            <v>5.2392633050675624E-3</v>
          </cell>
        </row>
        <row r="1501">
          <cell r="M1501">
            <v>2.6520493108310842E-2</v>
          </cell>
          <cell r="S1501">
            <v>7.3896556571292002E-3</v>
          </cell>
        </row>
        <row r="1502">
          <cell r="M1502">
            <v>4.1301072409820807E-3</v>
          </cell>
          <cell r="S1502">
            <v>-1.1839869415598751E-2</v>
          </cell>
        </row>
        <row r="1503">
          <cell r="M1503">
            <v>-2.7785623499505734E-2</v>
          </cell>
          <cell r="S1503">
            <v>-1.3125051092174567E-2</v>
          </cell>
        </row>
        <row r="1504">
          <cell r="M1504">
            <v>-3.6677924247375928E-3</v>
          </cell>
          <cell r="S1504">
            <v>-4.8469004294907202E-3</v>
          </cell>
        </row>
        <row r="1505">
          <cell r="M1505">
            <v>8.5562764251347432E-3</v>
          </cell>
          <cell r="S1505">
            <v>1.5419147067434313E-2</v>
          </cell>
        </row>
        <row r="1506">
          <cell r="M1506">
            <v>2.096076181527573E-3</v>
          </cell>
          <cell r="S1506">
            <v>9.2691755943127042E-3</v>
          </cell>
        </row>
        <row r="1507">
          <cell r="M1507">
            <v>-9.4576928278411465E-3</v>
          </cell>
          <cell r="S1507">
            <v>-1.3222269027557753E-2</v>
          </cell>
        </row>
        <row r="1508">
          <cell r="M1508">
            <v>-1.2597163817741744E-2</v>
          </cell>
          <cell r="S1508">
            <v>-7.1810716944367657E-3</v>
          </cell>
        </row>
        <row r="1509">
          <cell r="M1509">
            <v>-7.9921092900203227E-3</v>
          </cell>
          <cell r="S1509">
            <v>-1.4599673490186937E-2</v>
          </cell>
        </row>
        <row r="1510">
          <cell r="M1510">
            <v>3.4911490033917143E-2</v>
          </cell>
          <cell r="S1510">
            <v>1.9745939208616514E-4</v>
          </cell>
        </row>
        <row r="1511">
          <cell r="M1511">
            <v>6.0266494271450533E-2</v>
          </cell>
          <cell r="S1511">
            <v>9.563106276899427E-3</v>
          </cell>
        </row>
        <row r="1512">
          <cell r="M1512">
            <v>1.5776904576403333E-2</v>
          </cell>
          <cell r="S1512">
            <v>1.4656489070504729E-2</v>
          </cell>
        </row>
        <row r="1513">
          <cell r="M1513">
            <v>-3.1013697716491678E-3</v>
          </cell>
          <cell r="S1513">
            <v>-7.5603674635907185E-4</v>
          </cell>
        </row>
        <row r="1514">
          <cell r="M1514">
            <v>-1.0119172067740217E-3</v>
          </cell>
          <cell r="S1514">
            <v>-3.1955739803802472E-3</v>
          </cell>
        </row>
        <row r="1515">
          <cell r="M1515">
            <v>1.2389706497898735E-2</v>
          </cell>
          <cell r="S1515">
            <v>-4.2533994858750578E-3</v>
          </cell>
        </row>
        <row r="1516">
          <cell r="M1516">
            <v>-1.9845535581392257E-4</v>
          </cell>
          <cell r="S1516">
            <v>-3.0491955680183223E-3</v>
          </cell>
        </row>
        <row r="1517">
          <cell r="M1517">
            <v>7.8488131668183019E-3</v>
          </cell>
          <cell r="S1517">
            <v>1.2036043608072854E-2</v>
          </cell>
        </row>
        <row r="1518">
          <cell r="M1518">
            <v>-8.6165158092549599E-3</v>
          </cell>
          <cell r="S1518">
            <v>2.2456752447287858E-3</v>
          </cell>
        </row>
        <row r="1519">
          <cell r="M1519">
            <v>2.8193263746906418E-2</v>
          </cell>
          <cell r="S1519">
            <v>3.5001893377273434E-3</v>
          </cell>
        </row>
        <row r="1520">
          <cell r="M1520">
            <v>0.10000402527875038</v>
          </cell>
          <cell r="S1520">
            <v>-8.2489619230528034E-3</v>
          </cell>
        </row>
        <row r="1521">
          <cell r="M1521">
            <v>2.7759684419300823E-2</v>
          </cell>
          <cell r="S1521">
            <v>1.3556359863345213E-2</v>
          </cell>
        </row>
        <row r="1522">
          <cell r="M1522">
            <v>3.9414654988250475E-2</v>
          </cell>
          <cell r="S1522">
            <v>1.7317399355024677E-3</v>
          </cell>
        </row>
        <row r="1523">
          <cell r="M1523">
            <v>-3.9379303257630262E-2</v>
          </cell>
          <cell r="S1523">
            <v>-5.8130717101804001E-3</v>
          </cell>
        </row>
        <row r="1524">
          <cell r="M1524">
            <v>-4.4573767802762862E-3</v>
          </cell>
          <cell r="S1524">
            <v>-6.8521345031323413E-4</v>
          </cell>
        </row>
        <row r="1525">
          <cell r="M1525">
            <v>1.9055533268382076E-2</v>
          </cell>
          <cell r="S1525">
            <v>-4.6811374960220743E-3</v>
          </cell>
        </row>
        <row r="1526">
          <cell r="M1526">
            <v>1.8874954306442024E-2</v>
          </cell>
          <cell r="S1526">
            <v>-1.1167870637139381E-2</v>
          </cell>
        </row>
        <row r="1527">
          <cell r="M1527">
            <v>4.7675886764594836E-3</v>
          </cell>
          <cell r="S1527">
            <v>6.7589161552749927E-3</v>
          </cell>
        </row>
        <row r="1528">
          <cell r="M1528">
            <v>2.5063861345346302E-3</v>
          </cell>
          <cell r="S1528">
            <v>-4.3464917804793531E-3</v>
          </cell>
        </row>
        <row r="1529">
          <cell r="M1529">
            <v>-1.5754179994931262E-2</v>
          </cell>
          <cell r="S1529">
            <v>1.3001078983902173E-2</v>
          </cell>
        </row>
        <row r="1530">
          <cell r="M1530">
            <v>-8.8870021504178914E-3</v>
          </cell>
          <cell r="S1530">
            <v>6.0285008298950407E-3</v>
          </cell>
        </row>
        <row r="1531">
          <cell r="M1531">
            <v>-8.032805302775007E-3</v>
          </cell>
          <cell r="S1531">
            <v>-3.7028392805163506E-4</v>
          </cell>
        </row>
        <row r="1532">
          <cell r="M1532">
            <v>1.1353983804292403E-2</v>
          </cell>
          <cell r="S1532">
            <v>-1.5624844236882102E-3</v>
          </cell>
        </row>
        <row r="1533">
          <cell r="M1533">
            <v>3.8844872476832739E-3</v>
          </cell>
          <cell r="S1533">
            <v>-8.1557110208783305E-4</v>
          </cell>
        </row>
        <row r="1534">
          <cell r="M1534">
            <v>4.322635971304099E-4</v>
          </cell>
          <cell r="S1534">
            <v>8.8504542333256702E-3</v>
          </cell>
        </row>
        <row r="1535">
          <cell r="M1535">
            <v>9.7705114535203679E-3</v>
          </cell>
          <cell r="S1535">
            <v>3.8397229956945978E-3</v>
          </cell>
        </row>
        <row r="1536">
          <cell r="M1536">
            <v>-3.1747127230065657E-4</v>
          </cell>
          <cell r="S1536">
            <v>5.7420979075210668E-3</v>
          </cell>
        </row>
        <row r="1537">
          <cell r="M1537">
            <v>-7.0418159600687926E-3</v>
          </cell>
          <cell r="S1537">
            <v>6.8976146989847388E-3</v>
          </cell>
        </row>
        <row r="1538">
          <cell r="M1538">
            <v>-5.1380458739196354E-3</v>
          </cell>
          <cell r="S1538">
            <v>8.3156490251501281E-3</v>
          </cell>
        </row>
        <row r="1539">
          <cell r="M1539">
            <v>2.8254944440561768E-2</v>
          </cell>
          <cell r="S1539">
            <v>6.7450438032845474E-3</v>
          </cell>
        </row>
        <row r="1540">
          <cell r="M1540">
            <v>-4.9071248462275816E-3</v>
          </cell>
          <cell r="S1540">
            <v>-2.7581934359223819E-3</v>
          </cell>
        </row>
        <row r="1541">
          <cell r="M1541">
            <v>1.9725293864532114E-2</v>
          </cell>
          <cell r="S1541">
            <v>-1.6907490220122577E-2</v>
          </cell>
        </row>
        <row r="1542">
          <cell r="M1542">
            <v>1.5947863013148076E-2</v>
          </cell>
          <cell r="S1542">
            <v>1.6622348990833439E-3</v>
          </cell>
        </row>
        <row r="1543">
          <cell r="M1543">
            <v>1.1748417721518946E-2</v>
          </cell>
          <cell r="S1543">
            <v>9.7668613482768188E-3</v>
          </cell>
        </row>
        <row r="1544">
          <cell r="M1544">
            <v>9.6896951688366633E-3</v>
          </cell>
          <cell r="S1544">
            <v>2.9242867020271853E-4</v>
          </cell>
        </row>
        <row r="1545">
          <cell r="M1545">
            <v>-1.4004607967782978E-2</v>
          </cell>
          <cell r="S1545">
            <v>9.6035244160457747E-3</v>
          </cell>
        </row>
        <row r="1546">
          <cell r="M1546">
            <v>-2.0513290439130978E-2</v>
          </cell>
          <cell r="S1546">
            <v>-1.2313126549597694E-3</v>
          </cell>
        </row>
        <row r="1547">
          <cell r="M1547">
            <v>9.4891242607494095E-4</v>
          </cell>
          <cell r="S1547">
            <v>-3.2680492889820702E-2</v>
          </cell>
        </row>
        <row r="1548">
          <cell r="M1548">
            <v>-4.3995807379812128E-3</v>
          </cell>
          <cell r="S1548">
            <v>5.4211362351359125E-3</v>
          </cell>
        </row>
        <row r="1549">
          <cell r="M1549">
            <v>3.5674051821253799E-3</v>
          </cell>
          <cell r="S1549">
            <v>-1.1938379552823303E-2</v>
          </cell>
        </row>
        <row r="1550">
          <cell r="M1550">
            <v>1.3136442603234053E-2</v>
          </cell>
          <cell r="S1550">
            <v>1.7836124729267266E-2</v>
          </cell>
        </row>
        <row r="1551">
          <cell r="M1551">
            <v>-9.7938348304379922E-3</v>
          </cell>
          <cell r="S1551">
            <v>-1.1497453162819547E-2</v>
          </cell>
        </row>
        <row r="1552">
          <cell r="M1552">
            <v>-1.6884128918816403E-2</v>
          </cell>
          <cell r="S1552">
            <v>1.3379760081836476E-2</v>
          </cell>
        </row>
        <row r="1553">
          <cell r="M1553">
            <v>6.6453938186794681E-2</v>
          </cell>
          <cell r="S1553">
            <v>3.3117954079232761E-3</v>
          </cell>
        </row>
        <row r="1554">
          <cell r="M1554">
            <v>-8.3664199726837165E-3</v>
          </cell>
          <cell r="S1554">
            <v>-6.4687370210360856E-3</v>
          </cell>
        </row>
        <row r="1555">
          <cell r="M1555">
            <v>2.6169457648400306E-2</v>
          </cell>
          <cell r="S1555">
            <v>7.5936835433098974E-3</v>
          </cell>
        </row>
        <row r="1556">
          <cell r="M1556">
            <v>6.9920028966876529E-4</v>
          </cell>
          <cell r="S1556">
            <v>3.5453891677522009E-3</v>
          </cell>
        </row>
        <row r="1557">
          <cell r="M1557">
            <v>-0.78918868336504566</v>
          </cell>
          <cell r="S1557">
            <v>9.1018593521969941E-3</v>
          </cell>
        </row>
        <row r="1558">
          <cell r="M1558">
            <v>1.5772964015151467E-2</v>
          </cell>
          <cell r="S1558">
            <v>3.9676177517486969E-4</v>
          </cell>
        </row>
        <row r="1559">
          <cell r="M1559">
            <v>5.4187909686817587E-3</v>
          </cell>
          <cell r="S1559">
            <v>-1.0168001698888939E-2</v>
          </cell>
        </row>
        <row r="1560">
          <cell r="M1560">
            <v>7.3889484512184847E-3</v>
          </cell>
          <cell r="S1560">
            <v>-1.8821141869796009E-2</v>
          </cell>
        </row>
        <row r="1561">
          <cell r="M1561">
            <v>7.5648622217108531E-3</v>
          </cell>
          <cell r="S1561">
            <v>3.9082829376710796E-3</v>
          </cell>
        </row>
        <row r="1562">
          <cell r="M1562">
            <v>2.4522538468126336E-2</v>
          </cell>
          <cell r="S1562">
            <v>-1.2171628228616612E-2</v>
          </cell>
        </row>
        <row r="1563">
          <cell r="M1563">
            <v>-2.7084262148907631E-2</v>
          </cell>
          <cell r="S1563">
            <v>7.0862034350920745E-3</v>
          </cell>
        </row>
        <row r="1564">
          <cell r="M1564">
            <v>-6.2636040783594915E-2</v>
          </cell>
          <cell r="S1564">
            <v>-3.0865610803242276E-2</v>
          </cell>
        </row>
        <row r="1565">
          <cell r="M1565">
            <v>2.9056799780011581E-2</v>
          </cell>
          <cell r="S1565">
            <v>2.5037686417744984E-2</v>
          </cell>
        </row>
        <row r="1566">
          <cell r="M1566">
            <v>-5.3147268408551673E-3</v>
          </cell>
          <cell r="S1566">
            <v>-1.0252910380622287E-4</v>
          </cell>
        </row>
        <row r="1567">
          <cell r="M1567">
            <v>-3.4924330616996471E-2</v>
          </cell>
          <cell r="S1567">
            <v>-4.6776469944850374E-3</v>
          </cell>
        </row>
        <row r="1568">
          <cell r="M1568">
            <v>-5.6880393430453702E-2</v>
          </cell>
          <cell r="S1568">
            <v>-3.1342138767163505E-2</v>
          </cell>
        </row>
        <row r="1569">
          <cell r="M1569">
            <v>-5.6539420175783839E-2</v>
          </cell>
          <cell r="S1569">
            <v>-5.8924344665160597E-2</v>
          </cell>
        </row>
        <row r="1570">
          <cell r="M1570">
            <v>6.740127919911007E-2</v>
          </cell>
          <cell r="S1570">
            <v>3.5235507088887619E-2</v>
          </cell>
        </row>
        <row r="1571">
          <cell r="M1571">
            <v>0.1000097697593382</v>
          </cell>
          <cell r="S1571">
            <v>9.4454154452956379E-2</v>
          </cell>
        </row>
        <row r="1572">
          <cell r="M1572">
            <v>3.9700396707916474E-2</v>
          </cell>
          <cell r="S1572">
            <v>1.0896715563037781E-2</v>
          </cell>
        </row>
        <row r="1573">
          <cell r="M1573">
            <v>-2.562715339274324E-4</v>
          </cell>
          <cell r="S1573">
            <v>-3.3193931751219059E-4</v>
          </cell>
        </row>
        <row r="1574">
          <cell r="M1574">
            <v>-1.0281970948447773E-2</v>
          </cell>
          <cell r="S1574">
            <v>1.2024816316117948E-2</v>
          </cell>
        </row>
        <row r="1575">
          <cell r="M1575">
            <v>-1.4734236956459191E-2</v>
          </cell>
          <cell r="S1575">
            <v>-2.6072442494455453E-3</v>
          </cell>
        </row>
        <row r="1576">
          <cell r="M1576">
            <v>-1.2325846306627412E-2</v>
          </cell>
          <cell r="S1576">
            <v>3.3840610973054412E-4</v>
          </cell>
        </row>
        <row r="1577">
          <cell r="M1577">
            <v>-2.8981221351470098E-3</v>
          </cell>
          <cell r="S1577">
            <v>-6.0030263273434794E-3</v>
          </cell>
        </row>
        <row r="1578">
          <cell r="M1578">
            <v>-5.279235993712458E-3</v>
          </cell>
          <cell r="S1578">
            <v>8.0719582977820063E-3</v>
          </cell>
        </row>
        <row r="1579">
          <cell r="M1579">
            <v>-3.1008676466203457E-2</v>
          </cell>
          <cell r="S1579">
            <v>-6.4905405137235285E-3</v>
          </cell>
        </row>
        <row r="1580">
          <cell r="M1580">
            <v>-5.2309301824676421E-4</v>
          </cell>
          <cell r="S1580">
            <v>-4.2273365413081652E-4</v>
          </cell>
        </row>
        <row r="1581">
          <cell r="M1581">
            <v>-5.9725386367834423E-3</v>
          </cell>
          <cell r="S1581">
            <v>-7.4015972941664778E-3</v>
          </cell>
        </row>
        <row r="1582">
          <cell r="M1582">
            <v>4.1811199207136482E-3</v>
          </cell>
          <cell r="S1582">
            <v>9.4560092139211798E-4</v>
          </cell>
        </row>
        <row r="1583">
          <cell r="M1583">
            <v>2.8220707522437705E-2</v>
          </cell>
          <cell r="S1583">
            <v>5.395793951150191E-3</v>
          </cell>
        </row>
        <row r="1584">
          <cell r="M1584">
            <v>6.7190593316935904E-3</v>
          </cell>
          <cell r="S1584">
            <v>6.0491844217026008E-3</v>
          </cell>
        </row>
        <row r="1585">
          <cell r="M1585">
            <v>-1.1471306835111205E-2</v>
          </cell>
          <cell r="S1585">
            <v>-6.7948249113613957E-3</v>
          </cell>
        </row>
        <row r="1586">
          <cell r="M1586">
            <v>2.2575880881333481E-2</v>
          </cell>
          <cell r="S1586">
            <v>1.3232578897609214E-2</v>
          </cell>
        </row>
        <row r="1587">
          <cell r="M1587">
            <v>1.8717208041030546E-2</v>
          </cell>
          <cell r="S1587">
            <v>1.1191284878224624E-2</v>
          </cell>
        </row>
        <row r="1588">
          <cell r="M1588">
            <v>-1.0271693527386393E-2</v>
          </cell>
          <cell r="S1588">
            <v>-1.2961532401737008E-3</v>
          </cell>
        </row>
        <row r="1589">
          <cell r="M1589">
            <v>-1.9236391276384213E-2</v>
          </cell>
          <cell r="S1589">
            <v>3.152226634111873E-3</v>
          </cell>
        </row>
        <row r="1590">
          <cell r="M1590">
            <v>4.9630380350542437E-2</v>
          </cell>
          <cell r="S1590">
            <v>1.9080112148025352E-2</v>
          </cell>
        </row>
        <row r="1591">
          <cell r="M1591">
            <v>1.0990259279243474E-2</v>
          </cell>
          <cell r="S1591">
            <v>-2.0872891521115404E-3</v>
          </cell>
        </row>
        <row r="1592">
          <cell r="M1592">
            <v>-2.8876404494381946E-2</v>
          </cell>
          <cell r="S1592">
            <v>-1.5710379431188356E-2</v>
          </cell>
        </row>
        <row r="1593">
          <cell r="M1593">
            <v>-1.408654402406573E-2</v>
          </cell>
          <cell r="S1593">
            <v>6.696218229088407E-4</v>
          </cell>
        </row>
        <row r="1594">
          <cell r="M1594">
            <v>-1.6488191286489672E-2</v>
          </cell>
          <cell r="S1594">
            <v>-2.080746581560545E-3</v>
          </cell>
        </row>
        <row r="1595">
          <cell r="M1595">
            <v>-1.1037198341437357E-2</v>
          </cell>
          <cell r="S1595">
            <v>-1.2339896421314441E-2</v>
          </cell>
        </row>
        <row r="1596">
          <cell r="M1596">
            <v>-9.2902603082676803E-3</v>
          </cell>
          <cell r="S1596">
            <v>-3.8462327066249896E-3</v>
          </cell>
        </row>
        <row r="1597">
          <cell r="M1597">
            <v>4.5060130917948492E-3</v>
          </cell>
          <cell r="S1597">
            <v>1.7207961928162327E-4</v>
          </cell>
        </row>
        <row r="1598">
          <cell r="M1598">
            <v>-4.0220652865759349E-2</v>
          </cell>
          <cell r="S1598">
            <v>-3.2125195087218145E-2</v>
          </cell>
        </row>
        <row r="1599">
          <cell r="M1599">
            <v>9.398092591422974E-2</v>
          </cell>
          <cell r="S1599">
            <v>5.2331087179569274E-2</v>
          </cell>
        </row>
        <row r="1600">
          <cell r="M1600">
            <v>3.8104035563766327E-3</v>
          </cell>
          <cell r="S1600">
            <v>4.2127947238468069E-3</v>
          </cell>
        </row>
        <row r="1601">
          <cell r="M1601">
            <v>-1.8577097831713452E-2</v>
          </cell>
          <cell r="S1601">
            <v>-5.825761206839474E-3</v>
          </cell>
        </row>
        <row r="1602">
          <cell r="M1602">
            <v>4.2809423347398075E-2</v>
          </cell>
          <cell r="S1602">
            <v>1.9112475691634156E-2</v>
          </cell>
        </row>
        <row r="1603">
          <cell r="M1603">
            <v>-1.8264070358818098E-3</v>
          </cell>
          <cell r="S1603">
            <v>1.0035772095739184E-2</v>
          </cell>
        </row>
        <row r="1604">
          <cell r="M1604">
            <v>-1.5426190744285605E-2</v>
          </cell>
          <cell r="S1604">
            <v>2.0474210583670025E-2</v>
          </cell>
        </row>
        <row r="1605">
          <cell r="M1605">
            <v>-2.7447392497712132E-3</v>
          </cell>
          <cell r="S1605">
            <v>1.6728623520401033E-2</v>
          </cell>
        </row>
        <row r="1606">
          <cell r="M1606">
            <v>2.4655963302752685E-3</v>
          </cell>
          <cell r="S1606">
            <v>2.6286589420321336E-3</v>
          </cell>
        </row>
        <row r="1607">
          <cell r="M1607">
            <v>9.7809300463306027E-3</v>
          </cell>
          <cell r="S1607">
            <v>9.6597464500201794E-3</v>
          </cell>
        </row>
        <row r="1608">
          <cell r="M1608">
            <v>9.9410898379970296E-3</v>
          </cell>
          <cell r="S1608">
            <v>1.0770065357040103E-2</v>
          </cell>
        </row>
        <row r="1609">
          <cell r="M1609">
            <v>-4.3747721472840026E-3</v>
          </cell>
          <cell r="S1609">
            <v>2.4765659724783139E-4</v>
          </cell>
        </row>
        <row r="1610">
          <cell r="M1610">
            <v>-7.3514914232598854E-3</v>
          </cell>
          <cell r="S1610">
            <v>-6.193330159496125E-3</v>
          </cell>
        </row>
        <row r="1611">
          <cell r="M1611">
            <v>2.7240224731853455E-3</v>
          </cell>
          <cell r="S1611">
            <v>9.0917744543584107E-3</v>
          </cell>
        </row>
        <row r="1612">
          <cell r="M1612">
            <v>-3.9617409021449352E-3</v>
          </cell>
          <cell r="S1612">
            <v>3.8677003257679078E-3</v>
          </cell>
        </row>
        <row r="1613">
          <cell r="M1613">
            <v>3.4376953235978735E-3</v>
          </cell>
          <cell r="S1613">
            <v>1.640196405399651E-2</v>
          </cell>
        </row>
        <row r="1614">
          <cell r="M1614">
            <v>-9.400039638721349E-3</v>
          </cell>
          <cell r="S1614">
            <v>-4.1220475368407682E-3</v>
          </cell>
        </row>
        <row r="1615">
          <cell r="M1615">
            <v>-7.1455111898705232E-4</v>
          </cell>
          <cell r="S1615">
            <v>3.23738699784049E-3</v>
          </cell>
        </row>
        <row r="1616">
          <cell r="M1616">
            <v>2.4826954979692256E-2</v>
          </cell>
          <cell r="S1616">
            <v>1.675854599469408E-2</v>
          </cell>
        </row>
        <row r="1617">
          <cell r="M1617">
            <v>1.1442924923247785E-3</v>
          </cell>
          <cell r="S1617">
            <v>-4.9139836513057659E-4</v>
          </cell>
        </row>
        <row r="1618">
          <cell r="M1618">
            <v>-2.7320119316438388E-3</v>
          </cell>
          <cell r="S1618">
            <v>-2.7401676337846471E-3</v>
          </cell>
        </row>
        <row r="1619">
          <cell r="M1619">
            <v>-1.8170128309060857E-3</v>
          </cell>
          <cell r="S1619">
            <v>8.6967952991219896E-3</v>
          </cell>
        </row>
        <row r="1620">
          <cell r="M1620">
            <v>-8.6815279489190736E-4</v>
          </cell>
          <cell r="S1620">
            <v>-1.185414134293848E-3</v>
          </cell>
        </row>
        <row r="1621">
          <cell r="M1621">
            <v>-9.1935981164334799E-3</v>
          </cell>
          <cell r="S1621">
            <v>-4.0335541379097452E-3</v>
          </cell>
        </row>
        <row r="1622">
          <cell r="M1622">
            <v>1.4286118419191522E-2</v>
          </cell>
          <cell r="S1622">
            <v>3.7105782158492985E-3</v>
          </cell>
        </row>
        <row r="1623">
          <cell r="M1623">
            <v>3.0010598538517293E-2</v>
          </cell>
          <cell r="S1623">
            <v>1.2410268714356885E-3</v>
          </cell>
        </row>
        <row r="1624">
          <cell r="M1624">
            <v>-2.0092066070945075E-2</v>
          </cell>
          <cell r="S1624">
            <v>-1.0153891453339883E-2</v>
          </cell>
        </row>
        <row r="1625">
          <cell r="M1625">
            <v>-1.506024096385539E-2</v>
          </cell>
          <cell r="S1625">
            <v>3.2431458427696334E-3</v>
          </cell>
        </row>
        <row r="1626">
          <cell r="M1626">
            <v>1.4589119883286531E-3</v>
          </cell>
          <cell r="S1626">
            <v>7.0670767941422297E-3</v>
          </cell>
        </row>
        <row r="1627">
          <cell r="M1627">
            <v>8.2924779380866686E-3</v>
          </cell>
          <cell r="S1627">
            <v>1.1798228314399207E-2</v>
          </cell>
        </row>
        <row r="1628">
          <cell r="M1628">
            <v>3.3897363229696276E-2</v>
          </cell>
          <cell r="S1628">
            <v>7.2157985203386635E-3</v>
          </cell>
        </row>
        <row r="1629">
          <cell r="M1629">
            <v>7.6052780091907879E-3</v>
          </cell>
          <cell r="S1629">
            <v>6.9305988356712879E-3</v>
          </cell>
        </row>
        <row r="1630">
          <cell r="M1630">
            <v>1.5709180135488308E-2</v>
          </cell>
          <cell r="S1630">
            <v>1.4341237316146475E-2</v>
          </cell>
        </row>
        <row r="1631">
          <cell r="M1631">
            <v>3.8337315862721857E-3</v>
          </cell>
          <cell r="S1631">
            <v>3.8503396203008093E-3</v>
          </cell>
        </row>
        <row r="1632">
          <cell r="M1632">
            <v>-1.9775563054225856E-2</v>
          </cell>
          <cell r="S1632">
            <v>-1.8149343680900674E-3</v>
          </cell>
        </row>
        <row r="1633">
          <cell r="M1633">
            <v>3.0688762575720578E-3</v>
          </cell>
          <cell r="S1633">
            <v>1.0641148746619327E-2</v>
          </cell>
        </row>
        <row r="1634">
          <cell r="M1634">
            <v>6.7042673193571933E-3</v>
          </cell>
          <cell r="S1634">
            <v>5.1364651319297128E-4</v>
          </cell>
        </row>
        <row r="1635">
          <cell r="M1635">
            <v>1.8551797040169238E-2</v>
          </cell>
          <cell r="S1635">
            <v>-3.2379782743902244E-3</v>
          </cell>
        </row>
        <row r="1636">
          <cell r="M1636">
            <v>2.3143583623060449E-2</v>
          </cell>
          <cell r="S1636">
            <v>-2.5714991765123996E-4</v>
          </cell>
        </row>
        <row r="1637">
          <cell r="M1637">
            <v>4.2298524116244886E-2</v>
          </cell>
          <cell r="S1637">
            <v>1.1637456692918279E-2</v>
          </cell>
        </row>
        <row r="1638">
          <cell r="M1638">
            <v>3.6397255607999703E-2</v>
          </cell>
          <cell r="S1638">
            <v>1.0623266068100613E-2</v>
          </cell>
        </row>
        <row r="1639">
          <cell r="M1639">
            <v>-3.1926381520259485E-3</v>
          </cell>
          <cell r="S1639">
            <v>5.4767035619438372E-3</v>
          </cell>
        </row>
        <row r="1640">
          <cell r="M1640">
            <v>-1.1092270736187602E-2</v>
          </cell>
          <cell r="S1640">
            <v>-9.0027292467678051E-3</v>
          </cell>
        </row>
        <row r="1641">
          <cell r="M1641">
            <v>-6.7395394251150023E-3</v>
          </cell>
          <cell r="S1641">
            <v>1.7274066646578129E-3</v>
          </cell>
        </row>
        <row r="1642">
          <cell r="M1642">
            <v>-8.391675457945719E-3</v>
          </cell>
          <cell r="S1642">
            <v>-4.5336552746997084E-3</v>
          </cell>
        </row>
        <row r="1643">
          <cell r="M1643">
            <v>4.4973161178007001E-3</v>
          </cell>
          <cell r="S1643">
            <v>-2.55518064639989E-3</v>
          </cell>
        </row>
        <row r="1644">
          <cell r="M1644">
            <v>-1.9497400346620505E-3</v>
          </cell>
          <cell r="S1644">
            <v>-6.3396747372217784E-3</v>
          </cell>
        </row>
        <row r="1645">
          <cell r="M1645">
            <v>8.7547934302872332E-3</v>
          </cell>
          <cell r="S1645">
            <v>-1.0204480818648003E-3</v>
          </cell>
        </row>
        <row r="1646">
          <cell r="M1646">
            <v>2.1900253430880375E-2</v>
          </cell>
          <cell r="S1646">
            <v>8.6482255887466875E-3</v>
          </cell>
        </row>
        <row r="1647">
          <cell r="M1647">
            <v>4.2417294464461172E-2</v>
          </cell>
          <cell r="S1647">
            <v>9.1062455649654154E-3</v>
          </cell>
        </row>
        <row r="1648">
          <cell r="M1648">
            <v>-1.0840534171248983E-2</v>
          </cell>
          <cell r="S1648">
            <v>6.6969556073892744E-3</v>
          </cell>
        </row>
        <row r="1649">
          <cell r="M1649">
            <v>5.5590851334180172E-3</v>
          </cell>
          <cell r="S1649">
            <v>8.1231733788824124E-3</v>
          </cell>
        </row>
        <row r="1650">
          <cell r="M1650">
            <v>2.1978021978021997E-2</v>
          </cell>
          <cell r="S1650">
            <v>3.0475313445536712E-3</v>
          </cell>
        </row>
        <row r="1651">
          <cell r="M1651">
            <v>2.9299419310679784E-2</v>
          </cell>
          <cell r="S1651">
            <v>1.0555545802947781E-2</v>
          </cell>
        </row>
        <row r="1652">
          <cell r="M1652">
            <v>2.6577716761765811E-2</v>
          </cell>
          <cell r="S1652">
            <v>1.1732907502398736E-2</v>
          </cell>
        </row>
        <row r="1653">
          <cell r="M1653">
            <v>5.0985226821572555E-3</v>
          </cell>
          <cell r="S1653">
            <v>3.0509847341209299E-3</v>
          </cell>
        </row>
        <row r="1654">
          <cell r="M1654">
            <v>4.5737094862892428E-3</v>
          </cell>
          <cell r="S1654">
            <v>2.9206674121360801E-3</v>
          </cell>
        </row>
        <row r="1655">
          <cell r="M1655">
            <v>-5.3185985389375082E-3</v>
          </cell>
          <cell r="S1655">
            <v>-5.6014871915057649E-3</v>
          </cell>
        </row>
        <row r="1656">
          <cell r="M1656">
            <v>-1.3461218375499273E-2</v>
          </cell>
          <cell r="S1656">
            <v>-1.0897568707820628E-2</v>
          </cell>
        </row>
        <row r="1657">
          <cell r="M1657">
            <v>5.1036548073474892E-3</v>
          </cell>
          <cell r="S1657">
            <v>6.1177926477318572E-3</v>
          </cell>
        </row>
        <row r="1658">
          <cell r="M1658">
            <v>1.9513628066052727E-3</v>
          </cell>
          <cell r="S1658">
            <v>5.1254783938581069E-3</v>
          </cell>
        </row>
        <row r="1659">
          <cell r="M1659">
            <v>6.3662254984084869E-3</v>
          </cell>
          <cell r="S1659">
            <v>-2.0040857738496492E-5</v>
          </cell>
        </row>
        <row r="1660">
          <cell r="M1660">
            <v>8.0947228233727037E-3</v>
          </cell>
          <cell r="S1660">
            <v>1.1369476880230319E-2</v>
          </cell>
        </row>
        <row r="1661">
          <cell r="M1661">
            <v>7.3072556507379925E-3</v>
          </cell>
          <cell r="S1661">
            <v>5.3123239394489718E-4</v>
          </cell>
        </row>
        <row r="1662">
          <cell r="M1662">
            <v>-1.1455152769524031E-2</v>
          </cell>
          <cell r="S1662">
            <v>-3.0544672405984023E-3</v>
          </cell>
        </row>
        <row r="1663">
          <cell r="M1663">
            <v>-1.2769485903814196E-2</v>
          </cell>
          <cell r="S1663">
            <v>2.4776798096609477E-3</v>
          </cell>
        </row>
        <row r="1664">
          <cell r="M1664">
            <v>-2.960692088022898E-3</v>
          </cell>
          <cell r="S1664">
            <v>1.8465918174190318E-3</v>
          </cell>
        </row>
        <row r="1665">
          <cell r="M1665">
            <v>-2.1502432449508203E-2</v>
          </cell>
          <cell r="S1665">
            <v>6.5939195265016862E-3</v>
          </cell>
        </row>
        <row r="1666">
          <cell r="M1666">
            <v>1.2784641212173384E-2</v>
          </cell>
          <cell r="S1666">
            <v>1.8689906566476656E-2</v>
          </cell>
        </row>
        <row r="1667">
          <cell r="M1667">
            <v>-7.3529411764705448E-3</v>
          </cell>
          <cell r="S1667">
            <v>9.8033971041746795E-3</v>
          </cell>
        </row>
        <row r="1668">
          <cell r="M1668">
            <v>1.8818240205523362E-2</v>
          </cell>
          <cell r="S1668">
            <v>1.0045304880404442E-2</v>
          </cell>
        </row>
        <row r="1669">
          <cell r="M1669">
            <v>6.6822164785980097E-3</v>
          </cell>
          <cell r="S1669">
            <v>8.8674129312198743E-4</v>
          </cell>
        </row>
        <row r="1670">
          <cell r="M1670">
            <v>-1.4465526958482073E-2</v>
          </cell>
          <cell r="S1670">
            <v>1.7201667178418062E-2</v>
          </cell>
        </row>
        <row r="1671">
          <cell r="M1671">
            <v>4.1936713686618766E-3</v>
          </cell>
          <cell r="S1671">
            <v>2.970093767788516E-3</v>
          </cell>
        </row>
        <row r="1672">
          <cell r="M1672">
            <v>-7.3188222390956452E-3</v>
          </cell>
          <cell r="S1672">
            <v>-7.3238035420544511E-3</v>
          </cell>
        </row>
        <row r="1673">
          <cell r="M1673">
            <v>-3.0893445235312789E-2</v>
          </cell>
          <cell r="S1673">
            <v>-9.4106546666006367E-3</v>
          </cell>
        </row>
        <row r="1674">
          <cell r="M1674">
            <v>-2.6660235469513988E-2</v>
          </cell>
          <cell r="S1674">
            <v>-5.4581424563145504E-3</v>
          </cell>
        </row>
        <row r="1675">
          <cell r="M1675">
            <v>1.5609865975898203E-2</v>
          </cell>
          <cell r="S1675">
            <v>-4.4530433375134584E-3</v>
          </cell>
        </row>
        <row r="1676">
          <cell r="M1676">
            <v>-5.6334279630944383E-3</v>
          </cell>
          <cell r="S1676">
            <v>-8.7073053369152893E-3</v>
          </cell>
        </row>
        <row r="1677">
          <cell r="M1677">
            <v>-3.7828433777936342E-2</v>
          </cell>
          <cell r="S1677">
            <v>-2.8539679073078552E-2</v>
          </cell>
        </row>
        <row r="1678">
          <cell r="M1678">
            <v>8.294311280077897E-2</v>
          </cell>
          <cell r="S1678">
            <v>4.4385560473259013E-2</v>
          </cell>
        </row>
        <row r="1679">
          <cell r="M1679">
            <v>-1.8430516311328055E-2</v>
          </cell>
          <cell r="S1679">
            <v>1.2712415974230897E-3</v>
          </cell>
        </row>
        <row r="1680">
          <cell r="M1680">
            <v>-8.6359175662414928E-3</v>
          </cell>
          <cell r="S1680">
            <v>-7.494037832198419E-3</v>
          </cell>
        </row>
        <row r="1681">
          <cell r="M1681">
            <v>1.1658857431971693E-2</v>
          </cell>
          <cell r="S1681">
            <v>-3.8827637640174765E-3</v>
          </cell>
        </row>
        <row r="1682">
          <cell r="M1682">
            <v>5.5665485224727701E-3</v>
          </cell>
          <cell r="S1682">
            <v>1.4875442458778441E-2</v>
          </cell>
        </row>
        <row r="1683">
          <cell r="M1683">
            <v>-8.6495837387747052E-5</v>
          </cell>
          <cell r="S1683">
            <v>6.6404034914931635E-3</v>
          </cell>
        </row>
        <row r="1684">
          <cell r="M1684">
            <v>-5.5362124521528564E-3</v>
          </cell>
          <cell r="S1684">
            <v>-4.7419482042174834E-3</v>
          </cell>
        </row>
        <row r="1685">
          <cell r="M1685">
            <v>-1.7549200826356529E-2</v>
          </cell>
          <cell r="S1685">
            <v>-1.1785237732934443E-2</v>
          </cell>
        </row>
        <row r="1686">
          <cell r="M1686">
            <v>1.1952720350613584E-3</v>
          </cell>
          <cell r="S1686">
            <v>-7.8150361251302473E-3</v>
          </cell>
        </row>
        <row r="1687">
          <cell r="M1687">
            <v>-1.5741068270251159E-2</v>
          </cell>
          <cell r="S1687">
            <v>-6.9827995164605267E-3</v>
          </cell>
        </row>
        <row r="1688">
          <cell r="M1688">
            <v>1.6711590296495951E-2</v>
          </cell>
          <cell r="S1688">
            <v>-1.2720347406736427E-2</v>
          </cell>
        </row>
        <row r="1689">
          <cell r="M1689">
            <v>-2.2887946270767085E-2</v>
          </cell>
          <cell r="S1689">
            <v>-1.0218360244153339E-2</v>
          </cell>
        </row>
        <row r="1690">
          <cell r="M1690">
            <v>8.2526906032378451E-3</v>
          </cell>
          <cell r="S1690">
            <v>-1.0930990087026081E-2</v>
          </cell>
        </row>
        <row r="1691">
          <cell r="M1691">
            <v>3.126051173951068E-2</v>
          </cell>
          <cell r="S1691">
            <v>3.1256045317357824E-2</v>
          </cell>
        </row>
        <row r="1692">
          <cell r="M1692">
            <v>1.087263791941448E-4</v>
          </cell>
          <cell r="S1692">
            <v>7.2475249754487747E-3</v>
          </cell>
        </row>
        <row r="1693">
          <cell r="M1693">
            <v>-1.1219342494346897E-2</v>
          </cell>
          <cell r="S1693">
            <v>-9.3449660313719585E-3</v>
          </cell>
        </row>
        <row r="1694">
          <cell r="M1694">
            <v>-2.8014777025244107E-2</v>
          </cell>
          <cell r="S1694">
            <v>-1.0562756100704918E-2</v>
          </cell>
        </row>
        <row r="1695">
          <cell r="M1695">
            <v>-5.3391249264738176E-3</v>
          </cell>
          <cell r="S1695">
            <v>-3.0166403065482444E-3</v>
          </cell>
        </row>
        <row r="1696">
          <cell r="M1696">
            <v>4.0940726925340026E-4</v>
          </cell>
          <cell r="S1696">
            <v>3.1182902484526097E-3</v>
          </cell>
        </row>
        <row r="1697">
          <cell r="M1697">
            <v>3.5922153510368339E-3</v>
          </cell>
          <cell r="S1697">
            <v>1.2190391164620031E-2</v>
          </cell>
        </row>
        <row r="1698">
          <cell r="M1698">
            <v>-2.4466494495038762E-2</v>
          </cell>
          <cell r="S1698">
            <v>-2.2706116768142038E-2</v>
          </cell>
        </row>
        <row r="1699">
          <cell r="M1699">
            <v>-1.4583623612465816E-2</v>
          </cell>
          <cell r="S1699">
            <v>1.985488105757641E-3</v>
          </cell>
        </row>
        <row r="1700">
          <cell r="M1700">
            <v>5.080831408775982E-2</v>
          </cell>
          <cell r="S1700">
            <v>1.5637174315093209E-2</v>
          </cell>
        </row>
        <row r="1701">
          <cell r="M1701">
            <v>-7.8268670105403736E-3</v>
          </cell>
          <cell r="S1701">
            <v>7.952881129110077E-3</v>
          </cell>
        </row>
        <row r="1702">
          <cell r="M1702">
            <v>-2.2106191089713227E-2</v>
          </cell>
          <cell r="S1702">
            <v>-1.5314768828196021E-3</v>
          </cell>
        </row>
        <row r="1703">
          <cell r="M1703">
            <v>-5.5243510621084679E-3</v>
          </cell>
          <cell r="S1703">
            <v>-4.6513270469973386E-3</v>
          </cell>
        </row>
        <row r="1704">
          <cell r="M1704">
            <v>-5.0204537002603777E-3</v>
          </cell>
          <cell r="S1704">
            <v>8.0227977570838278E-3</v>
          </cell>
        </row>
        <row r="1705">
          <cell r="M1705">
            <v>3.9712203326480768E-3</v>
          </cell>
          <cell r="S1705">
            <v>4.3806712451275069E-3</v>
          </cell>
        </row>
        <row r="1706">
          <cell r="M1706">
            <v>-3.1644096979849151E-3</v>
          </cell>
          <cell r="S1706">
            <v>-5.118667381380732E-3</v>
          </cell>
        </row>
        <row r="1707">
          <cell r="M1707">
            <v>-3.3611876196255955E-3</v>
          </cell>
          <cell r="S1707">
            <v>-7.3305280373738046E-4</v>
          </cell>
        </row>
        <row r="1708">
          <cell r="M1708">
            <v>8.3142067544146204E-3</v>
          </cell>
          <cell r="S1708">
            <v>-1.8002385295987158E-3</v>
          </cell>
        </row>
        <row r="1709">
          <cell r="M1709">
            <v>1.433117320511931E-2</v>
          </cell>
          <cell r="S1709">
            <v>9.2524401876944943E-3</v>
          </cell>
        </row>
        <row r="1710">
          <cell r="M1710">
            <v>3.4073734829402326E-2</v>
          </cell>
          <cell r="S1710">
            <v>1.3388073291670676E-2</v>
          </cell>
        </row>
        <row r="1711">
          <cell r="M1711">
            <v>1.4748217370122736E-2</v>
          </cell>
          <cell r="S1711">
            <v>7.8875484804652816E-3</v>
          </cell>
        </row>
        <row r="1712">
          <cell r="M1712">
            <v>1.551588687150841E-2</v>
          </cell>
          <cell r="S1712">
            <v>8.3063901169741997E-3</v>
          </cell>
        </row>
        <row r="1713">
          <cell r="M1713">
            <v>2.441173310411509E-2</v>
          </cell>
          <cell r="S1713">
            <v>-2.4985393799759688E-3</v>
          </cell>
        </row>
        <row r="1714">
          <cell r="M1714">
            <v>-1.1705229594512354E-2</v>
          </cell>
          <cell r="S1714">
            <v>-8.9293703235246054E-3</v>
          </cell>
        </row>
        <row r="1715">
          <cell r="M1715">
            <v>6.5799248615032425E-4</v>
          </cell>
          <cell r="S1715">
            <v>8.3186203115893508E-4</v>
          </cell>
        </row>
        <row r="1716">
          <cell r="M1716">
            <v>8.8240285083998494E-3</v>
          </cell>
          <cell r="S1716">
            <v>4.8232672444147298E-3</v>
          </cell>
        </row>
        <row r="1717">
          <cell r="M1717">
            <v>9.6719932716564242E-4</v>
          </cell>
          <cell r="S1717">
            <v>7.2877025055065369E-3</v>
          </cell>
        </row>
        <row r="1718">
          <cell r="M1718">
            <v>2.0711674998949742E-2</v>
          </cell>
          <cell r="S1718">
            <v>6.8515610958196829E-3</v>
          </cell>
        </row>
        <row r="1719">
          <cell r="M1719">
            <v>2.3378333882120423E-2</v>
          </cell>
          <cell r="S1719">
            <v>-2.6732541629312057E-5</v>
          </cell>
        </row>
        <row r="1720">
          <cell r="M1720">
            <v>-2.0189832689832619E-2</v>
          </cell>
          <cell r="S1720">
            <v>-5.1765144389679984E-3</v>
          </cell>
        </row>
        <row r="1721">
          <cell r="M1721">
            <v>3.2427551104178311E-3</v>
          </cell>
          <cell r="S1721">
            <v>7.6514451843274723E-3</v>
          </cell>
        </row>
        <row r="1722">
          <cell r="M1722">
            <v>-4.5006341802702516E-4</v>
          </cell>
          <cell r="S1722">
            <v>5.1618192450183552E-3</v>
          </cell>
        </row>
        <row r="1723">
          <cell r="M1723">
            <v>-6.1399918133444816E-4</v>
          </cell>
          <cell r="S1723">
            <v>-1.7221371227378686E-3</v>
          </cell>
        </row>
        <row r="1724">
          <cell r="M1724">
            <v>-2.3899242269096899E-2</v>
          </cell>
          <cell r="S1724">
            <v>-7.8288127767352331E-4</v>
          </cell>
        </row>
        <row r="1725">
          <cell r="M1725">
            <v>1.8588842498374031E-2</v>
          </cell>
          <cell r="S1725">
            <v>9.6692071919456096E-3</v>
          </cell>
        </row>
        <row r="1726">
          <cell r="M1726">
            <v>2.7909946651836312E-2</v>
          </cell>
          <cell r="S1726">
            <v>-3.2343444134256814E-3</v>
          </cell>
        </row>
        <row r="1727">
          <cell r="M1727">
            <v>2.7372555306187929E-2</v>
          </cell>
          <cell r="S1727">
            <v>-1.1685225497023656E-3</v>
          </cell>
        </row>
        <row r="1728">
          <cell r="M1728">
            <v>-6.8266042519993303E-3</v>
          </cell>
          <cell r="S1728">
            <v>-7.6201406052031704E-4</v>
          </cell>
        </row>
        <row r="1729">
          <cell r="M1729">
            <v>-3.6881382560879757E-2</v>
          </cell>
          <cell r="S1729">
            <v>-1.4234213517178196E-3</v>
          </cell>
        </row>
        <row r="1730">
          <cell r="M1730">
            <v>-8.2786183271481625E-3</v>
          </cell>
          <cell r="S1730">
            <v>9.1933968123439121E-3</v>
          </cell>
        </row>
        <row r="1731">
          <cell r="M1731">
            <v>7.8131425281683417E-4</v>
          </cell>
          <cell r="S1731">
            <v>8.6751952848458692E-3</v>
          </cell>
        </row>
        <row r="1732">
          <cell r="M1732">
            <v>1.0272424703126927E-3</v>
          </cell>
          <cell r="S1732">
            <v>3.3149633856583288E-3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uji Fertilizer Company Stock "/>
    </sheetNames>
    <sheetDataSet>
      <sheetData sheetId="0">
        <row r="4">
          <cell r="C4">
            <v>-3.083794130157446E-3</v>
          </cell>
          <cell r="J4">
            <v>-5.277167768193136E-3</v>
          </cell>
        </row>
        <row r="5">
          <cell r="C5">
            <v>-4.6933333333333089E-3</v>
          </cell>
          <cell r="J5">
            <v>-6.700312870003452E-3</v>
          </cell>
        </row>
        <row r="6">
          <cell r="C6">
            <v>-3.2150894866573481E-3</v>
          </cell>
          <cell r="J6">
            <v>1.4596980822273301E-4</v>
          </cell>
        </row>
        <row r="7">
          <cell r="C7">
            <v>1.4407053005053103E-2</v>
          </cell>
          <cell r="J7">
            <v>2.7030035829292545E-2</v>
          </cell>
        </row>
        <row r="8">
          <cell r="C8">
            <v>2.056173820879716E-2</v>
          </cell>
          <cell r="J8">
            <v>1.2709271207186236E-2</v>
          </cell>
        </row>
        <row r="9">
          <cell r="C9">
            <v>1.3500882750025491E-3</v>
          </cell>
          <cell r="J9">
            <v>-3.3495934959348996E-3</v>
          </cell>
        </row>
        <row r="10">
          <cell r="C10">
            <v>-1.8668326073429456E-3</v>
          </cell>
          <cell r="J10">
            <v>4.3315179787927118E-3</v>
          </cell>
        </row>
        <row r="11">
          <cell r="C11">
            <v>4.9979218620116402E-2</v>
          </cell>
          <cell r="J11">
            <v>-1.0539704499429804E-3</v>
          </cell>
        </row>
        <row r="12">
          <cell r="C12">
            <v>2.8302820385947548E-2</v>
          </cell>
          <cell r="J12">
            <v>9.3080297922512167E-3</v>
          </cell>
        </row>
        <row r="13">
          <cell r="C13">
            <v>1.5109229140602516E-2</v>
          </cell>
          <cell r="J13">
            <v>5.1156294124586037E-3</v>
          </cell>
        </row>
        <row r="14">
          <cell r="C14">
            <v>-1.166097838452791E-2</v>
          </cell>
          <cell r="J14">
            <v>-8.6390804098633381E-3</v>
          </cell>
        </row>
        <row r="15">
          <cell r="C15">
            <v>-4.7961630695443642E-3</v>
          </cell>
          <cell r="J15">
            <v>-7.1425042918691847E-4</v>
          </cell>
        </row>
        <row r="16">
          <cell r="C16">
            <v>1.1951807228915614E-2</v>
          </cell>
          <cell r="J16">
            <v>1.5954075908377224E-3</v>
          </cell>
        </row>
        <row r="17">
          <cell r="C17">
            <v>1.7334984284217616E-2</v>
          </cell>
          <cell r="J17">
            <v>6.0364061923599607E-3</v>
          </cell>
        </row>
        <row r="18">
          <cell r="C18">
            <v>3.9322160846362855E-3</v>
          </cell>
          <cell r="J18">
            <v>9.0643861220111883E-3</v>
          </cell>
        </row>
        <row r="19">
          <cell r="C19">
            <v>-1.5760514781311179E-2</v>
          </cell>
          <cell r="J19">
            <v>3.9005358349825593E-3</v>
          </cell>
        </row>
        <row r="20">
          <cell r="C20">
            <v>5.1165434906195947E-3</v>
          </cell>
          <cell r="J20">
            <v>5.7743987757706656E-3</v>
          </cell>
        </row>
        <row r="21">
          <cell r="C21">
            <v>4.7134238310708896E-3</v>
          </cell>
          <cell r="J21">
            <v>-6.0512554741783283E-4</v>
          </cell>
        </row>
        <row r="22">
          <cell r="C22">
            <v>-4.4098329893037984E-3</v>
          </cell>
          <cell r="J22">
            <v>3.8572171510684442E-3</v>
          </cell>
        </row>
        <row r="23">
          <cell r="C23">
            <v>6.4084440674772106E-3</v>
          </cell>
          <cell r="J23">
            <v>5.0544172464732987E-3</v>
          </cell>
        </row>
        <row r="24">
          <cell r="C24">
            <v>-1.1798857570933656E-2</v>
          </cell>
          <cell r="J24">
            <v>-4.2511407555896342E-4</v>
          </cell>
        </row>
        <row r="25">
          <cell r="C25">
            <v>1.1844972993461576E-2</v>
          </cell>
          <cell r="J25">
            <v>4.7380853406987292E-3</v>
          </cell>
        </row>
        <row r="26">
          <cell r="C26">
            <v>-5.7126802772054638E-3</v>
          </cell>
          <cell r="J26">
            <v>7.6763157997937811E-3</v>
          </cell>
        </row>
        <row r="27">
          <cell r="C27">
            <v>-5.6513139304890524E-4</v>
          </cell>
          <cell r="J27">
            <v>1.2202552446676474E-2</v>
          </cell>
        </row>
        <row r="28">
          <cell r="C28">
            <v>1.7246253887475246E-2</v>
          </cell>
          <cell r="J28">
            <v>-2.6123175180508265E-3</v>
          </cell>
        </row>
        <row r="29">
          <cell r="C29">
            <v>-3.8910505836576032E-3</v>
          </cell>
          <cell r="J29">
            <v>-4.1664177047575244E-3</v>
          </cell>
        </row>
        <row r="30">
          <cell r="C30">
            <v>1.2462797619047651E-2</v>
          </cell>
          <cell r="J30">
            <v>-1.0775958531672861E-2</v>
          </cell>
        </row>
        <row r="31">
          <cell r="C31">
            <v>-1.2033804887010861E-2</v>
          </cell>
          <cell r="J31">
            <v>-1.3716222743709233E-2</v>
          </cell>
        </row>
        <row r="32">
          <cell r="C32">
            <v>1.4597861459786214E-2</v>
          </cell>
          <cell r="J32">
            <v>6.6891448383979485E-3</v>
          </cell>
        </row>
        <row r="33">
          <cell r="C33">
            <v>-1.6495601173021153E-3</v>
          </cell>
          <cell r="J33">
            <v>-1.2850931169062351E-3</v>
          </cell>
        </row>
        <row r="34">
          <cell r="C34">
            <v>-4.1307141545805295E-3</v>
          </cell>
          <cell r="J34">
            <v>-9.1579270083860223E-4</v>
          </cell>
        </row>
        <row r="35">
          <cell r="C35">
            <v>-1.0047008940916114E-2</v>
          </cell>
          <cell r="J35">
            <v>-5.0139506820811989E-4</v>
          </cell>
        </row>
        <row r="36">
          <cell r="C36">
            <v>-4.2830540037244683E-3</v>
          </cell>
          <cell r="J36">
            <v>-6.5997030627610795E-3</v>
          </cell>
        </row>
        <row r="37">
          <cell r="C37">
            <v>-1.3091453151299847E-3</v>
          </cell>
          <cell r="J37">
            <v>-6.5242033273934606E-3</v>
          </cell>
        </row>
        <row r="38">
          <cell r="C38">
            <v>8.426966292134885E-3</v>
          </cell>
          <cell r="J38">
            <v>8.0664072716041917E-3</v>
          </cell>
        </row>
        <row r="39">
          <cell r="C39">
            <v>-1.6713091922006204E-3</v>
          </cell>
          <cell r="J39">
            <v>-5.1805663344370806E-3</v>
          </cell>
        </row>
        <row r="40">
          <cell r="C40">
            <v>4.3712797619047516E-3</v>
          </cell>
          <cell r="J40">
            <v>-1.3620921615814081E-3</v>
          </cell>
        </row>
        <row r="41">
          <cell r="C41">
            <v>2.7780350032411463E-4</v>
          </cell>
          <cell r="J41">
            <v>-1.0229375004529338E-2</v>
          </cell>
        </row>
        <row r="42">
          <cell r="C42">
            <v>-1.3978892797629984E-2</v>
          </cell>
          <cell r="J42">
            <v>-1.9822863705945434E-2</v>
          </cell>
        </row>
        <row r="43">
          <cell r="C43">
            <v>1.0327668763496331E-3</v>
          </cell>
          <cell r="J43">
            <v>-3.3223712426589565E-3</v>
          </cell>
        </row>
        <row r="44">
          <cell r="C44">
            <v>4.8771337460138432E-3</v>
          </cell>
          <cell r="J44">
            <v>9.353446348651288E-3</v>
          </cell>
        </row>
        <row r="45">
          <cell r="C45">
            <v>3.453425424678034E-3</v>
          </cell>
          <cell r="J45">
            <v>1.2403404464518994E-2</v>
          </cell>
        </row>
        <row r="46">
          <cell r="C46">
            <v>7.9062412798808889E-3</v>
          </cell>
          <cell r="J46">
            <v>5.3296731506427683E-3</v>
          </cell>
        </row>
        <row r="47">
          <cell r="C47">
            <v>-3.3222591362126195E-3</v>
          </cell>
          <cell r="J47">
            <v>-1.5403874339805978E-3</v>
          </cell>
        </row>
        <row r="48">
          <cell r="C48">
            <v>-3.981481481481545E-3</v>
          </cell>
          <cell r="J48">
            <v>-3.0338755473562368E-3</v>
          </cell>
        </row>
        <row r="49">
          <cell r="C49">
            <v>-4.6481360974249325E-3</v>
          </cell>
          <cell r="J49">
            <v>-6.9247702063025517E-3</v>
          </cell>
        </row>
        <row r="50">
          <cell r="C50">
            <v>-9.8066685346035048E-3</v>
          </cell>
          <cell r="J50">
            <v>-8.7511865649040274E-3</v>
          </cell>
        </row>
        <row r="51">
          <cell r="C51">
            <v>-1.6977928692698794E-3</v>
          </cell>
          <cell r="J51">
            <v>-6.7059937771876102E-4</v>
          </cell>
        </row>
        <row r="52">
          <cell r="C52">
            <v>1.5117157974300509E-3</v>
          </cell>
          <cell r="J52">
            <v>-7.095859096072491E-4</v>
          </cell>
        </row>
        <row r="53">
          <cell r="C53">
            <v>-1.6981132075472342E-3</v>
          </cell>
          <cell r="J53">
            <v>8.3400841566944289E-4</v>
          </cell>
        </row>
        <row r="54">
          <cell r="C54">
            <v>5.0085050085050195E-3</v>
          </cell>
          <cell r="J54">
            <v>-3.0907605218021585E-3</v>
          </cell>
        </row>
        <row r="55">
          <cell r="C55">
            <v>5.0775740479549253E-3</v>
          </cell>
          <cell r="J55">
            <v>-1.2926512956789833E-2</v>
          </cell>
        </row>
        <row r="56">
          <cell r="C56">
            <v>-1.0758723921788808E-2</v>
          </cell>
          <cell r="J56">
            <v>1.4227183317909675E-2</v>
          </cell>
        </row>
        <row r="57">
          <cell r="C57">
            <v>-6.5254397578967064E-3</v>
          </cell>
          <cell r="J57">
            <v>-6.1664858520613375E-3</v>
          </cell>
        </row>
        <row r="58">
          <cell r="C58">
            <v>2.6653974297953464E-3</v>
          </cell>
          <cell r="J58">
            <v>-1.6732979612492209E-3</v>
          </cell>
        </row>
        <row r="59">
          <cell r="C59">
            <v>-7.1204784961549413E-3</v>
          </cell>
          <cell r="J59">
            <v>-4.2298177637300561E-3</v>
          </cell>
        </row>
        <row r="60">
          <cell r="C60">
            <v>1.5299292407725817E-3</v>
          </cell>
          <cell r="J60">
            <v>3.8338182052177414E-3</v>
          </cell>
        </row>
        <row r="61">
          <cell r="C61">
            <v>-6.7786900897459784E-3</v>
          </cell>
          <cell r="J61">
            <v>-1.046432472651857E-2</v>
          </cell>
        </row>
        <row r="62">
          <cell r="C62">
            <v>0</v>
          </cell>
          <cell r="J62">
            <v>5.2577247666189654E-3</v>
          </cell>
        </row>
        <row r="63">
          <cell r="C63">
            <v>1.1342881861001563E-2</v>
          </cell>
          <cell r="J63">
            <v>1.658999304184584E-2</v>
          </cell>
        </row>
        <row r="64">
          <cell r="C64">
            <v>-8.6493679308050249E-3</v>
          </cell>
          <cell r="J64">
            <v>-1.0575128814287611E-2</v>
          </cell>
        </row>
        <row r="65">
          <cell r="C65">
            <v>1.5340364333652598E-3</v>
          </cell>
          <cell r="J65">
            <v>2.5001977799364102E-3</v>
          </cell>
        </row>
        <row r="66">
          <cell r="C66">
            <v>-1.0051694428489348E-2</v>
          </cell>
          <cell r="J66">
            <v>-7.6195350295761325E-3</v>
          </cell>
        </row>
        <row r="67">
          <cell r="C67">
            <v>5.0285272217388093E-3</v>
          </cell>
          <cell r="J67">
            <v>-8.3123777045145449E-3</v>
          </cell>
        </row>
        <row r="68">
          <cell r="C68">
            <v>-7.9861445203503554E-3</v>
          </cell>
          <cell r="J68">
            <v>-3.4782809877886638E-4</v>
          </cell>
        </row>
        <row r="69">
          <cell r="C69">
            <v>7.7594568380225516E-4</v>
          </cell>
          <cell r="J69">
            <v>-1.3325951797342707E-2</v>
          </cell>
        </row>
        <row r="70">
          <cell r="C70">
            <v>-3.7798022872649792E-3</v>
          </cell>
          <cell r="J70">
            <v>1.5193472884041256E-4</v>
          </cell>
        </row>
        <row r="71">
          <cell r="C71">
            <v>-3.794143399163348E-3</v>
          </cell>
          <cell r="J71">
            <v>-1.5988034692356105E-2</v>
          </cell>
        </row>
        <row r="72">
          <cell r="C72">
            <v>-8.5937500000000944E-3</v>
          </cell>
          <cell r="J72">
            <v>5.6351364271241024E-3</v>
          </cell>
        </row>
        <row r="73">
          <cell r="C73">
            <v>-1.5070921985815614E-2</v>
          </cell>
          <cell r="J73">
            <v>-1.483033786453373E-2</v>
          </cell>
        </row>
        <row r="74">
          <cell r="C74">
            <v>3.100310031003123E-3</v>
          </cell>
          <cell r="J74">
            <v>5.6950211212236784E-3</v>
          </cell>
        </row>
        <row r="75">
          <cell r="C75">
            <v>1.0468594217347927E-2</v>
          </cell>
          <cell r="J75">
            <v>1.4956925750061793E-2</v>
          </cell>
        </row>
        <row r="76">
          <cell r="C76">
            <v>-8.8801184015776223E-4</v>
          </cell>
          <cell r="J76">
            <v>4.4515126331523226E-3</v>
          </cell>
        </row>
        <row r="77">
          <cell r="C77">
            <v>1.0369346237408622E-2</v>
          </cell>
          <cell r="J77">
            <v>-3.2564456987081046E-3</v>
          </cell>
        </row>
        <row r="78">
          <cell r="C78">
            <v>-7.3306617143974193E-3</v>
          </cell>
          <cell r="J78">
            <v>-1.6836467867513531E-2</v>
          </cell>
        </row>
        <row r="79">
          <cell r="C79">
            <v>2.4714454509649379E-2</v>
          </cell>
          <cell r="J79">
            <v>1.6132205176400147E-3</v>
          </cell>
        </row>
        <row r="80">
          <cell r="C80">
            <v>2.4694916882867374E-2</v>
          </cell>
          <cell r="J80">
            <v>1.3055846675500792E-2</v>
          </cell>
        </row>
        <row r="81">
          <cell r="C81">
            <v>-1.0690172543135789E-2</v>
          </cell>
          <cell r="J81">
            <v>-1.0478791026713941E-2</v>
          </cell>
        </row>
        <row r="82">
          <cell r="C82">
            <v>-5.0236966824644654E-3</v>
          </cell>
          <cell r="J82">
            <v>-1.3486103210991243E-2</v>
          </cell>
        </row>
        <row r="83">
          <cell r="C83">
            <v>-3.1437553586738907E-3</v>
          </cell>
          <cell r="J83">
            <v>2.7529919077640902E-3</v>
          </cell>
        </row>
        <row r="84">
          <cell r="C84">
            <v>2.9625382262997157E-3</v>
          </cell>
          <cell r="J84">
            <v>7.9930419060793966E-3</v>
          </cell>
        </row>
        <row r="85">
          <cell r="C85">
            <v>-3.1443544545021276E-3</v>
          </cell>
          <cell r="J85">
            <v>9.0933723013052921E-3</v>
          </cell>
        </row>
        <row r="86">
          <cell r="C86">
            <v>-4.1101127891417207E-3</v>
          </cell>
          <cell r="J86">
            <v>-2.8106175413668065E-3</v>
          </cell>
        </row>
        <row r="87">
          <cell r="C87">
            <v>-2.6873980228428944E-3</v>
          </cell>
          <cell r="J87">
            <v>-6.5313087167568999E-3</v>
          </cell>
        </row>
        <row r="88">
          <cell r="C88">
            <v>-3.9457222596477395E-3</v>
          </cell>
          <cell r="J88">
            <v>-6.437776407633362E-3</v>
          </cell>
        </row>
        <row r="89">
          <cell r="C89">
            <v>-1.4106280193236655E-2</v>
          </cell>
          <cell r="J89">
            <v>-1.1619905312601674E-2</v>
          </cell>
        </row>
        <row r="90">
          <cell r="C90">
            <v>-9.1140729125833674E-3</v>
          </cell>
          <cell r="J90">
            <v>-1.4326902979961462E-2</v>
          </cell>
        </row>
        <row r="91">
          <cell r="C91">
            <v>2.3736524577192648E-3</v>
          </cell>
          <cell r="J91">
            <v>7.2011508360242404E-4</v>
          </cell>
        </row>
        <row r="92">
          <cell r="C92">
            <v>-2.2890971879624997E-2</v>
          </cell>
          <cell r="J92">
            <v>-1.6727821176243392E-2</v>
          </cell>
        </row>
        <row r="93">
          <cell r="C93">
            <v>-6.0587700696757979E-3</v>
          </cell>
          <cell r="J93">
            <v>-4.2069323188819712E-3</v>
          </cell>
        </row>
        <row r="94">
          <cell r="C94">
            <v>-4.3685868129635964E-3</v>
          </cell>
          <cell r="J94">
            <v>-4.9046023176116411E-3</v>
          </cell>
        </row>
        <row r="95">
          <cell r="C95">
            <v>-4.9897959183673478E-2</v>
          </cell>
          <cell r="J95">
            <v>-2.3508973967156323E-2</v>
          </cell>
        </row>
        <row r="96">
          <cell r="C96">
            <v>-7.4105896251745003E-3</v>
          </cell>
          <cell r="J96">
            <v>-4.5102739261332391E-4</v>
          </cell>
        </row>
        <row r="97">
          <cell r="C97">
            <v>-2.4886388227656781E-3</v>
          </cell>
          <cell r="J97">
            <v>1.1998197437280084E-2</v>
          </cell>
        </row>
        <row r="98">
          <cell r="C98">
            <v>-7.7014860613948775E-3</v>
          </cell>
          <cell r="J98">
            <v>-9.3471734372653058E-3</v>
          </cell>
        </row>
        <row r="99">
          <cell r="C99">
            <v>-4.7332750327940515E-2</v>
          </cell>
          <cell r="J99">
            <v>-2.3681880373682115E-2</v>
          </cell>
        </row>
        <row r="100">
          <cell r="C100">
            <v>-7.6878944348824059E-3</v>
          </cell>
          <cell r="J100">
            <v>2.5302548164388848E-3</v>
          </cell>
        </row>
        <row r="101">
          <cell r="C101">
            <v>-1.8501387604070402E-2</v>
          </cell>
          <cell r="J101">
            <v>5.7611094436360328E-3</v>
          </cell>
        </row>
        <row r="102">
          <cell r="C102">
            <v>4.995287464655996E-2</v>
          </cell>
          <cell r="J102">
            <v>3.573459800670415E-2</v>
          </cell>
        </row>
        <row r="103">
          <cell r="C103">
            <v>4.9708258527827565E-2</v>
          </cell>
          <cell r="J103">
            <v>2.7259756434855682E-2</v>
          </cell>
        </row>
        <row r="104">
          <cell r="C104">
            <v>4.4147514698022555E-2</v>
          </cell>
          <cell r="J104">
            <v>3.4419726744411867E-3</v>
          </cell>
        </row>
        <row r="105">
          <cell r="C105">
            <v>-3.5012285012285024E-2</v>
          </cell>
          <cell r="J105">
            <v>-1.8037290698093712E-4</v>
          </cell>
        </row>
        <row r="106">
          <cell r="C106">
            <v>-4.4451517080415996E-2</v>
          </cell>
          <cell r="J106">
            <v>-2.0956445810994023E-2</v>
          </cell>
        </row>
        <row r="107">
          <cell r="C107">
            <v>4.9961141334517602E-2</v>
          </cell>
          <cell r="J107">
            <v>2.8903313601882544E-2</v>
          </cell>
        </row>
        <row r="108">
          <cell r="C108">
            <v>-2.506080152268151E-2</v>
          </cell>
          <cell r="J108">
            <v>4.271480387759367E-4</v>
          </cell>
        </row>
        <row r="109">
          <cell r="C109">
            <v>-1.2364425162689811E-2</v>
          </cell>
          <cell r="J109">
            <v>-1.3050805855989708E-2</v>
          </cell>
        </row>
        <row r="110">
          <cell r="C110">
            <v>0</v>
          </cell>
          <cell r="J110">
            <v>-2.6411275615549061E-2</v>
          </cell>
        </row>
        <row r="111">
          <cell r="C111">
            <v>4.9857236986602153E-2</v>
          </cell>
          <cell r="J111">
            <v>2.6701342733284721E-3</v>
          </cell>
        </row>
        <row r="112">
          <cell r="C112">
            <v>2.3326359832636027E-2</v>
          </cell>
          <cell r="J112">
            <v>8.0231160838838533E-3</v>
          </cell>
        </row>
        <row r="113">
          <cell r="C113">
            <v>-1.23683941531227E-2</v>
          </cell>
          <cell r="J113">
            <v>1.3313324515791274E-2</v>
          </cell>
        </row>
        <row r="114">
          <cell r="C114">
            <v>8.2798592423927024E-4</v>
          </cell>
          <cell r="J114">
            <v>4.798453919391662E-3</v>
          </cell>
        </row>
        <row r="115">
          <cell r="C115">
            <v>-2.0992761116856266E-2</v>
          </cell>
          <cell r="J115">
            <v>-1.1360598432235657E-2</v>
          </cell>
        </row>
        <row r="116">
          <cell r="C116">
            <v>-1.6267032850956018E-2</v>
          </cell>
          <cell r="J116">
            <v>-1.3850336747152692E-2</v>
          </cell>
        </row>
        <row r="117">
          <cell r="C117">
            <v>-1.4281112423494023E-2</v>
          </cell>
          <cell r="J117">
            <v>-7.381410149207866E-4</v>
          </cell>
        </row>
        <row r="118">
          <cell r="C118">
            <v>1.5468409586056664E-2</v>
          </cell>
          <cell r="J118">
            <v>9.8046174817031113E-3</v>
          </cell>
        </row>
        <row r="119">
          <cell r="C119">
            <v>-7.187298862904974E-3</v>
          </cell>
          <cell r="J119">
            <v>3.6958604591221232E-3</v>
          </cell>
        </row>
        <row r="120">
          <cell r="C120">
            <v>-1.7396002160994052E-2</v>
          </cell>
          <cell r="J120">
            <v>-1.8599155877894191E-2</v>
          </cell>
        </row>
        <row r="121">
          <cell r="C121">
            <v>-1.539476577963483E-2</v>
          </cell>
          <cell r="J121">
            <v>-8.1611281056045426E-3</v>
          </cell>
        </row>
        <row r="122">
          <cell r="C122">
            <v>5.3607326334597916E-3</v>
          </cell>
          <cell r="J122">
            <v>-2.9850292273145367E-3</v>
          </cell>
        </row>
        <row r="123">
          <cell r="C123">
            <v>-2.9660075538769183E-2</v>
          </cell>
          <cell r="J123">
            <v>-9.2154083364037499E-3</v>
          </cell>
        </row>
        <row r="124">
          <cell r="C124">
            <v>-1.7172295363479277E-3</v>
          </cell>
          <cell r="J124">
            <v>3.7649795318469865E-3</v>
          </cell>
        </row>
        <row r="125">
          <cell r="C125">
            <v>3.1422018348623793E-2</v>
          </cell>
          <cell r="J125">
            <v>2.7948549890595069E-3</v>
          </cell>
        </row>
        <row r="126">
          <cell r="C126">
            <v>2.9908828107627284E-2</v>
          </cell>
          <cell r="J126">
            <v>9.141574987653044E-3</v>
          </cell>
        </row>
        <row r="127">
          <cell r="C127">
            <v>4.9983806542157075E-2</v>
          </cell>
          <cell r="J127">
            <v>1.7181278166537559E-2</v>
          </cell>
        </row>
        <row r="128">
          <cell r="C128">
            <v>-1.2338062924120942E-2</v>
          </cell>
          <cell r="J128">
            <v>-9.3398917658049363E-3</v>
          </cell>
        </row>
        <row r="129">
          <cell r="C129">
            <v>-1.374141161773899E-2</v>
          </cell>
          <cell r="J129">
            <v>-1.1009348400462757E-2</v>
          </cell>
        </row>
        <row r="130">
          <cell r="C130">
            <v>1.5832805573148163E-3</v>
          </cell>
          <cell r="J130">
            <v>-1.3083935019634283E-2</v>
          </cell>
        </row>
        <row r="131">
          <cell r="C131">
            <v>9.4846664558966606E-4</v>
          </cell>
          <cell r="J131">
            <v>3.345910876077462E-3</v>
          </cell>
        </row>
        <row r="132">
          <cell r="C132">
            <v>-1.0528532322599616E-4</v>
          </cell>
          <cell r="J132">
            <v>-4.5871315747651747E-4</v>
          </cell>
        </row>
        <row r="133">
          <cell r="C133">
            <v>7.3707486574715582E-4</v>
          </cell>
          <cell r="J133">
            <v>1.0446202059393689E-3</v>
          </cell>
        </row>
        <row r="134">
          <cell r="C134">
            <v>2.0833333333333225E-2</v>
          </cell>
          <cell r="J134">
            <v>-5.9898923702746973E-3</v>
          </cell>
        </row>
        <row r="135">
          <cell r="C135">
            <v>-3.1333745619459827E-2</v>
          </cell>
          <cell r="J135">
            <v>-2.1208410782808145E-2</v>
          </cell>
        </row>
        <row r="136">
          <cell r="C136">
            <v>-5.320280910831789E-4</v>
          </cell>
          <cell r="J136">
            <v>4.14765909094304E-4</v>
          </cell>
        </row>
        <row r="137">
          <cell r="C137">
            <v>-9.6880655807517375E-3</v>
          </cell>
          <cell r="J137">
            <v>3.023775916671519E-4</v>
          </cell>
        </row>
        <row r="138">
          <cell r="C138">
            <v>-5.1601806063211117E-3</v>
          </cell>
          <cell r="J138">
            <v>-2.0388399850948872E-2</v>
          </cell>
        </row>
        <row r="139">
          <cell r="C139">
            <v>1.6749513723795083E-2</v>
          </cell>
          <cell r="J139">
            <v>4.6187596604594051E-3</v>
          </cell>
        </row>
        <row r="140">
          <cell r="C140">
            <v>9.565309809756525E-3</v>
          </cell>
          <cell r="J140">
            <v>3.8750698193430878E-3</v>
          </cell>
        </row>
        <row r="141">
          <cell r="C141">
            <v>1.8212443415096369E-2</v>
          </cell>
          <cell r="J141">
            <v>4.0304377381305484E-3</v>
          </cell>
        </row>
        <row r="142">
          <cell r="C142">
            <v>-1.2096774193548404E-2</v>
          </cell>
          <cell r="J142">
            <v>-9.6124573143072899E-3</v>
          </cell>
        </row>
        <row r="143">
          <cell r="C143">
            <v>8.7912087912088276E-3</v>
          </cell>
          <cell r="J143">
            <v>1.3888288777645409E-3</v>
          </cell>
        </row>
        <row r="144">
          <cell r="C144">
            <v>-1.3901857039111976E-2</v>
          </cell>
          <cell r="J144">
            <v>-1.0575287242960729E-2</v>
          </cell>
        </row>
        <row r="145">
          <cell r="C145">
            <v>-4.8395581273013542E-3</v>
          </cell>
          <cell r="J145">
            <v>-1.1495402181771541E-2</v>
          </cell>
        </row>
        <row r="146">
          <cell r="C146">
            <v>-6.5546040807696855E-3</v>
          </cell>
          <cell r="J146">
            <v>-2.3983566010582448E-3</v>
          </cell>
        </row>
        <row r="147">
          <cell r="C147">
            <v>1.3727785463445847E-2</v>
          </cell>
          <cell r="J147">
            <v>8.8558638352498695E-3</v>
          </cell>
        </row>
        <row r="148">
          <cell r="C148">
            <v>-7.3483098887256225E-3</v>
          </cell>
          <cell r="J148">
            <v>-3.1112939626431499E-3</v>
          </cell>
        </row>
        <row r="149">
          <cell r="C149">
            <v>-1.7978003384094934E-3</v>
          </cell>
          <cell r="J149">
            <v>-5.4241465920373006E-3</v>
          </cell>
        </row>
        <row r="150">
          <cell r="C150">
            <v>-2.118868524208103E-3</v>
          </cell>
          <cell r="J150">
            <v>-1.5335176927223533E-2</v>
          </cell>
        </row>
        <row r="151">
          <cell r="C151">
            <v>1.3164879498885328E-2</v>
          </cell>
          <cell r="J151">
            <v>-5.7769524835796712E-3</v>
          </cell>
        </row>
        <row r="152">
          <cell r="C152">
            <v>-2.0852981242795859E-2</v>
          </cell>
          <cell r="J152">
            <v>-2.3329173208191875E-2</v>
          </cell>
        </row>
        <row r="153">
          <cell r="C153">
            <v>2.4614726027397688E-3</v>
          </cell>
          <cell r="J153">
            <v>-1.7817550685411129E-2</v>
          </cell>
        </row>
        <row r="154">
          <cell r="C154">
            <v>-2.1351553325504734E-3</v>
          </cell>
          <cell r="J154">
            <v>-1.0387726402398545E-2</v>
          </cell>
        </row>
        <row r="155">
          <cell r="C155">
            <v>-3.7124210976783985E-2</v>
          </cell>
          <cell r="J155">
            <v>-2.2577675747143852E-2</v>
          </cell>
        </row>
        <row r="156">
          <cell r="C156">
            <v>6.0000000000000695E-3</v>
          </cell>
          <cell r="J156">
            <v>2.7735103841071387E-2</v>
          </cell>
        </row>
        <row r="157">
          <cell r="C157">
            <v>6.737353655842715E-3</v>
          </cell>
          <cell r="J157">
            <v>2.8982742278879842E-2</v>
          </cell>
        </row>
        <row r="158">
          <cell r="C158">
            <v>2.8524410312670422E-3</v>
          </cell>
          <cell r="J158">
            <v>1.8196719048022888E-2</v>
          </cell>
        </row>
        <row r="159">
          <cell r="C159">
            <v>1.6737774860518556E-2</v>
          </cell>
          <cell r="J159">
            <v>2.9435552219289559E-2</v>
          </cell>
        </row>
        <row r="160">
          <cell r="C160">
            <v>-3.0234559931138393E-2</v>
          </cell>
          <cell r="J160">
            <v>-1.6761775724530369E-2</v>
          </cell>
        </row>
        <row r="161">
          <cell r="C161">
            <v>-1.8972595140352756E-2</v>
          </cell>
          <cell r="J161">
            <v>-2.6456450891084241E-2</v>
          </cell>
        </row>
        <row r="162">
          <cell r="C162">
            <v>1.2893010631078948E-2</v>
          </cell>
          <cell r="J162">
            <v>2.1051355477939493E-3</v>
          </cell>
        </row>
        <row r="163">
          <cell r="C163">
            <v>-8.9325591782043654E-4</v>
          </cell>
          <cell r="J163">
            <v>1.7283066616315132E-3</v>
          </cell>
        </row>
        <row r="164">
          <cell r="C164">
            <v>4.9508270004470188E-2</v>
          </cell>
          <cell r="J164">
            <v>-1.5626167882651806E-2</v>
          </cell>
        </row>
        <row r="165">
          <cell r="C165">
            <v>-2.7686082419337604E-2</v>
          </cell>
          <cell r="J165">
            <v>-1.6142466451097789E-2</v>
          </cell>
        </row>
        <row r="166">
          <cell r="C166">
            <v>1.9274997262074153E-2</v>
          </cell>
          <cell r="J166">
            <v>1.2980872280106777E-2</v>
          </cell>
        </row>
        <row r="167">
          <cell r="C167">
            <v>-5.5871924358009677E-3</v>
          </cell>
          <cell r="J167">
            <v>-8.2379349568773696E-3</v>
          </cell>
        </row>
        <row r="168">
          <cell r="C168">
            <v>-1.2425715829281378E-2</v>
          </cell>
          <cell r="J168">
            <v>1.4594252605193992E-2</v>
          </cell>
        </row>
        <row r="169">
          <cell r="C169">
            <v>-2.5164113785558421E-3</v>
          </cell>
          <cell r="J169">
            <v>-9.9058579792245228E-4</v>
          </cell>
        </row>
        <row r="170">
          <cell r="C170">
            <v>-2.5227596797192495E-3</v>
          </cell>
          <cell r="J170">
            <v>8.354523301021332E-3</v>
          </cell>
        </row>
        <row r="171">
          <cell r="C171">
            <v>2.2542335605893964E-2</v>
          </cell>
          <cell r="J171">
            <v>1.6005080873857821E-2</v>
          </cell>
        </row>
        <row r="172">
          <cell r="C172">
            <v>-1.1829228949349331E-3</v>
          </cell>
          <cell r="J172">
            <v>1.9117533515771168E-2</v>
          </cell>
        </row>
        <row r="173">
          <cell r="C173">
            <v>-5.3832902670108919E-4</v>
          </cell>
          <cell r="J173">
            <v>-2.0699529997042243E-3</v>
          </cell>
        </row>
        <row r="174">
          <cell r="C174">
            <v>0</v>
          </cell>
          <cell r="J174">
            <v>1.4206524442597781E-2</v>
          </cell>
        </row>
        <row r="175">
          <cell r="C175">
            <v>-1.4327264892814804E-2</v>
          </cell>
          <cell r="J175">
            <v>-6.1481025602481228E-4</v>
          </cell>
        </row>
        <row r="176">
          <cell r="C176">
            <v>-1.3224043715846926E-2</v>
          </cell>
          <cell r="J176">
            <v>-1.1076839955723889E-2</v>
          </cell>
        </row>
        <row r="177">
          <cell r="C177">
            <v>1.7388415106877761E-2</v>
          </cell>
          <cell r="J177">
            <v>1.9919208935883309E-2</v>
          </cell>
        </row>
        <row r="178">
          <cell r="C178">
            <v>-7.6202917483119076E-4</v>
          </cell>
          <cell r="J178">
            <v>-2.2660306990765389E-3</v>
          </cell>
        </row>
        <row r="179">
          <cell r="C179">
            <v>1.6341649417146908E-3</v>
          </cell>
          <cell r="J179">
            <v>-1.1207650936903421E-2</v>
          </cell>
        </row>
        <row r="180">
          <cell r="C180">
            <v>2.3928649118990521E-3</v>
          </cell>
          <cell r="J180">
            <v>2.4575441376880592E-3</v>
          </cell>
        </row>
        <row r="181">
          <cell r="C181">
            <v>-9.7656250000003708E-4</v>
          </cell>
          <cell r="J181">
            <v>-8.295202775812506E-3</v>
          </cell>
        </row>
        <row r="182">
          <cell r="C182">
            <v>-6.5167807103278018E-4</v>
          </cell>
          <cell r="J182">
            <v>-4.1602764562630725E-3</v>
          </cell>
        </row>
        <row r="183">
          <cell r="C183">
            <v>1.0107597000325971E-2</v>
          </cell>
          <cell r="J183">
            <v>2.0262207445530984E-2</v>
          </cell>
        </row>
        <row r="184">
          <cell r="C184">
            <v>9.683666881859631E-4</v>
          </cell>
          <cell r="J184">
            <v>2.5069525839843877E-4</v>
          </cell>
        </row>
        <row r="185">
          <cell r="C185">
            <v>-6.3420402020853851E-3</v>
          </cell>
          <cell r="J185">
            <v>5.4699591787112437E-3</v>
          </cell>
        </row>
        <row r="186">
          <cell r="C186">
            <v>-3.6780614452618285E-3</v>
          </cell>
          <cell r="J186">
            <v>3.3803223878227425E-3</v>
          </cell>
        </row>
        <row r="187">
          <cell r="C187">
            <v>1.4115092290988181E-2</v>
          </cell>
          <cell r="J187">
            <v>1.2016679361067427E-2</v>
          </cell>
        </row>
        <row r="188">
          <cell r="C188">
            <v>1.3918629550320712E-3</v>
          </cell>
          <cell r="J188">
            <v>8.5817004938591908E-3</v>
          </cell>
        </row>
        <row r="189">
          <cell r="C189">
            <v>2.2987276809579873E-2</v>
          </cell>
          <cell r="J189">
            <v>1.8269432197550835E-2</v>
          </cell>
        </row>
        <row r="190">
          <cell r="C190">
            <v>9.5108695652173555E-3</v>
          </cell>
          <cell r="J190">
            <v>-4.7626380852885944E-3</v>
          </cell>
        </row>
        <row r="191">
          <cell r="C191">
            <v>-3.0023811988819367E-3</v>
          </cell>
          <cell r="J191">
            <v>1.4075495076861207E-3</v>
          </cell>
        </row>
        <row r="192">
          <cell r="C192">
            <v>1.8691588785047439E-3</v>
          </cell>
          <cell r="J192">
            <v>1.5032928903517304E-2</v>
          </cell>
        </row>
        <row r="193">
          <cell r="C193">
            <v>-5.4933665008291988E-3</v>
          </cell>
          <cell r="J193">
            <v>1.3165450500621708E-2</v>
          </cell>
        </row>
        <row r="194">
          <cell r="C194">
            <v>-7.3996873371548512E-3</v>
          </cell>
          <cell r="J194">
            <v>-8.3951909301887874E-3</v>
          </cell>
        </row>
        <row r="195">
          <cell r="C195">
            <v>1.0499790004205287E-4</v>
          </cell>
          <cell r="J195">
            <v>-3.0050084449133423E-3</v>
          </cell>
        </row>
        <row r="196">
          <cell r="C196">
            <v>9.9737532808399244E-3</v>
          </cell>
          <cell r="J196">
            <v>5.7963479721730021E-3</v>
          </cell>
        </row>
        <row r="197">
          <cell r="C197">
            <v>-3.6382536382537269E-3</v>
          </cell>
          <cell r="J197">
            <v>-1.1158630020223945E-2</v>
          </cell>
        </row>
        <row r="198">
          <cell r="C198">
            <v>7.1987480438185916E-3</v>
          </cell>
          <cell r="J198">
            <v>-8.3808869757288267E-4</v>
          </cell>
        </row>
        <row r="199">
          <cell r="C199">
            <v>-5.489952351356962E-3</v>
          </cell>
          <cell r="J199">
            <v>-2.318915032853407E-2</v>
          </cell>
        </row>
        <row r="200">
          <cell r="C200">
            <v>2.8122070617643581E-3</v>
          </cell>
          <cell r="J200">
            <v>3.4526502105350692E-3</v>
          </cell>
        </row>
        <row r="201">
          <cell r="C201">
            <v>7.6859160781054727E-3</v>
          </cell>
          <cell r="J201">
            <v>7.2511307583130076E-3</v>
          </cell>
        </row>
        <row r="202">
          <cell r="C202">
            <v>7.1119356833642313E-3</v>
          </cell>
          <cell r="J202">
            <v>9.65290049040529E-3</v>
          </cell>
        </row>
        <row r="203">
          <cell r="C203">
            <v>-3.8890594616722493E-3</v>
          </cell>
          <cell r="J203">
            <v>-3.110553490146579E-3</v>
          </cell>
        </row>
        <row r="204">
          <cell r="C204">
            <v>-1.1609986643378152E-2</v>
          </cell>
          <cell r="J204">
            <v>6.0649258737883781E-3</v>
          </cell>
        </row>
        <row r="205">
          <cell r="C205">
            <v>-5.5093555093555209E-3</v>
          </cell>
          <cell r="J205">
            <v>-1.8924096594399281E-3</v>
          </cell>
        </row>
        <row r="206">
          <cell r="C206">
            <v>-8.0485000522629458E-3</v>
          </cell>
          <cell r="J206">
            <v>-1.0681260246686382E-3</v>
          </cell>
        </row>
        <row r="207">
          <cell r="C207">
            <v>-7.7976817702846051E-3</v>
          </cell>
          <cell r="J207">
            <v>1.3099867570696744E-2</v>
          </cell>
        </row>
        <row r="208">
          <cell r="C208">
            <v>4.7790994052676599E-3</v>
          </cell>
          <cell r="J208">
            <v>5.0851253432379288E-3</v>
          </cell>
        </row>
        <row r="209">
          <cell r="C209">
            <v>3.044075679103684E-2</v>
          </cell>
          <cell r="J209">
            <v>2.6175467113624201E-2</v>
          </cell>
        </row>
        <row r="210">
          <cell r="C210">
            <v>-8.5136937121755903E-3</v>
          </cell>
          <cell r="J210">
            <v>2.2918316681529382E-3</v>
          </cell>
        </row>
        <row r="211">
          <cell r="C211">
            <v>-4.5520380715911206E-3</v>
          </cell>
          <cell r="J211">
            <v>8.3437245728091667E-3</v>
          </cell>
        </row>
        <row r="212">
          <cell r="C212">
            <v>8.7299937642902042E-3</v>
          </cell>
          <cell r="J212">
            <v>2.9503555488363934E-3</v>
          </cell>
        </row>
        <row r="213">
          <cell r="C213">
            <v>7.7271790644961877E-3</v>
          </cell>
          <cell r="J213">
            <v>6.14231237758181E-3</v>
          </cell>
        </row>
        <row r="214">
          <cell r="C214">
            <v>1.9425416624066836E-3</v>
          </cell>
          <cell r="J214">
            <v>2.2928910205524546E-2</v>
          </cell>
        </row>
        <row r="215">
          <cell r="C215">
            <v>-2.2959183673469389E-2</v>
          </cell>
          <cell r="J215">
            <v>-1.0200227698210444E-3</v>
          </cell>
        </row>
        <row r="216">
          <cell r="C216">
            <v>3.1331592689296228E-4</v>
          </cell>
          <cell r="J216">
            <v>1.0917826357058113E-2</v>
          </cell>
        </row>
        <row r="217">
          <cell r="C217">
            <v>3.0277719774482359E-3</v>
          </cell>
          <cell r="J217">
            <v>2.0512842589223861E-3</v>
          </cell>
        </row>
        <row r="218">
          <cell r="C218">
            <v>-3.2268137816174464E-3</v>
          </cell>
          <cell r="J218">
            <v>9.1477101860205981E-3</v>
          </cell>
        </row>
        <row r="219">
          <cell r="C219">
            <v>2.3182957393483698E-2</v>
          </cell>
          <cell r="J219">
            <v>2.2021935462241887E-2</v>
          </cell>
        </row>
        <row r="220">
          <cell r="C220">
            <v>9.1855480710348169E-3</v>
          </cell>
          <cell r="J220">
            <v>3.9782294705032794E-3</v>
          </cell>
        </row>
        <row r="221">
          <cell r="C221">
            <v>1.5473300970873799E-2</v>
          </cell>
          <cell r="J221">
            <v>-1.3657425234743944E-2</v>
          </cell>
        </row>
        <row r="222">
          <cell r="C222">
            <v>-2.1013843242704906E-2</v>
          </cell>
          <cell r="J222">
            <v>-2.4616906183552799E-2</v>
          </cell>
        </row>
        <row r="223">
          <cell r="C223">
            <v>3.5605289928789419E-2</v>
          </cell>
          <cell r="J223">
            <v>2.2222395920791026E-2</v>
          </cell>
        </row>
        <row r="224">
          <cell r="C224">
            <v>1.1296660117878249E-2</v>
          </cell>
          <cell r="J224">
            <v>7.5539626201589459E-3</v>
          </cell>
        </row>
        <row r="225">
          <cell r="C225">
            <v>-8.547838756678092E-3</v>
          </cell>
          <cell r="J225">
            <v>-1.0918741305151013E-2</v>
          </cell>
        </row>
        <row r="226">
          <cell r="C226">
            <v>2.4688938963456555E-2</v>
          </cell>
          <cell r="J226">
            <v>8.6696538303295857E-3</v>
          </cell>
        </row>
        <row r="227">
          <cell r="C227">
            <v>1.1473372215316979E-2</v>
          </cell>
          <cell r="J227">
            <v>1.5307144925650521E-2</v>
          </cell>
        </row>
        <row r="228">
          <cell r="C228">
            <v>5.4825597882597436E-3</v>
          </cell>
          <cell r="J228">
            <v>1.5020305495724716E-2</v>
          </cell>
        </row>
        <row r="229">
          <cell r="C229">
            <v>1.3161605715897393E-3</v>
          </cell>
          <cell r="J229">
            <v>2.1293459904066538E-2</v>
          </cell>
        </row>
        <row r="230">
          <cell r="C230">
            <v>-5.4454980752980777E-3</v>
          </cell>
          <cell r="J230">
            <v>-8.3612840324372145E-3</v>
          </cell>
        </row>
        <row r="231">
          <cell r="C231">
            <v>-1.2177853299348685E-2</v>
          </cell>
          <cell r="J231">
            <v>1.2108705153444041E-2</v>
          </cell>
        </row>
        <row r="232">
          <cell r="C232">
            <v>5.1605504587156565E-3</v>
          </cell>
          <cell r="J232">
            <v>9.2022650812555139E-3</v>
          </cell>
        </row>
        <row r="233">
          <cell r="C233">
            <v>-4.4685301388097841E-3</v>
          </cell>
          <cell r="J233">
            <v>2.2428034674258682E-3</v>
          </cell>
        </row>
        <row r="234">
          <cell r="C234">
            <v>2.1965428325852734E-3</v>
          </cell>
          <cell r="J234">
            <v>-7.1061628071122287E-3</v>
          </cell>
        </row>
        <row r="235">
          <cell r="C235">
            <v>-9.5292548122731383E-4</v>
          </cell>
          <cell r="J235">
            <v>5.4842889216373649E-3</v>
          </cell>
        </row>
        <row r="236">
          <cell r="C236">
            <v>8.2983594048072328E-3</v>
          </cell>
          <cell r="J236">
            <v>-3.2750844715059364E-3</v>
          </cell>
        </row>
        <row r="237">
          <cell r="C237">
            <v>1.513574874657183E-3</v>
          </cell>
          <cell r="J237">
            <v>-4.2559574769401122E-4</v>
          </cell>
        </row>
        <row r="238">
          <cell r="C238">
            <v>-5.4784169264191773E-3</v>
          </cell>
          <cell r="J238">
            <v>9.9328210352081329E-3</v>
          </cell>
        </row>
        <row r="239">
          <cell r="C239">
            <v>9.7825054611072933E-3</v>
          </cell>
          <cell r="J239">
            <v>1.7799381620022609E-2</v>
          </cell>
        </row>
        <row r="240">
          <cell r="C240">
            <v>-2.8969149736644079E-2</v>
          </cell>
          <cell r="J240">
            <v>2.9722741427038839E-3</v>
          </cell>
        </row>
        <row r="241">
          <cell r="C241">
            <v>3.0027121270825483E-3</v>
          </cell>
          <cell r="J241">
            <v>-3.9491331539006601E-3</v>
          </cell>
        </row>
        <row r="242">
          <cell r="C242">
            <v>-1.5644616127474559E-2</v>
          </cell>
          <cell r="J242">
            <v>-2.2794601731432041E-2</v>
          </cell>
        </row>
        <row r="243">
          <cell r="C243">
            <v>1.1380359069949931E-2</v>
          </cell>
          <cell r="J243">
            <v>4.3689185463075438E-3</v>
          </cell>
        </row>
        <row r="244">
          <cell r="C244">
            <v>-1.2028324764768736E-2</v>
          </cell>
          <cell r="J244">
            <v>-2.0196904512748078E-2</v>
          </cell>
        </row>
        <row r="245">
          <cell r="C245">
            <v>7.8546882670606298E-4</v>
          </cell>
          <cell r="J245">
            <v>7.9990921881439771E-3</v>
          </cell>
        </row>
        <row r="246">
          <cell r="C246">
            <v>7.0636711468654847E-3</v>
          </cell>
          <cell r="J246">
            <v>1.9824034326250167E-2</v>
          </cell>
        </row>
        <row r="247">
          <cell r="C247">
            <v>-1.5684364344861174E-2</v>
          </cell>
          <cell r="J247">
            <v>-6.7900560667130917E-3</v>
          </cell>
        </row>
        <row r="248">
          <cell r="C248">
            <v>-1.7418844022169488E-2</v>
          </cell>
          <cell r="J248">
            <v>9.5694998081947589E-4</v>
          </cell>
        </row>
        <row r="249">
          <cell r="C249">
            <v>2.2058823529411742E-2</v>
          </cell>
          <cell r="J249">
            <v>-3.7307135998622776E-3</v>
          </cell>
        </row>
        <row r="250">
          <cell r="C250">
            <v>8.6725140435596274E-3</v>
          </cell>
          <cell r="J250">
            <v>1.6323031647415404E-2</v>
          </cell>
        </row>
        <row r="251">
          <cell r="C251">
            <v>1.0747435271128425E-3</v>
          </cell>
          <cell r="J251">
            <v>2.6105314009661883E-2</v>
          </cell>
        </row>
        <row r="252">
          <cell r="C252">
            <v>-3.3183681436657155E-3</v>
          </cell>
          <cell r="J252">
            <v>-3.7066191847791594E-3</v>
          </cell>
        </row>
        <row r="253">
          <cell r="C253">
            <v>-2.2326674500587555E-2</v>
          </cell>
          <cell r="J253">
            <v>-2.4267011315280352E-2</v>
          </cell>
        </row>
        <row r="254">
          <cell r="C254">
            <v>1.3922275641025647E-2</v>
          </cell>
          <cell r="J254">
            <v>1.4728459540142232E-2</v>
          </cell>
        </row>
        <row r="255">
          <cell r="C255">
            <v>-2.3214462115973607E-2</v>
          </cell>
          <cell r="J255">
            <v>-1.305135227816993E-2</v>
          </cell>
        </row>
        <row r="256">
          <cell r="C256">
            <v>2.862055016181228E-2</v>
          </cell>
          <cell r="J256">
            <v>2.8181304699793751E-2</v>
          </cell>
        </row>
        <row r="257">
          <cell r="C257">
            <v>1.3174712417658082E-2</v>
          </cell>
          <cell r="J257">
            <v>1.6084915788065236E-2</v>
          </cell>
        </row>
        <row r="258">
          <cell r="C258">
            <v>-5.5312954876272991E-3</v>
          </cell>
          <cell r="J258">
            <v>2.6893759236039816E-4</v>
          </cell>
        </row>
        <row r="259">
          <cell r="C259">
            <v>8.782201405151171E-4</v>
          </cell>
          <cell r="J259">
            <v>-2.6909666586216979E-4</v>
          </cell>
        </row>
        <row r="260">
          <cell r="C260">
            <v>-6.1421468265574286E-3</v>
          </cell>
          <cell r="J260">
            <v>-4.9531280087689884E-3</v>
          </cell>
        </row>
        <row r="261">
          <cell r="C261">
            <v>1.0986855012752645E-2</v>
          </cell>
          <cell r="J261">
            <v>1.676318231117921E-3</v>
          </cell>
        </row>
        <row r="262">
          <cell r="C262">
            <v>-5.821851348729116E-4</v>
          </cell>
          <cell r="J262">
            <v>2.3840650549980902E-3</v>
          </cell>
        </row>
        <row r="263">
          <cell r="C263">
            <v>3.5339805825242723E-2</v>
          </cell>
          <cell r="J263">
            <v>-9.7327242060453768E-3</v>
          </cell>
        </row>
        <row r="264">
          <cell r="C264">
            <v>-1.1065266316579208E-2</v>
          </cell>
          <cell r="J264">
            <v>-2.8340752458088131E-3</v>
          </cell>
        </row>
        <row r="265">
          <cell r="C265">
            <v>1.2516593969277522E-2</v>
          </cell>
          <cell r="J265">
            <v>-1.5298002556159082E-3</v>
          </cell>
        </row>
        <row r="266">
          <cell r="C266">
            <v>-5.8063307735531427E-3</v>
          </cell>
          <cell r="J266">
            <v>-1.2762777050590764E-3</v>
          </cell>
        </row>
        <row r="267">
          <cell r="C267">
            <v>4.4272795779954676E-3</v>
          </cell>
          <cell r="J267">
            <v>2.9661031901842346E-3</v>
          </cell>
        </row>
        <row r="268">
          <cell r="C268">
            <v>8.9093125761980953E-3</v>
          </cell>
          <cell r="J268">
            <v>-2.2001720262433996E-3</v>
          </cell>
        </row>
        <row r="269">
          <cell r="C269">
            <v>-1.022494887525557E-2</v>
          </cell>
          <cell r="J269">
            <v>-5.6427913716350971E-3</v>
          </cell>
        </row>
        <row r="270">
          <cell r="C270">
            <v>-8.7340345604809046E-3</v>
          </cell>
          <cell r="J270">
            <v>-9.4680300024658909E-3</v>
          </cell>
        </row>
        <row r="271">
          <cell r="C271">
            <v>-3.7896731406908613E-4</v>
          </cell>
          <cell r="J271">
            <v>1.1480069787379914E-4</v>
          </cell>
        </row>
        <row r="272">
          <cell r="C272">
            <v>-3.5067766088522846E-3</v>
          </cell>
          <cell r="J272">
            <v>-6.5047056917188961E-3</v>
          </cell>
        </row>
        <row r="273">
          <cell r="C273">
            <v>-6.7529008940459745E-3</v>
          </cell>
          <cell r="J273">
            <v>-2.9342599518531288E-2</v>
          </cell>
        </row>
        <row r="274">
          <cell r="C274">
            <v>1.1490950876184079E-3</v>
          </cell>
          <cell r="J274">
            <v>1.1751479483228959E-2</v>
          </cell>
        </row>
        <row r="275">
          <cell r="C275">
            <v>6.3127690100430092E-3</v>
          </cell>
          <cell r="J275">
            <v>-3.9095739802001142E-3</v>
          </cell>
        </row>
        <row r="276">
          <cell r="C276">
            <v>4.7523999619808006E-3</v>
          </cell>
          <cell r="J276">
            <v>-1.4261225638382632E-2</v>
          </cell>
        </row>
        <row r="277">
          <cell r="C277">
            <v>-6.3380947876264075E-3</v>
          </cell>
          <cell r="J277">
            <v>-2.109749417279903E-2</v>
          </cell>
        </row>
        <row r="278">
          <cell r="C278">
            <v>4.6648895658796159E-3</v>
          </cell>
          <cell r="J278">
            <v>1.0630918117806382E-2</v>
          </cell>
        </row>
        <row r="279">
          <cell r="C279">
            <v>-1.895195678953475E-4</v>
          </cell>
          <cell r="J279">
            <v>2.0563542850639244E-2</v>
          </cell>
        </row>
        <row r="280">
          <cell r="C280">
            <v>-1.6112216851483434E-3</v>
          </cell>
          <cell r="J280">
            <v>-1.867453485752681E-3</v>
          </cell>
        </row>
        <row r="281">
          <cell r="C281">
            <v>1.0442377064742684E-3</v>
          </cell>
          <cell r="J281">
            <v>-5.2447829018792101E-3</v>
          </cell>
        </row>
        <row r="282">
          <cell r="C282">
            <v>4.7415836889518401E-4</v>
          </cell>
          <cell r="J282">
            <v>8.3666184101383067E-4</v>
          </cell>
        </row>
        <row r="283">
          <cell r="C283">
            <v>1.0805687203791475E-2</v>
          </cell>
          <cell r="J283">
            <v>-2.5220392914753371E-3</v>
          </cell>
        </row>
        <row r="284">
          <cell r="C284">
            <v>1.2565641410352621E-2</v>
          </cell>
          <cell r="J284">
            <v>9.9356943996753797E-3</v>
          </cell>
        </row>
        <row r="285">
          <cell r="C285">
            <v>4.6304871272455231E-4</v>
          </cell>
          <cell r="J285">
            <v>-2.2888748899554537E-3</v>
          </cell>
        </row>
        <row r="286">
          <cell r="C286">
            <v>-9.4418217161899107E-3</v>
          </cell>
          <cell r="J286">
            <v>-5.7416137929160562E-3</v>
          </cell>
        </row>
        <row r="287">
          <cell r="C287">
            <v>-1.8502943650126193E-2</v>
          </cell>
          <cell r="J287">
            <v>-2.7466122324854941E-2</v>
          </cell>
        </row>
        <row r="288">
          <cell r="C288">
            <v>-7.8072931543369268E-3</v>
          </cell>
          <cell r="J288">
            <v>-7.2880126651191923E-3</v>
          </cell>
        </row>
        <row r="289">
          <cell r="C289">
            <v>-7.1010459648785619E-3</v>
          </cell>
          <cell r="J289">
            <v>-1.3384990909313043E-2</v>
          </cell>
        </row>
        <row r="290">
          <cell r="C290">
            <v>-1.043780806030732E-2</v>
          </cell>
          <cell r="J290">
            <v>-6.5472335388631177E-3</v>
          </cell>
        </row>
        <row r="291">
          <cell r="C291">
            <v>1.1426897157925595E-2</v>
          </cell>
          <cell r="J291">
            <v>-2.7226909113058383E-3</v>
          </cell>
        </row>
        <row r="292">
          <cell r="C292">
            <v>2.1533410583236809E-2</v>
          </cell>
          <cell r="J292">
            <v>3.4559107320471301E-2</v>
          </cell>
        </row>
        <row r="293">
          <cell r="C293">
            <v>-2.7129218262595751E-2</v>
          </cell>
          <cell r="J293">
            <v>-2.4587556589297874E-3</v>
          </cell>
        </row>
        <row r="294">
          <cell r="C294">
            <v>1.2534006995724756E-2</v>
          </cell>
          <cell r="J294">
            <v>-7.4816937281120361E-3</v>
          </cell>
        </row>
        <row r="295">
          <cell r="C295">
            <v>2.3702139909797651E-2</v>
          </cell>
          <cell r="J295">
            <v>1.2227037196965001E-2</v>
          </cell>
        </row>
        <row r="296">
          <cell r="C296">
            <v>-5.3805774278215306E-2</v>
          </cell>
          <cell r="J296">
            <v>-2.9516955795410717E-2</v>
          </cell>
        </row>
        <row r="297">
          <cell r="C297">
            <v>-2.1795125817317247E-2</v>
          </cell>
          <cell r="J297">
            <v>-3.0369702302505523E-2</v>
          </cell>
        </row>
        <row r="298">
          <cell r="C298">
            <v>2.6939436905003149E-2</v>
          </cell>
          <cell r="J298">
            <v>1.7183433421616181E-2</v>
          </cell>
        </row>
        <row r="299">
          <cell r="C299">
            <v>-1.1143984220907392E-2</v>
          </cell>
          <cell r="J299">
            <v>-5.9688426414118299E-4</v>
          </cell>
        </row>
        <row r="300">
          <cell r="C300">
            <v>-3.8994714271467008E-2</v>
          </cell>
          <cell r="J300">
            <v>-4.55644256866609E-2</v>
          </cell>
        </row>
        <row r="301">
          <cell r="C301">
            <v>-1.0896637608966347E-2</v>
          </cell>
          <cell r="J301">
            <v>2.8976527038499663E-3</v>
          </cell>
        </row>
        <row r="302">
          <cell r="C302">
            <v>-6.8408351694470626E-2</v>
          </cell>
          <cell r="J302">
            <v>-6.5887743172102123E-2</v>
          </cell>
        </row>
        <row r="303">
          <cell r="C303">
            <v>9.2352742425948087E-3</v>
          </cell>
          <cell r="J303">
            <v>-3.1704997875903577E-2</v>
          </cell>
        </row>
        <row r="304">
          <cell r="C304">
            <v>-7.2648141948443309E-2</v>
          </cell>
          <cell r="J304">
            <v>-6.7476614138731045E-2</v>
          </cell>
        </row>
        <row r="305">
          <cell r="C305">
            <v>7.0998796630565658E-2</v>
          </cell>
          <cell r="J305">
            <v>-9.4101633841342826E-3</v>
          </cell>
        </row>
        <row r="306">
          <cell r="C306">
            <v>4.6067415730336693E-3</v>
          </cell>
          <cell r="J306">
            <v>1.7842118591442371E-2</v>
          </cell>
        </row>
        <row r="307">
          <cell r="C307">
            <v>-7.4935689520187934E-2</v>
          </cell>
          <cell r="J307">
            <v>-6.8560729451883878E-2</v>
          </cell>
        </row>
        <row r="308">
          <cell r="C308">
            <v>3.1193326079071607E-2</v>
          </cell>
          <cell r="J308">
            <v>-4.6771851959210062E-2</v>
          </cell>
        </row>
        <row r="309">
          <cell r="C309">
            <v>5.3933638175635325E-3</v>
          </cell>
          <cell r="J309">
            <v>1.4102714772594258E-3</v>
          </cell>
        </row>
        <row r="310">
          <cell r="C310">
            <v>3.3002915451895022E-2</v>
          </cell>
          <cell r="J310">
            <v>3.089316101396546E-2</v>
          </cell>
        </row>
        <row r="311">
          <cell r="C311">
            <v>2.7319936780311603E-2</v>
          </cell>
          <cell r="J311">
            <v>-3.0658597765814378E-3</v>
          </cell>
        </row>
        <row r="312">
          <cell r="C312">
            <v>2.2087912087912144E-2</v>
          </cell>
          <cell r="J312">
            <v>4.3115411804210753E-2</v>
          </cell>
        </row>
        <row r="313">
          <cell r="C313">
            <v>1.1289108697989433E-2</v>
          </cell>
          <cell r="J313">
            <v>9.3713556171858593E-3</v>
          </cell>
        </row>
        <row r="314">
          <cell r="C314">
            <v>-5.9536466085477599E-3</v>
          </cell>
          <cell r="J314">
            <v>4.3283014020742527E-2</v>
          </cell>
        </row>
        <row r="315">
          <cell r="C315">
            <v>-5.7754010695187834E-3</v>
          </cell>
          <cell r="J315">
            <v>2.7259827448310219E-2</v>
          </cell>
        </row>
        <row r="316">
          <cell r="C316">
            <v>-3.0658347676419905E-2</v>
          </cell>
          <cell r="J316">
            <v>-3.2972200498453737E-2</v>
          </cell>
        </row>
        <row r="317">
          <cell r="C317">
            <v>9.8768172233936365E-3</v>
          </cell>
          <cell r="J317">
            <v>2.1334798383866059E-2</v>
          </cell>
        </row>
        <row r="318">
          <cell r="C318">
            <v>3.95604395604395E-3</v>
          </cell>
          <cell r="J318">
            <v>-8.3338803229426276E-3</v>
          </cell>
        </row>
        <row r="319">
          <cell r="C319">
            <v>3.5026269702276736E-2</v>
          </cell>
          <cell r="J319">
            <v>2.7962366412484823E-2</v>
          </cell>
        </row>
        <row r="320">
          <cell r="C320">
            <v>1.2161590524534596E-2</v>
          </cell>
          <cell r="J320">
            <v>6.1531599727364271E-3</v>
          </cell>
        </row>
        <row r="321">
          <cell r="C321">
            <v>-1.6299237279281037E-2</v>
          </cell>
          <cell r="J321">
            <v>-3.1224167426295191E-2</v>
          </cell>
        </row>
        <row r="322">
          <cell r="C322">
            <v>4.0361125862984114E-3</v>
          </cell>
          <cell r="J322">
            <v>6.1144607722298109E-3</v>
          </cell>
        </row>
        <row r="323">
          <cell r="C323">
            <v>9.6265735745265698E-3</v>
          </cell>
          <cell r="J323">
            <v>6.2294340599182158E-4</v>
          </cell>
        </row>
        <row r="324">
          <cell r="C324">
            <v>1.2992455993294311E-2</v>
          </cell>
          <cell r="J324">
            <v>2.7933381110607303E-3</v>
          </cell>
        </row>
        <row r="325">
          <cell r="C325">
            <v>7.498965659908978E-2</v>
          </cell>
          <cell r="J325">
            <v>4.7953906642502063E-2</v>
          </cell>
        </row>
        <row r="326">
          <cell r="C326">
            <v>4.3394592514192157E-2</v>
          </cell>
          <cell r="J326">
            <v>2.0340626763722877E-2</v>
          </cell>
        </row>
        <row r="327">
          <cell r="C327">
            <v>-3.6978974548137138E-2</v>
          </cell>
          <cell r="J327">
            <v>-3.2144216432111967E-2</v>
          </cell>
        </row>
        <row r="328">
          <cell r="C328">
            <v>8.4266973092022926E-3</v>
          </cell>
          <cell r="J328">
            <v>1.2768780516690806E-3</v>
          </cell>
        </row>
        <row r="329">
          <cell r="C329">
            <v>-3.0386478017283012E-3</v>
          </cell>
          <cell r="J329">
            <v>1.190849128409952E-2</v>
          </cell>
        </row>
        <row r="330">
          <cell r="C330">
            <v>1.5906276788265568E-2</v>
          </cell>
          <cell r="J330">
            <v>-1.3530860559688861E-3</v>
          </cell>
        </row>
        <row r="331">
          <cell r="C331">
            <v>3.937746109131837E-3</v>
          </cell>
          <cell r="J331">
            <v>-1.4991291328089162E-2</v>
          </cell>
        </row>
        <row r="332">
          <cell r="C332">
            <v>-9.3388121031052633E-5</v>
          </cell>
          <cell r="J332">
            <v>7.3904743278341541E-3</v>
          </cell>
        </row>
        <row r="333">
          <cell r="C333">
            <v>2.7458671896889997E-2</v>
          </cell>
          <cell r="J333">
            <v>1.859867743420876E-2</v>
          </cell>
        </row>
        <row r="334">
          <cell r="C334">
            <v>1.6180347241159906E-2</v>
          </cell>
          <cell r="J334">
            <v>2.873441893624756E-2</v>
          </cell>
        </row>
        <row r="335">
          <cell r="C335">
            <v>-2.2005546113248124E-2</v>
          </cell>
          <cell r="J335">
            <v>-5.7165237438012361E-3</v>
          </cell>
        </row>
        <row r="336">
          <cell r="C336">
            <v>0</v>
          </cell>
          <cell r="J336">
            <v>2.2440312483783943E-3</v>
          </cell>
        </row>
        <row r="337">
          <cell r="C337">
            <v>-1.0061282356169344E-2</v>
          </cell>
          <cell r="J337">
            <v>-7.7831302262982459E-3</v>
          </cell>
        </row>
        <row r="338">
          <cell r="C338">
            <v>-6.4677076596138111E-3</v>
          </cell>
          <cell r="J338">
            <v>-1.2571683381670662E-2</v>
          </cell>
        </row>
        <row r="339">
          <cell r="C339">
            <v>-2.7899190923464279E-4</v>
          </cell>
          <cell r="J339">
            <v>-1.0950583951074328E-3</v>
          </cell>
        </row>
        <row r="340">
          <cell r="C340">
            <v>2.3255813953488372E-3</v>
          </cell>
          <cell r="J340">
            <v>4.8395304873883769E-4</v>
          </cell>
        </row>
        <row r="341">
          <cell r="C341">
            <v>2.2273781902551731E-3</v>
          </cell>
          <cell r="J341">
            <v>9.5911553341730595E-3</v>
          </cell>
        </row>
        <row r="342">
          <cell r="C342">
            <v>2.4076303361422829E-3</v>
          </cell>
          <cell r="J342">
            <v>2.6789258822571328E-3</v>
          </cell>
        </row>
        <row r="343">
          <cell r="C343">
            <v>2.771362586605081E-2</v>
          </cell>
          <cell r="J343">
            <v>3.3199735019458195E-3</v>
          </cell>
        </row>
        <row r="344">
          <cell r="C344">
            <v>6.2921348314606993E-3</v>
          </cell>
          <cell r="J344">
            <v>6.017766655129886E-3</v>
          </cell>
        </row>
        <row r="345">
          <cell r="C345">
            <v>-1.6525234479678505E-2</v>
          </cell>
          <cell r="J345">
            <v>-5.9797114412851373E-3</v>
          </cell>
        </row>
        <row r="346">
          <cell r="C346">
            <v>3.6330608537693525E-3</v>
          </cell>
          <cell r="J346">
            <v>1.0459408779241683E-2</v>
          </cell>
        </row>
        <row r="347">
          <cell r="C347">
            <v>-1.8099547511312219E-2</v>
          </cell>
          <cell r="J347">
            <v>-6.6085943343615356E-3</v>
          </cell>
        </row>
        <row r="348">
          <cell r="C348">
            <v>4.608294930875576E-3</v>
          </cell>
          <cell r="J348">
            <v>-2.8350142531666871E-3</v>
          </cell>
        </row>
        <row r="349">
          <cell r="C349">
            <v>-3.6697247706422541E-3</v>
          </cell>
          <cell r="J349">
            <v>-4.1726993336508094E-3</v>
          </cell>
        </row>
        <row r="350">
          <cell r="C350">
            <v>2.7624309392266242E-3</v>
          </cell>
          <cell r="J350">
            <v>6.9982804784746696E-3</v>
          </cell>
        </row>
        <row r="351">
          <cell r="C351">
            <v>3.2139577594122526E-3</v>
          </cell>
          <cell r="J351">
            <v>2.6742325580298137E-3</v>
          </cell>
        </row>
        <row r="352">
          <cell r="C352">
            <v>-1.1441647597254004E-2</v>
          </cell>
          <cell r="J352">
            <v>1.1347961332045197E-2</v>
          </cell>
        </row>
        <row r="353">
          <cell r="C353">
            <v>2.2222222222221749E-3</v>
          </cell>
          <cell r="J353">
            <v>-1.9268746703183284E-4</v>
          </cell>
        </row>
        <row r="354">
          <cell r="C354">
            <v>2.4020694752402544E-3</v>
          </cell>
          <cell r="J354">
            <v>-8.1982080972238594E-3</v>
          </cell>
        </row>
        <row r="355">
          <cell r="C355">
            <v>-1.6589861751152703E-3</v>
          </cell>
          <cell r="J355">
            <v>6.7712230494155626E-3</v>
          </cell>
        </row>
        <row r="356">
          <cell r="C356">
            <v>-7.3855243722302716E-4</v>
          </cell>
          <cell r="J356">
            <v>1.1619945258311296E-2</v>
          </cell>
        </row>
        <row r="357">
          <cell r="C357">
            <v>-2.1249076127123965E-3</v>
          </cell>
          <cell r="J357">
            <v>1.554839383623994E-3</v>
          </cell>
        </row>
        <row r="358">
          <cell r="C358">
            <v>3.6107767799277895E-3</v>
          </cell>
          <cell r="J358">
            <v>7.5130158949075158E-3</v>
          </cell>
        </row>
        <row r="359">
          <cell r="C359">
            <v>1.4944649446494375E-2</v>
          </cell>
          <cell r="J359">
            <v>1.8109184407963704E-3</v>
          </cell>
        </row>
        <row r="360">
          <cell r="C360">
            <v>-1.8360298127613126E-2</v>
          </cell>
          <cell r="J360">
            <v>-1.4788243646626342E-2</v>
          </cell>
        </row>
        <row r="361">
          <cell r="C361">
            <v>-9.7222222222221964E-3</v>
          </cell>
          <cell r="J361">
            <v>-2.2669766815596553E-2</v>
          </cell>
        </row>
        <row r="362">
          <cell r="C362">
            <v>-6.8256194483403828E-3</v>
          </cell>
          <cell r="J362">
            <v>5.7535201544678862E-3</v>
          </cell>
        </row>
        <row r="363">
          <cell r="C363">
            <v>-1.1485595932969299E-2</v>
          </cell>
          <cell r="J363">
            <v>-5.0101237186618089E-3</v>
          </cell>
        </row>
        <row r="364">
          <cell r="C364">
            <v>-1.5142857142857175E-2</v>
          </cell>
          <cell r="J364">
            <v>-9.1238417569016496E-3</v>
          </cell>
        </row>
        <row r="365">
          <cell r="C365">
            <v>8.7032201914711746E-4</v>
          </cell>
          <cell r="J365">
            <v>-3.0086598479121471E-3</v>
          </cell>
        </row>
        <row r="366">
          <cell r="C366">
            <v>3.140096618357488E-2</v>
          </cell>
          <cell r="J366">
            <v>8.9410728928607155E-3</v>
          </cell>
        </row>
        <row r="367">
          <cell r="C367">
            <v>7.0257611241217799E-3</v>
          </cell>
          <cell r="J367">
            <v>9.3274866974609686E-3</v>
          </cell>
        </row>
        <row r="368">
          <cell r="C368">
            <v>-6.9767441860465115E-3</v>
          </cell>
          <cell r="J368">
            <v>-5.2741919048199617E-4</v>
          </cell>
        </row>
        <row r="369">
          <cell r="C369">
            <v>-7.9625292740046309E-3</v>
          </cell>
          <cell r="J369">
            <v>-9.5496795177856704E-3</v>
          </cell>
        </row>
        <row r="370">
          <cell r="C370">
            <v>3.3994334277620344E-2</v>
          </cell>
          <cell r="J370">
            <v>6.8188229891577154E-3</v>
          </cell>
        </row>
        <row r="371">
          <cell r="C371">
            <v>-4.2922374429223637E-3</v>
          </cell>
          <cell r="J371">
            <v>7.1394708641763609E-3</v>
          </cell>
        </row>
        <row r="372">
          <cell r="C372">
            <v>9.3552233330275701E-3</v>
          </cell>
          <cell r="J372">
            <v>7.0247909706333579E-3</v>
          </cell>
        </row>
        <row r="373">
          <cell r="C373">
            <v>8.7233075874603178E-3</v>
          </cell>
          <cell r="J373">
            <v>1.3581171532558476E-2</v>
          </cell>
        </row>
        <row r="374">
          <cell r="C374">
            <v>-7.2065579677507551E-3</v>
          </cell>
          <cell r="J374">
            <v>2.5443250545078518E-3</v>
          </cell>
        </row>
        <row r="375">
          <cell r="C375">
            <v>1.6241720352055226E-2</v>
          </cell>
          <cell r="J375">
            <v>2.0927332411233828E-3</v>
          </cell>
        </row>
        <row r="376">
          <cell r="C376">
            <v>-9.8214285714285209E-3</v>
          </cell>
          <cell r="J376">
            <v>4.3190881500243198E-3</v>
          </cell>
        </row>
        <row r="377">
          <cell r="C377">
            <v>9.0171325518479989E-4</v>
          </cell>
          <cell r="J377">
            <v>4.8456414083324056E-3</v>
          </cell>
        </row>
        <row r="378">
          <cell r="C378">
            <v>0</v>
          </cell>
          <cell r="J378">
            <v>9.0898939455833529E-3</v>
          </cell>
        </row>
        <row r="379">
          <cell r="C379">
            <v>-3.8738738738739354E-3</v>
          </cell>
          <cell r="J379">
            <v>1.2530645142764099E-2</v>
          </cell>
        </row>
        <row r="380">
          <cell r="C380">
            <v>-7.2352355973589848E-4</v>
          </cell>
          <cell r="J380">
            <v>1.3344522478866987E-3</v>
          </cell>
        </row>
        <row r="381">
          <cell r="C381">
            <v>5.068331975744432E-3</v>
          </cell>
          <cell r="J381">
            <v>1.1831038065343247E-2</v>
          </cell>
        </row>
        <row r="382">
          <cell r="C382">
            <v>4.0522287257992156E-3</v>
          </cell>
          <cell r="J382">
            <v>3.4586276853520348E-3</v>
          </cell>
        </row>
        <row r="383">
          <cell r="C383">
            <v>-1.7937219730941958E-3</v>
          </cell>
          <cell r="J383">
            <v>-1.801322729868057E-3</v>
          </cell>
        </row>
        <row r="384">
          <cell r="C384">
            <v>-1.8867924528301325E-3</v>
          </cell>
          <cell r="J384">
            <v>8.790036159625909E-3</v>
          </cell>
        </row>
        <row r="385">
          <cell r="C385">
            <v>9.0017103249535551E-5</v>
          </cell>
          <cell r="J385">
            <v>8.9026264923742476E-3</v>
          </cell>
        </row>
        <row r="386">
          <cell r="C386">
            <v>-1.3501350135012734E-3</v>
          </cell>
          <cell r="J386">
            <v>8.5644982635005949E-3</v>
          </cell>
        </row>
        <row r="387">
          <cell r="C387">
            <v>1.5322217214961847E-3</v>
          </cell>
          <cell r="J387">
            <v>1.3210955371989843E-3</v>
          </cell>
        </row>
        <row r="388">
          <cell r="C388">
            <v>-5.4895608351331841E-3</v>
          </cell>
          <cell r="J388">
            <v>2.7665555004720895E-3</v>
          </cell>
        </row>
        <row r="389">
          <cell r="C389">
            <v>7.1486743281150306E-3</v>
          </cell>
          <cell r="J389">
            <v>-5.9886876230174427E-3</v>
          </cell>
        </row>
        <row r="390">
          <cell r="C390">
            <v>-2.695417789757387E-3</v>
          </cell>
          <cell r="J390">
            <v>7.8263440435304111E-4</v>
          </cell>
        </row>
        <row r="391">
          <cell r="C391">
            <v>1.3423423423423377E-2</v>
          </cell>
          <cell r="J391">
            <v>1.6314246953144092E-2</v>
          </cell>
        </row>
        <row r="392">
          <cell r="C392">
            <v>-6.5783625211129427E-3</v>
          </cell>
          <cell r="J392">
            <v>1.0625266213793439E-2</v>
          </cell>
        </row>
        <row r="393">
          <cell r="C393">
            <v>-1.029082774049222E-2</v>
          </cell>
          <cell r="J393">
            <v>5.4106852490481468E-3</v>
          </cell>
        </row>
        <row r="394">
          <cell r="C394">
            <v>-2.2603978300180833E-3</v>
          </cell>
          <cell r="J394">
            <v>1.0870508419063046E-2</v>
          </cell>
        </row>
        <row r="395">
          <cell r="C395">
            <v>5.8903488898958377E-3</v>
          </cell>
          <cell r="J395">
            <v>1.5618807064162464E-2</v>
          </cell>
        </row>
        <row r="396">
          <cell r="C396">
            <v>-1.3513513513513514E-2</v>
          </cell>
          <cell r="J396">
            <v>-7.3734168246528788E-3</v>
          </cell>
        </row>
        <row r="397">
          <cell r="C397">
            <v>-5.0228310502282844E-3</v>
          </cell>
          <cell r="J397">
            <v>7.7104181605664058E-3</v>
          </cell>
        </row>
        <row r="398">
          <cell r="C398">
            <v>4.5892611289579765E-4</v>
          </cell>
          <cell r="J398">
            <v>7.1043192074374904E-3</v>
          </cell>
        </row>
        <row r="399">
          <cell r="C399">
            <v>-3.7614678899082258E-3</v>
          </cell>
          <cell r="J399">
            <v>-3.3966437385537932E-3</v>
          </cell>
        </row>
        <row r="400">
          <cell r="C400">
            <v>1.068238327654477E-2</v>
          </cell>
          <cell r="J400">
            <v>-2.8711189119875842E-3</v>
          </cell>
        </row>
        <row r="401">
          <cell r="C401">
            <v>5.466970387243684E-3</v>
          </cell>
          <cell r="J401">
            <v>1.6144153190448832E-2</v>
          </cell>
        </row>
        <row r="402">
          <cell r="C402">
            <v>3.5251472587222478E-2</v>
          </cell>
          <cell r="J402">
            <v>-2.1196203569355167E-3</v>
          </cell>
        </row>
        <row r="403">
          <cell r="C403">
            <v>-6.1186974789915922E-2</v>
          </cell>
          <cell r="J403">
            <v>-4.507676441534921E-3</v>
          </cell>
        </row>
        <row r="404">
          <cell r="C404">
            <v>1.0722610722610776E-2</v>
          </cell>
          <cell r="J404">
            <v>-4.1756492931129575E-3</v>
          </cell>
        </row>
        <row r="405">
          <cell r="C405">
            <v>-3.6900369003690561E-3</v>
          </cell>
          <cell r="J405">
            <v>1.5330550190043501E-3</v>
          </cell>
        </row>
        <row r="406">
          <cell r="C406">
            <v>7.4074074074073808E-3</v>
          </cell>
          <cell r="J406">
            <v>-7.4407705950703905E-4</v>
          </cell>
        </row>
        <row r="407">
          <cell r="C407">
            <v>1.8382352941176733E-3</v>
          </cell>
          <cell r="J407">
            <v>-7.1116007800944327E-3</v>
          </cell>
        </row>
        <row r="408">
          <cell r="C408">
            <v>2.7522935779816255E-3</v>
          </cell>
          <cell r="J408">
            <v>-6.1943562030725065E-3</v>
          </cell>
        </row>
        <row r="409">
          <cell r="C409">
            <v>-1.1893870082342151E-2</v>
          </cell>
          <cell r="J409">
            <v>4.568468857509304E-3</v>
          </cell>
        </row>
        <row r="410">
          <cell r="C410">
            <v>4.6296296296296294E-3</v>
          </cell>
          <cell r="J410">
            <v>1.2316280845974916E-2</v>
          </cell>
        </row>
        <row r="411">
          <cell r="C411">
            <v>-1.8433179723502567E-3</v>
          </cell>
          <cell r="J411">
            <v>1.4140732765787969E-2</v>
          </cell>
        </row>
        <row r="412">
          <cell r="C412">
            <v>3.1394275161588498E-3</v>
          </cell>
          <cell r="J412">
            <v>5.367990624187205E-3</v>
          </cell>
        </row>
        <row r="413">
          <cell r="C413">
            <v>3.2216494845360303E-3</v>
          </cell>
          <cell r="J413">
            <v>-6.2606585764939928E-4</v>
          </cell>
        </row>
        <row r="414">
          <cell r="C414">
            <v>-9.0834021469859156E-3</v>
          </cell>
          <cell r="J414">
            <v>1.3325630075052971E-3</v>
          </cell>
        </row>
        <row r="415">
          <cell r="C415">
            <v>-2.7777777777777514E-3</v>
          </cell>
          <cell r="J415">
            <v>6.4783258369489997E-3</v>
          </cell>
        </row>
        <row r="416">
          <cell r="C416">
            <v>6.4995357474466374E-3</v>
          </cell>
          <cell r="J416">
            <v>1.1058972972110684E-2</v>
          </cell>
        </row>
        <row r="417">
          <cell r="C417">
            <v>9.6863468634686076E-3</v>
          </cell>
          <cell r="J417">
            <v>8.4441560086865874E-3</v>
          </cell>
        </row>
        <row r="418">
          <cell r="C418">
            <v>-4.1114664230242374E-3</v>
          </cell>
          <cell r="J418">
            <v>-3.9136619298660354E-3</v>
          </cell>
        </row>
        <row r="419">
          <cell r="C419">
            <v>1.3761467889908258E-2</v>
          </cell>
          <cell r="J419">
            <v>6.49049330128739E-3</v>
          </cell>
        </row>
        <row r="420">
          <cell r="C420">
            <v>4.6153846153846618E-3</v>
          </cell>
          <cell r="J420">
            <v>-7.3425817014711329E-3</v>
          </cell>
        </row>
        <row r="421">
          <cell r="C421">
            <v>-2.3421313395190083E-3</v>
          </cell>
          <cell r="J421">
            <v>8.8269220646608167E-4</v>
          </cell>
        </row>
        <row r="422">
          <cell r="C422">
            <v>-1.580135440180587E-2</v>
          </cell>
          <cell r="J422">
            <v>1.4875452885078704E-2</v>
          </cell>
        </row>
        <row r="423">
          <cell r="C423">
            <v>4.5871559633027525E-3</v>
          </cell>
          <cell r="J423">
            <v>-2.735926147814584E-3</v>
          </cell>
        </row>
        <row r="424">
          <cell r="C424">
            <v>2.1917808219177617E-3</v>
          </cell>
          <cell r="J424">
            <v>1.5047964210284436E-5</v>
          </cell>
        </row>
        <row r="425">
          <cell r="C425">
            <v>1.4579916165483034E-3</v>
          </cell>
          <cell r="J425">
            <v>-4.3471503699274586E-3</v>
          </cell>
        </row>
        <row r="426">
          <cell r="C426">
            <v>1.091901728844316E-3</v>
          </cell>
          <cell r="J426">
            <v>-1.5146498806746691E-3</v>
          </cell>
        </row>
        <row r="427">
          <cell r="C427">
            <v>-3.8174877295037422E-3</v>
          </cell>
          <cell r="J427">
            <v>1.2411818851775071E-3</v>
          </cell>
        </row>
        <row r="428">
          <cell r="C428">
            <v>1.8795620437956226E-2</v>
          </cell>
          <cell r="J428">
            <v>4.0156127021860992E-3</v>
          </cell>
        </row>
        <row r="429">
          <cell r="C429">
            <v>-1.1194698190936773E-2</v>
          </cell>
          <cell r="J429">
            <v>-7.7786582020461861E-3</v>
          </cell>
        </row>
        <row r="430">
          <cell r="C430">
            <v>-1.0506294719681158E-2</v>
          </cell>
          <cell r="J430">
            <v>-8.1855867566205612E-3</v>
          </cell>
        </row>
        <row r="431">
          <cell r="C431">
            <v>-1.3729977116705326E-3</v>
          </cell>
          <cell r="J431">
            <v>1.1319922034783727E-3</v>
          </cell>
        </row>
        <row r="432">
          <cell r="C432">
            <v>8.2493125572869457E-3</v>
          </cell>
          <cell r="J432">
            <v>-1.6689647069723851E-3</v>
          </cell>
        </row>
        <row r="433">
          <cell r="C433">
            <v>4.5454545454542869E-4</v>
          </cell>
          <cell r="J433">
            <v>-2.5149277490487554E-3</v>
          </cell>
        </row>
        <row r="434">
          <cell r="C434">
            <v>-9.5411176737846184E-3</v>
          </cell>
          <cell r="J434">
            <v>-2.3027618130208774E-2</v>
          </cell>
        </row>
        <row r="435">
          <cell r="C435">
            <v>7.3394495412843772E-3</v>
          </cell>
          <cell r="J435">
            <v>1.1374550667080751E-2</v>
          </cell>
        </row>
        <row r="436">
          <cell r="C436">
            <v>-1.6393442622950793E-2</v>
          </cell>
          <cell r="J436">
            <v>-1.5359539621535133E-2</v>
          </cell>
        </row>
        <row r="437">
          <cell r="C437">
            <v>-2.4999999999999632E-3</v>
          </cell>
          <cell r="J437">
            <v>2.5988699450943138E-3</v>
          </cell>
        </row>
        <row r="438">
          <cell r="C438">
            <v>-2.2277917014759964E-3</v>
          </cell>
          <cell r="J438">
            <v>-1.490009568079384E-2</v>
          </cell>
        </row>
        <row r="439">
          <cell r="C439">
            <v>-1.5257233230998238E-2</v>
          </cell>
          <cell r="J439">
            <v>-2.4914881972746772E-2</v>
          </cell>
        </row>
        <row r="440">
          <cell r="C440">
            <v>1.3226263580538552E-3</v>
          </cell>
          <cell r="J440">
            <v>1.4078966597197986E-3</v>
          </cell>
        </row>
        <row r="441">
          <cell r="C441">
            <v>-8.9631097273326597E-3</v>
          </cell>
          <cell r="J441">
            <v>1.8464772073233337E-2</v>
          </cell>
        </row>
        <row r="442">
          <cell r="C442">
            <v>2.0087585681645082E-2</v>
          </cell>
          <cell r="J442">
            <v>1.2638908545955969E-2</v>
          </cell>
        </row>
        <row r="443">
          <cell r="C443">
            <v>1.8665422305178593E-3</v>
          </cell>
          <cell r="J443">
            <v>1.1022802910866426E-2</v>
          </cell>
        </row>
        <row r="444">
          <cell r="C444">
            <v>-9.0358639962738602E-3</v>
          </cell>
          <cell r="J444">
            <v>-1.4427270853314713E-2</v>
          </cell>
        </row>
        <row r="445">
          <cell r="C445">
            <v>-3.5721000188004837E-3</v>
          </cell>
          <cell r="J445">
            <v>-5.0522484308559816E-3</v>
          </cell>
        </row>
        <row r="446">
          <cell r="C446">
            <v>4.1509433962263935E-3</v>
          </cell>
          <cell r="J446">
            <v>3.439926392274154E-3</v>
          </cell>
        </row>
        <row r="447">
          <cell r="C447">
            <v>5.6369785794816113E-4</v>
          </cell>
          <cell r="J447">
            <v>-1.8881888308400251E-3</v>
          </cell>
        </row>
        <row r="448">
          <cell r="C448">
            <v>-4.6948356807511738E-3</v>
          </cell>
          <cell r="J448">
            <v>2.3841677088405088E-3</v>
          </cell>
        </row>
        <row r="449">
          <cell r="C449">
            <v>-1.8867924528302156E-3</v>
          </cell>
          <cell r="J449">
            <v>4.3857661658370222E-3</v>
          </cell>
        </row>
        <row r="450">
          <cell r="C450">
            <v>1.0396975425330893E-2</v>
          </cell>
          <cell r="J450">
            <v>1.5280302487570169E-2</v>
          </cell>
        </row>
        <row r="451">
          <cell r="C451">
            <v>1.0289990645462996E-2</v>
          </cell>
          <cell r="J451">
            <v>1.4145224039702448E-2</v>
          </cell>
        </row>
        <row r="452">
          <cell r="C452">
            <v>3.2407407407406882E-3</v>
          </cell>
          <cell r="J452">
            <v>-8.1110518317639643E-3</v>
          </cell>
        </row>
        <row r="453">
          <cell r="C453">
            <v>-4.6146746654358249E-4</v>
          </cell>
          <cell r="J453">
            <v>1.6257668264925526E-3</v>
          </cell>
        </row>
        <row r="454">
          <cell r="C454">
            <v>-2.7700831024930488E-3</v>
          </cell>
          <cell r="J454">
            <v>1.4163475985072485E-2</v>
          </cell>
        </row>
        <row r="455">
          <cell r="C455">
            <v>9.2592592592639968E-5</v>
          </cell>
          <cell r="J455">
            <v>-1.119796265131549E-2</v>
          </cell>
        </row>
        <row r="456">
          <cell r="C456">
            <v>-5.5550411998891091E-4</v>
          </cell>
          <cell r="J456">
            <v>-4.7114881096365522E-3</v>
          </cell>
        </row>
        <row r="457">
          <cell r="C457">
            <v>-1.8249189439555339E-2</v>
          </cell>
          <cell r="J457">
            <v>-3.153578592784205E-2</v>
          </cell>
        </row>
        <row r="458">
          <cell r="C458">
            <v>-1.3964899037554292E-2</v>
          </cell>
          <cell r="J458">
            <v>-1.9449959887685511E-2</v>
          </cell>
        </row>
        <row r="459">
          <cell r="C459">
            <v>1.9138755980861516E-3</v>
          </cell>
          <cell r="J459">
            <v>3.4994214078581075E-2</v>
          </cell>
        </row>
        <row r="460">
          <cell r="C460">
            <v>1.3371537726838639E-3</v>
          </cell>
          <cell r="J460">
            <v>-4.9139247961012275E-3</v>
          </cell>
        </row>
        <row r="461">
          <cell r="C461">
            <v>6.2953071346813867E-3</v>
          </cell>
          <cell r="J461">
            <v>1.9595372221212767E-2</v>
          </cell>
        </row>
        <row r="462">
          <cell r="C462">
            <v>-2.3696682464454978E-3</v>
          </cell>
          <cell r="J462">
            <v>-8.2707389344871558E-3</v>
          </cell>
        </row>
        <row r="463">
          <cell r="C463">
            <v>-1.4251781472684627E-3</v>
          </cell>
          <cell r="J463">
            <v>1.2872066682362983E-3</v>
          </cell>
        </row>
        <row r="464">
          <cell r="C464">
            <v>-2.5689819219790297E-3</v>
          </cell>
          <cell r="J464">
            <v>9.0479020714966454E-3</v>
          </cell>
        </row>
        <row r="465">
          <cell r="C465">
            <v>4.0064866927406444E-3</v>
          </cell>
          <cell r="J465">
            <v>1.0757404372214647E-3</v>
          </cell>
        </row>
        <row r="466">
          <cell r="C466">
            <v>-5.2256532066508043E-3</v>
          </cell>
          <cell r="J466">
            <v>-1.5359494258364302E-2</v>
          </cell>
        </row>
        <row r="467">
          <cell r="C467">
            <v>-9.55109837631409E-4</v>
          </cell>
          <cell r="J467">
            <v>1.1832992107630022E-4</v>
          </cell>
        </row>
        <row r="468">
          <cell r="C468">
            <v>6.2141491395794049E-3</v>
          </cell>
          <cell r="J468">
            <v>-1.5923351002665447E-3</v>
          </cell>
        </row>
        <row r="469">
          <cell r="C469">
            <v>-9.0261282660332818E-3</v>
          </cell>
          <cell r="J469">
            <v>3.6519173677160891E-3</v>
          </cell>
        </row>
        <row r="470">
          <cell r="C470">
            <v>5.2732502396931656E-3</v>
          </cell>
          <cell r="J470">
            <v>-3.3946109812713408E-3</v>
          </cell>
        </row>
        <row r="471">
          <cell r="C471">
            <v>-6.3900810681925373E-3</v>
          </cell>
          <cell r="J471">
            <v>6.4248332764400742E-4</v>
          </cell>
        </row>
        <row r="472">
          <cell r="C472">
            <v>-7.4870416586677009E-3</v>
          </cell>
          <cell r="J472">
            <v>-8.7201257008388319E-3</v>
          </cell>
        </row>
        <row r="473">
          <cell r="C473">
            <v>7.7369439071565081E-4</v>
          </cell>
          <cell r="J473">
            <v>-1.380191394370054E-2</v>
          </cell>
        </row>
        <row r="474">
          <cell r="C474">
            <v>7.8275995361422705E-3</v>
          </cell>
          <cell r="J474">
            <v>5.824509771268741E-3</v>
          </cell>
        </row>
        <row r="475">
          <cell r="C475">
            <v>1.0547511746092572E-3</v>
          </cell>
          <cell r="J475">
            <v>1.2898310629108992E-2</v>
          </cell>
        </row>
        <row r="476">
          <cell r="C476">
            <v>5.7471264367815545E-3</v>
          </cell>
          <cell r="J476">
            <v>1.6184744336763542E-2</v>
          </cell>
        </row>
        <row r="477">
          <cell r="C477">
            <v>-8.3809523809523379E-3</v>
          </cell>
          <cell r="J477">
            <v>-5.4578205811553438E-3</v>
          </cell>
        </row>
        <row r="478">
          <cell r="C478">
            <v>-8.3557433730311621E-3</v>
          </cell>
          <cell r="J478">
            <v>6.4138364191125424E-3</v>
          </cell>
        </row>
        <row r="479">
          <cell r="C479">
            <v>7.2639225181598066E-3</v>
          </cell>
          <cell r="J479">
            <v>1.4523183281136325E-2</v>
          </cell>
        </row>
        <row r="480">
          <cell r="C480">
            <v>-2.8846153846153575E-3</v>
          </cell>
          <cell r="J480">
            <v>8.6909313200178619E-3</v>
          </cell>
        </row>
        <row r="481">
          <cell r="C481">
            <v>-1.3018322082931615E-2</v>
          </cell>
          <cell r="J481">
            <v>4.8397021180011186E-4</v>
          </cell>
        </row>
        <row r="482">
          <cell r="C482">
            <v>-6.3507572056667469E-3</v>
          </cell>
          <cell r="J482">
            <v>3.7880769753984005E-3</v>
          </cell>
        </row>
        <row r="483">
          <cell r="C483">
            <v>-4.4247787610619746E-3</v>
          </cell>
          <cell r="J483">
            <v>-2.1723884663681931E-3</v>
          </cell>
        </row>
        <row r="484">
          <cell r="C484">
            <v>-8.3950617283950063E-3</v>
          </cell>
          <cell r="J484">
            <v>-3.2126084314703697E-4</v>
          </cell>
        </row>
        <row r="485">
          <cell r="C485">
            <v>-3.9840637450199766E-3</v>
          </cell>
          <cell r="J485">
            <v>2.428638409112394E-3</v>
          </cell>
        </row>
        <row r="486">
          <cell r="C486">
            <v>2.2399999999999948E-2</v>
          </cell>
          <cell r="J486">
            <v>2.4123288700154386E-3</v>
          </cell>
        </row>
        <row r="487">
          <cell r="C487">
            <v>-1.3693270735524313E-3</v>
          </cell>
          <cell r="J487">
            <v>3.8895339272309194E-3</v>
          </cell>
        </row>
        <row r="488">
          <cell r="C488">
            <v>4.3095004897159707E-2</v>
          </cell>
          <cell r="J488">
            <v>1.8738466964866623E-2</v>
          </cell>
        </row>
        <row r="489">
          <cell r="C489">
            <v>6.5727699530516697E-3</v>
          </cell>
          <cell r="J489">
            <v>-3.5547362353366337E-4</v>
          </cell>
        </row>
        <row r="490">
          <cell r="C490">
            <v>7.4626865671641521E-3</v>
          </cell>
          <cell r="J490">
            <v>2.5282745953605947E-3</v>
          </cell>
        </row>
        <row r="491">
          <cell r="C491">
            <v>4.6296296296296294E-3</v>
          </cell>
          <cell r="J491">
            <v>9.3749589196910794E-3</v>
          </cell>
        </row>
        <row r="492">
          <cell r="C492">
            <v>4.3317972350230306E-3</v>
          </cell>
          <cell r="J492">
            <v>-5.9725786894095523E-4</v>
          </cell>
        </row>
        <row r="493">
          <cell r="C493">
            <v>-4.3131137010186185E-3</v>
          </cell>
          <cell r="J493">
            <v>-9.3000659571038959E-3</v>
          </cell>
        </row>
        <row r="494">
          <cell r="C494">
            <v>8.2949308755760898E-3</v>
          </cell>
          <cell r="J494">
            <v>-9.8495953270613876E-3</v>
          </cell>
        </row>
        <row r="495">
          <cell r="C495">
            <v>-3.5648994515539356E-3</v>
          </cell>
          <cell r="J495">
            <v>4.2128382960890422E-3</v>
          </cell>
        </row>
        <row r="496">
          <cell r="C496">
            <v>-2.3851022841941574E-3</v>
          </cell>
          <cell r="J496">
            <v>7.6372143326285625E-3</v>
          </cell>
        </row>
        <row r="497">
          <cell r="C497">
            <v>2.3908045977011965E-3</v>
          </cell>
          <cell r="J497">
            <v>5.9311183213307224E-3</v>
          </cell>
        </row>
        <row r="498">
          <cell r="C498">
            <v>-1.3301531969544103E-2</v>
          </cell>
          <cell r="J498">
            <v>-9.5875650382787284E-3</v>
          </cell>
        </row>
        <row r="499">
          <cell r="C499">
            <v>8.646336928226037E-3</v>
          </cell>
          <cell r="J499">
            <v>1.0153841530162005E-2</v>
          </cell>
        </row>
        <row r="500">
          <cell r="C500">
            <v>3.3182781823209461E-3</v>
          </cell>
          <cell r="J500">
            <v>1.3873517099074429E-3</v>
          </cell>
        </row>
        <row r="501">
          <cell r="C501">
            <v>2.3886081763895739E-3</v>
          </cell>
          <cell r="J501">
            <v>1.552769053771229E-2</v>
          </cell>
        </row>
        <row r="502">
          <cell r="C502">
            <v>1.2739437265145271E-2</v>
          </cell>
          <cell r="J502">
            <v>5.6635789966421862E-3</v>
          </cell>
        </row>
        <row r="503">
          <cell r="C503">
            <v>4.4343891402714468E-3</v>
          </cell>
          <cell r="J503">
            <v>-8.0628449870495081E-4</v>
          </cell>
        </row>
        <row r="504">
          <cell r="C504">
            <v>9.0098207045725891E-5</v>
          </cell>
          <cell r="J504">
            <v>1.1265065084479544E-2</v>
          </cell>
        </row>
        <row r="505">
          <cell r="C505">
            <v>1.7117117117117168E-2</v>
          </cell>
          <cell r="J505">
            <v>4.2326804924190152E-3</v>
          </cell>
        </row>
        <row r="506">
          <cell r="C506">
            <v>-4.871567759078931E-3</v>
          </cell>
          <cell r="J506">
            <v>6.8321345855530922E-3</v>
          </cell>
        </row>
        <row r="507">
          <cell r="C507">
            <v>-1.7801513128614921E-3</v>
          </cell>
          <cell r="J507">
            <v>-1.0715301108284176E-3</v>
          </cell>
        </row>
        <row r="508">
          <cell r="C508">
            <v>-1.3374944271066043E-3</v>
          </cell>
          <cell r="J508">
            <v>6.9425958581239384E-3</v>
          </cell>
        </row>
        <row r="509">
          <cell r="C509">
            <v>-3.1249999999999494E-3</v>
          </cell>
          <cell r="J509">
            <v>3.7001840510569269E-3</v>
          </cell>
        </row>
        <row r="510">
          <cell r="C510">
            <v>-2.2391401701746527E-3</v>
          </cell>
          <cell r="J510">
            <v>-2.2262017063279711E-3</v>
          </cell>
        </row>
        <row r="511">
          <cell r="C511">
            <v>4.4883303411128508E-4</v>
          </cell>
          <cell r="J511">
            <v>-1.268772009171657E-3</v>
          </cell>
        </row>
        <row r="512">
          <cell r="C512">
            <v>-3.768506056527606E-3</v>
          </cell>
          <cell r="J512">
            <v>-4.4484117480568615E-3</v>
          </cell>
        </row>
        <row r="513">
          <cell r="C513">
            <v>4.4132216518057718E-3</v>
          </cell>
          <cell r="J513">
            <v>3.8609844405936076E-3</v>
          </cell>
        </row>
        <row r="514">
          <cell r="C514">
            <v>-4.6628407460544835E-3</v>
          </cell>
          <cell r="J514">
            <v>-4.9297184533637576E-3</v>
          </cell>
        </row>
        <row r="515">
          <cell r="C515">
            <v>0</v>
          </cell>
          <cell r="J515">
            <v>6.7325000317446128E-3</v>
          </cell>
        </row>
        <row r="516">
          <cell r="C516">
            <v>-8.1081081081084156E-4</v>
          </cell>
          <cell r="J516">
            <v>-2.5317248479159752E-3</v>
          </cell>
        </row>
        <row r="517">
          <cell r="C517">
            <v>9.73762510143358E-3</v>
          </cell>
          <cell r="J517">
            <v>4.7876473466055783E-3</v>
          </cell>
        </row>
        <row r="518">
          <cell r="C518">
            <v>4.5539780337530596E-3</v>
          </cell>
          <cell r="J518">
            <v>4.3339168592706843E-3</v>
          </cell>
        </row>
        <row r="519">
          <cell r="C519">
            <v>9.5111111111110501E-3</v>
          </cell>
          <cell r="J519">
            <v>3.6889104546422805E-3</v>
          </cell>
        </row>
        <row r="520">
          <cell r="C520">
            <v>-1.8666901470458665E-2</v>
          </cell>
          <cell r="J520">
            <v>-6.2869512828001147E-3</v>
          </cell>
        </row>
        <row r="521">
          <cell r="C521">
            <v>-1.202332884701663E-2</v>
          </cell>
          <cell r="J521">
            <v>4.7543595347663047E-3</v>
          </cell>
        </row>
        <row r="522">
          <cell r="C522">
            <v>3.0878212696394823E-3</v>
          </cell>
          <cell r="J522">
            <v>-2.9554468914235726E-3</v>
          </cell>
        </row>
        <row r="523">
          <cell r="C523">
            <v>-4.5269352648254555E-4</v>
          </cell>
          <cell r="J523">
            <v>7.1762405010329959E-3</v>
          </cell>
        </row>
        <row r="524">
          <cell r="C524">
            <v>9.9637681159419765E-4</v>
          </cell>
          <cell r="J524">
            <v>7.5845302975461517E-3</v>
          </cell>
        </row>
        <row r="525">
          <cell r="C525">
            <v>1.8097909691429611E-3</v>
          </cell>
          <cell r="J525">
            <v>-5.9317806868969031E-4</v>
          </cell>
        </row>
        <row r="526">
          <cell r="C526">
            <v>-1.0929455333754799E-2</v>
          </cell>
          <cell r="J526">
            <v>-3.9210511111740839E-3</v>
          </cell>
        </row>
        <row r="527">
          <cell r="C527">
            <v>1.8264840182648661E-3</v>
          </cell>
          <cell r="J527">
            <v>-1.0080932120226742E-3</v>
          </cell>
        </row>
        <row r="528">
          <cell r="C528">
            <v>-6.3810391978122412E-3</v>
          </cell>
          <cell r="J528">
            <v>-6.5302946324097429E-4</v>
          </cell>
        </row>
        <row r="529">
          <cell r="C529">
            <v>-1.8348623853207358E-4</v>
          </cell>
          <cell r="J529">
            <v>-1.2622552513930517E-2</v>
          </cell>
        </row>
        <row r="530">
          <cell r="C530">
            <v>-7.0655166085521219E-3</v>
          </cell>
          <cell r="J530">
            <v>-5.3665662661065653E-3</v>
          </cell>
        </row>
        <row r="531">
          <cell r="C531">
            <v>-1.9406709176600476E-3</v>
          </cell>
          <cell r="J531">
            <v>1.238267425421901E-2</v>
          </cell>
        </row>
        <row r="532">
          <cell r="C532">
            <v>6.4814814814815082E-3</v>
          </cell>
          <cell r="J532">
            <v>1.0616792152940816E-2</v>
          </cell>
        </row>
        <row r="533">
          <cell r="C533">
            <v>2.9438822447101489E-3</v>
          </cell>
          <cell r="J533">
            <v>-2.1296002918838497E-3</v>
          </cell>
        </row>
        <row r="534">
          <cell r="C534">
            <v>-1.8345257750867751E-4</v>
          </cell>
          <cell r="J534">
            <v>-1.3372351348589049E-2</v>
          </cell>
        </row>
        <row r="535">
          <cell r="C535">
            <v>3.119266055045903E-3</v>
          </cell>
          <cell r="J535">
            <v>1.8401594703739634E-3</v>
          </cell>
        </row>
        <row r="536">
          <cell r="C536">
            <v>-3.1095664898482113E-3</v>
          </cell>
          <cell r="J536">
            <v>-7.3032049000976811E-3</v>
          </cell>
        </row>
        <row r="537">
          <cell r="C537">
            <v>3.6697247706422541E-3</v>
          </cell>
          <cell r="J537">
            <v>-3.5147060233549779E-3</v>
          </cell>
        </row>
        <row r="538">
          <cell r="C538">
            <v>-8.2266910420475837E-3</v>
          </cell>
          <cell r="J538">
            <v>-8.0074351474728311E-3</v>
          </cell>
        </row>
        <row r="539">
          <cell r="C539">
            <v>8.2949308755760898E-3</v>
          </cell>
          <cell r="J539">
            <v>1.329377650036662E-2</v>
          </cell>
        </row>
        <row r="540">
          <cell r="C540">
            <v>1.2340036563071245E-2</v>
          </cell>
          <cell r="J540">
            <v>-2.1885922565605732E-3</v>
          </cell>
        </row>
        <row r="541">
          <cell r="C541">
            <v>-2.257336343115124E-3</v>
          </cell>
          <cell r="J541">
            <v>-5.9215061936089101E-3</v>
          </cell>
        </row>
        <row r="542">
          <cell r="C542">
            <v>0</v>
          </cell>
          <cell r="J542">
            <v>8.133628024914916E-3</v>
          </cell>
        </row>
        <row r="543">
          <cell r="C543">
            <v>0</v>
          </cell>
          <cell r="J543">
            <v>4.275277296909144E-3</v>
          </cell>
        </row>
        <row r="544">
          <cell r="C544">
            <v>-1.8009049773755611E-2</v>
          </cell>
          <cell r="J544">
            <v>-1.9112545325273966E-2</v>
          </cell>
        </row>
        <row r="545">
          <cell r="C545">
            <v>1.1243203391392488E-2</v>
          </cell>
          <cell r="J545">
            <v>1.2341831768831711E-2</v>
          </cell>
        </row>
        <row r="546">
          <cell r="C546">
            <v>-6.6526929736626626E-3</v>
          </cell>
          <cell r="J546">
            <v>-1.7154133037795501E-2</v>
          </cell>
        </row>
        <row r="547">
          <cell r="C547">
            <v>-9.2660550458716073E-3</v>
          </cell>
          <cell r="J547">
            <v>-1.8382257461257826E-2</v>
          </cell>
        </row>
        <row r="548">
          <cell r="C548">
            <v>-4.1670525048615611E-2</v>
          </cell>
          <cell r="J548">
            <v>-1.2012551865085385E-2</v>
          </cell>
        </row>
        <row r="549">
          <cell r="C549">
            <v>-1.1981833993622524E-2</v>
          </cell>
          <cell r="J549">
            <v>-2.0871708297781139E-2</v>
          </cell>
        </row>
        <row r="550">
          <cell r="C550">
            <v>1.2224938875305624E-2</v>
          </cell>
          <cell r="J550">
            <v>2.3570024703270884E-2</v>
          </cell>
        </row>
        <row r="551">
          <cell r="C551">
            <v>2.4154589371980675E-3</v>
          </cell>
          <cell r="J551">
            <v>2.2346492470096763E-2</v>
          </cell>
        </row>
        <row r="552">
          <cell r="C552">
            <v>2.6024096385541787E-3</v>
          </cell>
          <cell r="J552">
            <v>2.0209267670376761E-3</v>
          </cell>
        </row>
        <row r="553">
          <cell r="C553">
            <v>7.4985579696212378E-3</v>
          </cell>
          <cell r="J553">
            <v>1.3225342900314912E-2</v>
          </cell>
        </row>
        <row r="554">
          <cell r="C554">
            <v>1.1450381679389341E-2</v>
          </cell>
          <cell r="J554">
            <v>-1.5978328860683264E-2</v>
          </cell>
        </row>
        <row r="555">
          <cell r="C555">
            <v>-9.9056603773584641E-3</v>
          </cell>
          <cell r="J555">
            <v>3.9625177393212739E-3</v>
          </cell>
        </row>
        <row r="556">
          <cell r="C556">
            <v>3.8113387327291131E-4</v>
          </cell>
          <cell r="J556">
            <v>1.1269604383480217E-2</v>
          </cell>
        </row>
        <row r="557">
          <cell r="C557">
            <v>1.9049433279369685E-4</v>
          </cell>
          <cell r="J557">
            <v>3.014050815143735E-3</v>
          </cell>
        </row>
        <row r="558">
          <cell r="C558">
            <v>-4.8566803161604142E-3</v>
          </cell>
          <cell r="J558">
            <v>3.9954602332372396E-3</v>
          </cell>
        </row>
        <row r="559">
          <cell r="C559">
            <v>8.8995215311005443E-3</v>
          </cell>
          <cell r="J559">
            <v>-4.4729319059375657E-3</v>
          </cell>
        </row>
        <row r="560">
          <cell r="C560">
            <v>-1.4986246798823983E-2</v>
          </cell>
          <cell r="J560">
            <v>-2.3940926544150431E-2</v>
          </cell>
        </row>
        <row r="561">
          <cell r="C561">
            <v>1.3769860375541712E-2</v>
          </cell>
          <cell r="J561">
            <v>1.3330542539351528E-3</v>
          </cell>
        </row>
        <row r="562">
          <cell r="C562">
            <v>-1.2158054711246211E-2</v>
          </cell>
          <cell r="J562">
            <v>2.1761689940646397E-3</v>
          </cell>
        </row>
        <row r="563">
          <cell r="C563">
            <v>4.807692307692308E-3</v>
          </cell>
          <cell r="J563">
            <v>-3.5828146008385696E-3</v>
          </cell>
        </row>
        <row r="564">
          <cell r="C564">
            <v>-4.784688995215039E-4</v>
          </cell>
          <cell r="J564">
            <v>-2.8619274738285335E-3</v>
          </cell>
        </row>
        <row r="565">
          <cell r="C565">
            <v>-1.3882240306366709E-2</v>
          </cell>
          <cell r="J565">
            <v>-1.69915092114277E-2</v>
          </cell>
        </row>
        <row r="566">
          <cell r="C566">
            <v>9.7087378640776691E-3</v>
          </cell>
          <cell r="J566">
            <v>1.9667628129835829E-2</v>
          </cell>
        </row>
        <row r="567">
          <cell r="C567">
            <v>-1.9230769230769232E-2</v>
          </cell>
          <cell r="J567">
            <v>-1.015928494055799E-2</v>
          </cell>
        </row>
        <row r="568">
          <cell r="C568">
            <v>4.9019607843137254E-3</v>
          </cell>
          <cell r="J568">
            <v>1.7922999673746685E-2</v>
          </cell>
        </row>
        <row r="569">
          <cell r="C569">
            <v>0</v>
          </cell>
          <cell r="J569">
            <v>9.948736471131021E-3</v>
          </cell>
        </row>
        <row r="570">
          <cell r="C570">
            <v>1.4536585365853609E-2</v>
          </cell>
          <cell r="J570">
            <v>-4.6126629027089579E-3</v>
          </cell>
        </row>
        <row r="571">
          <cell r="C571">
            <v>2.500240407731562E-3</v>
          </cell>
          <cell r="J571">
            <v>1.5678758861266062E-3</v>
          </cell>
        </row>
        <row r="572">
          <cell r="C572">
            <v>8.1534772182253658E-3</v>
          </cell>
          <cell r="J572">
            <v>5.8303737499326054E-3</v>
          </cell>
        </row>
        <row r="573">
          <cell r="C573">
            <v>8.5632730732636136E-3</v>
          </cell>
          <cell r="J573">
            <v>-1.7885194881091455E-3</v>
          </cell>
        </row>
        <row r="574">
          <cell r="C574">
            <v>0</v>
          </cell>
          <cell r="J574">
            <v>1.6681339760309839E-3</v>
          </cell>
        </row>
        <row r="575">
          <cell r="C575">
            <v>-1.8867924528301886E-2</v>
          </cell>
          <cell r="J575">
            <v>-8.653670636519074E-3</v>
          </cell>
        </row>
        <row r="576">
          <cell r="C576">
            <v>9.6153846153846159E-3</v>
          </cell>
          <cell r="J576">
            <v>1.0825458764466934E-2</v>
          </cell>
        </row>
        <row r="577">
          <cell r="C577">
            <v>-5.7142857142856605E-3</v>
          </cell>
          <cell r="J577">
            <v>-2.0537544455060787E-3</v>
          </cell>
        </row>
        <row r="578">
          <cell r="C578">
            <v>-7.6628352490422545E-3</v>
          </cell>
          <cell r="J578">
            <v>-8.3195494513595668E-3</v>
          </cell>
        </row>
        <row r="579">
          <cell r="C579">
            <v>-9.6525096525091041E-4</v>
          </cell>
          <cell r="J579">
            <v>-4.9599807343085897E-3</v>
          </cell>
        </row>
        <row r="580">
          <cell r="C580">
            <v>1.2560386473429924E-2</v>
          </cell>
          <cell r="J580">
            <v>2.1831374047235692E-2</v>
          </cell>
        </row>
        <row r="581">
          <cell r="C581">
            <v>-5.3435114503817011E-3</v>
          </cell>
          <cell r="J581">
            <v>-8.5349465454917506E-3</v>
          </cell>
        </row>
        <row r="582">
          <cell r="C582">
            <v>1.2087490406753694E-2</v>
          </cell>
          <cell r="J582">
            <v>-5.1608564438508754E-3</v>
          </cell>
        </row>
        <row r="583">
          <cell r="C583">
            <v>-4.6445497630331267E-3</v>
          </cell>
          <cell r="J583">
            <v>-4.3500627619891827E-3</v>
          </cell>
        </row>
        <row r="584">
          <cell r="C584">
            <v>-9.5229025807114711E-5</v>
          </cell>
          <cell r="J584">
            <v>-1.3390957514982845E-2</v>
          </cell>
        </row>
        <row r="585">
          <cell r="C585">
            <v>1.1904761904761904E-2</v>
          </cell>
          <cell r="J585">
            <v>-4.2056058930445735E-3</v>
          </cell>
        </row>
        <row r="586">
          <cell r="C586">
            <v>1.129411764705885E-2</v>
          </cell>
          <cell r="J586">
            <v>1.1057895190601718E-2</v>
          </cell>
        </row>
        <row r="587">
          <cell r="C587">
            <v>5.4909260120986824E-3</v>
          </cell>
          <cell r="J587">
            <v>8.5275894513885467E-3</v>
          </cell>
        </row>
        <row r="588">
          <cell r="C588">
            <v>-3.7023324694563357E-4</v>
          </cell>
          <cell r="J588">
            <v>5.1411090475375178E-3</v>
          </cell>
        </row>
        <row r="589">
          <cell r="C589">
            <v>1.1574074074074073E-2</v>
          </cell>
          <cell r="J589">
            <v>1.376080887807259E-2</v>
          </cell>
        </row>
        <row r="590">
          <cell r="C590">
            <v>2.1967963386727222E-3</v>
          </cell>
          <cell r="J590">
            <v>4.0507630418259036E-3</v>
          </cell>
        </row>
        <row r="591">
          <cell r="C591">
            <v>-8.1285962188327749E-3</v>
          </cell>
          <cell r="J591">
            <v>-6.5180108138390156E-3</v>
          </cell>
        </row>
        <row r="592">
          <cell r="C592">
            <v>0</v>
          </cell>
          <cell r="J592">
            <v>-2.3650396183539E-3</v>
          </cell>
        </row>
        <row r="593">
          <cell r="C593">
            <v>5.5248618784532483E-4</v>
          </cell>
          <cell r="J593">
            <v>7.4803501201451501E-3</v>
          </cell>
        </row>
        <row r="594">
          <cell r="C594">
            <v>5.2457205963556729E-3</v>
          </cell>
          <cell r="J594">
            <v>3.966679284189983E-3</v>
          </cell>
        </row>
        <row r="595">
          <cell r="C595">
            <v>-1.1901492264030913E-3</v>
          </cell>
          <cell r="J595">
            <v>4.4156781195177509E-3</v>
          </cell>
        </row>
        <row r="596">
          <cell r="C596">
            <v>-1.3290559120073224E-2</v>
          </cell>
          <cell r="J596">
            <v>1.1050598414795689E-2</v>
          </cell>
        </row>
        <row r="597">
          <cell r="C597">
            <v>-1.0682768230376271E-2</v>
          </cell>
          <cell r="J597">
            <v>-4.6056261696971742E-4</v>
          </cell>
        </row>
        <row r="598">
          <cell r="C598">
            <v>1.399061032863845E-2</v>
          </cell>
          <cell r="J598">
            <v>7.171075479662131E-3</v>
          </cell>
        </row>
        <row r="599">
          <cell r="C599">
            <v>-5.5560700064820291E-3</v>
          </cell>
          <cell r="J599">
            <v>1.6340136259399916E-2</v>
          </cell>
        </row>
        <row r="600">
          <cell r="C600">
            <v>5.6802309339789503E-3</v>
          </cell>
          <cell r="J600">
            <v>6.157464223780054E-3</v>
          </cell>
        </row>
        <row r="601">
          <cell r="C601">
            <v>-9.2592592592639968E-5</v>
          </cell>
          <cell r="J601">
            <v>-1.3355118749748519E-3</v>
          </cell>
        </row>
        <row r="602">
          <cell r="C602">
            <v>-4.722659505509685E-3</v>
          </cell>
          <cell r="J602">
            <v>-6.9337522258866905E-4</v>
          </cell>
        </row>
        <row r="603">
          <cell r="C603">
            <v>1.8608113137324171E-4</v>
          </cell>
          <cell r="J603">
            <v>2.4570872630891986E-3</v>
          </cell>
        </row>
        <row r="604">
          <cell r="C604">
            <v>4.5581395348836731E-3</v>
          </cell>
          <cell r="J604">
            <v>1.8866789596717478E-3</v>
          </cell>
        </row>
        <row r="605">
          <cell r="C605">
            <v>9.2601166774748745E-5</v>
          </cell>
          <cell r="J605">
            <v>-3.2023081130521649E-3</v>
          </cell>
        </row>
        <row r="606">
          <cell r="C606">
            <v>1.8518518518518782E-3</v>
          </cell>
          <cell r="J606">
            <v>-7.6921191709392704E-3</v>
          </cell>
        </row>
        <row r="607">
          <cell r="C607">
            <v>-2.13493530499076E-2</v>
          </cell>
          <cell r="J607">
            <v>9.9182420555899466E-3</v>
          </cell>
        </row>
        <row r="608">
          <cell r="C608">
            <v>8.7826990272924042E-3</v>
          </cell>
          <cell r="J608">
            <v>1.1031783681706658E-3</v>
          </cell>
        </row>
        <row r="609">
          <cell r="C609">
            <v>-1.0765774199588013E-2</v>
          </cell>
          <cell r="J609">
            <v>8.7229570940479638E-3</v>
          </cell>
        </row>
        <row r="610">
          <cell r="C610">
            <v>6.9082994227311813E-3</v>
          </cell>
          <cell r="J610">
            <v>-1.9193007112413736E-3</v>
          </cell>
        </row>
        <row r="611">
          <cell r="C611">
            <v>5.2631578947367292E-3</v>
          </cell>
          <cell r="J611">
            <v>-3.1184868738145027E-3</v>
          </cell>
        </row>
        <row r="612">
          <cell r="C612">
            <v>-8.8818249813013145E-3</v>
          </cell>
          <cell r="J612">
            <v>-7.2121185869074515E-3</v>
          </cell>
        </row>
        <row r="613">
          <cell r="C613">
            <v>8.6784265635317572E-3</v>
          </cell>
          <cell r="J613">
            <v>2.2318140501233243E-3</v>
          </cell>
        </row>
        <row r="614">
          <cell r="C614">
            <v>-8.5102403441504795E-3</v>
          </cell>
          <cell r="J614">
            <v>-4.6881474966038962E-3</v>
          </cell>
        </row>
        <row r="615">
          <cell r="C615">
            <v>-9.4321826070466948E-5</v>
          </cell>
          <cell r="J615">
            <v>-5.2861212033855718E-4</v>
          </cell>
        </row>
        <row r="616">
          <cell r="C616">
            <v>4.7165361758324687E-3</v>
          </cell>
          <cell r="J616">
            <v>-1.8013159358945402E-3</v>
          </cell>
        </row>
        <row r="617">
          <cell r="C617">
            <v>4.6005069946483419E-3</v>
          </cell>
          <cell r="J617">
            <v>1.2910040980612764E-3</v>
          </cell>
        </row>
        <row r="618">
          <cell r="C618">
            <v>0</v>
          </cell>
          <cell r="J618">
            <v>-5.3917077786121946E-3</v>
          </cell>
        </row>
        <row r="619">
          <cell r="C619">
            <v>0</v>
          </cell>
          <cell r="J619">
            <v>-1.4707170938081923E-2</v>
          </cell>
        </row>
        <row r="620">
          <cell r="C620">
            <v>-6.3551401869159519E-3</v>
          </cell>
          <cell r="J620">
            <v>2.8811325391176878E-3</v>
          </cell>
        </row>
        <row r="621">
          <cell r="C621">
            <v>-2.7276147479307002E-3</v>
          </cell>
          <cell r="J621">
            <v>4.6300450785007443E-3</v>
          </cell>
        </row>
        <row r="622">
          <cell r="C622">
            <v>4.9042723757426769E-3</v>
          </cell>
          <cell r="J622">
            <v>9.3874020663054659E-3</v>
          </cell>
        </row>
        <row r="623">
          <cell r="C623">
            <v>3.2848427968090901E-3</v>
          </cell>
          <cell r="J623">
            <v>-2.3930676977282784E-3</v>
          </cell>
        </row>
        <row r="624">
          <cell r="C624">
            <v>0</v>
          </cell>
          <cell r="J624">
            <v>-5.3906603548448976E-3</v>
          </cell>
        </row>
        <row r="625">
          <cell r="C625">
            <v>-3.7418147801684346E-3</v>
          </cell>
          <cell r="J625">
            <v>-1.7491363955308285E-3</v>
          </cell>
        </row>
        <row r="626">
          <cell r="C626">
            <v>-4.6948356807511738E-3</v>
          </cell>
          <cell r="J626">
            <v>-2.0749306807564803E-3</v>
          </cell>
        </row>
        <row r="627">
          <cell r="C627">
            <v>9.433962264150943E-3</v>
          </cell>
          <cell r="J627">
            <v>1.7043078298473246E-2</v>
          </cell>
        </row>
        <row r="628">
          <cell r="C628">
            <v>0</v>
          </cell>
          <cell r="J628">
            <v>-1.0191211110526135E-2</v>
          </cell>
        </row>
        <row r="629">
          <cell r="C629">
            <v>2.8037383177569827E-3</v>
          </cell>
          <cell r="J629">
            <v>-2.4466265588386745E-3</v>
          </cell>
        </row>
        <row r="630">
          <cell r="C630">
            <v>1.8639328984156836E-3</v>
          </cell>
          <cell r="J630">
            <v>7.0415292152849478E-4</v>
          </cell>
        </row>
        <row r="631">
          <cell r="C631">
            <v>-4.6511627906976744E-3</v>
          </cell>
          <cell r="J631">
            <v>2.3125287881408136E-4</v>
          </cell>
        </row>
        <row r="632">
          <cell r="C632">
            <v>-4.6728971962616819E-3</v>
          </cell>
          <cell r="J632">
            <v>2.8803067161324099E-3</v>
          </cell>
        </row>
        <row r="633">
          <cell r="C633">
            <v>4.2253521126760828E-3</v>
          </cell>
          <cell r="J633">
            <v>4.3266329695856977E-3</v>
          </cell>
        </row>
        <row r="634">
          <cell r="C634">
            <v>7.4801309022907636E-3</v>
          </cell>
          <cell r="J634">
            <v>8.1385063823409445E-4</v>
          </cell>
        </row>
        <row r="635">
          <cell r="C635">
            <v>9.2807424593962238E-4</v>
          </cell>
          <cell r="J635">
            <v>-1.6750478241925101E-3</v>
          </cell>
        </row>
        <row r="636">
          <cell r="C636">
            <v>-2.781641168289396E-4</v>
          </cell>
          <cell r="J636">
            <v>-2.5189844469082948E-3</v>
          </cell>
        </row>
        <row r="637">
          <cell r="C637">
            <v>1.5488777592283452E-2</v>
          </cell>
          <cell r="J637">
            <v>3.0017192236722737E-4</v>
          </cell>
        </row>
        <row r="638">
          <cell r="C638">
            <v>-1.7353182939080988E-3</v>
          </cell>
          <cell r="J638">
            <v>-7.7371207534801239E-3</v>
          </cell>
        </row>
        <row r="639">
          <cell r="C639">
            <v>-3.6596523330276344E-4</v>
          </cell>
          <cell r="J639">
            <v>-1.2046148159585447E-4</v>
          </cell>
        </row>
        <row r="640">
          <cell r="C640">
            <v>-2.5260845689181813E-2</v>
          </cell>
          <cell r="J640">
            <v>-5.4328332593216368E-3</v>
          </cell>
        </row>
        <row r="641">
          <cell r="C641">
            <v>0</v>
          </cell>
          <cell r="J641">
            <v>8.4572850363901515E-3</v>
          </cell>
        </row>
        <row r="642">
          <cell r="C642">
            <v>-8.450704225352433E-4</v>
          </cell>
          <cell r="J642">
            <v>6.428853661234999E-3</v>
          </cell>
        </row>
        <row r="643">
          <cell r="C643">
            <v>-3.7590452025178126E-4</v>
          </cell>
          <cell r="J643">
            <v>6.6082726528063948E-4</v>
          </cell>
        </row>
        <row r="644">
          <cell r="C644">
            <v>-6.5808028579493645E-4</v>
          </cell>
          <cell r="J644">
            <v>-3.1178149013975347E-3</v>
          </cell>
        </row>
        <row r="645">
          <cell r="C645">
            <v>1.4111006585136941E-3</v>
          </cell>
          <cell r="J645">
            <v>-3.1680774998278853E-3</v>
          </cell>
        </row>
        <row r="646">
          <cell r="C646">
            <v>5.6364490371068362E-4</v>
          </cell>
          <cell r="J646">
            <v>-7.7138426130159013E-3</v>
          </cell>
        </row>
        <row r="647">
          <cell r="C647">
            <v>-4.3188433010985629E-3</v>
          </cell>
          <cell r="J647">
            <v>2.5167845763972676E-4</v>
          </cell>
        </row>
        <row r="648">
          <cell r="C648">
            <v>1.8859028760019128E-3</v>
          </cell>
          <cell r="J648">
            <v>5.1320152038335908E-3</v>
          </cell>
        </row>
        <row r="649">
          <cell r="C649">
            <v>-2.352941176470588E-3</v>
          </cell>
          <cell r="J649">
            <v>-2.2504410332524795E-3</v>
          </cell>
        </row>
        <row r="650">
          <cell r="C650">
            <v>1.8867924528302156E-3</v>
          </cell>
          <cell r="J650">
            <v>-2.1349349999874243E-3</v>
          </cell>
        </row>
        <row r="651">
          <cell r="C651">
            <v>-5.178907721280576E-3</v>
          </cell>
          <cell r="J651">
            <v>-5.4494566867302422E-3</v>
          </cell>
        </row>
        <row r="652">
          <cell r="C652">
            <v>-1.1358258400379038E-3</v>
          </cell>
          <cell r="J652">
            <v>7.3681399038512995E-3</v>
          </cell>
        </row>
        <row r="653">
          <cell r="C653">
            <v>1.3929688240310802E-2</v>
          </cell>
          <cell r="J653">
            <v>7.2234700884181062E-3</v>
          </cell>
        </row>
        <row r="654">
          <cell r="C654">
            <v>-9.3457943925233638E-3</v>
          </cell>
          <cell r="J654">
            <v>1.0764536504549794E-2</v>
          </cell>
        </row>
        <row r="655">
          <cell r="C655">
            <v>0</v>
          </cell>
          <cell r="J655">
            <v>-5.8924751118271225E-3</v>
          </cell>
        </row>
        <row r="656">
          <cell r="C656">
            <v>9.4339622641504068E-4</v>
          </cell>
          <cell r="J656">
            <v>-4.0312607218550879E-3</v>
          </cell>
        </row>
        <row r="657">
          <cell r="C657">
            <v>-9.4250706880296255E-4</v>
          </cell>
          <cell r="J657">
            <v>-5.7232045579070547E-3</v>
          </cell>
        </row>
        <row r="658">
          <cell r="C658">
            <v>-6.1320754716981665E-3</v>
          </cell>
          <cell r="J658">
            <v>-4.7872539206013009E-3</v>
          </cell>
        </row>
        <row r="659">
          <cell r="C659">
            <v>3.3222591362127058E-3</v>
          </cell>
          <cell r="J659">
            <v>4.8618343352809009E-3</v>
          </cell>
        </row>
        <row r="660">
          <cell r="C660">
            <v>2.3651844843897824E-3</v>
          </cell>
          <cell r="J660">
            <v>1.1409099833846197E-3</v>
          </cell>
        </row>
        <row r="661">
          <cell r="C661">
            <v>-4.7192071731946351E-4</v>
          </cell>
          <cell r="J661">
            <v>-1.3243429845880293E-4</v>
          </cell>
        </row>
        <row r="662">
          <cell r="C662">
            <v>0</v>
          </cell>
          <cell r="J662">
            <v>-1.0764875628144445E-2</v>
          </cell>
        </row>
        <row r="663">
          <cell r="C663">
            <v>-1.3220018885741318E-3</v>
          </cell>
          <cell r="J663">
            <v>1.1600522439261637E-3</v>
          </cell>
        </row>
        <row r="664">
          <cell r="C664">
            <v>-2.1747352496218229E-3</v>
          </cell>
          <cell r="J664">
            <v>-8.2947398997442509E-4</v>
          </cell>
        </row>
        <row r="665">
          <cell r="C665">
            <v>3.411352222116928E-3</v>
          </cell>
          <cell r="J665">
            <v>-4.018882096025145E-3</v>
          </cell>
        </row>
        <row r="666">
          <cell r="C666">
            <v>-3.6830673340258811E-3</v>
          </cell>
          <cell r="J666">
            <v>-7.1313992136950262E-3</v>
          </cell>
        </row>
        <row r="667">
          <cell r="C667">
            <v>1.4218009478672985E-2</v>
          </cell>
          <cell r="J667">
            <v>4.9229783749753699E-3</v>
          </cell>
        </row>
        <row r="668">
          <cell r="C668">
            <v>-8.8785046728972229E-3</v>
          </cell>
          <cell r="J668">
            <v>1.2293158709296582E-2</v>
          </cell>
        </row>
        <row r="669">
          <cell r="C669">
            <v>4.7147571900044469E-4</v>
          </cell>
          <cell r="J669">
            <v>1.5290808205127399E-3</v>
          </cell>
        </row>
        <row r="670">
          <cell r="C670">
            <v>3.7700282752121178E-3</v>
          </cell>
          <cell r="J670">
            <v>-8.0202308164549832E-3</v>
          </cell>
        </row>
        <row r="671">
          <cell r="C671">
            <v>-9.3896713615018138E-4</v>
          </cell>
          <cell r="J671">
            <v>-3.7239285548247365E-3</v>
          </cell>
        </row>
        <row r="672">
          <cell r="C672">
            <v>9.3984962406009687E-4</v>
          </cell>
          <cell r="J672">
            <v>4.3611794663666022E-3</v>
          </cell>
        </row>
        <row r="673">
          <cell r="C673">
            <v>2.384976525821602E-2</v>
          </cell>
          <cell r="J673">
            <v>-6.0608953961661374E-3</v>
          </cell>
        </row>
        <row r="674">
          <cell r="C674">
            <v>-2.787967718268531E-2</v>
          </cell>
          <cell r="J674">
            <v>-2.3130160167836281E-3</v>
          </cell>
        </row>
        <row r="675">
          <cell r="C675">
            <v>-9.3396226415093861E-3</v>
          </cell>
          <cell r="J675">
            <v>-1.1162260486702595E-2</v>
          </cell>
        </row>
        <row r="676">
          <cell r="C676">
            <v>-8.4753832968288787E-3</v>
          </cell>
          <cell r="J676">
            <v>-8.9463222836476154E-3</v>
          </cell>
        </row>
        <row r="677">
          <cell r="C677">
            <v>7.4913561275451509E-3</v>
          </cell>
          <cell r="J677">
            <v>-6.5872408066804172E-3</v>
          </cell>
        </row>
        <row r="678">
          <cell r="C678">
            <v>-8.4842707340324168E-3</v>
          </cell>
          <cell r="J678">
            <v>-4.9310239469031996E-3</v>
          </cell>
        </row>
        <row r="679">
          <cell r="C679">
            <v>9.51831554658201E-3</v>
          </cell>
          <cell r="J679">
            <v>-5.6742850347608698E-3</v>
          </cell>
        </row>
        <row r="680">
          <cell r="C680">
            <v>-3.8095238095238637E-3</v>
          </cell>
          <cell r="J680">
            <v>1.0200643673400862E-2</v>
          </cell>
        </row>
        <row r="681">
          <cell r="C681">
            <v>-8.1261950286806352E-3</v>
          </cell>
          <cell r="J681">
            <v>-2.0059445702069606E-2</v>
          </cell>
        </row>
        <row r="682">
          <cell r="C682">
            <v>-1.6963855421686796E-2</v>
          </cell>
          <cell r="J682">
            <v>1.2010348292437096E-2</v>
          </cell>
        </row>
        <row r="683">
          <cell r="C683">
            <v>-4.804392587508529E-3</v>
          </cell>
          <cell r="J683">
            <v>-6.2138638206134255E-4</v>
          </cell>
        </row>
        <row r="684">
          <cell r="C684">
            <v>-5.4187192118226321E-3</v>
          </cell>
          <cell r="J684">
            <v>3.8509795706425857E-3</v>
          </cell>
        </row>
        <row r="685">
          <cell r="C685">
            <v>-1.2382367508667657E-2</v>
          </cell>
          <cell r="J685">
            <v>-8.3901475207850077E-3</v>
          </cell>
        </row>
        <row r="686">
          <cell r="C686">
            <v>-4.5135406218656249E-3</v>
          </cell>
          <cell r="J686">
            <v>-6.5673276457090058E-3</v>
          </cell>
        </row>
        <row r="687">
          <cell r="C687">
            <v>6.549118387909377E-3</v>
          </cell>
          <cell r="J687">
            <v>4.7959096058591555E-3</v>
          </cell>
        </row>
        <row r="688">
          <cell r="C688">
            <v>-1.001001001001001E-2</v>
          </cell>
          <cell r="J688">
            <v>-2.4404499704391257E-3</v>
          </cell>
        </row>
        <row r="689">
          <cell r="C689">
            <v>-1.2133468149646135E-2</v>
          </cell>
          <cell r="J689">
            <v>-1.4566554616823138E-2</v>
          </cell>
        </row>
        <row r="690">
          <cell r="C690">
            <v>-1.2384851586489333E-2</v>
          </cell>
          <cell r="J690">
            <v>1.2258908699308386E-3</v>
          </cell>
        </row>
        <row r="691">
          <cell r="C691">
            <v>-4.9746087677478472E-3</v>
          </cell>
          <cell r="J691">
            <v>-1.5069589463638443E-2</v>
          </cell>
        </row>
        <row r="692">
          <cell r="C692">
            <v>2.9580252057077275E-2</v>
          </cell>
          <cell r="J692">
            <v>2.5725456008521663E-2</v>
          </cell>
        </row>
        <row r="693">
          <cell r="C693">
            <v>1.5680323722812459E-2</v>
          </cell>
          <cell r="J693">
            <v>1.1004049291644604E-2</v>
          </cell>
        </row>
        <row r="694">
          <cell r="C694">
            <v>-1.2948207171314853E-2</v>
          </cell>
          <cell r="J694">
            <v>-4.2854405014733261E-3</v>
          </cell>
        </row>
        <row r="695">
          <cell r="C695">
            <v>5.2472250252271471E-3</v>
          </cell>
          <cell r="J695">
            <v>1.9494078461643648E-2</v>
          </cell>
        </row>
        <row r="696">
          <cell r="C696">
            <v>4.0152579803251504E-3</v>
          </cell>
          <cell r="J696">
            <v>7.0756883708070891E-3</v>
          </cell>
        </row>
        <row r="697">
          <cell r="C697">
            <v>-4.6990601879623962E-3</v>
          </cell>
          <cell r="J697">
            <v>-5.3040718965374446E-3</v>
          </cell>
        </row>
        <row r="698">
          <cell r="C698">
            <v>3.5158211953792923E-3</v>
          </cell>
          <cell r="J698">
            <v>-3.2721668791944121E-3</v>
          </cell>
        </row>
        <row r="699">
          <cell r="C699">
            <v>6.0060060060048109E-4</v>
          </cell>
          <cell r="J699">
            <v>-3.8134046765495415E-3</v>
          </cell>
        </row>
        <row r="700">
          <cell r="C700">
            <v>2.0708283313325405E-2</v>
          </cell>
          <cell r="J700">
            <v>1.3148759567243878E-2</v>
          </cell>
        </row>
        <row r="701">
          <cell r="C701">
            <v>3.6263843967460998E-3</v>
          </cell>
          <cell r="J701">
            <v>3.0466048316461812E-3</v>
          </cell>
        </row>
        <row r="702">
          <cell r="C702">
            <v>5.8593749999999445E-3</v>
          </cell>
          <cell r="J702">
            <v>4.9618694897862478E-3</v>
          </cell>
        </row>
        <row r="703">
          <cell r="C703">
            <v>9.7087378640776691E-3</v>
          </cell>
          <cell r="J703">
            <v>1.5735543856164536E-2</v>
          </cell>
        </row>
        <row r="704">
          <cell r="C704">
            <v>-3.8461538461544473E-4</v>
          </cell>
          <cell r="J704">
            <v>3.5510853804811746E-3</v>
          </cell>
        </row>
        <row r="705">
          <cell r="C705">
            <v>8.560984994228556E-3</v>
          </cell>
          <cell r="J705">
            <v>-1.7082362969647377E-3</v>
          </cell>
        </row>
        <row r="706">
          <cell r="C706">
            <v>6.103958035288513E-3</v>
          </cell>
          <cell r="J706">
            <v>3.9704510333718164E-3</v>
          </cell>
        </row>
        <row r="707">
          <cell r="C707">
            <v>-3.5169210351692043E-2</v>
          </cell>
          <cell r="J707">
            <v>1.6226457130344622E-3</v>
          </cell>
        </row>
        <row r="708">
          <cell r="C708">
            <v>2.1811750835134591E-2</v>
          </cell>
          <cell r="J708">
            <v>-3.8219038476989928E-3</v>
          </cell>
        </row>
        <row r="709">
          <cell r="C709">
            <v>2.8846153846153575E-3</v>
          </cell>
          <cell r="J709">
            <v>-1.5178380406766022E-2</v>
          </cell>
        </row>
        <row r="710">
          <cell r="C710">
            <v>6.711409395973182E-3</v>
          </cell>
          <cell r="J710">
            <v>4.9562596134344631E-3</v>
          </cell>
        </row>
        <row r="711">
          <cell r="C711">
            <v>4.7619047619047623E-3</v>
          </cell>
          <cell r="J711">
            <v>-6.0411907557985801E-3</v>
          </cell>
        </row>
        <row r="712">
          <cell r="C712">
            <v>-9.4786729857819912E-3</v>
          </cell>
          <cell r="J712">
            <v>-1.2924563596671948E-2</v>
          </cell>
        </row>
        <row r="713">
          <cell r="C713">
            <v>1.4258373205741578E-2</v>
          </cell>
          <cell r="J713">
            <v>-2.8175386865109884E-4</v>
          </cell>
        </row>
        <row r="714">
          <cell r="C714">
            <v>9.4348523445656352E-5</v>
          </cell>
          <cell r="J714">
            <v>1.7636990868951711E-2</v>
          </cell>
        </row>
        <row r="715">
          <cell r="C715">
            <v>-9.4339622641504068E-4</v>
          </cell>
          <cell r="J715">
            <v>-7.4874991701207594E-3</v>
          </cell>
        </row>
        <row r="716">
          <cell r="C716">
            <v>-3.7771482530689865E-3</v>
          </cell>
          <cell r="J716">
            <v>-1.8166696323927924E-3</v>
          </cell>
        </row>
        <row r="717">
          <cell r="C717">
            <v>7.4881516587678321E-3</v>
          </cell>
          <cell r="J717">
            <v>8.2174342069594453E-3</v>
          </cell>
        </row>
        <row r="718">
          <cell r="C718">
            <v>-1.2136607394863169E-2</v>
          </cell>
          <cell r="J718">
            <v>-1.601246391382475E-2</v>
          </cell>
        </row>
        <row r="719">
          <cell r="C719">
            <v>-8.0952380952380408E-3</v>
          </cell>
          <cell r="J719">
            <v>-1.7411301781615547E-2</v>
          </cell>
        </row>
        <row r="720">
          <cell r="C720">
            <v>-2.9284685549688057E-2</v>
          </cell>
          <cell r="J720">
            <v>-1.3010884451812869E-2</v>
          </cell>
        </row>
        <row r="721">
          <cell r="C721">
            <v>-1.0089020771513314E-2</v>
          </cell>
          <cell r="J721">
            <v>-9.6464000973768439E-3</v>
          </cell>
        </row>
        <row r="722">
          <cell r="C722">
            <v>8.1934452438050306E-3</v>
          </cell>
          <cell r="J722">
            <v>4.060702275481891E-3</v>
          </cell>
        </row>
        <row r="723">
          <cell r="C723">
            <v>2.0911793855302271E-2</v>
          </cell>
          <cell r="J723">
            <v>2.7562351861624462E-2</v>
          </cell>
        </row>
        <row r="724">
          <cell r="C724">
            <v>-2.4366566352781331E-2</v>
          </cell>
          <cell r="J724">
            <v>-5.6843087532443826E-3</v>
          </cell>
        </row>
        <row r="725">
          <cell r="C725">
            <v>1.1940298507462714E-2</v>
          </cell>
          <cell r="J725">
            <v>6.5840765453255862E-3</v>
          </cell>
        </row>
        <row r="726">
          <cell r="C726">
            <v>-2.7531956735496528E-2</v>
          </cell>
          <cell r="J726">
            <v>-4.7058198590495613E-2</v>
          </cell>
        </row>
        <row r="727">
          <cell r="C727">
            <v>8.5945399393326013E-3</v>
          </cell>
          <cell r="J727">
            <v>-3.0531420185194089E-5</v>
          </cell>
        </row>
        <row r="728">
          <cell r="C728">
            <v>-1.0225563909774396E-2</v>
          </cell>
          <cell r="J728">
            <v>1.1088795251200316E-3</v>
          </cell>
        </row>
        <row r="729">
          <cell r="C729">
            <v>5.7733211789728874E-3</v>
          </cell>
          <cell r="J729">
            <v>1.3232666609212388E-2</v>
          </cell>
        </row>
        <row r="730">
          <cell r="C730">
            <v>-5.0352467270896274E-3</v>
          </cell>
          <cell r="J730">
            <v>-1.5095719861738129E-4</v>
          </cell>
        </row>
        <row r="731">
          <cell r="C731">
            <v>1.2145748987854281E-2</v>
          </cell>
          <cell r="J731">
            <v>-7.4812637709374945E-3</v>
          </cell>
        </row>
        <row r="732">
          <cell r="C732">
            <v>5.0000000000000001E-3</v>
          </cell>
          <cell r="J732">
            <v>-2.8277408129444093E-3</v>
          </cell>
        </row>
        <row r="733">
          <cell r="C733">
            <v>-3.3830845771144619E-3</v>
          </cell>
          <cell r="J733">
            <v>-1.1969136169461552E-2</v>
          </cell>
        </row>
        <row r="734">
          <cell r="C734">
            <v>2.3961661341853945E-3</v>
          </cell>
          <cell r="J734">
            <v>8.6373916448616445E-3</v>
          </cell>
        </row>
        <row r="735">
          <cell r="C735">
            <v>-1.4940239043825267E-3</v>
          </cell>
          <cell r="J735">
            <v>2.5901392267758668E-2</v>
          </cell>
        </row>
        <row r="736">
          <cell r="C736">
            <v>-6.48379052369083E-3</v>
          </cell>
          <cell r="J736">
            <v>-1.4327360556956329E-2</v>
          </cell>
        </row>
        <row r="737">
          <cell r="C737">
            <v>-6.9277108433734719E-3</v>
          </cell>
          <cell r="J737">
            <v>3.8754939265330749E-3</v>
          </cell>
        </row>
        <row r="738">
          <cell r="C738">
            <v>3.9429784652714652E-3</v>
          </cell>
          <cell r="J738">
            <v>1.0005995351324782E-2</v>
          </cell>
        </row>
        <row r="739">
          <cell r="C739">
            <v>-3.0211480362537478E-3</v>
          </cell>
          <cell r="J739">
            <v>-3.6734367088821118E-3</v>
          </cell>
        </row>
        <row r="740">
          <cell r="C740">
            <v>4.9494949494948981E-3</v>
          </cell>
          <cell r="J740">
            <v>-4.7535972847419367E-5</v>
          </cell>
        </row>
        <row r="741">
          <cell r="C741">
            <v>-4.92511810232179E-3</v>
          </cell>
          <cell r="J741">
            <v>2.081042726231626E-3</v>
          </cell>
        </row>
        <row r="742">
          <cell r="C742">
            <v>0</v>
          </cell>
          <cell r="J742">
            <v>-3.3548768944742465E-3</v>
          </cell>
        </row>
        <row r="743">
          <cell r="C743">
            <v>-1.0101010101010102E-2</v>
          </cell>
          <cell r="J743">
            <v>-4.6454551038693183E-3</v>
          </cell>
        </row>
        <row r="744">
          <cell r="C744">
            <v>-2.5510204081632651E-3</v>
          </cell>
          <cell r="J744">
            <v>2.9672009298291283E-3</v>
          </cell>
        </row>
        <row r="745">
          <cell r="C745">
            <v>0</v>
          </cell>
          <cell r="J745">
            <v>4.9126164126843596E-3</v>
          </cell>
        </row>
        <row r="746">
          <cell r="C746">
            <v>1.0741687979539612E-2</v>
          </cell>
          <cell r="J746">
            <v>3.5266518768253515E-3</v>
          </cell>
        </row>
        <row r="747">
          <cell r="C747">
            <v>1.4777327935222753E-2</v>
          </cell>
          <cell r="J747">
            <v>4.0496485516546355E-3</v>
          </cell>
        </row>
        <row r="748">
          <cell r="C748">
            <v>4.3885896668661249E-3</v>
          </cell>
          <cell r="J748">
            <v>6.5212024288238786E-3</v>
          </cell>
        </row>
        <row r="749">
          <cell r="C749">
            <v>4.9652432969212671E-4</v>
          </cell>
          <cell r="J749">
            <v>1.1227108850713362E-2</v>
          </cell>
        </row>
        <row r="750">
          <cell r="C750">
            <v>7.642679900744377E-3</v>
          </cell>
          <cell r="J750">
            <v>3.7562644797943621E-4</v>
          </cell>
        </row>
        <row r="751">
          <cell r="C751">
            <v>2.265563435776241E-3</v>
          </cell>
          <cell r="J751">
            <v>-7.1703397801570722E-3</v>
          </cell>
        </row>
        <row r="752">
          <cell r="C752">
            <v>1.9656019656019656E-2</v>
          </cell>
          <cell r="J752">
            <v>5.8415386970052221E-3</v>
          </cell>
        </row>
        <row r="753">
          <cell r="C753">
            <v>1.9277108433735214E-3</v>
          </cell>
          <cell r="J753">
            <v>1.1952193870856321E-2</v>
          </cell>
        </row>
        <row r="754">
          <cell r="C754">
            <v>4.8100048100045364E-4</v>
          </cell>
          <cell r="J754">
            <v>-1.4165037505750461E-4</v>
          </cell>
        </row>
        <row r="755">
          <cell r="C755">
            <v>7.692307692307665E-3</v>
          </cell>
          <cell r="J755">
            <v>7.6545629979040666E-4</v>
          </cell>
        </row>
        <row r="756">
          <cell r="C756">
            <v>-7.1564885496183204E-3</v>
          </cell>
          <cell r="J756">
            <v>-3.3332425884083066E-3</v>
          </cell>
        </row>
        <row r="757">
          <cell r="C757">
            <v>5.2859202306583105E-3</v>
          </cell>
          <cell r="J757">
            <v>5.4629046919795826E-6</v>
          </cell>
        </row>
        <row r="758">
          <cell r="C758">
            <v>7.0745697896750399E-3</v>
          </cell>
          <cell r="J758">
            <v>-3.3050392835330378E-3</v>
          </cell>
        </row>
        <row r="759">
          <cell r="C759">
            <v>-8.5437630529716548E-4</v>
          </cell>
          <cell r="J759">
            <v>-2.2974116574073079E-3</v>
          </cell>
        </row>
        <row r="760">
          <cell r="C760">
            <v>-1.092636579572452E-2</v>
          </cell>
          <cell r="J760">
            <v>-1.4810335283858236E-2</v>
          </cell>
        </row>
        <row r="761">
          <cell r="C761">
            <v>-9.6061479346776484E-4</v>
          </cell>
          <cell r="J761">
            <v>-1.6639369327751919E-4</v>
          </cell>
        </row>
        <row r="762">
          <cell r="C762">
            <v>1.9230769230769505E-3</v>
          </cell>
          <cell r="J762">
            <v>4.2901469839915938E-3</v>
          </cell>
        </row>
        <row r="763">
          <cell r="C763">
            <v>1.3435700575815657E-2</v>
          </cell>
          <cell r="J763">
            <v>-2.0962595638926084E-3</v>
          </cell>
        </row>
        <row r="764">
          <cell r="C764">
            <v>6.6287878787879059E-3</v>
          </cell>
          <cell r="J764">
            <v>-8.0447138283392273E-4</v>
          </cell>
        </row>
        <row r="765">
          <cell r="C765">
            <v>-2.8222013170272546E-3</v>
          </cell>
          <cell r="J765">
            <v>1.4988492411185969E-3</v>
          </cell>
        </row>
        <row r="766">
          <cell r="C766">
            <v>-9.4339622641557703E-5</v>
          </cell>
          <cell r="J766">
            <v>2.8470661249403117E-3</v>
          </cell>
        </row>
        <row r="767">
          <cell r="C767">
            <v>9.4348523445656352E-5</v>
          </cell>
          <cell r="J767">
            <v>-1.1379001948398733E-4</v>
          </cell>
        </row>
        <row r="768">
          <cell r="C768">
            <v>7.5471698113207279E-3</v>
          </cell>
          <cell r="J768">
            <v>6.5834906720386279E-3</v>
          </cell>
        </row>
        <row r="769">
          <cell r="C769">
            <v>1.4044943820224719E-2</v>
          </cell>
          <cell r="J769">
            <v>6.607649905189408E-3</v>
          </cell>
        </row>
        <row r="770">
          <cell r="C770">
            <v>1.8467220683287429E-3</v>
          </cell>
          <cell r="J770">
            <v>9.7351914087729797E-3</v>
          </cell>
        </row>
        <row r="771">
          <cell r="C771">
            <v>-9.0322580645161663E-3</v>
          </cell>
          <cell r="J771">
            <v>-5.5556097629726733E-3</v>
          </cell>
        </row>
        <row r="772">
          <cell r="C772">
            <v>1.4136904761904857E-2</v>
          </cell>
          <cell r="J772">
            <v>1.0186876416312949E-3</v>
          </cell>
        </row>
        <row r="773">
          <cell r="C773">
            <v>1.0088041085840006E-3</v>
          </cell>
          <cell r="J773">
            <v>-1.4898828459812142E-3</v>
          </cell>
        </row>
        <row r="774">
          <cell r="C774">
            <v>3.2065964269353577E-3</v>
          </cell>
          <cell r="J774">
            <v>2.3275979603522394E-3</v>
          </cell>
        </row>
        <row r="775">
          <cell r="C775">
            <v>1.3607305936073013E-2</v>
          </cell>
          <cell r="J775">
            <v>8.5272574728579836E-3</v>
          </cell>
        </row>
        <row r="776">
          <cell r="C776">
            <v>-2.6128480043246423E-3</v>
          </cell>
          <cell r="J776">
            <v>-8.6258539103353394E-3</v>
          </cell>
        </row>
        <row r="777">
          <cell r="C777">
            <v>-4.5167118337847479E-4</v>
          </cell>
          <cell r="J777">
            <v>3.032866318792969E-3</v>
          </cell>
        </row>
        <row r="778">
          <cell r="C778">
            <v>-1.4460009037505725E-2</v>
          </cell>
          <cell r="J778">
            <v>-9.446309704321176E-3</v>
          </cell>
        </row>
        <row r="779">
          <cell r="C779">
            <v>-4.5850527281061129E-4</v>
          </cell>
          <cell r="J779">
            <v>1.9194160733624131E-3</v>
          </cell>
        </row>
        <row r="780">
          <cell r="C780">
            <v>4.4954128440366503E-3</v>
          </cell>
          <cell r="J780">
            <v>-1.0255468307540324E-3</v>
          </cell>
        </row>
        <row r="781">
          <cell r="C781">
            <v>4.6579596310165781E-3</v>
          </cell>
          <cell r="J781">
            <v>-5.3343781739222749E-3</v>
          </cell>
        </row>
        <row r="782">
          <cell r="C782">
            <v>9.0909090909085737E-4</v>
          </cell>
          <cell r="J782">
            <v>5.1664682413058681E-3</v>
          </cell>
        </row>
        <row r="783">
          <cell r="C783">
            <v>-9.809264305177097E-3</v>
          </cell>
          <cell r="J783">
            <v>-6.853071435749424E-3</v>
          </cell>
        </row>
        <row r="784">
          <cell r="C784">
            <v>-2.6600623738762801E-3</v>
          </cell>
          <cell r="J784">
            <v>-7.730334403592329E-3</v>
          </cell>
        </row>
        <row r="785">
          <cell r="C785">
            <v>-6.7138784144210794E-3</v>
          </cell>
          <cell r="J785">
            <v>2.6823850788830483E-3</v>
          </cell>
        </row>
        <row r="786">
          <cell r="C786">
            <v>-2.0370370370370396E-2</v>
          </cell>
          <cell r="J786">
            <v>-2.885720666865774E-2</v>
          </cell>
        </row>
        <row r="787">
          <cell r="C787">
            <v>2.2684310018903645E-2</v>
          </cell>
          <cell r="J787">
            <v>3.5073742012127151E-3</v>
          </cell>
        </row>
        <row r="788">
          <cell r="C788">
            <v>1.5619223659889072E-2</v>
          </cell>
          <cell r="J788">
            <v>1.0839564353050186E-2</v>
          </cell>
        </row>
        <row r="789">
          <cell r="C789">
            <v>-8.0990080990081034E-3</v>
          </cell>
          <cell r="J789">
            <v>7.7049531713292091E-3</v>
          </cell>
        </row>
        <row r="790">
          <cell r="C790">
            <v>-8.1651376146789044E-3</v>
          </cell>
          <cell r="J790">
            <v>-6.4606444395737825E-3</v>
          </cell>
        </row>
        <row r="791">
          <cell r="C791">
            <v>-1.0174821940615987E-3</v>
          </cell>
          <cell r="J791">
            <v>2.605914707512705E-4</v>
          </cell>
        </row>
        <row r="792">
          <cell r="C792">
            <v>4.5370370370369896E-3</v>
          </cell>
          <cell r="J792">
            <v>5.7562235939132218E-4</v>
          </cell>
        </row>
        <row r="793">
          <cell r="C793">
            <v>-1.0047008940916114E-2</v>
          </cell>
          <cell r="J793">
            <v>-2.8829204951140591E-2</v>
          </cell>
        </row>
        <row r="794">
          <cell r="C794">
            <v>-6.5176908752328008E-3</v>
          </cell>
          <cell r="J794">
            <v>-8.9819092947808141E-3</v>
          </cell>
        </row>
        <row r="795">
          <cell r="C795">
            <v>9.0909090909090801E-3</v>
          </cell>
          <cell r="J795">
            <v>3.8390003346677423E-3</v>
          </cell>
        </row>
        <row r="796">
          <cell r="C796">
            <v>-1.7646512491873104E-3</v>
          </cell>
          <cell r="J796">
            <v>1.8833741917377512E-2</v>
          </cell>
        </row>
        <row r="797">
          <cell r="C797">
            <v>-2.2329735764794294E-3</v>
          </cell>
          <cell r="J797">
            <v>-4.567239831056156E-3</v>
          </cell>
        </row>
        <row r="798">
          <cell r="C798">
            <v>2.0701230883998497E-2</v>
          </cell>
          <cell r="J798">
            <v>-6.5616987295127847E-3</v>
          </cell>
        </row>
        <row r="799">
          <cell r="C799">
            <v>3.8370180887995773E-3</v>
          </cell>
          <cell r="J799">
            <v>8.1382363365231011E-3</v>
          </cell>
        </row>
        <row r="800">
          <cell r="C800">
            <v>1.0921004732435799E-3</v>
          </cell>
          <cell r="J800">
            <v>5.8524943606813257E-3</v>
          </cell>
        </row>
        <row r="801">
          <cell r="C801">
            <v>-4.0000000000000049E-2</v>
          </cell>
          <cell r="J801">
            <v>-3.8307528545885039E-3</v>
          </cell>
        </row>
        <row r="802">
          <cell r="C802">
            <v>2.0170454545454637E-2</v>
          </cell>
          <cell r="J802">
            <v>-1.7742733334200816E-2</v>
          </cell>
        </row>
        <row r="803">
          <cell r="C803">
            <v>2.9982363315696554E-2</v>
          </cell>
          <cell r="J803">
            <v>4.6537332003717411E-3</v>
          </cell>
        </row>
        <row r="804">
          <cell r="C804">
            <v>-7.6604181687093941E-3</v>
          </cell>
          <cell r="J804">
            <v>-6.1137787408901208E-4</v>
          </cell>
        </row>
        <row r="805">
          <cell r="C805">
            <v>1.0534919625828686E-2</v>
          </cell>
          <cell r="J805">
            <v>7.3780564158839315E-3</v>
          </cell>
        </row>
        <row r="806">
          <cell r="C806">
            <v>2.0670441268985707E-3</v>
          </cell>
          <cell r="J806">
            <v>6.5690084795115415E-4</v>
          </cell>
        </row>
        <row r="807">
          <cell r="C807">
            <v>0</v>
          </cell>
          <cell r="J807">
            <v>8.7809412107237202E-3</v>
          </cell>
        </row>
        <row r="808">
          <cell r="C808">
            <v>9.0582959641256067E-3</v>
          </cell>
          <cell r="J808">
            <v>1.1497816247988997E-2</v>
          </cell>
        </row>
        <row r="809">
          <cell r="C809">
            <v>-2.7553106390543263E-3</v>
          </cell>
          <cell r="J809">
            <v>-2.2759441657834146E-3</v>
          </cell>
        </row>
        <row r="810">
          <cell r="C810">
            <v>1.176470588235288E-2</v>
          </cell>
          <cell r="J810">
            <v>1.3335645894812526E-2</v>
          </cell>
        </row>
        <row r="811">
          <cell r="C811">
            <v>5.9901338971107016E-3</v>
          </cell>
          <cell r="J811">
            <v>4.9696375356313265E-3</v>
          </cell>
        </row>
        <row r="812">
          <cell r="C812">
            <v>0</v>
          </cell>
          <cell r="J812">
            <v>-2.7685749348147843E-2</v>
          </cell>
        </row>
        <row r="813">
          <cell r="C813">
            <v>8.7565674255686793E-4</v>
          </cell>
          <cell r="J813">
            <v>5.9313872430531408E-4</v>
          </cell>
        </row>
        <row r="814">
          <cell r="C814">
            <v>1.7497812773403574E-3</v>
          </cell>
          <cell r="J814">
            <v>4.1663555520750463E-3</v>
          </cell>
        </row>
        <row r="815">
          <cell r="C815">
            <v>8.7336244541479752E-4</v>
          </cell>
          <cell r="J815">
            <v>-7.3512109197004108E-3</v>
          </cell>
        </row>
        <row r="816">
          <cell r="C816">
            <v>6.9808027923212168E-3</v>
          </cell>
          <cell r="J816">
            <v>1.5021640068486346E-2</v>
          </cell>
        </row>
        <row r="817">
          <cell r="C817">
            <v>1.8197573656845704E-2</v>
          </cell>
          <cell r="J817">
            <v>3.8258433311778341E-2</v>
          </cell>
        </row>
        <row r="818">
          <cell r="C818">
            <v>8.9361702127659336E-3</v>
          </cell>
          <cell r="J818">
            <v>5.6842610763993056E-3</v>
          </cell>
        </row>
        <row r="819">
          <cell r="C819">
            <v>-6.7482075073808283E-3</v>
          </cell>
          <cell r="J819">
            <v>-5.20952971582468E-3</v>
          </cell>
        </row>
        <row r="820">
          <cell r="C820">
            <v>2.1231422505307855E-3</v>
          </cell>
          <cell r="J820">
            <v>6.9084056275790428E-3</v>
          </cell>
        </row>
        <row r="821">
          <cell r="C821">
            <v>1.2288135593220364E-2</v>
          </cell>
          <cell r="J821">
            <v>2.5193381956065846E-3</v>
          </cell>
        </row>
        <row r="822">
          <cell r="C822">
            <v>1.2138970280452096E-2</v>
          </cell>
          <cell r="J822">
            <v>-1.3293552101498012E-3</v>
          </cell>
        </row>
        <row r="823">
          <cell r="C823">
            <v>2.2332506203473851E-2</v>
          </cell>
          <cell r="J823">
            <v>-4.4312809803437447E-3</v>
          </cell>
        </row>
        <row r="824">
          <cell r="C824">
            <v>-1.6181229773462785E-2</v>
          </cell>
          <cell r="J824">
            <v>-8.4215778868615854E-3</v>
          </cell>
        </row>
        <row r="825">
          <cell r="C825">
            <v>5.3453947368421522E-3</v>
          </cell>
          <cell r="J825">
            <v>-6.32390109866193E-3</v>
          </cell>
        </row>
        <row r="826">
          <cell r="C826">
            <v>-2.0449897750511249E-3</v>
          </cell>
          <cell r="J826">
            <v>-2.181692967457417E-3</v>
          </cell>
        </row>
        <row r="827">
          <cell r="C827">
            <v>2.9508196721311428E-2</v>
          </cell>
          <cell r="J827">
            <v>1.1420318565048009E-2</v>
          </cell>
        </row>
        <row r="828">
          <cell r="C828">
            <v>9.5541401273885589E-3</v>
          </cell>
          <cell r="J828">
            <v>-5.5472535581926989E-3</v>
          </cell>
        </row>
        <row r="829">
          <cell r="C829">
            <v>-3.4148264984227114E-2</v>
          </cell>
          <cell r="J829">
            <v>-6.206557426425118E-3</v>
          </cell>
        </row>
        <row r="830">
          <cell r="C830">
            <v>-1.2002939495386616E-2</v>
          </cell>
          <cell r="J830">
            <v>-6.234777624288145E-3</v>
          </cell>
        </row>
        <row r="831">
          <cell r="C831">
            <v>1.4049586776859644E-3</v>
          </cell>
          <cell r="J831">
            <v>-9.0299519927443429E-3</v>
          </cell>
        </row>
        <row r="832">
          <cell r="C832">
            <v>2.4758603614757067E-4</v>
          </cell>
          <cell r="J832">
            <v>-3.2284653198726747E-2</v>
          </cell>
        </row>
        <row r="833">
          <cell r="C833">
            <v>-3.0528052805280551E-2</v>
          </cell>
          <cell r="J833">
            <v>2.563077942734754E-3</v>
          </cell>
        </row>
        <row r="834">
          <cell r="C834">
            <v>-1.1914893617021326E-2</v>
          </cell>
          <cell r="J834">
            <v>-1.4738982483594728E-2</v>
          </cell>
        </row>
        <row r="835">
          <cell r="C835">
            <v>-1.1197243755382898E-3</v>
          </cell>
          <cell r="J835">
            <v>8.2331793160327397E-4</v>
          </cell>
        </row>
        <row r="836">
          <cell r="C836">
            <v>-1.120979563680223E-3</v>
          </cell>
          <cell r="J836">
            <v>1.3707258352518105E-2</v>
          </cell>
        </row>
        <row r="837">
          <cell r="C837">
            <v>-8.3736187845303775E-3</v>
          </cell>
          <cell r="J837">
            <v>-1.8836667781189809E-2</v>
          </cell>
        </row>
        <row r="838">
          <cell r="C838">
            <v>5.397405763036392E-3</v>
          </cell>
          <cell r="J838">
            <v>1.3766976693168908E-3</v>
          </cell>
        </row>
        <row r="839">
          <cell r="C839">
            <v>1.2901549917741876E-2</v>
          </cell>
          <cell r="J839">
            <v>7.040667920234155E-3</v>
          </cell>
        </row>
        <row r="840">
          <cell r="C840">
            <v>4.4452043084287568E-3</v>
          </cell>
          <cell r="J840">
            <v>-1.0093690269896468E-3</v>
          </cell>
        </row>
        <row r="841">
          <cell r="C841">
            <v>6.808510638297848E-3</v>
          </cell>
          <cell r="J841">
            <v>2.7277940695779423E-3</v>
          </cell>
        </row>
        <row r="842">
          <cell r="C842">
            <v>-1.5215553677092115E-2</v>
          </cell>
          <cell r="J842">
            <v>-1.5323417021069197E-2</v>
          </cell>
        </row>
        <row r="843">
          <cell r="C843">
            <v>-1.2875536480686695E-2</v>
          </cell>
          <cell r="J843">
            <v>-1.1543994203615678E-2</v>
          </cell>
        </row>
        <row r="844">
          <cell r="C844">
            <v>-2.51304347826087E-2</v>
          </cell>
          <cell r="J844">
            <v>1.4860434914442556E-3</v>
          </cell>
        </row>
        <row r="845">
          <cell r="C845">
            <v>7.9386317010079442E-3</v>
          </cell>
          <cell r="J845">
            <v>1.2592632792115414E-2</v>
          </cell>
        </row>
        <row r="846">
          <cell r="C846">
            <v>1.3716814159292011E-2</v>
          </cell>
          <cell r="J846">
            <v>7.5159179073901348E-3</v>
          </cell>
        </row>
        <row r="847">
          <cell r="C847">
            <v>-4.36490615451743E-4</v>
          </cell>
          <cell r="J847">
            <v>4.1690143473914754E-3</v>
          </cell>
        </row>
        <row r="848">
          <cell r="C848">
            <v>-4.3668122270742356E-3</v>
          </cell>
          <cell r="J848">
            <v>8.8289675637672187E-4</v>
          </cell>
        </row>
        <row r="849">
          <cell r="C849">
            <v>-9.6491228070174945E-4</v>
          </cell>
          <cell r="J849">
            <v>-7.4771102002082392E-3</v>
          </cell>
        </row>
        <row r="850">
          <cell r="C850">
            <v>-1.2204758977961196E-2</v>
          </cell>
          <cell r="J850">
            <v>-1.21182878489214E-2</v>
          </cell>
        </row>
        <row r="851">
          <cell r="C851">
            <v>-2.3288888888888928E-2</v>
          </cell>
          <cell r="J851">
            <v>-2.1853117258879666E-2</v>
          </cell>
        </row>
        <row r="852">
          <cell r="C852">
            <v>-2.5482344375682667E-3</v>
          </cell>
          <cell r="J852">
            <v>6.3495283055403223E-3</v>
          </cell>
        </row>
        <row r="853">
          <cell r="C853">
            <v>2.6459854014599113E-3</v>
          </cell>
          <cell r="J853">
            <v>-2.1165441355963121E-4</v>
          </cell>
        </row>
        <row r="854">
          <cell r="C854">
            <v>-8.0990080990081034E-3</v>
          </cell>
          <cell r="J854">
            <v>-3.6686512666710125E-4</v>
          </cell>
        </row>
        <row r="855">
          <cell r="C855">
            <v>4.0366972477064011E-3</v>
          </cell>
          <cell r="J855">
            <v>4.399184081306828E-3</v>
          </cell>
        </row>
        <row r="856">
          <cell r="C856">
            <v>5.9393274853801687E-3</v>
          </cell>
          <cell r="J856">
            <v>6.6793719372935014E-3</v>
          </cell>
        </row>
        <row r="857">
          <cell r="C857">
            <v>-1.444272867653741E-2</v>
          </cell>
          <cell r="J857">
            <v>-2.7009574975252793E-2</v>
          </cell>
        </row>
        <row r="858">
          <cell r="C858">
            <v>1.8433179723502567E-3</v>
          </cell>
          <cell r="J858">
            <v>4.2747137776410083E-3</v>
          </cell>
        </row>
        <row r="859">
          <cell r="C859">
            <v>3.0266789328426788E-2</v>
          </cell>
          <cell r="J859">
            <v>9.3560587976815445E-3</v>
          </cell>
        </row>
        <row r="860">
          <cell r="C860">
            <v>1.6162157335476404E-2</v>
          </cell>
          <cell r="J860">
            <v>7.0313346504567971E-3</v>
          </cell>
        </row>
        <row r="861">
          <cell r="C861">
            <v>-2.6010544815465674E-2</v>
          </cell>
          <cell r="J861">
            <v>9.8394063190747061E-3</v>
          </cell>
        </row>
        <row r="862">
          <cell r="C862">
            <v>-5.3229880909419292E-3</v>
          </cell>
          <cell r="J862">
            <v>-8.6324973730895881E-3</v>
          </cell>
        </row>
        <row r="863">
          <cell r="C863">
            <v>1.6780045351473871E-2</v>
          </cell>
          <cell r="J863">
            <v>1.7927815749247403E-2</v>
          </cell>
        </row>
        <row r="864">
          <cell r="C864">
            <v>2.5245316681534458E-2</v>
          </cell>
          <cell r="J864">
            <v>-1.5945557947558532E-3</v>
          </cell>
        </row>
        <row r="865">
          <cell r="C865">
            <v>-9.8320716958149278E-3</v>
          </cell>
          <cell r="J865">
            <v>6.0961219686025284E-3</v>
          </cell>
        </row>
        <row r="866">
          <cell r="C866">
            <v>-2.117750439367308E-2</v>
          </cell>
          <cell r="J866">
            <v>-3.8981697437809854E-2</v>
          </cell>
        </row>
        <row r="867">
          <cell r="C867">
            <v>2.7919920998294274E-2</v>
          </cell>
          <cell r="J867">
            <v>2.0139925688989417E-2</v>
          </cell>
        </row>
        <row r="868">
          <cell r="C868">
            <v>-2.480349344978169E-2</v>
          </cell>
          <cell r="J868">
            <v>-2.6970834964039386E-3</v>
          </cell>
        </row>
        <row r="869">
          <cell r="C869">
            <v>-3.2240730789897852E-3</v>
          </cell>
          <cell r="J869">
            <v>-1.120275480167658E-2</v>
          </cell>
        </row>
        <row r="870">
          <cell r="C870">
            <v>-9.883198562443794E-3</v>
          </cell>
          <cell r="J870">
            <v>5.8865220921343261E-3</v>
          </cell>
        </row>
        <row r="871">
          <cell r="C871">
            <v>1.5063520871143344E-2</v>
          </cell>
          <cell r="J871">
            <v>2.1549882368743427E-3</v>
          </cell>
        </row>
        <row r="872">
          <cell r="C872">
            <v>-2.0203826211335645E-2</v>
          </cell>
          <cell r="J872">
            <v>-6.7777474847075803E-3</v>
          </cell>
        </row>
        <row r="873">
          <cell r="C873">
            <v>-6.3868613138685099E-3</v>
          </cell>
          <cell r="J873">
            <v>-5.9402842059108904E-3</v>
          </cell>
        </row>
        <row r="874">
          <cell r="C874">
            <v>5.1423324150595782E-3</v>
          </cell>
          <cell r="J874">
            <v>1.392127061641186E-3</v>
          </cell>
        </row>
        <row r="875">
          <cell r="C875">
            <v>1.8636945002740785E-2</v>
          </cell>
          <cell r="J875">
            <v>4.4757274028852231E-3</v>
          </cell>
        </row>
        <row r="876">
          <cell r="C876">
            <v>-4.4843049327354259E-3</v>
          </cell>
          <cell r="J876">
            <v>1.2547404085863823E-2</v>
          </cell>
        </row>
        <row r="877">
          <cell r="C877">
            <v>0</v>
          </cell>
          <cell r="J877">
            <v>1.1612705036002317E-2</v>
          </cell>
        </row>
        <row r="878">
          <cell r="C878">
            <v>9.0090090090084974E-4</v>
          </cell>
          <cell r="J878">
            <v>-6.4700602683752662E-3</v>
          </cell>
        </row>
        <row r="879">
          <cell r="C879">
            <v>-2.3402340234023353E-2</v>
          </cell>
          <cell r="J879">
            <v>-1.682237704132945E-2</v>
          </cell>
        </row>
        <row r="880">
          <cell r="C880">
            <v>-2.3133640552995438E-2</v>
          </cell>
          <cell r="J880">
            <v>-2.3642937589790556E-2</v>
          </cell>
        </row>
        <row r="881">
          <cell r="C881">
            <v>9.5292008680064651E-3</v>
          </cell>
          <cell r="J881">
            <v>1.7487404389355185E-3</v>
          </cell>
        </row>
        <row r="882">
          <cell r="C882">
            <v>-1.1682242990654205E-2</v>
          </cell>
          <cell r="J882">
            <v>-1.5520382009752844E-2</v>
          </cell>
        </row>
        <row r="883">
          <cell r="C883">
            <v>2.2695035460992422E-3</v>
          </cell>
          <cell r="J883">
            <v>6.1646801860325727E-3</v>
          </cell>
        </row>
        <row r="884">
          <cell r="C884">
            <v>-1.4057929993395555E-2</v>
          </cell>
          <cell r="J884">
            <v>-5.8207513979236652E-3</v>
          </cell>
        </row>
        <row r="885">
          <cell r="C885">
            <v>5.1674641148325958E-3</v>
          </cell>
          <cell r="J885">
            <v>1.2556463931100857E-3</v>
          </cell>
        </row>
        <row r="886">
          <cell r="C886">
            <v>-6.0929169840060983E-3</v>
          </cell>
          <cell r="J886">
            <v>1.9699679526144001E-3</v>
          </cell>
        </row>
        <row r="887">
          <cell r="C887">
            <v>4.7892720306513406E-3</v>
          </cell>
          <cell r="J887">
            <v>7.6052019581393671E-3</v>
          </cell>
        </row>
        <row r="888">
          <cell r="C888">
            <v>-1.3250714966634896E-2</v>
          </cell>
          <cell r="J888">
            <v>-3.1353161534824862E-3</v>
          </cell>
        </row>
        <row r="889">
          <cell r="C889">
            <v>1.3525263259588499E-3</v>
          </cell>
          <cell r="J889">
            <v>-1.8530344435268189E-3</v>
          </cell>
        </row>
        <row r="890">
          <cell r="C890">
            <v>1.4471780028942737E-3</v>
          </cell>
          <cell r="J890">
            <v>2.885769922916418E-3</v>
          </cell>
        </row>
        <row r="891">
          <cell r="C891">
            <v>5.7803468208093307E-3</v>
          </cell>
          <cell r="J891">
            <v>2.1826943483975934E-2</v>
          </cell>
        </row>
        <row r="892">
          <cell r="C892">
            <v>-9.5785440613026813E-3</v>
          </cell>
          <cell r="J892">
            <v>8.6805407599478621E-3</v>
          </cell>
        </row>
        <row r="893">
          <cell r="C893">
            <v>4.9323017408122909E-3</v>
          </cell>
          <cell r="J893">
            <v>1.6194665249821435E-2</v>
          </cell>
        </row>
        <row r="894">
          <cell r="C894">
            <v>5.9667019536137483E-3</v>
          </cell>
          <cell r="J894">
            <v>9.4690167102810269E-3</v>
          </cell>
        </row>
        <row r="895">
          <cell r="C895">
            <v>-2.2003252654740645E-3</v>
          </cell>
          <cell r="J895">
            <v>-5.9188348705783598E-3</v>
          </cell>
        </row>
        <row r="896">
          <cell r="C896">
            <v>1.0546500479386332E-3</v>
          </cell>
          <cell r="J896">
            <v>1.454052036143926E-2</v>
          </cell>
        </row>
        <row r="897">
          <cell r="C897">
            <v>-6.3212335983143051E-3</v>
          </cell>
          <cell r="J897">
            <v>1.7832322271188032E-2</v>
          </cell>
        </row>
        <row r="898">
          <cell r="C898">
            <v>-8.6746987951807769E-3</v>
          </cell>
          <cell r="J898">
            <v>-4.2487910866625123E-3</v>
          </cell>
        </row>
        <row r="899">
          <cell r="C899">
            <v>4.8614487117171971E-4</v>
          </cell>
          <cell r="J899">
            <v>5.5271513713817154E-3</v>
          </cell>
        </row>
        <row r="900">
          <cell r="C900">
            <v>-4.9562682215743932E-3</v>
          </cell>
          <cell r="J900">
            <v>-4.4660110594789901E-3</v>
          </cell>
        </row>
        <row r="901">
          <cell r="C901">
            <v>-3.7112999316339041E-3</v>
          </cell>
          <cell r="J901">
            <v>-4.8491887354391765E-3</v>
          </cell>
        </row>
        <row r="902">
          <cell r="C902">
            <v>1.8625624938731274E-3</v>
          </cell>
          <cell r="J902">
            <v>-1.0260765669108229E-2</v>
          </cell>
        </row>
        <row r="903">
          <cell r="C903">
            <v>2.2504892367906038E-2</v>
          </cell>
          <cell r="J903">
            <v>1.2611770331844588E-2</v>
          </cell>
        </row>
        <row r="904">
          <cell r="C904">
            <v>-6.8899521531100372E-3</v>
          </cell>
          <cell r="J904">
            <v>-6.6433339067363713E-4</v>
          </cell>
        </row>
        <row r="905">
          <cell r="C905">
            <v>-7.7086143765656482E-4</v>
          </cell>
          <cell r="J905">
            <v>-7.0469382852958147E-3</v>
          </cell>
        </row>
        <row r="906">
          <cell r="C906">
            <v>-9.643201542913069E-4</v>
          </cell>
          <cell r="J906">
            <v>-1.0249445942921783E-2</v>
          </cell>
        </row>
        <row r="907">
          <cell r="C907">
            <v>-9.6525096525091041E-4</v>
          </cell>
          <cell r="J907">
            <v>-2.0466520205554002E-3</v>
          </cell>
        </row>
        <row r="908">
          <cell r="C908">
            <v>4.8309178743958608E-4</v>
          </cell>
          <cell r="J908">
            <v>-7.2719632865725367E-3</v>
          </cell>
        </row>
        <row r="909">
          <cell r="C909">
            <v>5.4080154514727407E-3</v>
          </cell>
          <cell r="J909">
            <v>3.694728672066203E-3</v>
          </cell>
        </row>
        <row r="910">
          <cell r="C910">
            <v>-1.0565747766785078E-3</v>
          </cell>
          <cell r="J910">
            <v>2.5720671103382146E-3</v>
          </cell>
        </row>
        <row r="911">
          <cell r="C911">
            <v>-8.942307692307758E-3</v>
          </cell>
          <cell r="J911">
            <v>-3.5555750248233435E-3</v>
          </cell>
        </row>
        <row r="912">
          <cell r="C912">
            <v>-2.522557485204142E-3</v>
          </cell>
          <cell r="J912">
            <v>-1.0631516474820616E-2</v>
          </cell>
        </row>
        <row r="913">
          <cell r="C913">
            <v>-1.2255617157864071E-2</v>
          </cell>
          <cell r="J913">
            <v>2.5322927043635981E-5</v>
          </cell>
        </row>
        <row r="914">
          <cell r="C914">
            <v>2.3633677991138267E-3</v>
          </cell>
          <cell r="J914">
            <v>-2.2529667685609409E-3</v>
          </cell>
        </row>
        <row r="915">
          <cell r="C915">
            <v>2.0630710285882083E-3</v>
          </cell>
          <cell r="J915">
            <v>1.406405441740312E-3</v>
          </cell>
        </row>
        <row r="916">
          <cell r="C916">
            <v>8.8235294117647613E-3</v>
          </cell>
          <cell r="J916">
            <v>2.9496860593921123E-3</v>
          </cell>
        </row>
        <row r="917">
          <cell r="C917">
            <v>-6.8999028182702418E-3</v>
          </cell>
          <cell r="J917">
            <v>-2.0470504546564764E-3</v>
          </cell>
        </row>
        <row r="918">
          <cell r="C918">
            <v>-7.7306977199333793E-3</v>
          </cell>
          <cell r="J918">
            <v>3.3216051964666919E-3</v>
          </cell>
        </row>
        <row r="919">
          <cell r="C919">
            <v>-1.77514792899415E-3</v>
          </cell>
          <cell r="J919">
            <v>-1.5170944546053506E-3</v>
          </cell>
        </row>
        <row r="920">
          <cell r="C920">
            <v>2.2722782058882036E-3</v>
          </cell>
          <cell r="J920">
            <v>-3.9470527893572908E-3</v>
          </cell>
        </row>
        <row r="921">
          <cell r="C921">
            <v>-1.232134056185313E-2</v>
          </cell>
          <cell r="J921">
            <v>-2.2167911636692956E-3</v>
          </cell>
        </row>
        <row r="922">
          <cell r="C922">
            <v>-1.4970059880240088E-3</v>
          </cell>
          <cell r="J922">
            <v>-3.8124266875626707E-3</v>
          </cell>
        </row>
        <row r="923">
          <cell r="C923">
            <v>1.0994502748625631E-3</v>
          </cell>
          <cell r="J923">
            <v>-7.2176238343432267E-3</v>
          </cell>
        </row>
        <row r="924">
          <cell r="C924">
            <v>8.3865814696485966E-3</v>
          </cell>
          <cell r="J924">
            <v>-6.1941863971465387E-3</v>
          </cell>
        </row>
        <row r="925">
          <cell r="C925">
            <v>-3.9603960396040168E-3</v>
          </cell>
          <cell r="J925">
            <v>-9.1857603383144225E-4</v>
          </cell>
        </row>
        <row r="926">
          <cell r="C926">
            <v>-9.940357852882139E-4</v>
          </cell>
          <cell r="J926">
            <v>-7.5190670434262643E-3</v>
          </cell>
        </row>
        <row r="927">
          <cell r="C927">
            <v>1.592039800994991E-3</v>
          </cell>
          <cell r="J927">
            <v>1.3080434591549422E-2</v>
          </cell>
        </row>
        <row r="928">
          <cell r="C928">
            <v>3.3777071329227442E-3</v>
          </cell>
          <cell r="J928">
            <v>8.9107236327000718E-3</v>
          </cell>
        </row>
        <row r="929">
          <cell r="C929">
            <v>-4.8514851485148012E-3</v>
          </cell>
          <cell r="J929">
            <v>-2.001530412062504E-3</v>
          </cell>
        </row>
        <row r="930">
          <cell r="C930">
            <v>7.9594070241765288E-4</v>
          </cell>
          <cell r="J930">
            <v>-1.0166976669314102E-2</v>
          </cell>
        </row>
        <row r="931">
          <cell r="C931">
            <v>7.1577691619445155E-3</v>
          </cell>
          <cell r="J931">
            <v>2.7992976032979503E-3</v>
          </cell>
        </row>
        <row r="932">
          <cell r="C932">
            <v>-7.9952620669233275E-3</v>
          </cell>
          <cell r="J932">
            <v>2.018786408604967E-3</v>
          </cell>
        </row>
        <row r="933">
          <cell r="C933">
            <v>0</v>
          </cell>
          <cell r="J933">
            <v>3.3662770523905398E-3</v>
          </cell>
        </row>
        <row r="934">
          <cell r="C934">
            <v>5.9701492537315699E-4</v>
          </cell>
          <cell r="J934">
            <v>6.3116635062802967E-3</v>
          </cell>
        </row>
        <row r="935">
          <cell r="C935">
            <v>1.6308671439936362E-2</v>
          </cell>
          <cell r="J935">
            <v>1.3197098296573428E-2</v>
          </cell>
        </row>
        <row r="936">
          <cell r="C936">
            <v>-3.4246575342466589E-3</v>
          </cell>
          <cell r="J936">
            <v>-1.7865033608416515E-3</v>
          </cell>
        </row>
        <row r="937">
          <cell r="C937">
            <v>-2.8473244968089551E-3</v>
          </cell>
          <cell r="J937">
            <v>3.0031899537248659E-3</v>
          </cell>
        </row>
        <row r="938">
          <cell r="C938">
            <v>5.3170539582512019E-3</v>
          </cell>
          <cell r="J938">
            <v>-1.3304387131131655E-3</v>
          </cell>
        </row>
        <row r="939">
          <cell r="C939">
            <v>3.9177277179236599E-3</v>
          </cell>
          <cell r="J939">
            <v>-3.5188782099030485E-3</v>
          </cell>
        </row>
        <row r="940">
          <cell r="C940">
            <v>-4.7804878048779992E-3</v>
          </cell>
          <cell r="J940">
            <v>1.8706343731089939E-3</v>
          </cell>
        </row>
        <row r="941">
          <cell r="C941">
            <v>-9.8029604940700439E-4</v>
          </cell>
          <cell r="J941">
            <v>-3.260488355670312E-3</v>
          </cell>
        </row>
        <row r="942">
          <cell r="C942">
            <v>1.766264350897918E-3</v>
          </cell>
          <cell r="J942">
            <v>-4.6020715877803237E-3</v>
          </cell>
        </row>
        <row r="943">
          <cell r="C943">
            <v>6.46488392594766E-3</v>
          </cell>
          <cell r="J943">
            <v>2.0071631367882506E-3</v>
          </cell>
        </row>
        <row r="944">
          <cell r="C944">
            <v>2.3357664233576146E-3</v>
          </cell>
          <cell r="J944">
            <v>9.2446663731624527E-3</v>
          </cell>
        </row>
        <row r="945">
          <cell r="C945">
            <v>1.0680648606660786E-3</v>
          </cell>
          <cell r="J945">
            <v>-2.1079404775014958E-3</v>
          </cell>
        </row>
        <row r="946">
          <cell r="C946">
            <v>-5.2376333656643263E-3</v>
          </cell>
          <cell r="J946">
            <v>1.8140809131349123E-3</v>
          </cell>
        </row>
        <row r="947">
          <cell r="C947">
            <v>8.1903276131045574E-3</v>
          </cell>
          <cell r="J947">
            <v>3.1684191874254385E-3</v>
          </cell>
        </row>
        <row r="948">
          <cell r="C948">
            <v>-4.3520309477756555E-3</v>
          </cell>
          <cell r="J948">
            <v>-3.7124033850621727E-3</v>
          </cell>
        </row>
        <row r="949">
          <cell r="C949">
            <v>-1.5541525012141486E-3</v>
          </cell>
          <cell r="J949">
            <v>-1.5406250103697462E-2</v>
          </cell>
        </row>
        <row r="950">
          <cell r="C950">
            <v>3.5022862146123104E-3</v>
          </cell>
          <cell r="J950">
            <v>1.512276230903052E-3</v>
          </cell>
        </row>
        <row r="951">
          <cell r="C951">
            <v>3.2961706253028518E-3</v>
          </cell>
          <cell r="J951">
            <v>-1.1117507574601183E-2</v>
          </cell>
        </row>
        <row r="952">
          <cell r="C952">
            <v>-1.3527877089573928E-3</v>
          </cell>
          <cell r="J952">
            <v>3.0220953502317978E-3</v>
          </cell>
        </row>
        <row r="953">
          <cell r="C953">
            <v>1.451378809869431E-3</v>
          </cell>
          <cell r="J953">
            <v>1.3183920575136177E-2</v>
          </cell>
        </row>
        <row r="954">
          <cell r="C954">
            <v>4.830917874396135E-3</v>
          </cell>
          <cell r="J954">
            <v>3.2505204061642249E-3</v>
          </cell>
        </row>
        <row r="955">
          <cell r="C955">
            <v>-2.403846153846154E-3</v>
          </cell>
          <cell r="J955">
            <v>3.4836435402039365E-3</v>
          </cell>
        </row>
        <row r="956">
          <cell r="C956">
            <v>-1.667469879518076E-2</v>
          </cell>
          <cell r="J956">
            <v>-5.5689248292557069E-3</v>
          </cell>
        </row>
        <row r="957">
          <cell r="C957">
            <v>-4.1168398353264232E-3</v>
          </cell>
          <cell r="J957">
            <v>4.5644252921483745E-3</v>
          </cell>
        </row>
        <row r="958">
          <cell r="C958">
            <v>3.8385826771653603E-3</v>
          </cell>
          <cell r="J958">
            <v>5.1846299030426646E-3</v>
          </cell>
        </row>
        <row r="959">
          <cell r="C959">
            <v>6.8634179821558383E-4</v>
          </cell>
          <cell r="J959">
            <v>1.5045654408243446E-2</v>
          </cell>
        </row>
        <row r="960">
          <cell r="C960">
            <v>-3.9192631785230504E-4</v>
          </cell>
          <cell r="J960">
            <v>4.4679330005848381E-3</v>
          </cell>
        </row>
        <row r="961">
          <cell r="C961">
            <v>2.9405998823761164E-4</v>
          </cell>
          <cell r="J961">
            <v>-5.6185524546357437E-3</v>
          </cell>
        </row>
        <row r="962">
          <cell r="C962">
            <v>-1.469867711905845E-3</v>
          </cell>
          <cell r="J962">
            <v>-1.259718889925894E-3</v>
          </cell>
        </row>
        <row r="963">
          <cell r="C963">
            <v>2.9440628066731808E-3</v>
          </cell>
          <cell r="J963">
            <v>4.3671438435305748E-3</v>
          </cell>
        </row>
        <row r="964">
          <cell r="C964">
            <v>7.8277886497064297E-3</v>
          </cell>
          <cell r="J964">
            <v>-3.8160932910692724E-3</v>
          </cell>
        </row>
        <row r="965">
          <cell r="C965">
            <v>-2.4271844660194173E-3</v>
          </cell>
          <cell r="J965">
            <v>-2.0896913851842841E-3</v>
          </cell>
        </row>
        <row r="966">
          <cell r="C966">
            <v>-2.4330900243309003E-3</v>
          </cell>
          <cell r="J966">
            <v>7.2431140101259363E-4</v>
          </cell>
        </row>
        <row r="967">
          <cell r="C967">
            <v>1.9512195121951497E-3</v>
          </cell>
          <cell r="J967">
            <v>3.9154663375832221E-3</v>
          </cell>
        </row>
        <row r="968">
          <cell r="C968">
            <v>9.7370983446927277E-4</v>
          </cell>
          <cell r="J968">
            <v>-1.1253564638230846E-3</v>
          </cell>
        </row>
        <row r="969">
          <cell r="C969">
            <v>-2.9182879377431629E-3</v>
          </cell>
          <cell r="J969">
            <v>5.4430576644627301E-4</v>
          </cell>
        </row>
        <row r="970">
          <cell r="C970">
            <v>4.6829268292683315E-3</v>
          </cell>
          <cell r="J970">
            <v>7.7102997064356401E-4</v>
          </cell>
        </row>
        <row r="971">
          <cell r="C971">
            <v>-3.6900369003690973E-3</v>
          </cell>
          <cell r="J971">
            <v>-2.0155004817553796E-2</v>
          </cell>
        </row>
        <row r="972">
          <cell r="C972">
            <v>7.3099415204678367E-3</v>
          </cell>
          <cell r="J972">
            <v>7.1842256510013715E-3</v>
          </cell>
        </row>
        <row r="973">
          <cell r="C973">
            <v>-8.8050314465408473E-3</v>
          </cell>
          <cell r="J973">
            <v>-5.8904614879218709E-4</v>
          </cell>
        </row>
        <row r="974">
          <cell r="C974">
            <v>2.0499804763764932E-3</v>
          </cell>
          <cell r="J974">
            <v>1.0600106780313653E-3</v>
          </cell>
        </row>
        <row r="975">
          <cell r="C975">
            <v>-1.9483682415986586E-4</v>
          </cell>
          <cell r="J975">
            <v>-5.7419152738436979E-3</v>
          </cell>
        </row>
        <row r="976">
          <cell r="C976">
            <v>-7.1129299425118364E-3</v>
          </cell>
          <cell r="J976">
            <v>-1.2750384933843581E-2</v>
          </cell>
        </row>
        <row r="977">
          <cell r="C977">
            <v>-3.9254170755643339E-3</v>
          </cell>
          <cell r="J977">
            <v>-1.7477849895235257E-3</v>
          </cell>
        </row>
        <row r="978">
          <cell r="C978">
            <v>4.9261083743842365E-3</v>
          </cell>
          <cell r="J978">
            <v>6.7248532376310254E-3</v>
          </cell>
        </row>
        <row r="979">
          <cell r="C979">
            <v>4.9019607843137254E-3</v>
          </cell>
          <cell r="J979">
            <v>-4.0096328751635978E-3</v>
          </cell>
        </row>
        <row r="980">
          <cell r="C980">
            <v>0</v>
          </cell>
          <cell r="J980">
            <v>1.1204848984228521E-3</v>
          </cell>
        </row>
        <row r="981">
          <cell r="C981">
            <v>-2.9268292682926552E-3</v>
          </cell>
          <cell r="J981">
            <v>-3.7826500277708319E-3</v>
          </cell>
        </row>
        <row r="982">
          <cell r="C982">
            <v>1.956947162426225E-4</v>
          </cell>
          <cell r="J982">
            <v>4.1826600755165734E-3</v>
          </cell>
        </row>
        <row r="983">
          <cell r="C983">
            <v>-2.1522207004499986E-3</v>
          </cell>
          <cell r="J983">
            <v>5.5904090443803945E-4</v>
          </cell>
        </row>
        <row r="984">
          <cell r="C984">
            <v>-5.7843137254902297E-3</v>
          </cell>
          <cell r="J984">
            <v>-1.3365879511098154E-2</v>
          </cell>
        </row>
        <row r="985">
          <cell r="C985">
            <v>8.283206784340828E-3</v>
          </cell>
          <cell r="J985">
            <v>2.9558210149840882E-3</v>
          </cell>
        </row>
        <row r="986">
          <cell r="C986">
            <v>-3.9119804400978555E-3</v>
          </cell>
          <cell r="J986">
            <v>-8.0060085013903496E-3</v>
          </cell>
        </row>
        <row r="987">
          <cell r="C987">
            <v>1.4727540500736936E-3</v>
          </cell>
          <cell r="J987">
            <v>-2.7784896665480521E-2</v>
          </cell>
        </row>
        <row r="988">
          <cell r="C988">
            <v>-1.3235294117647003E-2</v>
          </cell>
          <cell r="J988">
            <v>-1.2290481755453097E-2</v>
          </cell>
        </row>
        <row r="989">
          <cell r="C989">
            <v>1.341281669150516E-2</v>
          </cell>
          <cell r="J989">
            <v>1.2592872562234302E-2</v>
          </cell>
        </row>
        <row r="990">
          <cell r="C990">
            <v>-1.8235294117647054E-2</v>
          </cell>
          <cell r="J990">
            <v>-4.245408881346298E-3</v>
          </cell>
        </row>
        <row r="991">
          <cell r="C991">
            <v>1.5977631316157039E-3</v>
          </cell>
          <cell r="J991">
            <v>1.2250310064231355E-2</v>
          </cell>
        </row>
        <row r="992">
          <cell r="C992">
            <v>-5.9820538384844895E-3</v>
          </cell>
          <cell r="J992">
            <v>-8.7722225487334628E-3</v>
          </cell>
        </row>
        <row r="993">
          <cell r="C993">
            <v>-7.0210631895687341E-3</v>
          </cell>
          <cell r="J993">
            <v>-1.3151802217476138E-2</v>
          </cell>
        </row>
        <row r="994">
          <cell r="C994">
            <v>-5.5555555555555271E-3</v>
          </cell>
          <cell r="J994">
            <v>1.1912596491344152E-2</v>
          </cell>
        </row>
        <row r="995">
          <cell r="C995">
            <v>2.6409344845098109E-3</v>
          </cell>
          <cell r="J995">
            <v>1.6934462297486463E-2</v>
          </cell>
        </row>
        <row r="996">
          <cell r="C996">
            <v>1.3575119035558744E-2</v>
          </cell>
          <cell r="J996">
            <v>9.783414088660675E-3</v>
          </cell>
        </row>
        <row r="997">
          <cell r="C997">
            <v>4.4977511244378094E-3</v>
          </cell>
          <cell r="J997">
            <v>-4.5389174316872111E-3</v>
          </cell>
        </row>
        <row r="998">
          <cell r="C998">
            <v>5.970149253731287E-3</v>
          </cell>
          <cell r="J998">
            <v>-2.248057131268336E-3</v>
          </cell>
        </row>
        <row r="999">
          <cell r="C999">
            <v>4.4510385756676846E-3</v>
          </cell>
          <cell r="J999">
            <v>4.3769872691436472E-3</v>
          </cell>
        </row>
        <row r="1000">
          <cell r="C1000">
            <v>8.0748399803053407E-3</v>
          </cell>
          <cell r="J1000">
            <v>7.1415344155744999E-3</v>
          </cell>
        </row>
        <row r="1001">
          <cell r="C1001">
            <v>-7.6194197518804447E-3</v>
          </cell>
          <cell r="J1001">
            <v>-1.2260190326066896E-2</v>
          </cell>
        </row>
        <row r="1002">
          <cell r="C1002">
            <v>-5.7092233487547814E-3</v>
          </cell>
          <cell r="J1002">
            <v>7.3260525429603325E-3</v>
          </cell>
        </row>
        <row r="1003">
          <cell r="C1003">
            <v>7.425007425007425E-3</v>
          </cell>
          <cell r="J1003">
            <v>-1.0612354937931917E-3</v>
          </cell>
        </row>
        <row r="1004">
          <cell r="C1004">
            <v>-2.5550314465409307E-3</v>
          </cell>
          <cell r="J1004">
            <v>1.1210014181196012E-3</v>
          </cell>
        </row>
        <row r="1005">
          <cell r="C1005">
            <v>-4.9261083743842365E-3</v>
          </cell>
          <cell r="J1005">
            <v>-1.1774367590933177E-2</v>
          </cell>
        </row>
        <row r="1006">
          <cell r="C1006">
            <v>-9.9009900990149662E-5</v>
          </cell>
          <cell r="J1006">
            <v>-1.4946637750490028E-2</v>
          </cell>
        </row>
        <row r="1007">
          <cell r="C1007">
            <v>-7.3274581641746203E-3</v>
          </cell>
          <cell r="J1007">
            <v>-3.4705789795006409E-2</v>
          </cell>
        </row>
        <row r="1008">
          <cell r="C1008">
            <v>4.4887780548628709E-3</v>
          </cell>
          <cell r="J1008">
            <v>1.1707202062687503E-2</v>
          </cell>
        </row>
        <row r="1009">
          <cell r="C1009">
            <v>2.979145978152901E-3</v>
          </cell>
          <cell r="J1009">
            <v>1.0437963975749389E-3</v>
          </cell>
        </row>
        <row r="1010">
          <cell r="C1010">
            <v>-9.9009900990149662E-5</v>
          </cell>
          <cell r="J1010">
            <v>-1.0908647034192235E-2</v>
          </cell>
        </row>
        <row r="1011">
          <cell r="C1011">
            <v>-9.8029507872066032E-3</v>
          </cell>
          <cell r="J1011">
            <v>9.2715107641675777E-4</v>
          </cell>
        </row>
        <row r="1012">
          <cell r="C1012">
            <v>4.0000000000000565E-3</v>
          </cell>
          <cell r="J1012">
            <v>1.5920989689048422E-2</v>
          </cell>
        </row>
        <row r="1013">
          <cell r="C1013">
            <v>5.9760956175298231E-3</v>
          </cell>
          <cell r="J1013">
            <v>1.8672074334955376E-2</v>
          </cell>
        </row>
        <row r="1014">
          <cell r="C1014">
            <v>4.9306930693069344E-2</v>
          </cell>
          <cell r="J1014">
            <v>2.668424452493276E-2</v>
          </cell>
        </row>
        <row r="1015">
          <cell r="C1015">
            <v>-4.3404415927534249E-3</v>
          </cell>
          <cell r="J1015">
            <v>-9.6948259742014806E-3</v>
          </cell>
        </row>
        <row r="1016">
          <cell r="C1016">
            <v>-3.3263836239575351E-2</v>
          </cell>
          <cell r="J1016">
            <v>-1.4320207918165771E-2</v>
          </cell>
        </row>
        <row r="1017">
          <cell r="C1017">
            <v>1.5586707185569936E-2</v>
          </cell>
          <cell r="J1017">
            <v>2.0109467293116093E-2</v>
          </cell>
        </row>
        <row r="1018">
          <cell r="C1018">
            <v>-5.694980694980591E-3</v>
          </cell>
          <cell r="J1018">
            <v>-1.3060241840666855E-3</v>
          </cell>
        </row>
        <row r="1019">
          <cell r="C1019">
            <v>-4.9509756334336968E-3</v>
          </cell>
          <cell r="J1019">
            <v>2.7959174730440199E-3</v>
          </cell>
        </row>
        <row r="1020">
          <cell r="C1020">
            <v>-1.0731707317073115E-3</v>
          </cell>
          <cell r="J1020">
            <v>-6.4406430970470885E-3</v>
          </cell>
        </row>
        <row r="1021">
          <cell r="C1021">
            <v>1.8263502295146054E-2</v>
          </cell>
          <cell r="J1021">
            <v>1.7780809840884058E-2</v>
          </cell>
        </row>
        <row r="1022">
          <cell r="C1022">
            <v>-4.9875311720699233E-3</v>
          </cell>
          <cell r="J1022">
            <v>8.0598153421265317E-3</v>
          </cell>
        </row>
        <row r="1023">
          <cell r="C1023">
            <v>-6.5548486601117468E-3</v>
          </cell>
          <cell r="J1023">
            <v>4.8301220824434037E-3</v>
          </cell>
        </row>
        <row r="1024">
          <cell r="C1024">
            <v>1.979429458567817E-2</v>
          </cell>
          <cell r="J1024">
            <v>1.7814258309261987E-2</v>
          </cell>
        </row>
        <row r="1025">
          <cell r="C1025">
            <v>-2.4738344433872451E-2</v>
          </cell>
          <cell r="J1025">
            <v>-1.7067770216539584E-2</v>
          </cell>
        </row>
        <row r="1026">
          <cell r="C1026">
            <v>-4.3902439024390517E-3</v>
          </cell>
          <cell r="J1026">
            <v>-5.9484765623319725E-4</v>
          </cell>
        </row>
        <row r="1027">
          <cell r="C1027">
            <v>-7.8392944634982573E-3</v>
          </cell>
          <cell r="J1027">
            <v>-1.3586563734884588E-2</v>
          </cell>
        </row>
        <row r="1028">
          <cell r="C1028">
            <v>5.827160493827194E-3</v>
          </cell>
          <cell r="J1028">
            <v>4.2937864640136278E-3</v>
          </cell>
        </row>
        <row r="1029">
          <cell r="C1029">
            <v>1.5710919088766358E-3</v>
          </cell>
          <cell r="J1029">
            <v>-6.005780745447502E-3</v>
          </cell>
        </row>
        <row r="1030">
          <cell r="C1030">
            <v>7.3529411764705881E-3</v>
          </cell>
          <cell r="J1030">
            <v>9.7276809242755361E-4</v>
          </cell>
        </row>
        <row r="1031">
          <cell r="C1031">
            <v>-6.3260340632603955E-3</v>
          </cell>
          <cell r="J1031">
            <v>-1.0821620672488715E-2</v>
          </cell>
        </row>
        <row r="1032">
          <cell r="C1032">
            <v>-9.7943192948084538E-4</v>
          </cell>
          <cell r="J1032">
            <v>6.7906388511084102E-3</v>
          </cell>
        </row>
        <row r="1033">
          <cell r="C1033">
            <v>6.6666666666667339E-3</v>
          </cell>
          <cell r="J1033">
            <v>5.3177252951416183E-3</v>
          </cell>
        </row>
        <row r="1034">
          <cell r="C1034">
            <v>-7.5964160498636643E-3</v>
          </cell>
          <cell r="J1034">
            <v>-7.993907830429671E-3</v>
          </cell>
        </row>
        <row r="1035">
          <cell r="C1035">
            <v>9.8135426889101388E-4</v>
          </cell>
          <cell r="J1035">
            <v>-3.201634927425119E-3</v>
          </cell>
        </row>
        <row r="1036">
          <cell r="C1036">
            <v>4.9019607843134468E-4</v>
          </cell>
          <cell r="J1036">
            <v>1.8760550813897729E-3</v>
          </cell>
        </row>
        <row r="1037">
          <cell r="C1037">
            <v>-2.9397354238118291E-3</v>
          </cell>
          <cell r="J1037">
            <v>-6.7124148535225537E-3</v>
          </cell>
        </row>
        <row r="1038">
          <cell r="C1038">
            <v>0</v>
          </cell>
          <cell r="J1038">
            <v>-2.4092596537628715E-3</v>
          </cell>
        </row>
        <row r="1039">
          <cell r="C1039">
            <v>-2.2604422604422998E-3</v>
          </cell>
          <cell r="J1039">
            <v>6.3868425747604183E-3</v>
          </cell>
        </row>
        <row r="1040">
          <cell r="C1040">
            <v>7.6832151300236518E-3</v>
          </cell>
          <cell r="J1040">
            <v>1.6378303100400154E-2</v>
          </cell>
        </row>
        <row r="1041">
          <cell r="C1041">
            <v>-3.9100684261973752E-3</v>
          </cell>
          <cell r="J1041">
            <v>2.3545491932167729E-3</v>
          </cell>
        </row>
        <row r="1042">
          <cell r="C1042">
            <v>9.8135426889101388E-4</v>
          </cell>
          <cell r="J1042">
            <v>-2.4047691853590829E-3</v>
          </cell>
        </row>
        <row r="1043">
          <cell r="C1043">
            <v>2.9411764705882075E-3</v>
          </cell>
          <cell r="J1043">
            <v>5.8643236467959383E-4</v>
          </cell>
        </row>
        <row r="1044">
          <cell r="C1044">
            <v>-2.9325513196480661E-3</v>
          </cell>
          <cell r="J1044">
            <v>5.4791069304742793E-3</v>
          </cell>
        </row>
        <row r="1045">
          <cell r="C1045">
            <v>5.7843137254902297E-3</v>
          </cell>
          <cell r="J1045">
            <v>5.009674035734578E-3</v>
          </cell>
        </row>
        <row r="1046">
          <cell r="C1046">
            <v>3.9964908860512386E-3</v>
          </cell>
          <cell r="J1046">
            <v>1.5069195554275284E-3</v>
          </cell>
        </row>
        <row r="1047">
          <cell r="C1047">
            <v>-1.9417475728155617E-3</v>
          </cell>
          <cell r="J1047">
            <v>-9.6567228542038534E-4</v>
          </cell>
        </row>
        <row r="1048">
          <cell r="C1048">
            <v>6.8093385214008061E-3</v>
          </cell>
          <cell r="J1048">
            <v>1.3776881479361242E-3</v>
          </cell>
        </row>
        <row r="1049">
          <cell r="C1049">
            <v>-4.8309178743958608E-4</v>
          </cell>
          <cell r="J1049">
            <v>-4.2974119526084506E-3</v>
          </cell>
        </row>
        <row r="1050">
          <cell r="C1050">
            <v>-2.2619623006283261E-2</v>
          </cell>
          <cell r="J1050">
            <v>-8.7336118860010959E-3</v>
          </cell>
        </row>
        <row r="1051">
          <cell r="C1051">
            <v>-8.901196716447771E-4</v>
          </cell>
          <cell r="J1051">
            <v>-9.9564601457296717E-3</v>
          </cell>
        </row>
        <row r="1052">
          <cell r="C1052">
            <v>3.7616313601268035E-3</v>
          </cell>
          <cell r="J1052">
            <v>-9.8904039620254175E-4</v>
          </cell>
        </row>
        <row r="1053">
          <cell r="C1053">
            <v>-4.9309664694280079E-3</v>
          </cell>
          <cell r="J1053">
            <v>-1.2277514691283782E-2</v>
          </cell>
        </row>
        <row r="1054">
          <cell r="C1054">
            <v>-3.3696729435084297E-2</v>
          </cell>
          <cell r="J1054">
            <v>-1.0750171512354974E-2</v>
          </cell>
        </row>
        <row r="1055">
          <cell r="C1055">
            <v>1.5384615384615385E-2</v>
          </cell>
          <cell r="J1055">
            <v>1.4601153421018628E-3</v>
          </cell>
        </row>
        <row r="1056">
          <cell r="C1056">
            <v>9.4949494949494728E-3</v>
          </cell>
          <cell r="J1056">
            <v>2.0499810376754012E-3</v>
          </cell>
        </row>
        <row r="1057">
          <cell r="C1057">
            <v>-9.4056433860315956E-3</v>
          </cell>
          <cell r="J1057">
            <v>-5.0515974978526269E-3</v>
          </cell>
        </row>
        <row r="1058">
          <cell r="C1058">
            <v>1.0101010101009526E-3</v>
          </cell>
          <cell r="J1058">
            <v>-7.9087479930363077E-4</v>
          </cell>
        </row>
        <row r="1059">
          <cell r="C1059">
            <v>7.8708375378405762E-3</v>
          </cell>
          <cell r="J1059">
            <v>3.8265072455949422E-3</v>
          </cell>
        </row>
        <row r="1060">
          <cell r="C1060">
            <v>-9.8117741289546444E-3</v>
          </cell>
          <cell r="J1060">
            <v>-2.7731924562565398E-3</v>
          </cell>
        </row>
        <row r="1061">
          <cell r="C1061">
            <v>-3.0333670374116414E-3</v>
          </cell>
          <cell r="J1061">
            <v>-5.0799826522503044E-3</v>
          </cell>
        </row>
        <row r="1062">
          <cell r="C1062">
            <v>1.5212981744422483E-3</v>
          </cell>
          <cell r="J1062">
            <v>7.5313841267952021E-4</v>
          </cell>
        </row>
        <row r="1063">
          <cell r="C1063">
            <v>9.5189873417721293E-3</v>
          </cell>
          <cell r="J1063">
            <v>1.5956331207047786E-2</v>
          </cell>
        </row>
        <row r="1064">
          <cell r="C1064">
            <v>-2.006219279767307E-3</v>
          </cell>
          <cell r="J1064">
            <v>-7.4655106739900398E-3</v>
          </cell>
        </row>
        <row r="1065">
          <cell r="C1065">
            <v>-1.1961001105638736E-2</v>
          </cell>
          <cell r="J1065">
            <v>-5.337125293229778E-3</v>
          </cell>
        </row>
        <row r="1066">
          <cell r="C1066">
            <v>1.0172939979654987E-3</v>
          </cell>
          <cell r="J1066">
            <v>-7.8296210202361005E-4</v>
          </cell>
        </row>
        <row r="1067">
          <cell r="C1067">
            <v>7.621951219512195E-3</v>
          </cell>
          <cell r="J1067">
            <v>8.0729139842999429E-3</v>
          </cell>
        </row>
        <row r="1068">
          <cell r="C1068">
            <v>1.5128593040846341E-3</v>
          </cell>
          <cell r="J1068">
            <v>1.9810073505864135E-3</v>
          </cell>
        </row>
        <row r="1069">
          <cell r="C1069">
            <v>1.3091641490433003E-2</v>
          </cell>
          <cell r="J1069">
            <v>1.0227446267355846E-3</v>
          </cell>
        </row>
        <row r="1070">
          <cell r="C1070">
            <v>-5.9642147117295657E-3</v>
          </cell>
          <cell r="J1070">
            <v>5.0038934907890341E-3</v>
          </cell>
        </row>
        <row r="1071">
          <cell r="C1071">
            <v>3.4000000000000341E-3</v>
          </cell>
          <cell r="J1071">
            <v>1.2680462964220424E-3</v>
          </cell>
        </row>
        <row r="1072">
          <cell r="C1072">
            <v>9.0691648395455106E-3</v>
          </cell>
          <cell r="J1072">
            <v>1.255526633273538E-2</v>
          </cell>
        </row>
        <row r="1073">
          <cell r="C1073">
            <v>5.6296296296295626E-3</v>
          </cell>
          <cell r="J1073">
            <v>2.2376219950244135E-3</v>
          </cell>
        </row>
        <row r="1074">
          <cell r="C1074">
            <v>7.6605774896876958E-3</v>
          </cell>
          <cell r="J1074">
            <v>8.8645674724656971E-3</v>
          </cell>
        </row>
        <row r="1075">
          <cell r="C1075">
            <v>3.8986354775829017E-3</v>
          </cell>
          <cell r="J1075">
            <v>2.8202839529604187E-3</v>
          </cell>
        </row>
        <row r="1076">
          <cell r="C1076">
            <v>4.66019417475732E-3</v>
          </cell>
          <cell r="J1076">
            <v>8.3401373468796544E-3</v>
          </cell>
        </row>
        <row r="1077">
          <cell r="C1077">
            <v>-2.2226517201391956E-3</v>
          </cell>
          <cell r="J1077">
            <v>3.8230150802668807E-3</v>
          </cell>
        </row>
        <row r="1078">
          <cell r="C1078">
            <v>-3.3898305084745211E-3</v>
          </cell>
          <cell r="J1078">
            <v>1.3946991453375396E-4</v>
          </cell>
        </row>
        <row r="1079">
          <cell r="C1079">
            <v>5.7337220602525669E-3</v>
          </cell>
          <cell r="J1079">
            <v>3.520233383538675E-3</v>
          </cell>
        </row>
        <row r="1080">
          <cell r="C1080">
            <v>-3.3723065030437677E-2</v>
          </cell>
          <cell r="J1080">
            <v>-9.7649305264574538E-3</v>
          </cell>
        </row>
        <row r="1081">
          <cell r="C1081">
            <v>-4.5000000000000283E-3</v>
          </cell>
          <cell r="J1081">
            <v>-1.0893749840124761E-2</v>
          </cell>
        </row>
        <row r="1082">
          <cell r="C1082">
            <v>-7.0316423907577279E-4</v>
          </cell>
          <cell r="J1082">
            <v>-7.2234101717971004E-3</v>
          </cell>
        </row>
        <row r="1083">
          <cell r="C1083">
            <v>5.0261359067146319E-4</v>
          </cell>
          <cell r="J1083">
            <v>6.102989778441612E-3</v>
          </cell>
        </row>
        <row r="1084">
          <cell r="C1084">
            <v>7.2339997990555497E-3</v>
          </cell>
          <cell r="J1084">
            <v>3.9188755259146535E-3</v>
          </cell>
        </row>
        <row r="1085">
          <cell r="C1085">
            <v>1.2468827930174564E-2</v>
          </cell>
          <cell r="J1085">
            <v>5.5120110645161821E-3</v>
          </cell>
        </row>
        <row r="1086">
          <cell r="C1086">
            <v>5.4187192118226321E-3</v>
          </cell>
          <cell r="J1086">
            <v>6.3253513138520883E-3</v>
          </cell>
        </row>
        <row r="1087">
          <cell r="C1087">
            <v>1.0485056344929029E-2</v>
          </cell>
          <cell r="J1087">
            <v>-3.44353388138621E-3</v>
          </cell>
        </row>
        <row r="1088">
          <cell r="C1088">
            <v>-3.3941039565555521E-3</v>
          </cell>
          <cell r="J1088">
            <v>-8.685671068901479E-3</v>
          </cell>
        </row>
        <row r="1089">
          <cell r="C1089">
            <v>2.1407025396516384E-3</v>
          </cell>
          <cell r="J1089">
            <v>3.440135801814361E-3</v>
          </cell>
        </row>
        <row r="1090">
          <cell r="C1090">
            <v>-9.6125837459947079E-3</v>
          </cell>
          <cell r="J1090">
            <v>-9.8851684506043782E-3</v>
          </cell>
        </row>
        <row r="1091">
          <cell r="C1091">
            <v>4.9019607843134468E-4</v>
          </cell>
          <cell r="J1091">
            <v>-2.1083160411130759E-3</v>
          </cell>
        </row>
        <row r="1092">
          <cell r="C1092">
            <v>-2.4497795198432141E-3</v>
          </cell>
          <cell r="J1092">
            <v>-4.4142722786362065E-4</v>
          </cell>
        </row>
        <row r="1093">
          <cell r="C1093">
            <v>1.9646365422397137E-3</v>
          </cell>
          <cell r="J1093">
            <v>-6.8567012697307267E-4</v>
          </cell>
        </row>
        <row r="1094">
          <cell r="C1094">
            <v>-2.5490196078431873E-3</v>
          </cell>
          <cell r="J1094">
            <v>-1.648393121063259E-3</v>
          </cell>
        </row>
        <row r="1095">
          <cell r="C1095">
            <v>3.4401415372519025E-3</v>
          </cell>
          <cell r="J1095">
            <v>8.4787306170828556E-3</v>
          </cell>
        </row>
        <row r="1096">
          <cell r="C1096">
            <v>9.7952786756783233E-3</v>
          </cell>
          <cell r="J1096">
            <v>7.6323601429253403E-3</v>
          </cell>
        </row>
        <row r="1097">
          <cell r="C1097">
            <v>-1.8818508099718669E-2</v>
          </cell>
          <cell r="J1097">
            <v>-7.8728743083364156E-3</v>
          </cell>
        </row>
        <row r="1098">
          <cell r="C1098">
            <v>1.2852199703410326E-3</v>
          </cell>
          <cell r="J1098">
            <v>-1.5506381323446314E-3</v>
          </cell>
        </row>
        <row r="1099">
          <cell r="C1099">
            <v>2.6658767772511456E-3</v>
          </cell>
          <cell r="J1099">
            <v>1.9993351701760053E-3</v>
          </cell>
        </row>
        <row r="1100">
          <cell r="C1100">
            <v>-2.2648941408173707E-3</v>
          </cell>
          <cell r="J1100">
            <v>6.8258139521388036E-3</v>
          </cell>
        </row>
        <row r="1101">
          <cell r="C1101">
            <v>4.2439794709830921E-3</v>
          </cell>
          <cell r="J1101">
            <v>6.5888493181675374E-3</v>
          </cell>
        </row>
        <row r="1102">
          <cell r="C1102">
            <v>-2.5552825552826054E-3</v>
          </cell>
          <cell r="J1102">
            <v>4.9230689945430565E-3</v>
          </cell>
        </row>
        <row r="1103">
          <cell r="C1103">
            <v>-2.8574243767858121E-3</v>
          </cell>
          <cell r="J1103">
            <v>-1.0711261984433744E-2</v>
          </cell>
        </row>
        <row r="1104">
          <cell r="C1104">
            <v>-3.3596837944664367E-3</v>
          </cell>
          <cell r="J1104">
            <v>5.6827686043534262E-3</v>
          </cell>
        </row>
        <row r="1105">
          <cell r="C1105">
            <v>-3.9658933174703802E-4</v>
          </cell>
          <cell r="J1105">
            <v>-3.162640323819214E-3</v>
          </cell>
        </row>
        <row r="1106">
          <cell r="C1106">
            <v>-4.1658401110889458E-3</v>
          </cell>
          <cell r="J1106">
            <v>-5.6537425611642503E-3</v>
          </cell>
        </row>
        <row r="1107">
          <cell r="C1107">
            <v>9.9601593625492347E-4</v>
          </cell>
          <cell r="J1107">
            <v>1.7093539701289834E-5</v>
          </cell>
        </row>
        <row r="1108">
          <cell r="C1108">
            <v>-1.5920398009950192E-2</v>
          </cell>
          <cell r="J1108">
            <v>-3.1868072871163045E-3</v>
          </cell>
        </row>
        <row r="1109">
          <cell r="C1109">
            <v>-4.0444893832154265E-3</v>
          </cell>
          <cell r="J1109">
            <v>-1.6657609680107515E-3</v>
          </cell>
        </row>
        <row r="1110">
          <cell r="C1110">
            <v>-8.1218274111674836E-3</v>
          </cell>
          <cell r="J1110">
            <v>-1.6573635320510025E-2</v>
          </cell>
        </row>
        <row r="1111">
          <cell r="C1111">
            <v>-1.5353121801433538E-3</v>
          </cell>
          <cell r="J1111">
            <v>-7.3061921823593299E-5</v>
          </cell>
        </row>
        <row r="1112">
          <cell r="C1112">
            <v>-8.200922603792897E-3</v>
          </cell>
          <cell r="J1112">
            <v>-1.0276651836719056E-2</v>
          </cell>
        </row>
        <row r="1113">
          <cell r="C1113">
            <v>-5.1679586563304551E-4</v>
          </cell>
          <cell r="J1113">
            <v>-1.1911579885141132E-3</v>
          </cell>
        </row>
        <row r="1114">
          <cell r="C1114">
            <v>3.1023784901757718E-3</v>
          </cell>
          <cell r="J1114">
            <v>-2.276650347520072E-3</v>
          </cell>
        </row>
        <row r="1115">
          <cell r="C1115">
            <v>2.1649484536082415E-2</v>
          </cell>
          <cell r="J1115">
            <v>3.2332211534144346E-2</v>
          </cell>
        </row>
        <row r="1116">
          <cell r="C1116">
            <v>-7.0635721493439822E-3</v>
          </cell>
          <cell r="J1116">
            <v>1.597378086659527E-3</v>
          </cell>
        </row>
        <row r="1117">
          <cell r="C1117">
            <v>3.1504065040650349E-2</v>
          </cell>
          <cell r="J1117">
            <v>5.9118252426622372E-2</v>
          </cell>
        </row>
        <row r="1118">
          <cell r="C1118">
            <v>-1.9211822660098549E-2</v>
          </cell>
          <cell r="J1118">
            <v>-9.1200454453413734E-3</v>
          </cell>
        </row>
        <row r="1119">
          <cell r="C1119">
            <v>5.0226017076842949E-4</v>
          </cell>
          <cell r="J1119">
            <v>1.17049694859349E-3</v>
          </cell>
        </row>
        <row r="1120">
          <cell r="C1120">
            <v>-1.004016064256971E-3</v>
          </cell>
          <cell r="J1120">
            <v>1.5105681913935968E-2</v>
          </cell>
        </row>
        <row r="1121">
          <cell r="C1121">
            <v>2.0100502512563098E-3</v>
          </cell>
          <cell r="J1121">
            <v>1.6556695826354887E-3</v>
          </cell>
        </row>
        <row r="1122">
          <cell r="C1122">
            <v>-1.0030090270813292E-3</v>
          </cell>
          <cell r="J1122">
            <v>6.2526927902320124E-3</v>
          </cell>
        </row>
        <row r="1123">
          <cell r="C1123">
            <v>2.4096385542169588E-3</v>
          </cell>
          <cell r="J1123">
            <v>1.3855134283115085E-2</v>
          </cell>
        </row>
        <row r="1124">
          <cell r="C1124">
            <v>-3.4054487179487518E-3</v>
          </cell>
          <cell r="J1124">
            <v>8.895680603675498E-3</v>
          </cell>
        </row>
        <row r="1125">
          <cell r="C1125">
            <v>0</v>
          </cell>
          <cell r="J1125">
            <v>-6.2440312471410998E-3</v>
          </cell>
        </row>
        <row r="1126">
          <cell r="C1126">
            <v>4.7236180904522496E-3</v>
          </cell>
          <cell r="J1126">
            <v>-4.9579967732619303E-3</v>
          </cell>
        </row>
        <row r="1127">
          <cell r="C1127">
            <v>-4.7014104231269263E-3</v>
          </cell>
          <cell r="J1127">
            <v>-5.455722562641808E-4</v>
          </cell>
        </row>
        <row r="1128">
          <cell r="C1128">
            <v>-4.0201005025126196E-3</v>
          </cell>
          <cell r="J1128">
            <v>-6.1624046697535009E-4</v>
          </cell>
        </row>
        <row r="1129">
          <cell r="C1129">
            <v>3.0272452068618705E-3</v>
          </cell>
          <cell r="J1129">
            <v>1.482465744357184E-3</v>
          </cell>
        </row>
        <row r="1130">
          <cell r="C1130">
            <v>6.03621730382288E-3</v>
          </cell>
          <cell r="J1130">
            <v>7.5466333143549271E-3</v>
          </cell>
        </row>
        <row r="1131">
          <cell r="C1131">
            <v>-2.5000000000000001E-3</v>
          </cell>
          <cell r="J1131">
            <v>1.0163212815052339E-2</v>
          </cell>
        </row>
        <row r="1132">
          <cell r="C1132">
            <v>6.0150375939851909E-4</v>
          </cell>
          <cell r="J1132">
            <v>3.863515417668939E-3</v>
          </cell>
        </row>
        <row r="1133">
          <cell r="C1133">
            <v>5.610660254483541E-3</v>
          </cell>
          <cell r="J1133">
            <v>7.2433738444455395E-3</v>
          </cell>
        </row>
        <row r="1134">
          <cell r="C1134">
            <v>3.7859918302281105E-3</v>
          </cell>
          <cell r="J1134">
            <v>7.012186842796077E-3</v>
          </cell>
        </row>
        <row r="1135">
          <cell r="C1135">
            <v>-2.4813895781637717E-3</v>
          </cell>
          <cell r="J1135">
            <v>8.8707057398909935E-3</v>
          </cell>
        </row>
        <row r="1136">
          <cell r="C1136">
            <v>2.6865671641790648E-3</v>
          </cell>
          <cell r="J1136">
            <v>1.8997621081116148E-2</v>
          </cell>
        </row>
        <row r="1137">
          <cell r="C1137">
            <v>1.9847176739109145E-3</v>
          </cell>
          <cell r="J1137">
            <v>4.0785192503985882E-3</v>
          </cell>
        </row>
        <row r="1138">
          <cell r="C1138">
            <v>2.9711795582847519E-4</v>
          </cell>
          <cell r="J1138">
            <v>1.1072868827816483E-2</v>
          </cell>
        </row>
        <row r="1139">
          <cell r="C1139">
            <v>-2.7722772277227695E-2</v>
          </cell>
          <cell r="J1139">
            <v>-3.1451125869100117E-3</v>
          </cell>
        </row>
        <row r="1140">
          <cell r="C1140">
            <v>-4.582484725050945E-3</v>
          </cell>
          <cell r="J1140">
            <v>-5.2395354319728844E-4</v>
          </cell>
        </row>
        <row r="1141">
          <cell r="C1141">
            <v>-7.6726342710997444E-3</v>
          </cell>
          <cell r="J1141">
            <v>-4.1053223262559942E-3</v>
          </cell>
        </row>
        <row r="1142">
          <cell r="C1142">
            <v>-7.2164948453608537E-3</v>
          </cell>
          <cell r="J1142">
            <v>-1.9766565914903517E-2</v>
          </cell>
        </row>
        <row r="1143">
          <cell r="C1143">
            <v>9.3457943925237194E-4</v>
          </cell>
          <cell r="J1143">
            <v>1.6820219853248417E-2</v>
          </cell>
        </row>
        <row r="1144">
          <cell r="C1144">
            <v>-1.4420583048034034E-2</v>
          </cell>
          <cell r="J1144">
            <v>-8.6933623070607289E-3</v>
          </cell>
        </row>
        <row r="1145">
          <cell r="C1145">
            <v>1.3157894736842105E-2</v>
          </cell>
          <cell r="J1145">
            <v>1.288603620205188E-2</v>
          </cell>
        </row>
        <row r="1146">
          <cell r="C1146">
            <v>1.3090909090909144E-2</v>
          </cell>
          <cell r="J1146">
            <v>2.9189829920453023E-3</v>
          </cell>
        </row>
        <row r="1147">
          <cell r="C1147">
            <v>-2.0613270433801713E-2</v>
          </cell>
          <cell r="J1147">
            <v>-8.6340682476848344E-3</v>
          </cell>
        </row>
        <row r="1148">
          <cell r="C1148">
            <v>1.0471204188481676E-2</v>
          </cell>
          <cell r="J1148">
            <v>3.7263406653410486E-3</v>
          </cell>
        </row>
        <row r="1149">
          <cell r="C1149">
            <v>0</v>
          </cell>
          <cell r="J1149">
            <v>-2.2213788730831899E-3</v>
          </cell>
        </row>
        <row r="1150">
          <cell r="C1150">
            <v>-9.3264248704663794E-3</v>
          </cell>
          <cell r="J1150">
            <v>-1.5980176898944803E-2</v>
          </cell>
        </row>
        <row r="1151">
          <cell r="C1151">
            <v>-6.3807531380753084E-3</v>
          </cell>
          <cell r="J1151">
            <v>-6.3332557044078056E-4</v>
          </cell>
        </row>
        <row r="1152">
          <cell r="C1152">
            <v>5.2637119696810194E-3</v>
          </cell>
          <cell r="J1152">
            <v>1.5395030146757352E-5</v>
          </cell>
        </row>
        <row r="1153">
          <cell r="C1153">
            <v>-1.9897371452507881E-3</v>
          </cell>
          <cell r="J1153">
            <v>7.0042091051556038E-3</v>
          </cell>
        </row>
        <row r="1154">
          <cell r="C1154">
            <v>4.5120671563484453E-3</v>
          </cell>
          <cell r="J1154">
            <v>-1.6659420708697182E-3</v>
          </cell>
        </row>
        <row r="1155">
          <cell r="C1155">
            <v>4.0739580068943964E-3</v>
          </cell>
          <cell r="J1155">
            <v>-4.0401743526123747E-3</v>
          </cell>
        </row>
        <row r="1156">
          <cell r="C1156">
            <v>-6.1381606325426902E-3</v>
          </cell>
          <cell r="J1156">
            <v>-1.4916190680392646E-2</v>
          </cell>
        </row>
        <row r="1157">
          <cell r="C1157">
            <v>-1.6120590390453327E-2</v>
          </cell>
          <cell r="J1157">
            <v>-1.1243433615399149E-2</v>
          </cell>
        </row>
        <row r="1158">
          <cell r="C1158">
            <v>8.0859665921907131E-3</v>
          </cell>
          <cell r="J1158">
            <v>-2.6860246234421122E-2</v>
          </cell>
        </row>
        <row r="1159">
          <cell r="C1159">
            <v>2.6385224274406332E-3</v>
          </cell>
          <cell r="J1159">
            <v>6.8938530180938738E-3</v>
          </cell>
        </row>
        <row r="1160">
          <cell r="C1160">
            <v>1.0736842105263116E-2</v>
          </cell>
          <cell r="J1160">
            <v>8.7121366770647225E-3</v>
          </cell>
        </row>
        <row r="1161">
          <cell r="C1161">
            <v>-2.8119141845448451E-3</v>
          </cell>
          <cell r="J1161">
            <v>-4.724397045381145E-3</v>
          </cell>
        </row>
        <row r="1162">
          <cell r="C1162">
            <v>-5.7441253263707274E-3</v>
          </cell>
          <cell r="J1162">
            <v>6.9483340616747682E-3</v>
          </cell>
        </row>
        <row r="1163">
          <cell r="C1163">
            <v>-4.8319327731093271E-3</v>
          </cell>
          <cell r="J1163">
            <v>-1.0989449997019381E-3</v>
          </cell>
        </row>
        <row r="1164">
          <cell r="C1164">
            <v>2.7443529660122982E-3</v>
          </cell>
          <cell r="J1164">
            <v>5.6002078797164944E-3</v>
          </cell>
        </row>
        <row r="1165">
          <cell r="C1165">
            <v>0</v>
          </cell>
          <cell r="J1165">
            <v>-3.2110155545722685E-3</v>
          </cell>
        </row>
        <row r="1166">
          <cell r="C1166">
            <v>-5.263157894736842E-3</v>
          </cell>
          <cell r="J1166">
            <v>-7.7910021272964312E-3</v>
          </cell>
        </row>
        <row r="1167">
          <cell r="C1167">
            <v>-5.2910052910052907E-3</v>
          </cell>
          <cell r="J1167">
            <v>1.8135117502508622E-3</v>
          </cell>
        </row>
        <row r="1168">
          <cell r="C1168">
            <v>-1.0638297872339821E-3</v>
          </cell>
          <cell r="J1168">
            <v>1.2969687823804533E-3</v>
          </cell>
        </row>
        <row r="1169">
          <cell r="C1169">
            <v>-1.4376996805111911E-2</v>
          </cell>
          <cell r="J1169">
            <v>2.2663721069308604E-3</v>
          </cell>
        </row>
        <row r="1170">
          <cell r="C1170">
            <v>-1.2965964343597011E-3</v>
          </cell>
          <cell r="J1170">
            <v>1.833957657019018E-3</v>
          </cell>
        </row>
        <row r="1171">
          <cell r="C1171">
            <v>-4.8685491723466714E-3</v>
          </cell>
          <cell r="J1171">
            <v>1.674614321661255E-3</v>
          </cell>
        </row>
        <row r="1172">
          <cell r="C1172">
            <v>-8.4801043705153411E-3</v>
          </cell>
          <cell r="J1172">
            <v>3.9944086990111787E-4</v>
          </cell>
        </row>
        <row r="1173">
          <cell r="C1173">
            <v>1.6447368421052631E-2</v>
          </cell>
          <cell r="J1173">
            <v>8.103409087940449E-3</v>
          </cell>
        </row>
        <row r="1174">
          <cell r="C1174">
            <v>5.3937432578206204E-4</v>
          </cell>
          <cell r="J1174">
            <v>2.8437699561146405E-3</v>
          </cell>
        </row>
        <row r="1175">
          <cell r="C1175">
            <v>-4.8517520215633726E-3</v>
          </cell>
          <cell r="J1175">
            <v>-9.0640081780662594E-4</v>
          </cell>
        </row>
        <row r="1176">
          <cell r="C1176">
            <v>-5.417118093174123E-4</v>
          </cell>
          <cell r="J1176">
            <v>-1.8489332314817598E-3</v>
          </cell>
        </row>
        <row r="1177">
          <cell r="C1177">
            <v>1.3658536585365909E-2</v>
          </cell>
          <cell r="J1177">
            <v>2.1481998784672529E-3</v>
          </cell>
        </row>
        <row r="1178">
          <cell r="C1178">
            <v>-8.1274729975404237E-3</v>
          </cell>
          <cell r="J1178">
            <v>-3.7801655834487293E-3</v>
          </cell>
        </row>
        <row r="1179">
          <cell r="C1179">
            <v>-2.6954177897574125E-3</v>
          </cell>
          <cell r="J1179">
            <v>8.532725508131932E-3</v>
          </cell>
        </row>
        <row r="1180">
          <cell r="C1180">
            <v>0</v>
          </cell>
          <cell r="J1180">
            <v>2.7820742795817617E-3</v>
          </cell>
        </row>
        <row r="1181">
          <cell r="C1181">
            <v>4.3243243243250003E-4</v>
          </cell>
          <cell r="J1181">
            <v>6.9087277144714524E-3</v>
          </cell>
        </row>
        <row r="1182">
          <cell r="C1182">
            <v>1.2102874432677655E-2</v>
          </cell>
          <cell r="J1182">
            <v>8.5966750517152656E-3</v>
          </cell>
        </row>
        <row r="1183">
          <cell r="C1183">
            <v>5.7655349135170434E-3</v>
          </cell>
          <cell r="J1183">
            <v>5.0774399088884012E-4</v>
          </cell>
        </row>
        <row r="1184">
          <cell r="C1184">
            <v>2.4416135881104004E-2</v>
          </cell>
          <cell r="J1184">
            <v>4.7978611061939291E-3</v>
          </cell>
        </row>
        <row r="1185">
          <cell r="C1185">
            <v>1.5751295336787523E-2</v>
          </cell>
          <cell r="J1185">
            <v>8.5236467357024184E-3</v>
          </cell>
        </row>
        <row r="1186">
          <cell r="C1186">
            <v>2.5096918996123322E-2</v>
          </cell>
          <cell r="J1186">
            <v>7.4423338560761663E-3</v>
          </cell>
        </row>
        <row r="1187">
          <cell r="C1187">
            <v>2.5079617834394864E-2</v>
          </cell>
          <cell r="J1187">
            <v>5.5649481050187048E-3</v>
          </cell>
        </row>
        <row r="1188">
          <cell r="C1188">
            <v>-3.7864077669902967E-3</v>
          </cell>
          <cell r="J1188">
            <v>1.4798742959801943E-2</v>
          </cell>
        </row>
        <row r="1189">
          <cell r="C1189">
            <v>-5.9448396842412968E-3</v>
          </cell>
          <cell r="J1189">
            <v>4.5743408170815557E-3</v>
          </cell>
        </row>
        <row r="1190">
          <cell r="C1190">
            <v>-4.9019607843137254E-3</v>
          </cell>
          <cell r="J1190">
            <v>-3.8614340705236203E-3</v>
          </cell>
        </row>
        <row r="1191">
          <cell r="C1191">
            <v>4.9261083743842365E-3</v>
          </cell>
          <cell r="J1191">
            <v>-2.4569999765787485E-3</v>
          </cell>
        </row>
        <row r="1192">
          <cell r="C1192">
            <v>-9.8039215686324664E-5</v>
          </cell>
          <cell r="J1192">
            <v>1.8576214842715027E-2</v>
          </cell>
        </row>
        <row r="1193">
          <cell r="C1193">
            <v>1.8727326208451914E-2</v>
          </cell>
          <cell r="J1193">
            <v>6.965865371909164E-3</v>
          </cell>
        </row>
        <row r="1194">
          <cell r="C1194">
            <v>2.7430221366698693E-2</v>
          </cell>
          <cell r="J1194">
            <v>7.858189875306296E-3</v>
          </cell>
        </row>
        <row r="1195">
          <cell r="C1195">
            <v>-7.0257611241217799E-3</v>
          </cell>
          <cell r="J1195">
            <v>-8.9676036507187803E-5</v>
          </cell>
        </row>
        <row r="1196">
          <cell r="C1196">
            <v>-3.3018867924528301E-2</v>
          </cell>
          <cell r="J1196">
            <v>1.1194844536173379E-3</v>
          </cell>
        </row>
        <row r="1197">
          <cell r="C1197">
            <v>-1.1707317073170759E-2</v>
          </cell>
          <cell r="J1197">
            <v>6.4703751487524665E-4</v>
          </cell>
        </row>
        <row r="1198">
          <cell r="C1198">
            <v>-3.5538005923000933E-3</v>
          </cell>
          <cell r="J1198">
            <v>-3.9084490523551233E-3</v>
          </cell>
        </row>
        <row r="1199">
          <cell r="C1199">
            <v>1.5553794333267361E-2</v>
          </cell>
          <cell r="J1199">
            <v>1.0292306771497233E-2</v>
          </cell>
        </row>
        <row r="1200">
          <cell r="C1200">
            <v>7.2188079211783713E-3</v>
          </cell>
          <cell r="J1200">
            <v>9.583370643434579E-3</v>
          </cell>
        </row>
        <row r="1201">
          <cell r="C1201">
            <v>-6.7796610169484916E-4</v>
          </cell>
          <cell r="J1201">
            <v>7.3252602964697811E-3</v>
          </cell>
        </row>
        <row r="1202">
          <cell r="C1202">
            <v>1.4246947082767965E-2</v>
          </cell>
          <cell r="J1202">
            <v>6.577528718672984E-3</v>
          </cell>
        </row>
        <row r="1203">
          <cell r="C1203">
            <v>-3.0100334448160588E-2</v>
          </cell>
          <cell r="J1203">
            <v>8.9995660459308378E-3</v>
          </cell>
        </row>
        <row r="1204">
          <cell r="C1204">
            <v>4.9261083743842365E-3</v>
          </cell>
          <cell r="J1204">
            <v>1.4392282793726154E-2</v>
          </cell>
        </row>
        <row r="1205">
          <cell r="C1205">
            <v>0</v>
          </cell>
          <cell r="J1205">
            <v>-2.4141173399697367E-3</v>
          </cell>
        </row>
        <row r="1206">
          <cell r="C1206">
            <v>9.8039215686324664E-5</v>
          </cell>
          <cell r="J1206">
            <v>9.2276980726181627E-3</v>
          </cell>
        </row>
        <row r="1207">
          <cell r="C1207">
            <v>1.9507891383197674E-2</v>
          </cell>
          <cell r="J1207">
            <v>2.0113108036717682E-2</v>
          </cell>
        </row>
        <row r="1208">
          <cell r="C1208">
            <v>2.8846153846153848E-2</v>
          </cell>
          <cell r="J1208">
            <v>2.0343987670682375E-2</v>
          </cell>
        </row>
        <row r="1209">
          <cell r="C1209">
            <v>-1.1588785046728924E-2</v>
          </cell>
          <cell r="J1209">
            <v>2.0852089215877348E-3</v>
          </cell>
        </row>
        <row r="1210">
          <cell r="C1210">
            <v>1.7965204236005837E-3</v>
          </cell>
          <cell r="J1210">
            <v>2.1308305225318483E-3</v>
          </cell>
        </row>
        <row r="1211">
          <cell r="C1211">
            <v>1.9820670127418004E-3</v>
          </cell>
          <cell r="J1211">
            <v>1.0197782870092506E-2</v>
          </cell>
        </row>
        <row r="1212">
          <cell r="C1212">
            <v>-5.6518462697814085E-3</v>
          </cell>
          <cell r="J1212">
            <v>-5.705899258093664E-3</v>
          </cell>
        </row>
        <row r="1213">
          <cell r="C1213">
            <v>8.7154225085259735E-3</v>
          </cell>
          <cell r="J1213">
            <v>8.599195748071949E-4</v>
          </cell>
        </row>
        <row r="1214">
          <cell r="C1214">
            <v>-9.2036063110443652E-3</v>
          </cell>
          <cell r="J1214">
            <v>5.9963911955264832E-3</v>
          </cell>
        </row>
        <row r="1215">
          <cell r="C1215">
            <v>1.8009478672985836E-2</v>
          </cell>
          <cell r="J1215">
            <v>1.341429043735573E-2</v>
          </cell>
        </row>
        <row r="1216">
          <cell r="C1216">
            <v>7.4487895716945727E-3</v>
          </cell>
          <cell r="J1216">
            <v>1.25911272370252E-2</v>
          </cell>
        </row>
        <row r="1217">
          <cell r="C1217">
            <v>2.1256931608133061E-2</v>
          </cell>
          <cell r="J1217">
            <v>4.4565682353659023E-3</v>
          </cell>
        </row>
        <row r="1218">
          <cell r="C1218">
            <v>9.0497737556561094E-3</v>
          </cell>
          <cell r="J1218">
            <v>1.0151869068063443E-2</v>
          </cell>
        </row>
        <row r="1219">
          <cell r="C1219">
            <v>3.5874439461883916E-3</v>
          </cell>
          <cell r="J1219">
            <v>1.7925334166693733E-2</v>
          </cell>
        </row>
        <row r="1220">
          <cell r="C1220">
            <v>-3.4852546916890131E-3</v>
          </cell>
          <cell r="J1220">
            <v>-5.6958991071324339E-3</v>
          </cell>
        </row>
        <row r="1221">
          <cell r="C1221">
            <v>4.8426150121064658E-3</v>
          </cell>
          <cell r="J1221">
            <v>4.5967732337874357E-4</v>
          </cell>
        </row>
        <row r="1222">
          <cell r="C1222">
            <v>9.5493083444891328E-3</v>
          </cell>
          <cell r="J1222">
            <v>1.9239090405782488E-2</v>
          </cell>
        </row>
        <row r="1223">
          <cell r="C1223">
            <v>6.8953323903819053E-3</v>
          </cell>
          <cell r="J1223">
            <v>1.433104370554979E-2</v>
          </cell>
        </row>
        <row r="1224">
          <cell r="C1224">
            <v>-3.5118525021949577E-3</v>
          </cell>
          <cell r="J1224">
            <v>7.2357565718769263E-3</v>
          </cell>
        </row>
        <row r="1225">
          <cell r="C1225">
            <v>4.4052863436123352E-3</v>
          </cell>
          <cell r="J1225">
            <v>1.190928558407179E-2</v>
          </cell>
        </row>
        <row r="1226">
          <cell r="C1226">
            <v>8.771929824561403E-3</v>
          </cell>
          <cell r="J1226">
            <v>1.4727946220332034E-2</v>
          </cell>
        </row>
        <row r="1227">
          <cell r="C1227">
            <v>1.5217391304347827E-2</v>
          </cell>
          <cell r="J1227">
            <v>2.3263205583354804E-2</v>
          </cell>
        </row>
        <row r="1228">
          <cell r="C1228">
            <v>3.6402569593147749E-2</v>
          </cell>
          <cell r="J1228">
            <v>-3.190703982853294E-3</v>
          </cell>
        </row>
        <row r="1229">
          <cell r="C1229">
            <v>-8.5123966942148854E-3</v>
          </cell>
          <cell r="J1229">
            <v>6.2783725404026349E-3</v>
          </cell>
        </row>
        <row r="1230">
          <cell r="C1230">
            <v>-3.1007751937984485E-2</v>
          </cell>
          <cell r="J1230">
            <v>-1.726141173785626E-2</v>
          </cell>
        </row>
        <row r="1231">
          <cell r="C1231">
            <v>1.6086021505376382E-2</v>
          </cell>
          <cell r="J1231">
            <v>2.6046198416180173E-3</v>
          </cell>
        </row>
        <row r="1232">
          <cell r="C1232">
            <v>2.0233660684050123E-2</v>
          </cell>
          <cell r="J1232">
            <v>1.0386982833816094E-2</v>
          </cell>
        </row>
        <row r="1233">
          <cell r="C1233">
            <v>-2.0828147041739315E-2</v>
          </cell>
          <cell r="J1233">
            <v>-1.3992737337747724E-2</v>
          </cell>
        </row>
        <row r="1234">
          <cell r="C1234">
            <v>-3.1355932203389857E-2</v>
          </cell>
          <cell r="J1234">
            <v>-3.6372389221141818E-2</v>
          </cell>
        </row>
        <row r="1235">
          <cell r="C1235">
            <v>-2.6246719160104739E-3</v>
          </cell>
          <cell r="J1235">
            <v>-6.1276688391439472E-3</v>
          </cell>
        </row>
        <row r="1236">
          <cell r="C1236">
            <v>-4.3859649122807015E-3</v>
          </cell>
          <cell r="J1236">
            <v>3.932230987024209E-3</v>
          </cell>
        </row>
        <row r="1237">
          <cell r="C1237">
            <v>-1.1894273127753255E-2</v>
          </cell>
          <cell r="J1237">
            <v>-1.5766848179167389E-2</v>
          </cell>
        </row>
        <row r="1238">
          <cell r="C1238">
            <v>-2.6304057066428913E-2</v>
          </cell>
          <cell r="J1238">
            <v>-4.1068086927674739E-2</v>
          </cell>
        </row>
        <row r="1239">
          <cell r="C1239">
            <v>1.6483516483516456E-2</v>
          </cell>
          <cell r="J1239">
            <v>2.8605914588536462E-2</v>
          </cell>
        </row>
        <row r="1240">
          <cell r="C1240">
            <v>6.2162162162161961E-3</v>
          </cell>
          <cell r="J1240">
            <v>1.9529236019809458E-2</v>
          </cell>
        </row>
        <row r="1241">
          <cell r="C1241">
            <v>1.4414898379443097E-2</v>
          </cell>
          <cell r="J1241">
            <v>6.426842931052979E-3</v>
          </cell>
        </row>
        <row r="1242">
          <cell r="C1242">
            <v>2.5948808473080297E-2</v>
          </cell>
          <cell r="J1242">
            <v>3.5399570607631159E-2</v>
          </cell>
        </row>
        <row r="1243">
          <cell r="C1243">
            <v>-2.06469373709562E-3</v>
          </cell>
          <cell r="J1243">
            <v>-4.8278906024548087E-3</v>
          </cell>
        </row>
        <row r="1244">
          <cell r="C1244">
            <v>2.9310344827586255E-2</v>
          </cell>
          <cell r="J1244">
            <v>4.6192983328567699E-3</v>
          </cell>
        </row>
        <row r="1245">
          <cell r="C1245">
            <v>8.3752093802345051E-3</v>
          </cell>
          <cell r="J1245">
            <v>-1.1895397842269272E-4</v>
          </cell>
        </row>
        <row r="1246">
          <cell r="C1246">
            <v>-1.1877076411960188E-2</v>
          </cell>
          <cell r="J1246">
            <v>-1.9223640901274402E-3</v>
          </cell>
        </row>
        <row r="1247">
          <cell r="C1247">
            <v>2.2694797007648654E-3</v>
          </cell>
          <cell r="J1247">
            <v>-4.3070670496273356E-3</v>
          </cell>
        </row>
        <row r="1248">
          <cell r="C1248">
            <v>-7.8832606507883065E-3</v>
          </cell>
          <cell r="J1248">
            <v>-1.034450067196399E-3</v>
          </cell>
        </row>
        <row r="1249">
          <cell r="C1249">
            <v>-1.6906170752321235E-4</v>
          </cell>
          <cell r="J1249">
            <v>-3.9072422284480391E-3</v>
          </cell>
        </row>
        <row r="1250">
          <cell r="C1250">
            <v>1.9445383834968209E-3</v>
          </cell>
          <cell r="J1250">
            <v>1.0915545014576868E-2</v>
          </cell>
        </row>
        <row r="1251">
          <cell r="C1251">
            <v>-1.0125727786685051E-3</v>
          </cell>
          <cell r="J1251">
            <v>3.1059663803513054E-4</v>
          </cell>
        </row>
        <row r="1252">
          <cell r="C1252">
            <v>3.378663738491955E-4</v>
          </cell>
          <cell r="J1252">
            <v>-5.6972995920024621E-3</v>
          </cell>
        </row>
        <row r="1253">
          <cell r="C1253">
            <v>-7.8527400151989085E-3</v>
          </cell>
          <cell r="J1253">
            <v>-8.2764140559625481E-3</v>
          </cell>
        </row>
        <row r="1254">
          <cell r="C1254">
            <v>-4.2553191489361703E-3</v>
          </cell>
          <cell r="J1254">
            <v>-2.6690740421724153E-3</v>
          </cell>
        </row>
        <row r="1255">
          <cell r="C1255">
            <v>-4.2735042735042739E-3</v>
          </cell>
          <cell r="J1255">
            <v>-5.7409984435402685E-3</v>
          </cell>
        </row>
        <row r="1256">
          <cell r="C1256">
            <v>8.5836909871244635E-3</v>
          </cell>
          <cell r="J1256">
            <v>1.2630849461413133E-3</v>
          </cell>
        </row>
        <row r="1257">
          <cell r="C1257">
            <v>1.3531914893617051E-2</v>
          </cell>
          <cell r="J1257">
            <v>1.038490584165571E-2</v>
          </cell>
        </row>
        <row r="1258">
          <cell r="C1258">
            <v>3.3588042656813458E-3</v>
          </cell>
          <cell r="J1258">
            <v>8.0515287832652448E-3</v>
          </cell>
        </row>
        <row r="1259">
          <cell r="C1259">
            <v>-1.1214327558791442E-2</v>
          </cell>
          <cell r="J1259">
            <v>5.7127368851876432E-3</v>
          </cell>
        </row>
        <row r="1260">
          <cell r="C1260">
            <v>-1.1849344054168478E-3</v>
          </cell>
          <cell r="J1260">
            <v>-8.0901009110580738E-3</v>
          </cell>
        </row>
        <row r="1261">
          <cell r="C1261">
            <v>-2.3981018557749329E-2</v>
          </cell>
          <cell r="J1261">
            <v>-7.5422240906056716E-3</v>
          </cell>
        </row>
        <row r="1262">
          <cell r="C1262">
            <v>-1.0244834172599469E-2</v>
          </cell>
          <cell r="J1262">
            <v>-1.6287261573101126E-2</v>
          </cell>
        </row>
        <row r="1263">
          <cell r="C1263">
            <v>-8.8596491228070621E-3</v>
          </cell>
          <cell r="J1263">
            <v>-1.4846658761022976E-2</v>
          </cell>
        </row>
        <row r="1264">
          <cell r="C1264">
            <v>8.8503407381229461E-5</v>
          </cell>
          <cell r="J1264">
            <v>2.2224471691773603E-3</v>
          </cell>
        </row>
        <row r="1265">
          <cell r="C1265">
            <v>8.7610619469026089E-3</v>
          </cell>
          <cell r="J1265">
            <v>6.6886977207507052E-3</v>
          </cell>
        </row>
        <row r="1266">
          <cell r="C1266">
            <v>-4.2986226862004994E-3</v>
          </cell>
          <cell r="J1266">
            <v>9.7634794772680777E-3</v>
          </cell>
        </row>
        <row r="1267">
          <cell r="C1267">
            <v>-2.5550660792952092E-3</v>
          </cell>
          <cell r="J1267">
            <v>1.2635922271539137E-2</v>
          </cell>
        </row>
        <row r="1268">
          <cell r="C1268">
            <v>4.6815652327533005E-3</v>
          </cell>
          <cell r="J1268">
            <v>5.4052554412278722E-3</v>
          </cell>
        </row>
        <row r="1269">
          <cell r="C1269">
            <v>-6.5060664673817032E-3</v>
          </cell>
          <cell r="J1269">
            <v>-1.8709815918497005E-2</v>
          </cell>
        </row>
        <row r="1270">
          <cell r="C1270">
            <v>-1.7699115044244267E-4</v>
          </cell>
          <cell r="J1270">
            <v>-2.9842994737364716E-2</v>
          </cell>
        </row>
        <row r="1271">
          <cell r="C1271">
            <v>7.0808992742076732E-4</v>
          </cell>
          <cell r="J1271">
            <v>2.6465103269744691E-3</v>
          </cell>
        </row>
        <row r="1272">
          <cell r="C1272">
            <v>-4.9531222359809153E-3</v>
          </cell>
          <cell r="J1272">
            <v>1.5138926612848238E-2</v>
          </cell>
        </row>
        <row r="1273">
          <cell r="C1273">
            <v>-1.0222222222222273E-2</v>
          </cell>
          <cell r="J1273">
            <v>-1.8241511707080351E-2</v>
          </cell>
        </row>
        <row r="1274">
          <cell r="C1274">
            <v>-2.1104625056129273E-2</v>
          </cell>
          <cell r="J1274">
            <v>-1.8798736022219556E-2</v>
          </cell>
        </row>
        <row r="1275">
          <cell r="C1275">
            <v>0</v>
          </cell>
          <cell r="J1275">
            <v>9.8005844374489063E-3</v>
          </cell>
        </row>
        <row r="1276">
          <cell r="C1276">
            <v>-1.743119266055025E-3</v>
          </cell>
          <cell r="J1276">
            <v>7.4264283262798192E-5</v>
          </cell>
        </row>
        <row r="1277">
          <cell r="C1277">
            <v>3.1247128021321883E-3</v>
          </cell>
          <cell r="J1277">
            <v>1.8108554742439591E-2</v>
          </cell>
        </row>
        <row r="1278">
          <cell r="C1278">
            <v>1.0169491525423723E-2</v>
          </cell>
          <cell r="J1278">
            <v>5.769734349851314E-3</v>
          </cell>
        </row>
        <row r="1279">
          <cell r="C1279">
            <v>3.1108289497551175E-2</v>
          </cell>
          <cell r="J1279">
            <v>1.4560116444752592E-2</v>
          </cell>
        </row>
        <row r="1280">
          <cell r="C1280">
            <v>-7.8283050400211156E-3</v>
          </cell>
          <cell r="J1280">
            <v>7.8023338706714419E-3</v>
          </cell>
        </row>
        <row r="1281">
          <cell r="C1281">
            <v>1.7730496453900962E-3</v>
          </cell>
          <cell r="J1281">
            <v>-1.3715934668363887E-3</v>
          </cell>
        </row>
        <row r="1282">
          <cell r="C1282">
            <v>4.4159292035398187E-2</v>
          </cell>
          <cell r="J1282">
            <v>7.6614504160925825E-3</v>
          </cell>
        </row>
        <row r="1283">
          <cell r="C1283">
            <v>1.1950165268243164E-2</v>
          </cell>
          <cell r="J1283">
            <v>1.3736618660370823E-2</v>
          </cell>
        </row>
        <row r="1284">
          <cell r="C1284">
            <v>7.9564489112226855E-3</v>
          </cell>
          <cell r="J1284">
            <v>1.1569946167858997E-2</v>
          </cell>
        </row>
        <row r="1285">
          <cell r="C1285">
            <v>-6.647278770253404E-3</v>
          </cell>
          <cell r="J1285">
            <v>9.5833660539979531E-3</v>
          </cell>
        </row>
        <row r="1286">
          <cell r="C1286">
            <v>-5.5207026348807744E-3</v>
          </cell>
          <cell r="J1286">
            <v>-3.4220482161726818E-3</v>
          </cell>
        </row>
        <row r="1287">
          <cell r="C1287">
            <v>-5.3831272604928969E-3</v>
          </cell>
          <cell r="J1287">
            <v>-1.05620238188697E-3</v>
          </cell>
        </row>
        <row r="1288">
          <cell r="C1288">
            <v>-3.8054968287526665E-3</v>
          </cell>
          <cell r="J1288">
            <v>-8.1530240210353261E-4</v>
          </cell>
        </row>
        <row r="1289">
          <cell r="C1289">
            <v>-4.2444821731746314E-4</v>
          </cell>
          <cell r="J1289">
            <v>2.9064179751288888E-3</v>
          </cell>
        </row>
        <row r="1290">
          <cell r="C1290">
            <v>2.1231422505307855E-3</v>
          </cell>
          <cell r="J1290">
            <v>-5.8440192504573523E-4</v>
          </cell>
        </row>
        <row r="1291">
          <cell r="C1291">
            <v>-4.5762711864407307E-3</v>
          </cell>
          <cell r="J1291">
            <v>-1.4502402923809509E-2</v>
          </cell>
        </row>
        <row r="1292">
          <cell r="C1292">
            <v>-2.9797377830750411E-3</v>
          </cell>
          <cell r="J1292">
            <v>-1.162407776339193E-2</v>
          </cell>
        </row>
        <row r="1293">
          <cell r="C1293">
            <v>1.3576978908718328E-2</v>
          </cell>
          <cell r="J1293">
            <v>1.5860339455574475E-2</v>
          </cell>
        </row>
        <row r="1294">
          <cell r="C1294">
            <v>-5.897219882055626E-3</v>
          </cell>
          <cell r="J1294">
            <v>-3.8085419232398313E-3</v>
          </cell>
        </row>
        <row r="1295">
          <cell r="C1295">
            <v>2.1694915254237307E-2</v>
          </cell>
          <cell r="J1295">
            <v>1.1423022574355078E-3</v>
          </cell>
        </row>
        <row r="1296">
          <cell r="C1296">
            <v>1.1944260119442583E-2</v>
          </cell>
          <cell r="J1296">
            <v>9.4326581806799866E-3</v>
          </cell>
        </row>
        <row r="1297">
          <cell r="C1297">
            <v>1.8442622950819672E-2</v>
          </cell>
          <cell r="J1297">
            <v>3.4989450800425488E-3</v>
          </cell>
        </row>
        <row r="1298">
          <cell r="C1298">
            <v>-1.8108651911468814E-2</v>
          </cell>
          <cell r="J1298">
            <v>-4.7829216274194297E-3</v>
          </cell>
        </row>
        <row r="1299">
          <cell r="C1299">
            <v>-4.0983606557377051E-3</v>
          </cell>
          <cell r="J1299">
            <v>-4.0596232806562127E-3</v>
          </cell>
        </row>
        <row r="1300">
          <cell r="C1300">
            <v>8.23045267489712E-3</v>
          </cell>
          <cell r="J1300">
            <v>5.7376745979353105E-3</v>
          </cell>
        </row>
        <row r="1301">
          <cell r="C1301">
            <v>3.8367346938775533E-2</v>
          </cell>
          <cell r="J1301">
            <v>5.8088702668343982E-3</v>
          </cell>
        </row>
        <row r="1302">
          <cell r="C1302">
            <v>1.0220125786163499E-2</v>
          </cell>
          <cell r="J1302">
            <v>9.7336702966696765E-3</v>
          </cell>
        </row>
        <row r="1303">
          <cell r="C1303">
            <v>-1.3229571984434824E-3</v>
          </cell>
          <cell r="J1303">
            <v>8.9308750899166119E-3</v>
          </cell>
        </row>
        <row r="1304">
          <cell r="C1304">
            <v>-1.4260110652224829E-2</v>
          </cell>
          <cell r="J1304">
            <v>-2.0405968712336573E-3</v>
          </cell>
        </row>
        <row r="1305">
          <cell r="C1305">
            <v>-6.3241106719367363E-3</v>
          </cell>
          <cell r="J1305">
            <v>-3.1160310012175729E-3</v>
          </cell>
        </row>
        <row r="1306">
          <cell r="C1306">
            <v>1.2649164677804322E-2</v>
          </cell>
          <cell r="J1306">
            <v>1.3464813630449666E-3</v>
          </cell>
        </row>
        <row r="1307">
          <cell r="C1307">
            <v>-1.7283368685679398E-3</v>
          </cell>
          <cell r="J1307">
            <v>1.3003866563925071E-2</v>
          </cell>
        </row>
        <row r="1308">
          <cell r="C1308">
            <v>-6.8466199732430183E-3</v>
          </cell>
          <cell r="J1308">
            <v>9.7517505450437376E-3</v>
          </cell>
        </row>
        <row r="1309">
          <cell r="C1309">
            <v>4.992076069730584E-2</v>
          </cell>
          <cell r="J1309">
            <v>1.7586475130808646E-2</v>
          </cell>
        </row>
        <row r="1310">
          <cell r="C1310">
            <v>7.6301886792452936E-2</v>
          </cell>
          <cell r="J1310">
            <v>9.9788868111011769E-3</v>
          </cell>
        </row>
        <row r="1311">
          <cell r="C1311">
            <v>9.6066194516511889E-3</v>
          </cell>
          <cell r="J1311">
            <v>3.2690167862433439E-3</v>
          </cell>
        </row>
        <row r="1312">
          <cell r="C1312">
            <v>-2.6948187248228891E-2</v>
          </cell>
          <cell r="J1312">
            <v>-8.6356740659591783E-4</v>
          </cell>
        </row>
        <row r="1313">
          <cell r="C1313">
            <v>-8.5653104925052723E-3</v>
          </cell>
          <cell r="J1313">
            <v>-2.1329766360032453E-3</v>
          </cell>
        </row>
        <row r="1314">
          <cell r="C1314">
            <v>7.8473722102232069E-3</v>
          </cell>
          <cell r="J1314">
            <v>-6.1421812591829362E-4</v>
          </cell>
        </row>
        <row r="1315">
          <cell r="C1315">
            <v>1.0000714336738175E-2</v>
          </cell>
          <cell r="J1315">
            <v>8.8174554261679864E-3</v>
          </cell>
        </row>
        <row r="1316">
          <cell r="C1316">
            <v>6.0824669354269303E-3</v>
          </cell>
          <cell r="J1316">
            <v>7.3834542144328545E-3</v>
          </cell>
        </row>
        <row r="1317">
          <cell r="C1317">
            <v>-5.2021089630932098E-3</v>
          </cell>
          <cell r="J1317">
            <v>-1.036629053107646E-3</v>
          </cell>
        </row>
        <row r="1318">
          <cell r="C1318">
            <v>9.8226273761572672E-3</v>
          </cell>
          <cell r="J1318">
            <v>9.7041161074621542E-3</v>
          </cell>
        </row>
        <row r="1319">
          <cell r="C1319">
            <v>-6.9979006298106583E-4</v>
          </cell>
          <cell r="J1319">
            <v>-1.1171115705640093E-3</v>
          </cell>
        </row>
        <row r="1320">
          <cell r="C1320">
            <v>3.0812324929971827E-2</v>
          </cell>
          <cell r="J1320">
            <v>1.0717451654407248E-2</v>
          </cell>
        </row>
        <row r="1321">
          <cell r="C1321">
            <v>-1.7595108695652006E-2</v>
          </cell>
          <cell r="J1321">
            <v>-1.4403084843506758E-2</v>
          </cell>
        </row>
        <row r="1322">
          <cell r="C1322">
            <v>6.1544844754856942E-3</v>
          </cell>
          <cell r="J1322">
            <v>-8.2638922112173736E-3</v>
          </cell>
        </row>
        <row r="1323">
          <cell r="C1323">
            <v>-1.4089347079037879E-2</v>
          </cell>
          <cell r="J1323">
            <v>-6.2573001952813713E-3</v>
          </cell>
        </row>
        <row r="1324">
          <cell r="C1324">
            <v>1.60334611362845E-2</v>
          </cell>
          <cell r="J1324">
            <v>1.7612391243183288E-2</v>
          </cell>
        </row>
        <row r="1325">
          <cell r="C1325">
            <v>2.8816466552315533E-2</v>
          </cell>
          <cell r="J1325">
            <v>1.1990611121318015E-2</v>
          </cell>
        </row>
        <row r="1326">
          <cell r="C1326">
            <v>-3.001000333444406E-3</v>
          </cell>
          <cell r="J1326">
            <v>-4.177876385444483E-5</v>
          </cell>
        </row>
        <row r="1327">
          <cell r="C1327">
            <v>1.1371237458193904E-2</v>
          </cell>
          <cell r="J1327">
            <v>-2.1904531536037081E-3</v>
          </cell>
        </row>
        <row r="1328">
          <cell r="C1328">
            <v>-5.7539682539682467E-2</v>
          </cell>
          <cell r="J1328">
            <v>7.744984905336522E-4</v>
          </cell>
        </row>
        <row r="1329">
          <cell r="C1329">
            <v>9.7543859649121857E-3</v>
          </cell>
          <cell r="J1329">
            <v>5.8830370482004001E-3</v>
          </cell>
        </row>
        <row r="1330">
          <cell r="C1330">
            <v>-1.452498436305494E-2</v>
          </cell>
          <cell r="J1330">
            <v>9.764043483317492E-3</v>
          </cell>
        </row>
        <row r="1331">
          <cell r="C1331">
            <v>4.2313117066290146E-3</v>
          </cell>
          <cell r="J1331">
            <v>9.9199028280964607E-3</v>
          </cell>
        </row>
        <row r="1332">
          <cell r="C1332">
            <v>2.2471910112359071E-3</v>
          </cell>
          <cell r="J1332">
            <v>1.7816701974031756E-3</v>
          </cell>
        </row>
        <row r="1333">
          <cell r="C1333">
            <v>5.4652466367713084E-3</v>
          </cell>
          <cell r="J1333">
            <v>3.5722713951225368E-3</v>
          </cell>
        </row>
        <row r="1334">
          <cell r="C1334">
            <v>7.6655052264807963E-3</v>
          </cell>
          <cell r="J1334">
            <v>5.4937428850926088E-3</v>
          </cell>
        </row>
        <row r="1335">
          <cell r="C1335">
            <v>-4.2185338865835774E-3</v>
          </cell>
          <cell r="J1335">
            <v>-3.429014359122138E-3</v>
          </cell>
        </row>
        <row r="1336">
          <cell r="C1336">
            <v>-8.6117091464685668E-3</v>
          </cell>
          <cell r="J1336">
            <v>1.635102019072027E-3</v>
          </cell>
        </row>
        <row r="1337">
          <cell r="C1337">
            <v>7.9859894921189938E-3</v>
          </cell>
          <cell r="J1337">
            <v>-3.3254984890323811E-3</v>
          </cell>
        </row>
        <row r="1338">
          <cell r="C1338">
            <v>9.4516644659115561E-3</v>
          </cell>
          <cell r="J1338">
            <v>2.1052162536036208E-3</v>
          </cell>
        </row>
        <row r="1339">
          <cell r="C1339">
            <v>1.549053356282272E-2</v>
          </cell>
          <cell r="J1339">
            <v>1.1563284677372981E-2</v>
          </cell>
        </row>
        <row r="1340">
          <cell r="C1340">
            <v>-2.3728813559322035E-2</v>
          </cell>
          <cell r="J1340">
            <v>-6.1270251887788167E-3</v>
          </cell>
        </row>
        <row r="1341">
          <cell r="C1341">
            <v>-1.7013888888888811E-2</v>
          </cell>
          <cell r="J1341">
            <v>-9.0202945039619606E-3</v>
          </cell>
        </row>
        <row r="1342">
          <cell r="C1342">
            <v>-8.124337689862279E-3</v>
          </cell>
          <cell r="J1342">
            <v>5.5881971716924045E-4</v>
          </cell>
        </row>
        <row r="1343">
          <cell r="C1343">
            <v>1.1396011396011355E-2</v>
          </cell>
          <cell r="J1343">
            <v>1.3359843970441574E-2</v>
          </cell>
        </row>
        <row r="1344">
          <cell r="C1344">
            <v>-1.6197183098591628E-2</v>
          </cell>
          <cell r="J1344">
            <v>-3.996126437957128E-3</v>
          </cell>
        </row>
        <row r="1345">
          <cell r="C1345">
            <v>-1.2168933428775869E-2</v>
          </cell>
          <cell r="J1345">
            <v>-1.2022452850310953E-2</v>
          </cell>
        </row>
        <row r="1346">
          <cell r="C1346">
            <v>1.6666666666665926E-3</v>
          </cell>
          <cell r="J1346">
            <v>-5.9895541062102032E-3</v>
          </cell>
        </row>
        <row r="1347">
          <cell r="C1347">
            <v>-1.6132532735296173E-2</v>
          </cell>
          <cell r="J1347">
            <v>-4.8034585008996204E-3</v>
          </cell>
        </row>
        <row r="1348">
          <cell r="C1348">
            <v>2.5735294117647058E-2</v>
          </cell>
          <cell r="J1348">
            <v>-1.4744879467953539E-3</v>
          </cell>
        </row>
        <row r="1349">
          <cell r="C1349">
            <v>-1.5412186379928356E-2</v>
          </cell>
          <cell r="J1349">
            <v>-6.7990870192567998E-3</v>
          </cell>
        </row>
        <row r="1350">
          <cell r="C1350">
            <v>-5.7517291590825775E-3</v>
          </cell>
          <cell r="J1350">
            <v>-9.0518338198691279E-3</v>
          </cell>
        </row>
        <row r="1351">
          <cell r="C1351">
            <v>-3.3684827182191559E-3</v>
          </cell>
          <cell r="J1351">
            <v>2.8646020243424737E-3</v>
          </cell>
        </row>
        <row r="1352">
          <cell r="C1352">
            <v>6.3556208670095565E-2</v>
          </cell>
          <cell r="J1352">
            <v>4.6852340803789513E-2</v>
          </cell>
        </row>
        <row r="1353">
          <cell r="C1353">
            <v>-1.7271157167530224E-3</v>
          </cell>
          <cell r="J1353">
            <v>6.5427376805843439E-3</v>
          </cell>
        </row>
        <row r="1354">
          <cell r="C1354">
            <v>3.4671280276816548E-2</v>
          </cell>
          <cell r="J1354">
            <v>2.7308671711766701E-2</v>
          </cell>
        </row>
        <row r="1355">
          <cell r="C1355">
            <v>2.3342920206006351E-2</v>
          </cell>
          <cell r="J1355">
            <v>1.1370337606397239E-4</v>
          </cell>
        </row>
        <row r="1356">
          <cell r="C1356">
            <v>-7.8431372549018861E-3</v>
          </cell>
          <cell r="J1356">
            <v>-7.3389976385123271E-3</v>
          </cell>
        </row>
        <row r="1357">
          <cell r="C1357">
            <v>-1.976284584980312E-3</v>
          </cell>
          <cell r="J1357">
            <v>-3.7263476245684834E-3</v>
          </cell>
        </row>
        <row r="1358">
          <cell r="C1358">
            <v>6.8646864686468689E-2</v>
          </cell>
          <cell r="J1358">
            <v>4.2990442206100139E-3</v>
          </cell>
        </row>
        <row r="1359">
          <cell r="C1359">
            <v>1.358863495985169E-2</v>
          </cell>
          <cell r="J1359">
            <v>3.2270572010581304E-3</v>
          </cell>
        </row>
        <row r="1360">
          <cell r="C1360">
            <v>-5.4844606946983891E-3</v>
          </cell>
          <cell r="J1360">
            <v>-1.0606374139242069E-3</v>
          </cell>
        </row>
        <row r="1361">
          <cell r="C1361">
            <v>4.534313725490252E-3</v>
          </cell>
          <cell r="J1361">
            <v>4.8361296888926363E-3</v>
          </cell>
        </row>
        <row r="1362">
          <cell r="C1362">
            <v>3.7635720385506992E-2</v>
          </cell>
          <cell r="J1362">
            <v>9.2428314963158929E-3</v>
          </cell>
        </row>
        <row r="1363">
          <cell r="C1363">
            <v>-1.0934101463758823E-2</v>
          </cell>
          <cell r="J1363">
            <v>8.5575772294381614E-3</v>
          </cell>
        </row>
        <row r="1364">
          <cell r="C1364">
            <v>-5.6463595839523839E-3</v>
          </cell>
          <cell r="J1364">
            <v>6.123364417956284E-4</v>
          </cell>
        </row>
        <row r="1365">
          <cell r="C1365">
            <v>-4.7818290496115436E-3</v>
          </cell>
          <cell r="J1365">
            <v>-8.7204233036228566E-4</v>
          </cell>
        </row>
        <row r="1366">
          <cell r="C1366">
            <v>-6.6066066066074256E-4</v>
          </cell>
          <cell r="J1366">
            <v>4.4060305095984425E-3</v>
          </cell>
        </row>
        <row r="1367">
          <cell r="C1367">
            <v>2.0193521245267226E-2</v>
          </cell>
          <cell r="J1367">
            <v>1.3138262306243681E-3</v>
          </cell>
        </row>
        <row r="1368">
          <cell r="C1368">
            <v>-1.1782032400589101E-2</v>
          </cell>
          <cell r="J1368">
            <v>-1.0294766242488415E-2</v>
          </cell>
        </row>
        <row r="1369">
          <cell r="C1369">
            <v>1.8479880774962709E-2</v>
          </cell>
          <cell r="J1369">
            <v>1.888615402805358E-3</v>
          </cell>
        </row>
        <row r="1370">
          <cell r="C1370">
            <v>-4.6239391278899153E-3</v>
          </cell>
          <cell r="J1370">
            <v>-6.0318267934371221E-4</v>
          </cell>
        </row>
        <row r="1371">
          <cell r="C1371">
            <v>2.9048571092555556E-2</v>
          </cell>
          <cell r="J1371">
            <v>1.5154464181846999E-2</v>
          </cell>
        </row>
        <row r="1372">
          <cell r="C1372">
            <v>3.4285714285713963E-3</v>
          </cell>
          <cell r="J1372">
            <v>8.4313333360441743E-3</v>
          </cell>
        </row>
        <row r="1373">
          <cell r="C1373">
            <v>-4.6127562642368988E-2</v>
          </cell>
          <cell r="J1373">
            <v>-2.1040725142980464E-2</v>
          </cell>
        </row>
        <row r="1374">
          <cell r="C1374">
            <v>-2.6865671641791045E-2</v>
          </cell>
          <cell r="J1374">
            <v>-1.9704712642831673E-2</v>
          </cell>
        </row>
        <row r="1375">
          <cell r="C1375">
            <v>6.1349693251533744E-3</v>
          </cell>
          <cell r="J1375">
            <v>5.7028854002695237E-3</v>
          </cell>
        </row>
        <row r="1376">
          <cell r="C1376">
            <v>1.8292682926829267E-2</v>
          </cell>
          <cell r="J1376">
            <v>5.1897088498892453E-3</v>
          </cell>
        </row>
        <row r="1377">
          <cell r="C1377">
            <v>-3.1137724550898815E-3</v>
          </cell>
          <cell r="J1377">
            <v>-1.1684067195981222E-2</v>
          </cell>
        </row>
        <row r="1378">
          <cell r="C1378">
            <v>-6.0067275348390202E-3</v>
          </cell>
          <cell r="J1378">
            <v>-5.6049924218800765E-3</v>
          </cell>
        </row>
        <row r="1379">
          <cell r="C1379">
            <v>3.1242446217065605E-2</v>
          </cell>
          <cell r="J1379">
            <v>1.0229847656354762E-2</v>
          </cell>
        </row>
        <row r="1380">
          <cell r="C1380">
            <v>4.4008203926164613E-2</v>
          </cell>
          <cell r="J1380">
            <v>-2.5236040003177506E-3</v>
          </cell>
        </row>
        <row r="1381">
          <cell r="C1381">
            <v>1.7343960484957361E-2</v>
          </cell>
          <cell r="J1381">
            <v>-9.4344553860091791E-3</v>
          </cell>
        </row>
        <row r="1382">
          <cell r="C1382">
            <v>3.5586206896551661E-2</v>
          </cell>
          <cell r="J1382">
            <v>-1.8832413474960011E-3</v>
          </cell>
        </row>
        <row r="1383">
          <cell r="C1383">
            <v>-7.7250932338837975E-3</v>
          </cell>
          <cell r="J1383">
            <v>6.2473380926831691E-3</v>
          </cell>
        </row>
        <row r="1384">
          <cell r="C1384">
            <v>1.4711409395973204E-2</v>
          </cell>
          <cell r="J1384">
            <v>-1.4592210925321623E-2</v>
          </cell>
        </row>
        <row r="1385">
          <cell r="C1385">
            <v>-7.8840150272501668E-3</v>
          </cell>
          <cell r="J1385">
            <v>1.3861413625489546E-3</v>
          </cell>
        </row>
        <row r="1386">
          <cell r="C1386">
            <v>-1.4666666666666666E-2</v>
          </cell>
          <cell r="J1386">
            <v>-9.9557800136636145E-4</v>
          </cell>
        </row>
        <row r="1387">
          <cell r="C1387">
            <v>-8.9851150202976959E-2</v>
          </cell>
          <cell r="J1387">
            <v>9.8519746418603803E-3</v>
          </cell>
        </row>
        <row r="1388">
          <cell r="C1388">
            <v>-1.5759738328873063E-2</v>
          </cell>
          <cell r="J1388">
            <v>8.9293992286535312E-3</v>
          </cell>
        </row>
        <row r="1389">
          <cell r="C1389">
            <v>4.8338368580061108E-3</v>
          </cell>
          <cell r="J1389">
            <v>-7.5003573265432968E-3</v>
          </cell>
        </row>
        <row r="1390">
          <cell r="C1390">
            <v>-7.8171978352375906E-3</v>
          </cell>
          <cell r="J1390">
            <v>-1.3191795003583001E-3</v>
          </cell>
        </row>
        <row r="1391">
          <cell r="C1391">
            <v>2.7272727272727271E-2</v>
          </cell>
          <cell r="J1391">
            <v>2.9348686692496706E-3</v>
          </cell>
        </row>
        <row r="1392">
          <cell r="C1392">
            <v>2.9498525073746312E-3</v>
          </cell>
          <cell r="J1392">
            <v>-7.7676510812614162E-4</v>
          </cell>
        </row>
        <row r="1393">
          <cell r="C1393">
            <v>3.2352941176471257E-3</v>
          </cell>
          <cell r="J1393">
            <v>-2.7544256022559352E-3</v>
          </cell>
        </row>
        <row r="1394">
          <cell r="C1394">
            <v>-3.283494576370579E-3</v>
          </cell>
          <cell r="J1394">
            <v>-1.0898063660006168E-3</v>
          </cell>
        </row>
        <row r="1395">
          <cell r="C1395">
            <v>1.5942114242014114E-2</v>
          </cell>
          <cell r="J1395">
            <v>6.6285491434104043E-3</v>
          </cell>
        </row>
        <row r="1396">
          <cell r="C1396">
            <v>3.7463810075275036E-2</v>
          </cell>
          <cell r="J1396">
            <v>6.8048063872541515E-3</v>
          </cell>
        </row>
        <row r="1397">
          <cell r="C1397">
            <v>7.4231177094380343E-3</v>
          </cell>
          <cell r="J1397">
            <v>1.0178516198232216E-4</v>
          </cell>
        </row>
        <row r="1398">
          <cell r="C1398">
            <v>-5.6509695290859292E-3</v>
          </cell>
          <cell r="J1398">
            <v>-2.9234241053746786E-3</v>
          </cell>
        </row>
        <row r="1399">
          <cell r="C1399">
            <v>-1.5712057053710683E-2</v>
          </cell>
          <cell r="J1399">
            <v>-6.1959199735881435E-3</v>
          </cell>
        </row>
        <row r="1400">
          <cell r="C1400">
            <v>1.0415487376882165E-2</v>
          </cell>
          <cell r="J1400">
            <v>-1.1711710327207082E-3</v>
          </cell>
        </row>
        <row r="1401">
          <cell r="C1401">
            <v>3.3613445378150942E-3</v>
          </cell>
          <cell r="J1401">
            <v>4.5756793672852318E-3</v>
          </cell>
        </row>
        <row r="1402">
          <cell r="C1402">
            <v>1.055276381909556E-2</v>
          </cell>
          <cell r="J1402">
            <v>1.7684824669309052E-3</v>
          </cell>
        </row>
        <row r="1403">
          <cell r="C1403">
            <v>2.7073318967897708E-3</v>
          </cell>
          <cell r="J1403">
            <v>-2.6108376518157532E-3</v>
          </cell>
        </row>
        <row r="1404">
          <cell r="C1404">
            <v>-4.8490191756667151E-3</v>
          </cell>
          <cell r="J1404">
            <v>9.3276599223594391E-4</v>
          </cell>
        </row>
        <row r="1405">
          <cell r="C1405">
            <v>7.6965669988926623E-3</v>
          </cell>
          <cell r="J1405">
            <v>6.2750522229730512E-3</v>
          </cell>
        </row>
        <row r="1406">
          <cell r="C1406">
            <v>6.6487169624703524E-3</v>
          </cell>
          <cell r="J1406">
            <v>1.9442469125094909E-4</v>
          </cell>
        </row>
        <row r="1407">
          <cell r="C1407">
            <v>-1.009825327510914E-2</v>
          </cell>
          <cell r="J1407">
            <v>4.3607080298652606E-4</v>
          </cell>
        </row>
        <row r="1408">
          <cell r="C1408">
            <v>1.8472566859663603E-2</v>
          </cell>
          <cell r="J1408">
            <v>-3.5834998041134507E-3</v>
          </cell>
        </row>
        <row r="1409">
          <cell r="C1409">
            <v>-2.06280454791554E-2</v>
          </cell>
          <cell r="J1409">
            <v>8.5446797684920854E-3</v>
          </cell>
        </row>
        <row r="1410">
          <cell r="C1410">
            <v>-1.4594504947758232E-2</v>
          </cell>
          <cell r="J1410">
            <v>-8.0081486513381966E-3</v>
          </cell>
        </row>
        <row r="1411">
          <cell r="C1411">
            <v>1.5371669004207625E-2</v>
          </cell>
          <cell r="J1411">
            <v>4.6511332226343511E-3</v>
          </cell>
        </row>
        <row r="1412">
          <cell r="C1412">
            <v>1.1105585943974754E-2</v>
          </cell>
          <cell r="J1412">
            <v>3.9920210201218713E-3</v>
          </cell>
        </row>
        <row r="1413">
          <cell r="C1413">
            <v>-2.7322404371584699E-3</v>
          </cell>
          <cell r="J1413">
            <v>1.9926119073183581E-3</v>
          </cell>
        </row>
        <row r="1414">
          <cell r="C1414">
            <v>1.9123287671232926E-2</v>
          </cell>
          <cell r="J1414">
            <v>1.2205133804849158E-2</v>
          </cell>
        </row>
        <row r="1415">
          <cell r="C1415">
            <v>4.9518791332867247E-2</v>
          </cell>
          <cell r="J1415">
            <v>1.2402850859804188E-2</v>
          </cell>
        </row>
        <row r="1416">
          <cell r="C1416">
            <v>2.5614754098360658E-3</v>
          </cell>
          <cell r="J1416">
            <v>7.5517476275573179E-3</v>
          </cell>
        </row>
        <row r="1417">
          <cell r="C1417">
            <v>8.3852835973428852E-2</v>
          </cell>
          <cell r="J1417">
            <v>-2.7286201735131589E-3</v>
          </cell>
        </row>
        <row r="1418">
          <cell r="C1418">
            <v>3.0125878082127133E-2</v>
          </cell>
          <cell r="J1418">
            <v>-4.4820740252044956E-3</v>
          </cell>
        </row>
        <row r="1419">
          <cell r="C1419">
            <v>-1.1441647597254004E-2</v>
          </cell>
          <cell r="J1419">
            <v>9.3795515271531665E-3</v>
          </cell>
        </row>
        <row r="1420">
          <cell r="C1420">
            <v>-2.7777777777777776E-2</v>
          </cell>
          <cell r="J1420">
            <v>-7.1728257687245717E-3</v>
          </cell>
        </row>
        <row r="1421">
          <cell r="C1421">
            <v>2.8428571428571425E-2</v>
          </cell>
          <cell r="J1421">
            <v>-4.4801505597064986E-3</v>
          </cell>
        </row>
        <row r="1422">
          <cell r="C1422">
            <v>2.5605408158540545E-2</v>
          </cell>
          <cell r="J1422">
            <v>-2.1887727631199668E-3</v>
          </cell>
        </row>
        <row r="1423">
          <cell r="C1423">
            <v>3.61173814898425E-3</v>
          </cell>
          <cell r="J1423">
            <v>8.5113334040155669E-3</v>
          </cell>
        </row>
        <row r="1424">
          <cell r="C1424">
            <v>1.4304993252361576E-2</v>
          </cell>
          <cell r="J1424">
            <v>1.9854631628860712E-3</v>
          </cell>
        </row>
        <row r="1425">
          <cell r="C1425">
            <v>9.5440837324818215E-2</v>
          </cell>
          <cell r="J1425">
            <v>9.2080948176590724E-3</v>
          </cell>
        </row>
        <row r="1426">
          <cell r="C1426">
            <v>-3.0769230769230747E-2</v>
          </cell>
          <cell r="J1426">
            <v>9.7941569673860012E-3</v>
          </cell>
        </row>
        <row r="1427">
          <cell r="C1427">
            <v>2.3433583959899688E-2</v>
          </cell>
          <cell r="J1427">
            <v>1.6500750132045224E-2</v>
          </cell>
        </row>
        <row r="1428">
          <cell r="C1428">
            <v>1.1387290314681118E-2</v>
          </cell>
          <cell r="J1428">
            <v>8.8761905210556664E-3</v>
          </cell>
        </row>
        <row r="1429">
          <cell r="C1429">
            <v>-1.3317191283293024E-2</v>
          </cell>
          <cell r="J1429">
            <v>6.1869644627799341E-5</v>
          </cell>
        </row>
        <row r="1430">
          <cell r="C1430">
            <v>-1.0265848670756609E-2</v>
          </cell>
          <cell r="J1430">
            <v>-2.522024230856121E-3</v>
          </cell>
        </row>
        <row r="1431">
          <cell r="C1431">
            <v>7.9342121575271193E-3</v>
          </cell>
          <cell r="J1431">
            <v>3.5317569074627046E-4</v>
          </cell>
        </row>
        <row r="1432">
          <cell r="C1432">
            <v>3.7267844696814413E-2</v>
          </cell>
          <cell r="J1432">
            <v>-2.5971124218268668E-3</v>
          </cell>
        </row>
        <row r="1433">
          <cell r="C1433">
            <v>1.1857707509881422E-2</v>
          </cell>
          <cell r="J1433">
            <v>6.7902951148227477E-3</v>
          </cell>
        </row>
        <row r="1434">
          <cell r="C1434">
            <v>-5.859375E-3</v>
          </cell>
          <cell r="J1434">
            <v>4.2558079336592449E-3</v>
          </cell>
        </row>
        <row r="1435">
          <cell r="C1435">
            <v>-5.893909626719057E-3</v>
          </cell>
          <cell r="J1435">
            <v>-7.1947712017982396E-3</v>
          </cell>
        </row>
        <row r="1436">
          <cell r="C1436">
            <v>-2.5691699604743084E-2</v>
          </cell>
          <cell r="J1436">
            <v>-3.9181902807521856E-3</v>
          </cell>
        </row>
        <row r="1437">
          <cell r="C1437">
            <v>2.8397565922920432E-3</v>
          </cell>
          <cell r="J1437">
            <v>9.4713096490573519E-3</v>
          </cell>
        </row>
        <row r="1438">
          <cell r="C1438">
            <v>-1.6990291262135877E-2</v>
          </cell>
          <cell r="J1438">
            <v>4.7533324223147221E-3</v>
          </cell>
        </row>
        <row r="1439">
          <cell r="C1439">
            <v>5.5967078189300502E-2</v>
          </cell>
          <cell r="J1439">
            <v>8.4189752850175395E-3</v>
          </cell>
        </row>
        <row r="1440">
          <cell r="C1440">
            <v>6.1769290724863465E-2</v>
          </cell>
          <cell r="J1440">
            <v>2.0086693501680401E-2</v>
          </cell>
        </row>
        <row r="1441">
          <cell r="C1441">
            <v>4.6430537713342025E-2</v>
          </cell>
          <cell r="J1441">
            <v>1.1782206257977407E-2</v>
          </cell>
        </row>
        <row r="1442">
          <cell r="C1442">
            <v>-2.3149772009821195E-2</v>
          </cell>
          <cell r="J1442">
            <v>2.239594497275794E-3</v>
          </cell>
        </row>
        <row r="1443">
          <cell r="C1443">
            <v>3.3931777378815038E-2</v>
          </cell>
          <cell r="J1443">
            <v>7.4124524144879083E-3</v>
          </cell>
        </row>
        <row r="1444">
          <cell r="C1444">
            <v>-1.7190484459107445E-2</v>
          </cell>
          <cell r="J1444">
            <v>-6.3558662173361282E-3</v>
          </cell>
        </row>
        <row r="1445">
          <cell r="C1445">
            <v>3.5689045936395437E-3</v>
          </cell>
          <cell r="J1445">
            <v>-1.4617899428453233E-2</v>
          </cell>
        </row>
        <row r="1446">
          <cell r="C1446">
            <v>-3.5210027815889955E-5</v>
          </cell>
          <cell r="J1446">
            <v>2.1278506570486955E-2</v>
          </cell>
        </row>
        <row r="1447">
          <cell r="C1447">
            <v>3.4507042253521768E-3</v>
          </cell>
          <cell r="J1447">
            <v>1.1866187320361951E-2</v>
          </cell>
        </row>
        <row r="1448">
          <cell r="C1448">
            <v>-1.6843287248228583E-3</v>
          </cell>
          <cell r="J1448">
            <v>3.9843150836091868E-3</v>
          </cell>
        </row>
        <row r="1449">
          <cell r="C1449">
            <v>-3.5149384885772492E-4</v>
          </cell>
          <cell r="J1449">
            <v>-3.0646452950414955E-3</v>
          </cell>
        </row>
        <row r="1450">
          <cell r="C1450">
            <v>-3.1645569620252366E-3</v>
          </cell>
          <cell r="J1450">
            <v>5.423192682053257E-3</v>
          </cell>
        </row>
        <row r="1451">
          <cell r="C1451">
            <v>7.760141093474387E-3</v>
          </cell>
          <cell r="J1451">
            <v>8.3353427981195053E-3</v>
          </cell>
        </row>
        <row r="1452">
          <cell r="C1452">
            <v>-1.1725586279313846E-2</v>
          </cell>
          <cell r="J1452">
            <v>3.8229561307075695E-3</v>
          </cell>
        </row>
        <row r="1453">
          <cell r="C1453">
            <v>2.1250221356471253E-3</v>
          </cell>
          <cell r="J1453">
            <v>-4.5251207362694461E-3</v>
          </cell>
        </row>
        <row r="1454">
          <cell r="C1454">
            <v>-1.1486128291217529E-2</v>
          </cell>
          <cell r="J1454">
            <v>1.4038146170922701E-3</v>
          </cell>
        </row>
        <row r="1455">
          <cell r="C1455">
            <v>-5.0053628888093579E-3</v>
          </cell>
          <cell r="J1455">
            <v>8.9599501603710302E-3</v>
          </cell>
        </row>
        <row r="1456">
          <cell r="C1456">
            <v>4.3478260869564481E-3</v>
          </cell>
          <cell r="J1456">
            <v>6.0700555005319462E-3</v>
          </cell>
        </row>
        <row r="1457">
          <cell r="C1457">
            <v>1.6063825981181386E-2</v>
          </cell>
          <cell r="J1457">
            <v>2.4485129528582783E-3</v>
          </cell>
        </row>
        <row r="1458">
          <cell r="C1458">
            <v>7.3943661971831789E-3</v>
          </cell>
          <cell r="J1458">
            <v>9.0635710027625466E-3</v>
          </cell>
        </row>
        <row r="1459">
          <cell r="C1459">
            <v>4.0720027962250875E-2</v>
          </cell>
          <cell r="J1459">
            <v>-3.2361858595754667E-3</v>
          </cell>
        </row>
        <row r="1460">
          <cell r="C1460">
            <v>9.4206549118387953E-2</v>
          </cell>
          <cell r="J1460">
            <v>1.8649984520619473E-2</v>
          </cell>
        </row>
        <row r="1461">
          <cell r="C1461">
            <v>-1.1970534069981689E-2</v>
          </cell>
          <cell r="J1461">
            <v>4.8272652175521411E-3</v>
          </cell>
        </row>
        <row r="1462">
          <cell r="C1462">
            <v>-3.3861447654551034E-2</v>
          </cell>
          <cell r="J1462">
            <v>2.8788864583745833E-3</v>
          </cell>
        </row>
        <row r="1463">
          <cell r="C1463">
            <v>-3.263665594855298E-2</v>
          </cell>
          <cell r="J1463">
            <v>-3.5742535311559583E-2</v>
          </cell>
        </row>
        <row r="1464">
          <cell r="C1464">
            <v>9.6426790759514672E-2</v>
          </cell>
          <cell r="J1464">
            <v>4.9644532925272572E-2</v>
          </cell>
        </row>
        <row r="1465">
          <cell r="C1465">
            <v>-1.1701934153883507E-2</v>
          </cell>
          <cell r="J1465">
            <v>8.1950855879338678E-3</v>
          </cell>
        </row>
        <row r="1466">
          <cell r="C1466">
            <v>-7.6687116564417178E-3</v>
          </cell>
          <cell r="J1466">
            <v>1.2734959274208766E-2</v>
          </cell>
        </row>
        <row r="1467">
          <cell r="C1467">
            <v>3.1839258114374068E-2</v>
          </cell>
          <cell r="J1467">
            <v>1.8919501817924841E-2</v>
          </cell>
        </row>
        <row r="1468">
          <cell r="C1468">
            <v>6.6806470940681886E-3</v>
          </cell>
          <cell r="J1468">
            <v>1.2433992947951172E-2</v>
          </cell>
        </row>
        <row r="1469">
          <cell r="C1469">
            <v>-8.9277743058574285E-5</v>
          </cell>
          <cell r="J1469">
            <v>5.2149469194780473E-3</v>
          </cell>
        </row>
        <row r="1470">
          <cell r="C1470">
            <v>3.8690476190476192E-2</v>
          </cell>
          <cell r="J1470">
            <v>2.9823982530122018E-2</v>
          </cell>
        </row>
        <row r="1471">
          <cell r="C1471">
            <v>-2.8366762177650692E-3</v>
          </cell>
          <cell r="J1471">
            <v>7.5294508068581576E-3</v>
          </cell>
        </row>
        <row r="1472">
          <cell r="C1472">
            <v>-2.8734806471052282E-5</v>
          </cell>
          <cell r="J1472">
            <v>8.403547051711582E-3</v>
          </cell>
        </row>
        <row r="1473">
          <cell r="C1473">
            <v>4.3103448275855536E-4</v>
          </cell>
          <cell r="J1473">
            <v>-9.7639009918943209E-3</v>
          </cell>
        </row>
        <row r="1474">
          <cell r="C1474">
            <v>6.6925175929916448E-3</v>
          </cell>
          <cell r="J1474">
            <v>1.7572349562635831E-2</v>
          </cell>
        </row>
        <row r="1475">
          <cell r="C1475">
            <v>9.9805980369778474E-2</v>
          </cell>
          <cell r="J1475">
            <v>3.0414974358863232E-2</v>
          </cell>
        </row>
        <row r="1476">
          <cell r="C1476">
            <v>4.0315467233954294E-2</v>
          </cell>
          <cell r="J1476">
            <v>1.0622653550943866E-3</v>
          </cell>
        </row>
        <row r="1477">
          <cell r="C1477">
            <v>3.967581047381552E-2</v>
          </cell>
          <cell r="J1477">
            <v>1.6339287745249859E-2</v>
          </cell>
        </row>
        <row r="1478">
          <cell r="C1478">
            <v>-4.2958911995394748E-2</v>
          </cell>
          <cell r="J1478">
            <v>-1.1265616309835792E-2</v>
          </cell>
        </row>
        <row r="1479">
          <cell r="C1479">
            <v>-5.7669172932330807E-2</v>
          </cell>
          <cell r="J1479">
            <v>-3.2999975883829434E-2</v>
          </cell>
        </row>
        <row r="1480">
          <cell r="C1480">
            <v>-1.593127476794598E-2</v>
          </cell>
          <cell r="J1480">
            <v>-4.3173651567849497E-2</v>
          </cell>
        </row>
        <row r="1481">
          <cell r="C1481">
            <v>4.2972972972972909E-2</v>
          </cell>
          <cell r="J1481">
            <v>3.0469730504771662E-2</v>
          </cell>
        </row>
        <row r="1482">
          <cell r="C1482">
            <v>4.0424980564913254E-2</v>
          </cell>
          <cell r="J1482">
            <v>4.02807334096408E-2</v>
          </cell>
        </row>
        <row r="1483">
          <cell r="C1483">
            <v>-4.3611457036114548E-2</v>
          </cell>
          <cell r="J1483">
            <v>-1.3250978148495298E-2</v>
          </cell>
        </row>
        <row r="1484">
          <cell r="C1484">
            <v>-2.8620536993150886E-2</v>
          </cell>
          <cell r="J1484">
            <v>-1.7715548333889376E-2</v>
          </cell>
        </row>
        <row r="1485">
          <cell r="C1485">
            <v>2.8418230563002742E-3</v>
          </cell>
          <cell r="J1485">
            <v>8.4027540559366079E-3</v>
          </cell>
        </row>
        <row r="1486">
          <cell r="C1486">
            <v>-1.4970860289793143E-3</v>
          </cell>
          <cell r="J1486">
            <v>3.5094554004726372E-2</v>
          </cell>
        </row>
        <row r="1487">
          <cell r="C1487">
            <v>-1.6064257028112448E-2</v>
          </cell>
          <cell r="J1487">
            <v>-1.1461144032136824E-3</v>
          </cell>
        </row>
        <row r="1488">
          <cell r="C1488">
            <v>2.8544217687074856E-2</v>
          </cell>
          <cell r="J1488">
            <v>1.6340056059878341E-2</v>
          </cell>
        </row>
        <row r="1489">
          <cell r="C1489">
            <v>2.6720283605386145E-3</v>
          </cell>
          <cell r="J1489">
            <v>9.5360935757600452E-4</v>
          </cell>
        </row>
        <row r="1490">
          <cell r="C1490">
            <v>2.5329815303430141E-2</v>
          </cell>
          <cell r="J1490">
            <v>3.9901072117182754E-3</v>
          </cell>
        </row>
        <row r="1491">
          <cell r="C1491">
            <v>-1.291816778178085E-2</v>
          </cell>
          <cell r="J1491">
            <v>-1.1326509108406315E-2</v>
          </cell>
        </row>
        <row r="1492">
          <cell r="C1492">
            <v>-6.3871943271286008E-3</v>
          </cell>
          <cell r="J1492">
            <v>-1.7414285287884641E-3</v>
          </cell>
        </row>
        <row r="1493">
          <cell r="C1493">
            <v>4.1718048959673388E-3</v>
          </cell>
          <cell r="J1493">
            <v>-1.6408238051891493E-2</v>
          </cell>
        </row>
        <row r="1494">
          <cell r="C1494">
            <v>-2.4299749163879773E-3</v>
          </cell>
          <cell r="J1494">
            <v>-1.3230139066265209E-2</v>
          </cell>
        </row>
        <row r="1495">
          <cell r="C1495">
            <v>5.0813274313103998E-3</v>
          </cell>
          <cell r="J1495">
            <v>5.4069549724933509E-3</v>
          </cell>
        </row>
        <row r="1496">
          <cell r="C1496">
            <v>5.9937977223567468E-3</v>
          </cell>
          <cell r="J1496">
            <v>8.6780884558032619E-3</v>
          </cell>
        </row>
        <row r="1497">
          <cell r="C1497">
            <v>-3.8079941973420991E-3</v>
          </cell>
          <cell r="J1497">
            <v>5.0259099925186118E-3</v>
          </cell>
        </row>
        <row r="1498">
          <cell r="C1498">
            <v>1.0349490326607079E-2</v>
          </cell>
          <cell r="J1498">
            <v>-2.6868362011588241E-3</v>
          </cell>
        </row>
        <row r="1499">
          <cell r="C1499">
            <v>-8.7764451536521976E-3</v>
          </cell>
          <cell r="J1499">
            <v>-5.7554121460096728E-3</v>
          </cell>
        </row>
        <row r="1500">
          <cell r="C1500">
            <v>4.9074338535039759E-3</v>
          </cell>
          <cell r="J1500">
            <v>1.2608758824260045E-2</v>
          </cell>
        </row>
        <row r="1501">
          <cell r="C1501">
            <v>9.9994832308407961E-3</v>
          </cell>
          <cell r="J1501">
            <v>4.9685925681223521E-3</v>
          </cell>
        </row>
        <row r="1502">
          <cell r="C1502">
            <v>1.1051702525007019E-2</v>
          </cell>
          <cell r="J1502">
            <v>-6.9279748546374961E-3</v>
          </cell>
        </row>
        <row r="1503">
          <cell r="C1503">
            <v>-1.5940892183902114E-3</v>
          </cell>
          <cell r="J1503">
            <v>-1.3897676723117003E-2</v>
          </cell>
        </row>
        <row r="1504">
          <cell r="C1504">
            <v>-2.1035024583100615E-3</v>
          </cell>
          <cell r="J1504">
            <v>5.2392633050675624E-3</v>
          </cell>
        </row>
        <row r="1505">
          <cell r="C1505">
            <v>3.6342857142857149E-2</v>
          </cell>
          <cell r="J1505">
            <v>7.3896556571292002E-3</v>
          </cell>
        </row>
        <row r="1506">
          <cell r="C1506">
            <v>3.9209920109788332E-3</v>
          </cell>
          <cell r="J1506">
            <v>-1.1839869415598751E-2</v>
          </cell>
        </row>
        <row r="1507">
          <cell r="C1507">
            <v>-2.682712493287118E-2</v>
          </cell>
          <cell r="J1507">
            <v>-1.3125051092174567E-2</v>
          </cell>
        </row>
        <row r="1508">
          <cell r="C1508">
            <v>-2.3779065392429875E-2</v>
          </cell>
          <cell r="J1508">
            <v>-4.8469004294907202E-3</v>
          </cell>
        </row>
        <row r="1509">
          <cell r="C1509">
            <v>8.2992882653717161E-3</v>
          </cell>
          <cell r="J1509">
            <v>1.5419147067434313E-2</v>
          </cell>
        </row>
        <row r="1510">
          <cell r="C1510">
            <v>-2.318943988583724E-3</v>
          </cell>
          <cell r="J1510">
            <v>9.2691755943127042E-3</v>
          </cell>
        </row>
        <row r="1511">
          <cell r="C1511">
            <v>-1.8339250593854581E-2</v>
          </cell>
          <cell r="J1511">
            <v>-1.3222269027557753E-2</v>
          </cell>
        </row>
        <row r="1512">
          <cell r="C1512">
            <v>-8.7424869252984601E-3</v>
          </cell>
          <cell r="J1512">
            <v>-7.1810716944367657E-3</v>
          </cell>
        </row>
        <row r="1513">
          <cell r="C1513">
            <v>-1.1943197627109775E-2</v>
          </cell>
          <cell r="J1513">
            <v>-1.4599673490186937E-2</v>
          </cell>
        </row>
        <row r="1514">
          <cell r="C1514">
            <v>1.6975718612188474E-2</v>
          </cell>
          <cell r="J1514">
            <v>1.9745939208616514E-4</v>
          </cell>
        </row>
        <row r="1515">
          <cell r="C1515">
            <v>1.645725033306328E-3</v>
          </cell>
          <cell r="J1515">
            <v>9.563106276899427E-3</v>
          </cell>
        </row>
        <row r="1516">
          <cell r="C1516">
            <v>1.4708950552889595E-2</v>
          </cell>
          <cell r="J1516">
            <v>1.4656489070504729E-2</v>
          </cell>
        </row>
        <row r="1517">
          <cell r="C1517">
            <v>-5.1403310373185113E-4</v>
          </cell>
          <cell r="J1517">
            <v>-7.5603674635907185E-4</v>
          </cell>
        </row>
        <row r="1518">
          <cell r="C1518">
            <v>-2.1600493725570228E-3</v>
          </cell>
          <cell r="J1518">
            <v>-3.1955739803802472E-3</v>
          </cell>
        </row>
        <row r="1519">
          <cell r="C1519">
            <v>6.7003401711162912E-3</v>
          </cell>
          <cell r="J1519">
            <v>-4.2533994858750578E-3</v>
          </cell>
        </row>
        <row r="1520">
          <cell r="C1520">
            <v>-3.0718820397297909E-4</v>
          </cell>
          <cell r="J1520">
            <v>-3.0491955680183223E-3</v>
          </cell>
        </row>
        <row r="1521">
          <cell r="C1521">
            <v>4.1227081839598839E-3</v>
          </cell>
          <cell r="J1521">
            <v>1.2036043608072854E-2</v>
          </cell>
        </row>
        <row r="1522">
          <cell r="C1522">
            <v>1.1807308800652833E-2</v>
          </cell>
          <cell r="J1522">
            <v>2.2456752447287858E-3</v>
          </cell>
        </row>
        <row r="1523">
          <cell r="C1523">
            <v>1.8651073696945486E-3</v>
          </cell>
          <cell r="J1523">
            <v>3.5001893377273434E-3</v>
          </cell>
        </row>
        <row r="1524">
          <cell r="C1524">
            <v>-2.1635220125786505E-3</v>
          </cell>
          <cell r="J1524">
            <v>-8.2489619230528034E-3</v>
          </cell>
        </row>
        <row r="1525">
          <cell r="C1525">
            <v>2.1303953206938255E-2</v>
          </cell>
          <cell r="J1525">
            <v>1.3556359863345213E-2</v>
          </cell>
        </row>
        <row r="1526">
          <cell r="C1526">
            <v>-5.38152015601459E-3</v>
          </cell>
          <cell r="J1526">
            <v>1.7317399355024677E-3</v>
          </cell>
        </row>
        <row r="1527">
          <cell r="C1527">
            <v>-2.3578466655085387E-3</v>
          </cell>
          <cell r="J1527">
            <v>-5.8130717101804001E-3</v>
          </cell>
        </row>
        <row r="1528">
          <cell r="C1528">
            <v>-7.9609911433971834E-4</v>
          </cell>
          <cell r="J1528">
            <v>-6.8521345031323413E-4</v>
          </cell>
        </row>
        <row r="1529">
          <cell r="C1529">
            <v>-1.0432227865750418E-2</v>
          </cell>
          <cell r="J1529">
            <v>-4.6811374960220743E-3</v>
          </cell>
        </row>
        <row r="1530">
          <cell r="C1530">
            <v>-3.0695684991822129E-3</v>
          </cell>
          <cell r="J1530">
            <v>-1.1167870637139381E-2</v>
          </cell>
        </row>
        <row r="1531">
          <cell r="C1531">
            <v>6.8899376624686707E-3</v>
          </cell>
          <cell r="J1531">
            <v>6.7589161552749927E-3</v>
          </cell>
        </row>
        <row r="1532">
          <cell r="C1532">
            <v>-4.9879687186684188E-3</v>
          </cell>
          <cell r="J1532">
            <v>-4.3464917804793531E-3</v>
          </cell>
        </row>
        <row r="1533">
          <cell r="C1533">
            <v>2.8717535330125355E-3</v>
          </cell>
          <cell r="J1533">
            <v>1.3001078983902173E-2</v>
          </cell>
        </row>
        <row r="1534">
          <cell r="C1534">
            <v>-5.2498053301852044E-3</v>
          </cell>
          <cell r="J1534">
            <v>6.0285008298950407E-3</v>
          </cell>
        </row>
        <row r="1535">
          <cell r="C1535">
            <v>-4.4947224887631251E-3</v>
          </cell>
          <cell r="J1535">
            <v>-3.7028392805163506E-4</v>
          </cell>
        </row>
        <row r="1536">
          <cell r="C1536">
            <v>-3.6272321428571599E-3</v>
          </cell>
          <cell r="J1536">
            <v>-1.5624844236882102E-3</v>
          </cell>
        </row>
        <row r="1537">
          <cell r="C1537">
            <v>-1.1481377765331816E-2</v>
          </cell>
          <cell r="J1537">
            <v>-8.1557110208783305E-4</v>
          </cell>
        </row>
        <row r="1538">
          <cell r="C1538">
            <v>1.3185681174349741E-2</v>
          </cell>
          <cell r="J1538">
            <v>8.8504542333256702E-3</v>
          </cell>
        </row>
        <row r="1539">
          <cell r="C1539">
            <v>1.0345178181078728E-2</v>
          </cell>
          <cell r="J1539">
            <v>3.8397229956945978E-3</v>
          </cell>
        </row>
        <row r="1540">
          <cell r="C1540">
            <v>-7.3460967571511628E-3</v>
          </cell>
          <cell r="J1540">
            <v>5.7420979075210668E-3</v>
          </cell>
        </row>
        <row r="1541">
          <cell r="C1541">
            <v>1.429404161492254E-2</v>
          </cell>
          <cell r="J1541">
            <v>6.8976146989847388E-3</v>
          </cell>
        </row>
        <row r="1542">
          <cell r="C1542">
            <v>-2.0988980785087204E-3</v>
          </cell>
          <cell r="J1542">
            <v>8.3156490251501281E-3</v>
          </cell>
        </row>
        <row r="1543">
          <cell r="C1543">
            <v>-4.2542003655757839E-2</v>
          </cell>
          <cell r="J1543">
            <v>6.7450438032845474E-3</v>
          </cell>
        </row>
        <row r="1544">
          <cell r="C1544">
            <v>-1.093153407605002E-2</v>
          </cell>
          <cell r="J1544">
            <v>-2.7581934359223819E-3</v>
          </cell>
        </row>
        <row r="1545">
          <cell r="C1545">
            <v>-1.4304600740348937E-2</v>
          </cell>
          <cell r="J1545">
            <v>-1.6907490220122577E-2</v>
          </cell>
        </row>
        <row r="1546">
          <cell r="C1546">
            <v>2.5215268649910073E-3</v>
          </cell>
          <cell r="J1546">
            <v>1.6622348990833439E-3</v>
          </cell>
        </row>
        <row r="1547">
          <cell r="C1547">
            <v>9.6326224814694244E-4</v>
          </cell>
          <cell r="J1547">
            <v>9.7668613482768188E-3</v>
          </cell>
        </row>
        <row r="1548">
          <cell r="C1548">
            <v>-1.1574754738164571E-2</v>
          </cell>
          <cell r="J1548">
            <v>2.9242867020271853E-4</v>
          </cell>
        </row>
        <row r="1549">
          <cell r="C1549">
            <v>-5.1384681955862653E-3</v>
          </cell>
          <cell r="J1549">
            <v>9.6035244160457747E-3</v>
          </cell>
        </row>
        <row r="1550">
          <cell r="C1550">
            <v>6.8504322296525358E-3</v>
          </cell>
          <cell r="J1550">
            <v>-1.2313126549597694E-3</v>
          </cell>
        </row>
        <row r="1551">
          <cell r="C1551">
            <v>-1.4849613910038339E-2</v>
          </cell>
          <cell r="J1551">
            <v>-3.2680492889820702E-2</v>
          </cell>
        </row>
        <row r="1552">
          <cell r="C1552">
            <v>-5.7279105459328407E-3</v>
          </cell>
          <cell r="J1552">
            <v>5.4211362351359125E-3</v>
          </cell>
        </row>
        <row r="1553">
          <cell r="C1553">
            <v>-4.6583422916838873E-3</v>
          </cell>
          <cell r="J1553">
            <v>-1.1938379552823303E-2</v>
          </cell>
        </row>
        <row r="1554">
          <cell r="C1554">
            <v>3.9324286901134282E-3</v>
          </cell>
          <cell r="J1554">
            <v>1.7836124729267266E-2</v>
          </cell>
        </row>
        <row r="1555">
          <cell r="C1555">
            <v>-1.8481738938541291E-2</v>
          </cell>
          <cell r="J1555">
            <v>-1.1497453162819547E-2</v>
          </cell>
        </row>
        <row r="1556">
          <cell r="C1556">
            <v>-1.1269743128548117E-2</v>
          </cell>
          <cell r="J1556">
            <v>1.3379760081836476E-2</v>
          </cell>
        </row>
        <row r="1557">
          <cell r="C1557">
            <v>2.6434723288138676E-3</v>
          </cell>
          <cell r="J1557">
            <v>3.3117954079232761E-3</v>
          </cell>
        </row>
        <row r="1558">
          <cell r="C1558">
            <v>1.8710665079094181E-3</v>
          </cell>
          <cell r="J1558">
            <v>-6.4687370210360856E-3</v>
          </cell>
        </row>
        <row r="1559">
          <cell r="C1559">
            <v>-3.791737408036149E-3</v>
          </cell>
          <cell r="J1559">
            <v>7.5936835433098974E-3</v>
          </cell>
        </row>
        <row r="1560">
          <cell r="C1560">
            <v>-2.1132761461114577E-2</v>
          </cell>
          <cell r="J1560">
            <v>3.5453891677522009E-3</v>
          </cell>
        </row>
        <row r="1561">
          <cell r="C1561">
            <v>-3.5981660959898123E-3</v>
          </cell>
          <cell r="J1561">
            <v>9.1018593521969941E-3</v>
          </cell>
        </row>
        <row r="1562">
          <cell r="C1562">
            <v>4.8954511037334739E-2</v>
          </cell>
          <cell r="J1562">
            <v>3.9676177517486969E-4</v>
          </cell>
        </row>
        <row r="1563">
          <cell r="C1563">
            <v>-4.469863127793702E-3</v>
          </cell>
          <cell r="J1563">
            <v>-1.0168001698888939E-2</v>
          </cell>
        </row>
        <row r="1564">
          <cell r="C1564">
            <v>-1.1545540744045922E-2</v>
          </cell>
          <cell r="J1564">
            <v>-1.8821141869796009E-2</v>
          </cell>
        </row>
        <row r="1565">
          <cell r="C1565">
            <v>1.2555016363841522E-2</v>
          </cell>
          <cell r="J1565">
            <v>3.9082829376710796E-3</v>
          </cell>
        </row>
        <row r="1566">
          <cell r="C1566">
            <v>-1.5325029953467955E-3</v>
          </cell>
          <cell r="J1566">
            <v>-1.2171628228616612E-2</v>
          </cell>
        </row>
        <row r="1567">
          <cell r="C1567">
            <v>-4.7440977842272388E-3</v>
          </cell>
          <cell r="J1567">
            <v>7.0862034350920745E-3</v>
          </cell>
        </row>
        <row r="1568">
          <cell r="C1568">
            <v>-1.6711529834006224E-2</v>
          </cell>
          <cell r="J1568">
            <v>-3.0865610803242276E-2</v>
          </cell>
        </row>
        <row r="1569">
          <cell r="C1569">
            <v>3.3648910687806739E-3</v>
          </cell>
          <cell r="J1569">
            <v>2.5037686417744984E-2</v>
          </cell>
        </row>
        <row r="1570">
          <cell r="C1570">
            <v>1.2931279486159299E-2</v>
          </cell>
          <cell r="J1570">
            <v>-1.0252910380622287E-4</v>
          </cell>
        </row>
        <row r="1571">
          <cell r="C1571">
            <v>6.1726663112698975E-4</v>
          </cell>
          <cell r="J1571">
            <v>-4.6776469944850374E-3</v>
          </cell>
        </row>
        <row r="1572">
          <cell r="C1572">
            <v>-1.5141743543729369E-3</v>
          </cell>
          <cell r="J1572">
            <v>-3.1342138767163505E-2</v>
          </cell>
        </row>
        <row r="1573">
          <cell r="C1573">
            <v>-6.9617231598753021E-2</v>
          </cell>
          <cell r="J1573">
            <v>-5.8924344665160597E-2</v>
          </cell>
        </row>
        <row r="1574">
          <cell r="C1574">
            <v>1.9197102324177522E-2</v>
          </cell>
          <cell r="J1574">
            <v>3.5235507088887619E-2</v>
          </cell>
        </row>
        <row r="1575">
          <cell r="C1575">
            <v>0.1000118462358585</v>
          </cell>
          <cell r="J1575">
            <v>9.4454154452956379E-2</v>
          </cell>
        </row>
        <row r="1576">
          <cell r="C1576">
            <v>-7.1076649705193069E-3</v>
          </cell>
          <cell r="J1576">
            <v>1.0896715563037781E-2</v>
          </cell>
        </row>
        <row r="1577">
          <cell r="C1577">
            <v>9.6803058651264758E-3</v>
          </cell>
          <cell r="J1577">
            <v>-3.3193931751219059E-4</v>
          </cell>
        </row>
        <row r="1578">
          <cell r="C1578">
            <v>3.22268772155975E-3</v>
          </cell>
          <cell r="J1578">
            <v>1.2024816316117948E-2</v>
          </cell>
        </row>
        <row r="1579">
          <cell r="C1579">
            <v>-1.3920119927187034E-2</v>
          </cell>
          <cell r="J1579">
            <v>-2.6072442494455453E-3</v>
          </cell>
        </row>
        <row r="1580">
          <cell r="C1580">
            <v>-6.0267129981540534E-3</v>
          </cell>
          <cell r="J1580">
            <v>3.3840610973054412E-4</v>
          </cell>
        </row>
        <row r="1581">
          <cell r="C1581">
            <v>-1.0214671983394355E-2</v>
          </cell>
          <cell r="J1581">
            <v>-6.0030263273434794E-3</v>
          </cell>
        </row>
        <row r="1582">
          <cell r="C1582">
            <v>3.0353200883005975E-4</v>
          </cell>
          <cell r="J1582">
            <v>8.0719582977820063E-3</v>
          </cell>
        </row>
        <row r="1583">
          <cell r="C1583">
            <v>-1.5447849714490698E-3</v>
          </cell>
          <cell r="J1583">
            <v>-6.4905405137235285E-3</v>
          </cell>
        </row>
        <row r="1584">
          <cell r="C1584">
            <v>-5.2769719574525991E-3</v>
          </cell>
          <cell r="J1584">
            <v>-4.2273365413081652E-4</v>
          </cell>
        </row>
        <row r="1585">
          <cell r="C1585">
            <v>-7.2214198422398141E-3</v>
          </cell>
          <cell r="J1585">
            <v>-7.4015972941664778E-3</v>
          </cell>
        </row>
        <row r="1586">
          <cell r="C1586">
            <v>-1.2029991047448714E-3</v>
          </cell>
          <cell r="J1586">
            <v>9.4560092139211798E-4</v>
          </cell>
        </row>
        <row r="1587">
          <cell r="C1587">
            <v>6.5824486709056404E-3</v>
          </cell>
          <cell r="J1587">
            <v>5.395793951150191E-3</v>
          </cell>
        </row>
        <row r="1588">
          <cell r="C1588">
            <v>2.2345280498664216E-2</v>
          </cell>
          <cell r="J1588">
            <v>6.0491844217026008E-3</v>
          </cell>
        </row>
        <row r="1589">
          <cell r="C1589">
            <v>-5.4438063093715126E-3</v>
          </cell>
          <cell r="J1589">
            <v>-6.7948249113613957E-3</v>
          </cell>
        </row>
        <row r="1590">
          <cell r="C1590">
            <v>1.7926051616081479E-2</v>
          </cell>
          <cell r="J1590">
            <v>1.3232578897609214E-2</v>
          </cell>
        </row>
        <row r="1591">
          <cell r="C1591">
            <v>7.6625262139055298E-3</v>
          </cell>
          <cell r="J1591">
            <v>1.1191284878224624E-2</v>
          </cell>
        </row>
        <row r="1592">
          <cell r="C1592">
            <v>-4.9627791563275798E-3</v>
          </cell>
          <cell r="J1592">
            <v>-1.2961532401737008E-3</v>
          </cell>
        </row>
        <row r="1593">
          <cell r="C1593">
            <v>1.6356957069691272E-2</v>
          </cell>
          <cell r="J1593">
            <v>3.152226634111873E-3</v>
          </cell>
        </row>
        <row r="1594">
          <cell r="C1594">
            <v>1.883755903226669E-2</v>
          </cell>
          <cell r="J1594">
            <v>1.9080112148025352E-2</v>
          </cell>
        </row>
        <row r="1595">
          <cell r="C1595">
            <v>-7.4060646865370524E-3</v>
          </cell>
          <cell r="J1595">
            <v>-2.0872891521115404E-3</v>
          </cell>
        </row>
        <row r="1596">
          <cell r="C1596">
            <v>-1.2313793013487848E-2</v>
          </cell>
          <cell r="J1596">
            <v>-1.5710379431188356E-2</v>
          </cell>
        </row>
        <row r="1597">
          <cell r="C1597">
            <v>-2.5621384611320174E-3</v>
          </cell>
          <cell r="J1597">
            <v>6.696218229088407E-4</v>
          </cell>
        </row>
        <row r="1598">
          <cell r="C1598">
            <v>-2.7011281182140294E-3</v>
          </cell>
          <cell r="J1598">
            <v>-2.080746581560545E-3</v>
          </cell>
        </row>
        <row r="1599">
          <cell r="C1599">
            <v>-5.4434413170472949E-3</v>
          </cell>
          <cell r="J1599">
            <v>-1.2339896421314441E-2</v>
          </cell>
        </row>
        <row r="1600">
          <cell r="C1600">
            <v>2.4028834601521219E-3</v>
          </cell>
          <cell r="J1600">
            <v>-3.8462327066249896E-3</v>
          </cell>
        </row>
        <row r="1601">
          <cell r="C1601">
            <v>-3.7288587028898052E-3</v>
          </cell>
          <cell r="J1601">
            <v>1.7207961928162327E-4</v>
          </cell>
        </row>
        <row r="1602">
          <cell r="C1602">
            <v>-5.9885042106670476E-3</v>
          </cell>
          <cell r="J1602">
            <v>-3.2125195087218145E-2</v>
          </cell>
        </row>
        <row r="1603">
          <cell r="C1603">
            <v>1.6164169871708645E-2</v>
          </cell>
          <cell r="J1603">
            <v>5.2331087179569274E-2</v>
          </cell>
        </row>
        <row r="1604">
          <cell r="C1604">
            <v>8.2049653274046447E-4</v>
          </cell>
          <cell r="J1604">
            <v>4.2127947238468069E-3</v>
          </cell>
        </row>
        <row r="1605">
          <cell r="C1605">
            <v>-7.9337793880339345E-5</v>
          </cell>
          <cell r="J1605">
            <v>-5.825761206839474E-3</v>
          </cell>
        </row>
        <row r="1606">
          <cell r="C1606">
            <v>2.2322137000793434E-2</v>
          </cell>
          <cell r="J1606">
            <v>1.9112475691634156E-2</v>
          </cell>
        </row>
        <row r="1607">
          <cell r="C1607">
            <v>1.5186009209913604E-2</v>
          </cell>
          <cell r="J1607">
            <v>1.0035772095739184E-2</v>
          </cell>
        </row>
        <row r="1608">
          <cell r="C1608">
            <v>5.0431946178741527E-2</v>
          </cell>
          <cell r="J1608">
            <v>2.0474210583670025E-2</v>
          </cell>
        </row>
        <row r="1609">
          <cell r="C1609">
            <v>3.8816108685104872E-3</v>
          </cell>
          <cell r="J1609">
            <v>1.6728623520401033E-2</v>
          </cell>
        </row>
        <row r="1610">
          <cell r="C1610">
            <v>-1.4499758337361594E-4</v>
          </cell>
          <cell r="J1610">
            <v>2.6286589420321336E-3</v>
          </cell>
        </row>
        <row r="1611">
          <cell r="C1611">
            <v>-2.1462754386812964E-2</v>
          </cell>
          <cell r="J1611">
            <v>9.6597464500201794E-3</v>
          </cell>
        </row>
        <row r="1612">
          <cell r="C1612">
            <v>8.6449636911524966E-3</v>
          </cell>
          <cell r="J1612">
            <v>1.0770065357040103E-2</v>
          </cell>
        </row>
        <row r="1613">
          <cell r="C1613">
            <v>-5.2404740914878695E-3</v>
          </cell>
          <cell r="J1613">
            <v>2.4765659724783139E-4</v>
          </cell>
        </row>
        <row r="1614">
          <cell r="C1614">
            <v>-1.0363842252966462E-2</v>
          </cell>
          <cell r="J1614">
            <v>-6.193330159496125E-3</v>
          </cell>
        </row>
        <row r="1615">
          <cell r="C1615">
            <v>6.8157508519688789E-3</v>
          </cell>
          <cell r="J1615">
            <v>9.0917744543584107E-3</v>
          </cell>
        </row>
        <row r="1616">
          <cell r="C1616">
            <v>2.4706609017912293E-3</v>
          </cell>
          <cell r="J1616">
            <v>3.8677003257679078E-3</v>
          </cell>
        </row>
        <row r="1617">
          <cell r="C1617">
            <v>1.6709796672828028E-2</v>
          </cell>
          <cell r="J1617">
            <v>1.640196405399651E-2</v>
          </cell>
        </row>
        <row r="1618">
          <cell r="C1618">
            <v>7.2964390468573141E-3</v>
          </cell>
          <cell r="J1618">
            <v>-4.1220475368407682E-3</v>
          </cell>
        </row>
        <row r="1619">
          <cell r="C1619">
            <v>5.4387062617317142E-2</v>
          </cell>
          <cell r="J1619">
            <v>3.23738699784049E-3</v>
          </cell>
        </row>
        <row r="1620">
          <cell r="C1620">
            <v>2.9214406354133408E-2</v>
          </cell>
          <cell r="J1620">
            <v>1.675854599469408E-2</v>
          </cell>
        </row>
        <row r="1621">
          <cell r="C1621">
            <v>4.1291524371313268E-2</v>
          </cell>
          <cell r="J1621">
            <v>-4.9139836513057659E-4</v>
          </cell>
        </row>
        <row r="1622">
          <cell r="C1622">
            <v>-1.4758497316636867E-2</v>
          </cell>
          <cell r="J1622">
            <v>-2.7401676337846471E-3</v>
          </cell>
        </row>
        <row r="1623">
          <cell r="C1623">
            <v>1.4633724574714095E-2</v>
          </cell>
          <cell r="J1623">
            <v>8.6967952991219896E-3</v>
          </cell>
        </row>
        <row r="1624">
          <cell r="C1624">
            <v>-1.6190881976991711E-3</v>
          </cell>
          <cell r="J1624">
            <v>-1.185414134293848E-3</v>
          </cell>
        </row>
        <row r="1625">
          <cell r="C1625">
            <v>-1.1565380675998547E-2</v>
          </cell>
          <cell r="J1625">
            <v>-4.0335541379097452E-3</v>
          </cell>
        </row>
        <row r="1626">
          <cell r="C1626">
            <v>-6.2605241569884816E-4</v>
          </cell>
          <cell r="J1626">
            <v>3.7105782158492985E-3</v>
          </cell>
        </row>
        <row r="1627">
          <cell r="C1627">
            <v>2.2033568790097461E-3</v>
          </cell>
          <cell r="J1627">
            <v>1.2410268714356885E-3</v>
          </cell>
        </row>
        <row r="1628">
          <cell r="C1628">
            <v>7.5008082767540002E-3</v>
          </cell>
          <cell r="J1628">
            <v>-1.0153891453339883E-2</v>
          </cell>
        </row>
        <row r="1629">
          <cell r="C1629">
            <v>-7.038487046188778E-3</v>
          </cell>
          <cell r="J1629">
            <v>3.2431458427696334E-3</v>
          </cell>
        </row>
        <row r="1630">
          <cell r="C1630">
            <v>-1.4090576119274278E-2</v>
          </cell>
          <cell r="J1630">
            <v>7.0670767941422297E-3</v>
          </cell>
        </row>
        <row r="1631">
          <cell r="C1631">
            <v>1.901223776223786E-3</v>
          </cell>
          <cell r="J1631">
            <v>1.1798228314399207E-2</v>
          </cell>
        </row>
        <row r="1632">
          <cell r="C1632">
            <v>5.1693676794554661E-3</v>
          </cell>
          <cell r="J1632">
            <v>7.2157985203386635E-3</v>
          </cell>
        </row>
        <row r="1633">
          <cell r="C1633">
            <v>2.0788126030726588E-2</v>
          </cell>
          <cell r="J1633">
            <v>6.9305988356712879E-3</v>
          </cell>
        </row>
        <row r="1634">
          <cell r="C1634">
            <v>-1.0394966200416741E-2</v>
          </cell>
          <cell r="J1634">
            <v>1.4341237316146475E-2</v>
          </cell>
        </row>
        <row r="1635">
          <cell r="C1635">
            <v>-3.4691641784632521E-2</v>
          </cell>
          <cell r="J1635">
            <v>3.8503396203008093E-3</v>
          </cell>
        </row>
        <row r="1636">
          <cell r="C1636">
            <v>8.5673594730518113E-3</v>
          </cell>
          <cell r="J1636">
            <v>-1.8149343680900674E-3</v>
          </cell>
        </row>
        <row r="1637">
          <cell r="C1637">
            <v>-2.1622575734175104E-3</v>
          </cell>
          <cell r="J1637">
            <v>1.0641148746619327E-2</v>
          </cell>
        </row>
        <row r="1638">
          <cell r="C1638">
            <v>-1.1055831951354339E-2</v>
          </cell>
          <cell r="J1638">
            <v>5.1364651319297128E-4</v>
          </cell>
        </row>
        <row r="1639">
          <cell r="C1639">
            <v>-1.0665176076020083E-2</v>
          </cell>
          <cell r="J1639">
            <v>-3.2379782743902244E-3</v>
          </cell>
        </row>
        <row r="1640">
          <cell r="C1640">
            <v>-3.3899837280788761E-4</v>
          </cell>
          <cell r="J1640">
            <v>-2.5714991765123996E-4</v>
          </cell>
        </row>
        <row r="1641">
          <cell r="C1641">
            <v>4.498903533560937E-3</v>
          </cell>
          <cell r="J1641">
            <v>1.1637456692918279E-2</v>
          </cell>
        </row>
        <row r="1642">
          <cell r="C1642">
            <v>-6.2567518905292871E-3</v>
          </cell>
          <cell r="J1642">
            <v>1.0623266068100613E-2</v>
          </cell>
        </row>
        <row r="1643">
          <cell r="C1643">
            <v>-1.1052226298863059E-2</v>
          </cell>
          <cell r="J1643">
            <v>5.4767035619438372E-3</v>
          </cell>
        </row>
        <row r="1644">
          <cell r="C1644">
            <v>-6.2291027343929538E-3</v>
          </cell>
          <cell r="J1644">
            <v>-9.0027292467678051E-3</v>
          </cell>
        </row>
        <row r="1645">
          <cell r="C1645">
            <v>7.3282020555837371E-3</v>
          </cell>
          <cell r="J1645">
            <v>1.7274066646578129E-3</v>
          </cell>
        </row>
        <row r="1646">
          <cell r="C1646">
            <v>-1.0752196193265632E-3</v>
          </cell>
          <cell r="J1646">
            <v>-4.5336552746997084E-3</v>
          </cell>
        </row>
        <row r="1647">
          <cell r="C1647">
            <v>1.1863048207946885E-2</v>
          </cell>
          <cell r="J1647">
            <v>-2.55518064639989E-3</v>
          </cell>
        </row>
        <row r="1648">
          <cell r="C1648">
            <v>-3.1007401036597889E-3</v>
          </cell>
          <cell r="J1648">
            <v>-6.3396747372217784E-3</v>
          </cell>
        </row>
        <row r="1649">
          <cell r="C1649">
            <v>-9.1268219588611504E-3</v>
          </cell>
          <cell r="J1649">
            <v>-1.0204480818648003E-3</v>
          </cell>
        </row>
        <row r="1650">
          <cell r="C1650">
            <v>-2.9786454037209116E-4</v>
          </cell>
          <cell r="J1650">
            <v>8.6482255887466875E-3</v>
          </cell>
        </row>
        <row r="1651">
          <cell r="C1651">
            <v>-6.3257775434896997E-3</v>
          </cell>
          <cell r="J1651">
            <v>9.1062455649654154E-3</v>
          </cell>
        </row>
        <row r="1652">
          <cell r="C1652">
            <v>1.3170337907969044E-2</v>
          </cell>
          <cell r="J1652">
            <v>6.6969556073892744E-3</v>
          </cell>
        </row>
        <row r="1653">
          <cell r="C1653">
            <v>1.4547193006419858E-2</v>
          </cell>
          <cell r="J1653">
            <v>8.1231733788824124E-3</v>
          </cell>
        </row>
        <row r="1654">
          <cell r="C1654">
            <v>1.1309323460114486E-2</v>
          </cell>
          <cell r="J1654">
            <v>3.0475313445536712E-3</v>
          </cell>
        </row>
        <row r="1655">
          <cell r="C1655">
            <v>-8.0099403137411825E-3</v>
          </cell>
          <cell r="J1655">
            <v>1.0555545802947781E-2</v>
          </cell>
        </row>
        <row r="1656">
          <cell r="C1656">
            <v>6.5983716560794239E-3</v>
          </cell>
          <cell r="J1656">
            <v>1.1732907502398736E-2</v>
          </cell>
        </row>
        <row r="1657">
          <cell r="C1657">
            <v>1.5687843032686714E-2</v>
          </cell>
          <cell r="J1657">
            <v>3.0509847341209299E-3</v>
          </cell>
        </row>
        <row r="1658">
          <cell r="C1658">
            <v>-2.6690586099017053E-3</v>
          </cell>
          <cell r="J1658">
            <v>2.9206674121360801E-3</v>
          </cell>
        </row>
        <row r="1659">
          <cell r="C1659">
            <v>-6.4053348542347944E-3</v>
          </cell>
          <cell r="J1659">
            <v>-5.6014871915057649E-3</v>
          </cell>
        </row>
        <row r="1660">
          <cell r="C1660">
            <v>-1.3158185230157809E-2</v>
          </cell>
          <cell r="J1660">
            <v>-1.0897568707820628E-2</v>
          </cell>
        </row>
        <row r="1661">
          <cell r="C1661">
            <v>2.0626859661289895E-2</v>
          </cell>
          <cell r="J1661">
            <v>6.1177926477318572E-3</v>
          </cell>
        </row>
        <row r="1662">
          <cell r="C1662">
            <v>-7.9349422415115941E-3</v>
          </cell>
          <cell r="J1662">
            <v>5.1254783938581069E-3</v>
          </cell>
        </row>
        <row r="1663">
          <cell r="C1663">
            <v>-2.8723568792946258E-4</v>
          </cell>
          <cell r="J1663">
            <v>-2.0040857738496492E-5</v>
          </cell>
        </row>
        <row r="1664">
          <cell r="C1664">
            <v>1.5249966847898106E-3</v>
          </cell>
          <cell r="J1664">
            <v>1.1369476880230319E-2</v>
          </cell>
        </row>
        <row r="1665">
          <cell r="C1665">
            <v>-3.3101621979476996E-3</v>
          </cell>
          <cell r="J1665">
            <v>5.3123239394489718E-4</v>
          </cell>
        </row>
        <row r="1666">
          <cell r="C1666">
            <v>-6.465183217092791E-3</v>
          </cell>
          <cell r="J1666">
            <v>-3.0544672405984023E-3</v>
          </cell>
        </row>
        <row r="1667">
          <cell r="C1667">
            <v>-2.8302097029394928E-3</v>
          </cell>
          <cell r="J1667">
            <v>2.4776798096609477E-3</v>
          </cell>
        </row>
        <row r="1668">
          <cell r="C1668">
            <v>-7.9336700487193379E-3</v>
          </cell>
          <cell r="J1668">
            <v>1.8465918174190318E-3</v>
          </cell>
        </row>
        <row r="1669">
          <cell r="C1669">
            <v>-3.8971863666058841E-3</v>
          </cell>
          <cell r="J1669">
            <v>6.5939195265016862E-3</v>
          </cell>
        </row>
        <row r="1670">
          <cell r="C1670">
            <v>2.5690895110588478E-2</v>
          </cell>
          <cell r="J1670">
            <v>1.8689906566476656E-2</v>
          </cell>
        </row>
        <row r="1671">
          <cell r="C1671">
            <v>3.1044670811835744E-2</v>
          </cell>
          <cell r="J1671">
            <v>9.8033971041746795E-3</v>
          </cell>
        </row>
        <row r="1672">
          <cell r="C1672">
            <v>-1.0221975107993733E-2</v>
          </cell>
          <cell r="J1672">
            <v>1.0045304880404442E-2</v>
          </cell>
        </row>
        <row r="1673">
          <cell r="C1673">
            <v>3.8026099732089876E-3</v>
          </cell>
          <cell r="J1673">
            <v>8.8674129312198743E-4</v>
          </cell>
        </row>
        <row r="1674">
          <cell r="C1674">
            <v>-2.4321997417132918E-3</v>
          </cell>
          <cell r="J1674">
            <v>1.7201667178418062E-2</v>
          </cell>
        </row>
        <row r="1675">
          <cell r="C1675">
            <v>3.9312145338425288E-2</v>
          </cell>
          <cell r="J1675">
            <v>2.970093767788516E-3</v>
          </cell>
        </row>
        <row r="1676">
          <cell r="C1676">
            <v>1.0234798314268528E-2</v>
          </cell>
          <cell r="J1676">
            <v>-7.3238035420544511E-3</v>
          </cell>
        </row>
        <row r="1677">
          <cell r="C1677">
            <v>-8.425465455591679E-3</v>
          </cell>
          <cell r="J1677">
            <v>-9.4106546666006367E-3</v>
          </cell>
        </row>
        <row r="1678">
          <cell r="C1678">
            <v>-1.4797314100969881E-2</v>
          </cell>
          <cell r="J1678">
            <v>-5.4581424563145504E-3</v>
          </cell>
        </row>
        <row r="1679">
          <cell r="C1679">
            <v>-4.6278766460509582E-4</v>
          </cell>
          <cell r="J1679">
            <v>-4.4530433375134584E-3</v>
          </cell>
        </row>
        <row r="1680">
          <cell r="C1680">
            <v>1.2374779021803171E-2</v>
          </cell>
          <cell r="J1680">
            <v>-8.7073053369152893E-3</v>
          </cell>
        </row>
        <row r="1681">
          <cell r="C1681">
            <v>-1.4551804423748545E-2</v>
          </cell>
          <cell r="J1681">
            <v>-2.8539679073078552E-2</v>
          </cell>
        </row>
        <row r="1682">
          <cell r="C1682">
            <v>6.7504851911230875E-3</v>
          </cell>
          <cell r="J1682">
            <v>4.4385560473259013E-2</v>
          </cell>
        </row>
        <row r="1683">
          <cell r="C1683">
            <v>1.0895985248512255E-2</v>
          </cell>
          <cell r="J1683">
            <v>1.2712415974230897E-3</v>
          </cell>
        </row>
        <row r="1684">
          <cell r="C1684">
            <v>-8.8715695215984842E-3</v>
          </cell>
          <cell r="J1684">
            <v>-7.494037832198419E-3</v>
          </cell>
        </row>
        <row r="1685">
          <cell r="C1685">
            <v>-1.9449556633762898E-3</v>
          </cell>
          <cell r="J1685">
            <v>-3.8827637640174765E-3</v>
          </cell>
        </row>
        <row r="1686">
          <cell r="C1686">
            <v>7.1034930746180797E-3</v>
          </cell>
          <cell r="J1686">
            <v>1.4875442458778441E-2</v>
          </cell>
        </row>
        <row r="1687">
          <cell r="C1687">
            <v>1.3232907494486317E-2</v>
          </cell>
          <cell r="J1687">
            <v>6.6404034914931635E-3</v>
          </cell>
        </row>
        <row r="1688">
          <cell r="C1688">
            <v>-2.1048092324120086E-2</v>
          </cell>
          <cell r="J1688">
            <v>-4.7419482042174834E-3</v>
          </cell>
        </row>
        <row r="1689">
          <cell r="C1689">
            <v>2.6639817087239772E-3</v>
          </cell>
          <cell r="J1689">
            <v>-1.1785237732934443E-2</v>
          </cell>
        </row>
        <row r="1690">
          <cell r="C1690">
            <v>-1.5062761506276722E-3</v>
          </cell>
          <cell r="J1690">
            <v>-7.8150361251302473E-3</v>
          </cell>
        </row>
        <row r="1691">
          <cell r="C1691">
            <v>-1.7809252430438442E-3</v>
          </cell>
          <cell r="J1691">
            <v>-6.9827995164605267E-3</v>
          </cell>
        </row>
        <row r="1692">
          <cell r="C1692">
            <v>-1.6791553848414485E-3</v>
          </cell>
          <cell r="J1692">
            <v>-1.2720347406736427E-2</v>
          </cell>
        </row>
        <row r="1693">
          <cell r="C1693">
            <v>-3.595231587578537E-3</v>
          </cell>
          <cell r="J1693">
            <v>-1.0218360244153339E-2</v>
          </cell>
        </row>
        <row r="1694">
          <cell r="C1694">
            <v>5.8870695476028944E-3</v>
          </cell>
          <cell r="J1694">
            <v>-1.0930990087026081E-2</v>
          </cell>
        </row>
        <row r="1695">
          <cell r="C1695">
            <v>2.5487193471922204E-2</v>
          </cell>
          <cell r="J1695">
            <v>3.1256045317357824E-2</v>
          </cell>
        </row>
        <row r="1696">
          <cell r="C1696">
            <v>1.2948492410915157E-2</v>
          </cell>
          <cell r="J1696">
            <v>7.2475249754487747E-3</v>
          </cell>
        </row>
        <row r="1697">
          <cell r="C1697">
            <v>1.7669985258183727E-2</v>
          </cell>
          <cell r="J1697">
            <v>-9.3449660313719585E-3</v>
          </cell>
        </row>
        <row r="1698">
          <cell r="C1698">
            <v>-1.9109417787831876E-2</v>
          </cell>
          <cell r="J1698">
            <v>-1.0562756100704918E-2</v>
          </cell>
        </row>
        <row r="1699">
          <cell r="C1699">
            <v>-2.1444033096639807E-3</v>
          </cell>
          <cell r="J1699">
            <v>-3.0166403065482444E-3</v>
          </cell>
        </row>
        <row r="1700">
          <cell r="C1700">
            <v>-7.724277749619873E-3</v>
          </cell>
          <cell r="J1700">
            <v>3.1182902484526097E-3</v>
          </cell>
        </row>
        <row r="1701">
          <cell r="C1701">
            <v>2.2822000653808468E-2</v>
          </cell>
          <cell r="J1701">
            <v>1.2190391164620031E-2</v>
          </cell>
        </row>
        <row r="1702">
          <cell r="C1702">
            <v>-1.1485987095743192E-2</v>
          </cell>
          <cell r="J1702">
            <v>-2.2706116768142038E-2</v>
          </cell>
        </row>
        <row r="1703">
          <cell r="C1703">
            <v>3.6010184698702534E-2</v>
          </cell>
          <cell r="J1703">
            <v>1.985488105757641E-3</v>
          </cell>
        </row>
        <row r="1704">
          <cell r="C1704">
            <v>3.832800187251325E-2</v>
          </cell>
          <cell r="J1704">
            <v>1.5637174315093209E-2</v>
          </cell>
        </row>
        <row r="1705">
          <cell r="C1705">
            <v>-1.0519790355607594E-3</v>
          </cell>
          <cell r="J1705">
            <v>7.952881129110077E-3</v>
          </cell>
        </row>
        <row r="1706">
          <cell r="C1706">
            <v>8.8948229497715515E-3</v>
          </cell>
          <cell r="J1706">
            <v>-1.5314768828196021E-3</v>
          </cell>
        </row>
        <row r="1707">
          <cell r="C1707">
            <v>-1.1183597390483771E-4</v>
          </cell>
          <cell r="J1707">
            <v>-4.6513270469973386E-3</v>
          </cell>
        </row>
        <row r="1708">
          <cell r="C1708">
            <v>5.6334352397285646E-2</v>
          </cell>
          <cell r="J1708">
            <v>8.0227977570838278E-3</v>
          </cell>
        </row>
        <row r="1709">
          <cell r="C1709">
            <v>-1.6059012458969546E-3</v>
          </cell>
          <cell r="J1709">
            <v>4.3806712451275069E-3</v>
          </cell>
        </row>
        <row r="1710">
          <cell r="C1710">
            <v>-1.4812196199734857E-2</v>
          </cell>
          <cell r="J1710">
            <v>-5.118667381380732E-3</v>
          </cell>
        </row>
        <row r="1711">
          <cell r="C1711">
            <v>1.4694009365412456E-2</v>
          </cell>
          <cell r="J1711">
            <v>-7.3305280373738046E-4</v>
          </cell>
        </row>
        <row r="1712">
          <cell r="C1712">
            <v>9.8486455902115615E-3</v>
          </cell>
          <cell r="J1712">
            <v>-1.8002385295987158E-3</v>
          </cell>
        </row>
        <row r="1713">
          <cell r="C1713">
            <v>3.2041741810095697E-2</v>
          </cell>
          <cell r="J1713">
            <v>9.2524401876944943E-3</v>
          </cell>
        </row>
        <row r="1714">
          <cell r="C1714">
            <v>6.2433198174508663E-3</v>
          </cell>
          <cell r="J1714">
            <v>1.3388073291670676E-2</v>
          </cell>
        </row>
        <row r="1715">
          <cell r="C1715">
            <v>-1.1684173256225765E-2</v>
          </cell>
          <cell r="J1715">
            <v>7.8875484804652816E-3</v>
          </cell>
        </row>
        <row r="1716">
          <cell r="C1716">
            <v>-8.7003991947864304E-4</v>
          </cell>
          <cell r="J1716">
            <v>8.3063901169741997E-3</v>
          </cell>
        </row>
        <row r="1717">
          <cell r="C1717">
            <v>-9.5446241057249286E-3</v>
          </cell>
          <cell r="J1717">
            <v>-2.4985393799759688E-3</v>
          </cell>
        </row>
        <row r="1718">
          <cell r="C1718">
            <v>-2.378982209350446E-2</v>
          </cell>
          <cell r="J1718">
            <v>-8.9293703235246054E-3</v>
          </cell>
        </row>
        <row r="1719">
          <cell r="C1719">
            <v>-8.5823267641449708E-3</v>
          </cell>
          <cell r="J1719">
            <v>8.3186203115893508E-4</v>
          </cell>
        </row>
        <row r="1720">
          <cell r="C1720">
            <v>1.0740621994229075E-2</v>
          </cell>
          <cell r="J1720">
            <v>4.8232672444147298E-3</v>
          </cell>
        </row>
        <row r="1721">
          <cell r="C1721">
            <v>2.2045995241871511E-2</v>
          </cell>
          <cell r="J1721">
            <v>7.2877025055065369E-3</v>
          </cell>
        </row>
        <row r="1722">
          <cell r="C1722">
            <v>1.1518035726601747E-2</v>
          </cell>
          <cell r="J1722">
            <v>6.8515610958196829E-3</v>
          </cell>
        </row>
        <row r="1723">
          <cell r="C1723">
            <v>-1.1045956634392503E-2</v>
          </cell>
          <cell r="J1723">
            <v>-2.6732541629312057E-5</v>
          </cell>
        </row>
        <row r="1724">
          <cell r="C1724">
            <v>-1.3789299503585218E-2</v>
          </cell>
          <cell r="J1724">
            <v>-5.1765144389679984E-3</v>
          </cell>
        </row>
        <row r="1725">
          <cell r="C1725">
            <v>2.2336409395973308E-2</v>
          </cell>
          <cell r="J1725">
            <v>7.6514451843274723E-3</v>
          </cell>
        </row>
        <row r="1726">
          <cell r="C1726">
            <v>-1.9660136082334783E-3</v>
          </cell>
          <cell r="J1726">
            <v>5.1618192450183552E-3</v>
          </cell>
        </row>
        <row r="1727">
          <cell r="C1727">
            <v>-1.0603127837064597E-2</v>
          </cell>
          <cell r="J1727">
            <v>-1.7221371227378686E-3</v>
          </cell>
        </row>
        <row r="1728">
          <cell r="C1728">
            <v>-4.1204986149584403E-3</v>
          </cell>
          <cell r="J1728">
            <v>-7.8288127767352331E-4</v>
          </cell>
        </row>
        <row r="1729">
          <cell r="C1729">
            <v>2.393866694482108E-2</v>
          </cell>
          <cell r="J1729">
            <v>9.6692071919456096E-3</v>
          </cell>
        </row>
        <row r="1730">
          <cell r="C1730">
            <v>-6.7743085621148223E-3</v>
          </cell>
          <cell r="J1730">
            <v>-3.2343444134256814E-3</v>
          </cell>
        </row>
        <row r="1731">
          <cell r="C1731">
            <v>-3.3846153846154156E-3</v>
          </cell>
          <cell r="J1731">
            <v>-1.1685225497023656E-3</v>
          </cell>
        </row>
        <row r="1732">
          <cell r="C1732">
            <v>-4.8711879523859079E-3</v>
          </cell>
          <cell r="J1732">
            <v>-7.6201406052031704E-4</v>
          </cell>
        </row>
        <row r="1733">
          <cell r="C1733">
            <v>4.8777965458996191E-3</v>
          </cell>
          <cell r="J1733">
            <v>-1.4234213517178196E-3</v>
          </cell>
        </row>
        <row r="1734">
          <cell r="C1734">
            <v>3.8421296375705546E-3</v>
          </cell>
          <cell r="J1734">
            <v>9.1933968123439121E-3</v>
          </cell>
        </row>
        <row r="1735">
          <cell r="C1735">
            <v>2.7714651858180311E-2</v>
          </cell>
          <cell r="J1735">
            <v>8.6751952848458692E-3</v>
          </cell>
        </row>
        <row r="1736">
          <cell r="C1736">
            <v>-8.4293480971620368E-3</v>
          </cell>
          <cell r="J1736">
            <v>3.3149633856583288E-3</v>
          </cell>
        </row>
        <row r="1737">
          <cell r="C1737">
            <v>-9.5405767940978225E-3</v>
          </cell>
          <cell r="J1737">
            <v>-2.3985973744904119E-3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DFCA-814A-4FFB-837D-997625610C15}">
  <dimension ref="A1:I152"/>
  <sheetViews>
    <sheetView tabSelected="1" zoomScale="71" workbookViewId="0">
      <selection activeCell="A125" sqref="A125:XFD125"/>
    </sheetView>
  </sheetViews>
  <sheetFormatPr defaultRowHeight="14.4" x14ac:dyDescent="0.3"/>
  <sheetData>
    <row r="1" spans="1:9" ht="30" x14ac:dyDescent="0.3">
      <c r="A1" s="63" t="s">
        <v>1084</v>
      </c>
      <c r="B1" s="63"/>
      <c r="C1" s="63"/>
      <c r="D1" s="63"/>
      <c r="E1" s="63"/>
      <c r="F1" s="63"/>
      <c r="G1" s="63"/>
      <c r="H1" s="63"/>
      <c r="I1" s="63"/>
    </row>
    <row r="2" spans="1:9" ht="14.4" customHeight="1" x14ac:dyDescent="0.3"/>
    <row r="4" spans="1:9" ht="15.6" x14ac:dyDescent="0.3">
      <c r="B4" s="37"/>
    </row>
    <row r="5" spans="1:9" ht="15.6" x14ac:dyDescent="0.3">
      <c r="B5" s="37"/>
    </row>
    <row r="6" spans="1:9" ht="15.6" x14ac:dyDescent="0.3">
      <c r="B6" s="37"/>
    </row>
    <row r="7" spans="1:9" ht="15.6" x14ac:dyDescent="0.3">
      <c r="B7" s="37"/>
    </row>
    <row r="8" spans="1:9" ht="15.6" x14ac:dyDescent="0.3">
      <c r="B8" s="37"/>
    </row>
    <row r="9" spans="1:9" ht="15.6" x14ac:dyDescent="0.3">
      <c r="B9" s="37"/>
    </row>
    <row r="10" spans="1:9" ht="15.6" x14ac:dyDescent="0.3">
      <c r="B10" s="37"/>
    </row>
    <row r="11" spans="1:9" ht="15.6" x14ac:dyDescent="0.3">
      <c r="B11" s="37"/>
    </row>
    <row r="12" spans="1:9" ht="15.6" x14ac:dyDescent="0.3">
      <c r="B12" s="37"/>
    </row>
    <row r="13" spans="1:9" ht="15.6" x14ac:dyDescent="0.3">
      <c r="B13" s="37"/>
    </row>
    <row r="14" spans="1:9" ht="15.6" x14ac:dyDescent="0.3">
      <c r="B14" s="37"/>
    </row>
    <row r="18" spans="2:8" ht="14.4" customHeight="1" x14ac:dyDescent="0.3">
      <c r="D18" s="64" t="s">
        <v>1075</v>
      </c>
      <c r="E18" s="64"/>
      <c r="F18" s="64"/>
      <c r="G18" s="64"/>
      <c r="H18" s="64"/>
    </row>
    <row r="19" spans="2:8" ht="15.6" x14ac:dyDescent="0.3">
      <c r="F19" s="37"/>
    </row>
    <row r="20" spans="2:8" ht="15.6" x14ac:dyDescent="0.3">
      <c r="F20" s="37"/>
    </row>
    <row r="21" spans="2:8" ht="14.4" customHeight="1" x14ac:dyDescent="0.3">
      <c r="F21" s="38" t="s">
        <v>1076</v>
      </c>
    </row>
    <row r="22" spans="2:8" ht="15.6" customHeight="1" x14ac:dyDescent="0.3">
      <c r="D22" s="64" t="s">
        <v>1077</v>
      </c>
      <c r="E22" s="64"/>
      <c r="F22" s="64"/>
      <c r="G22" s="64"/>
    </row>
    <row r="23" spans="2:8" ht="15.6" x14ac:dyDescent="0.3">
      <c r="F23" s="37"/>
    </row>
    <row r="24" spans="2:8" ht="14.4" customHeight="1" x14ac:dyDescent="0.3">
      <c r="D24" s="64" t="s">
        <v>1078</v>
      </c>
      <c r="E24" s="64"/>
      <c r="F24" s="64"/>
      <c r="G24" s="64"/>
    </row>
    <row r="25" spans="2:8" ht="14.4" customHeight="1" x14ac:dyDescent="0.3">
      <c r="D25" s="64" t="s">
        <v>1079</v>
      </c>
      <c r="E25" s="64"/>
      <c r="F25" s="64"/>
      <c r="G25" s="64"/>
    </row>
    <row r="26" spans="2:8" ht="14.4" customHeight="1" x14ac:dyDescent="0.3">
      <c r="D26" s="64" t="s">
        <v>1080</v>
      </c>
      <c r="E26" s="64"/>
      <c r="F26" s="64"/>
      <c r="G26" s="64"/>
    </row>
    <row r="27" spans="2:8" ht="14.4" customHeight="1" x14ac:dyDescent="0.3">
      <c r="D27" s="64" t="s">
        <v>1081</v>
      </c>
      <c r="E27" s="64"/>
      <c r="F27" s="64"/>
      <c r="G27" s="64"/>
    </row>
    <row r="28" spans="2:8" ht="14.4" customHeight="1" x14ac:dyDescent="0.3">
      <c r="D28" s="64" t="s">
        <v>1082</v>
      </c>
      <c r="E28" s="64"/>
      <c r="F28" s="64"/>
      <c r="G28" s="64"/>
    </row>
    <row r="29" spans="2:8" ht="15.6" x14ac:dyDescent="0.3">
      <c r="F29" s="38"/>
    </row>
    <row r="30" spans="2:8" ht="15.6" x14ac:dyDescent="0.3">
      <c r="B30" s="37"/>
      <c r="D30" s="64" t="s">
        <v>1083</v>
      </c>
      <c r="E30" s="64"/>
      <c r="F30" s="64"/>
      <c r="G30" s="64"/>
    </row>
    <row r="31" spans="2:8" ht="14.4" customHeight="1" x14ac:dyDescent="0.3">
      <c r="B31" s="39"/>
      <c r="D31" s="65" t="s">
        <v>1112</v>
      </c>
      <c r="E31" s="65"/>
      <c r="F31" s="65"/>
      <c r="G31" s="65"/>
    </row>
    <row r="32" spans="2:8" ht="30" x14ac:dyDescent="0.3">
      <c r="B32" s="36"/>
    </row>
    <row r="33" spans="2:2" ht="30" x14ac:dyDescent="0.3">
      <c r="B33" s="36"/>
    </row>
    <row r="34" spans="2:2" ht="30" x14ac:dyDescent="0.3">
      <c r="B34" s="36"/>
    </row>
    <row r="35" spans="2:2" ht="30" x14ac:dyDescent="0.3">
      <c r="B35" s="36"/>
    </row>
    <row r="36" spans="2:2" ht="30" x14ac:dyDescent="0.3">
      <c r="B36" s="36"/>
    </row>
    <row r="37" spans="2:2" ht="30" x14ac:dyDescent="0.3">
      <c r="B37" s="36"/>
    </row>
    <row r="38" spans="2:2" ht="30" x14ac:dyDescent="0.3">
      <c r="B38" s="36"/>
    </row>
    <row r="39" spans="2:2" ht="30" x14ac:dyDescent="0.3">
      <c r="B39" s="36"/>
    </row>
    <row r="40" spans="2:2" ht="30" x14ac:dyDescent="0.3">
      <c r="B40" s="36"/>
    </row>
    <row r="41" spans="2:2" ht="30" x14ac:dyDescent="0.3">
      <c r="B41" s="36"/>
    </row>
    <row r="42" spans="2:2" ht="30" x14ac:dyDescent="0.3">
      <c r="B42" s="36"/>
    </row>
    <row r="43" spans="2:2" x14ac:dyDescent="0.3">
      <c r="B43" s="35"/>
    </row>
    <row r="44" spans="2:2" x14ac:dyDescent="0.3">
      <c r="B44" s="35"/>
    </row>
    <row r="45" spans="2:2" x14ac:dyDescent="0.3">
      <c r="B45" s="35"/>
    </row>
    <row r="46" spans="2:2" x14ac:dyDescent="0.3">
      <c r="B46" s="35"/>
    </row>
    <row r="47" spans="2:2" x14ac:dyDescent="0.3">
      <c r="B47" s="35"/>
    </row>
    <row r="48" spans="2:2" x14ac:dyDescent="0.3">
      <c r="B48" s="35"/>
    </row>
    <row r="49" spans="2:2" x14ac:dyDescent="0.3">
      <c r="B49" s="35"/>
    </row>
    <row r="50" spans="2:2" x14ac:dyDescent="0.3">
      <c r="B50" s="35"/>
    </row>
    <row r="51" spans="2:2" x14ac:dyDescent="0.3">
      <c r="B51" s="35"/>
    </row>
    <row r="52" spans="2:2" x14ac:dyDescent="0.3">
      <c r="B52" s="35"/>
    </row>
    <row r="53" spans="2:2" x14ac:dyDescent="0.3">
      <c r="B53" s="35"/>
    </row>
    <row r="54" spans="2:2" x14ac:dyDescent="0.3">
      <c r="B54" s="35"/>
    </row>
    <row r="55" spans="2:2" x14ac:dyDescent="0.3">
      <c r="B55" s="35"/>
    </row>
    <row r="56" spans="2:2" x14ac:dyDescent="0.3">
      <c r="B56" s="35"/>
    </row>
    <row r="57" spans="2:2" x14ac:dyDescent="0.3">
      <c r="B57" s="35"/>
    </row>
    <row r="58" spans="2:2" x14ac:dyDescent="0.3">
      <c r="B58" s="35"/>
    </row>
    <row r="59" spans="2:2" x14ac:dyDescent="0.3">
      <c r="B59" s="35"/>
    </row>
    <row r="60" spans="2:2" x14ac:dyDescent="0.3">
      <c r="B60" s="35"/>
    </row>
    <row r="61" spans="2:2" x14ac:dyDescent="0.3">
      <c r="B61" s="35"/>
    </row>
    <row r="62" spans="2:2" x14ac:dyDescent="0.3">
      <c r="B62" s="35"/>
    </row>
    <row r="63" spans="2:2" x14ac:dyDescent="0.3">
      <c r="B63" s="35"/>
    </row>
    <row r="64" spans="2:2" x14ac:dyDescent="0.3">
      <c r="B64" s="35"/>
    </row>
    <row r="65" spans="2:2" x14ac:dyDescent="0.3">
      <c r="B65" s="35"/>
    </row>
    <row r="66" spans="2:2" x14ac:dyDescent="0.3">
      <c r="B66" s="35"/>
    </row>
    <row r="67" spans="2:2" x14ac:dyDescent="0.3">
      <c r="B67" s="35"/>
    </row>
    <row r="68" spans="2:2" x14ac:dyDescent="0.3">
      <c r="B68" s="35"/>
    </row>
    <row r="69" spans="2:2" x14ac:dyDescent="0.3">
      <c r="B69" s="35"/>
    </row>
    <row r="72" spans="2:2" ht="30" x14ac:dyDescent="0.3">
      <c r="B72" s="36"/>
    </row>
    <row r="73" spans="2:2" ht="30" x14ac:dyDescent="0.3">
      <c r="B73" s="36"/>
    </row>
    <row r="74" spans="2:2" ht="30" x14ac:dyDescent="0.3">
      <c r="B74" s="36"/>
    </row>
    <row r="75" spans="2:2" ht="30" x14ac:dyDescent="0.3">
      <c r="B75" s="36"/>
    </row>
    <row r="76" spans="2:2" ht="30" x14ac:dyDescent="0.3">
      <c r="B76" s="36"/>
    </row>
    <row r="77" spans="2:2" ht="30" x14ac:dyDescent="0.3">
      <c r="B77" s="36"/>
    </row>
    <row r="78" spans="2:2" ht="30" x14ac:dyDescent="0.3">
      <c r="B78" s="36"/>
    </row>
    <row r="79" spans="2:2" ht="30" x14ac:dyDescent="0.3">
      <c r="B79" s="36"/>
    </row>
    <row r="80" spans="2:2" ht="30" x14ac:dyDescent="0.3">
      <c r="B80" s="36"/>
    </row>
    <row r="81" spans="2:2" ht="30" x14ac:dyDescent="0.3">
      <c r="B81" s="36"/>
    </row>
    <row r="83" spans="2:2" x14ac:dyDescent="0.3">
      <c r="B83" s="35"/>
    </row>
    <row r="84" spans="2:2" x14ac:dyDescent="0.3">
      <c r="B84" s="35"/>
    </row>
    <row r="85" spans="2:2" x14ac:dyDescent="0.3">
      <c r="B85" s="35"/>
    </row>
    <row r="86" spans="2:2" x14ac:dyDescent="0.3">
      <c r="B86" s="35"/>
    </row>
    <row r="87" spans="2:2" x14ac:dyDescent="0.3">
      <c r="B87" s="35"/>
    </row>
    <row r="88" spans="2:2" x14ac:dyDescent="0.3">
      <c r="B88" s="35"/>
    </row>
    <row r="89" spans="2:2" x14ac:dyDescent="0.3">
      <c r="B89" s="35"/>
    </row>
    <row r="90" spans="2:2" x14ac:dyDescent="0.3">
      <c r="B90" s="35"/>
    </row>
    <row r="94" spans="2:2" ht="30" x14ac:dyDescent="0.3">
      <c r="B94" s="36"/>
    </row>
    <row r="95" spans="2:2" ht="30" x14ac:dyDescent="0.3">
      <c r="B95" s="36"/>
    </row>
    <row r="96" spans="2:2" ht="30" x14ac:dyDescent="0.3">
      <c r="B96" s="36"/>
    </row>
    <row r="97" spans="2:2" ht="30" x14ac:dyDescent="0.3">
      <c r="B97" s="36"/>
    </row>
    <row r="98" spans="2:2" ht="30" x14ac:dyDescent="0.3">
      <c r="B98" s="36"/>
    </row>
    <row r="99" spans="2:2" ht="30" x14ac:dyDescent="0.3">
      <c r="B99" s="36"/>
    </row>
    <row r="100" spans="2:2" ht="30" x14ac:dyDescent="0.3">
      <c r="B100" s="36"/>
    </row>
    <row r="101" spans="2:2" ht="30" x14ac:dyDescent="0.3">
      <c r="B101" s="36"/>
    </row>
    <row r="102" spans="2:2" ht="30" x14ac:dyDescent="0.3">
      <c r="B102" s="36"/>
    </row>
    <row r="103" spans="2:2" ht="30" x14ac:dyDescent="0.3">
      <c r="B103" s="36"/>
    </row>
    <row r="104" spans="2:2" ht="30" x14ac:dyDescent="0.3">
      <c r="B104" s="40"/>
    </row>
    <row r="105" spans="2:2" x14ac:dyDescent="0.3">
      <c r="B105" s="35"/>
    </row>
    <row r="106" spans="2:2" x14ac:dyDescent="0.3">
      <c r="B106" s="35"/>
    </row>
    <row r="107" spans="2:2" x14ac:dyDescent="0.3">
      <c r="B107" s="35"/>
    </row>
    <row r="108" spans="2:2" x14ac:dyDescent="0.3">
      <c r="B108" s="35"/>
    </row>
    <row r="109" spans="2:2" x14ac:dyDescent="0.3">
      <c r="B109" s="35"/>
    </row>
    <row r="110" spans="2:2" x14ac:dyDescent="0.3">
      <c r="B110" s="35"/>
    </row>
    <row r="111" spans="2:2" x14ac:dyDescent="0.3">
      <c r="B111" s="35"/>
    </row>
    <row r="112" spans="2:2" x14ac:dyDescent="0.3">
      <c r="B112" s="35"/>
    </row>
    <row r="113" spans="2:2" x14ac:dyDescent="0.3">
      <c r="B113" s="35"/>
    </row>
    <row r="114" spans="2:2" x14ac:dyDescent="0.3">
      <c r="B114" s="35"/>
    </row>
    <row r="117" spans="2:2" ht="30" x14ac:dyDescent="0.3">
      <c r="B117" s="36"/>
    </row>
    <row r="118" spans="2:2" ht="30" x14ac:dyDescent="0.3">
      <c r="B118" s="36"/>
    </row>
    <row r="119" spans="2:2" ht="30" x14ac:dyDescent="0.3">
      <c r="B119" s="36"/>
    </row>
    <row r="120" spans="2:2" ht="30" x14ac:dyDescent="0.3">
      <c r="B120" s="36"/>
    </row>
    <row r="121" spans="2:2" ht="30" x14ac:dyDescent="0.3">
      <c r="B121" s="36"/>
    </row>
    <row r="122" spans="2:2" ht="30" x14ac:dyDescent="0.3">
      <c r="B122" s="36"/>
    </row>
    <row r="123" spans="2:2" ht="30" x14ac:dyDescent="0.3">
      <c r="B123" s="36"/>
    </row>
    <row r="124" spans="2:2" ht="30" x14ac:dyDescent="0.3">
      <c r="B124" s="36"/>
    </row>
    <row r="125" spans="2:2" ht="30" x14ac:dyDescent="0.3">
      <c r="B125" s="40"/>
    </row>
    <row r="127" spans="2:2" x14ac:dyDescent="0.3">
      <c r="B127" s="35"/>
    </row>
    <row r="128" spans="2:2" x14ac:dyDescent="0.3">
      <c r="B128" s="35"/>
    </row>
    <row r="129" spans="2:2" x14ac:dyDescent="0.3">
      <c r="B129" s="35"/>
    </row>
    <row r="130" spans="2:2" x14ac:dyDescent="0.3">
      <c r="B130" s="35"/>
    </row>
    <row r="131" spans="2:2" x14ac:dyDescent="0.3">
      <c r="B131" s="35"/>
    </row>
    <row r="132" spans="2:2" x14ac:dyDescent="0.3">
      <c r="B132" s="35"/>
    </row>
    <row r="133" spans="2:2" x14ac:dyDescent="0.3">
      <c r="B133" s="35"/>
    </row>
    <row r="134" spans="2:2" x14ac:dyDescent="0.3">
      <c r="B134" s="35"/>
    </row>
    <row r="135" spans="2:2" x14ac:dyDescent="0.3">
      <c r="B135" s="35"/>
    </row>
    <row r="136" spans="2:2" x14ac:dyDescent="0.3">
      <c r="B136" s="35"/>
    </row>
    <row r="137" spans="2:2" x14ac:dyDescent="0.3">
      <c r="B137" s="35"/>
    </row>
    <row r="138" spans="2:2" x14ac:dyDescent="0.3">
      <c r="B138" s="35"/>
    </row>
    <row r="139" spans="2:2" x14ac:dyDescent="0.3">
      <c r="B139" s="35"/>
    </row>
    <row r="140" spans="2:2" x14ac:dyDescent="0.3">
      <c r="B140" s="35"/>
    </row>
    <row r="141" spans="2:2" x14ac:dyDescent="0.3">
      <c r="B141" s="35"/>
    </row>
    <row r="142" spans="2:2" x14ac:dyDescent="0.3">
      <c r="B142" s="35"/>
    </row>
    <row r="143" spans="2:2" x14ac:dyDescent="0.3">
      <c r="B143" s="35"/>
    </row>
    <row r="144" spans="2:2" x14ac:dyDescent="0.3">
      <c r="B144" s="35"/>
    </row>
    <row r="145" spans="2:2" x14ac:dyDescent="0.3">
      <c r="B145" s="35"/>
    </row>
    <row r="146" spans="2:2" x14ac:dyDescent="0.3">
      <c r="B146" s="35"/>
    </row>
    <row r="147" spans="2:2" x14ac:dyDescent="0.3">
      <c r="B147" s="35"/>
    </row>
    <row r="148" spans="2:2" x14ac:dyDescent="0.3">
      <c r="B148" s="35"/>
    </row>
    <row r="149" spans="2:2" x14ac:dyDescent="0.3">
      <c r="B149" s="35"/>
    </row>
    <row r="150" spans="2:2" x14ac:dyDescent="0.3">
      <c r="B150" s="35"/>
    </row>
    <row r="151" spans="2:2" x14ac:dyDescent="0.3">
      <c r="B151" s="35"/>
    </row>
    <row r="152" spans="2:2" x14ac:dyDescent="0.3">
      <c r="B152" s="35"/>
    </row>
  </sheetData>
  <mergeCells count="10">
    <mergeCell ref="D26:G26"/>
    <mergeCell ref="D27:G27"/>
    <mergeCell ref="D28:G28"/>
    <mergeCell ref="D31:G31"/>
    <mergeCell ref="D30:G30"/>
    <mergeCell ref="A1:I1"/>
    <mergeCell ref="D18:H18"/>
    <mergeCell ref="D22:G22"/>
    <mergeCell ref="D24:G24"/>
    <mergeCell ref="D25:G2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37"/>
  <sheetViews>
    <sheetView workbookViewId="0">
      <selection activeCell="B2" sqref="B2:B1737"/>
    </sheetView>
  </sheetViews>
  <sheetFormatPr defaultRowHeight="14.4" x14ac:dyDescent="0.3"/>
  <cols>
    <col min="1" max="1" width="10.5546875" bestFit="1" customWidth="1"/>
    <col min="3" max="3" width="10" bestFit="1" customWidth="1"/>
    <col min="6" max="6" width="10" bestFit="1" customWidth="1"/>
    <col min="11" max="11" width="13.77734375" customWidth="1"/>
    <col min="12" max="12" width="11.88671875" customWidth="1"/>
  </cols>
  <sheetData>
    <row r="1" spans="1:13" x14ac:dyDescent="0.3">
      <c r="A1" s="67" t="s">
        <v>1061</v>
      </c>
      <c r="B1" s="67"/>
      <c r="C1" s="67"/>
      <c r="D1" s="67"/>
      <c r="F1" s="67" t="s">
        <v>1062</v>
      </c>
      <c r="G1" s="67"/>
      <c r="H1" s="67"/>
    </row>
    <row r="2" spans="1:13" x14ac:dyDescent="0.3">
      <c r="A2" s="22" t="s">
        <v>0</v>
      </c>
      <c r="B2" s="22" t="s">
        <v>1</v>
      </c>
      <c r="C2" s="67" t="s">
        <v>1057</v>
      </c>
      <c r="D2" s="67"/>
      <c r="E2" s="32"/>
      <c r="F2" s="22" t="s">
        <v>1</v>
      </c>
      <c r="G2" s="67" t="s">
        <v>1057</v>
      </c>
      <c r="H2" s="67"/>
    </row>
    <row r="3" spans="1:13" x14ac:dyDescent="0.3">
      <c r="A3" s="27">
        <v>43466</v>
      </c>
      <c r="B3" s="26">
        <v>72.22</v>
      </c>
      <c r="C3" s="66"/>
      <c r="D3" s="66"/>
      <c r="E3" s="33"/>
      <c r="F3" s="26">
        <v>37995.760000000002</v>
      </c>
      <c r="G3" s="26"/>
      <c r="H3" s="26"/>
    </row>
    <row r="4" spans="1:13" x14ac:dyDescent="0.3">
      <c r="A4" s="27">
        <v>43497</v>
      </c>
      <c r="B4" s="26">
        <v>75.09</v>
      </c>
      <c r="C4" s="34">
        <f>(B4-B3)/B3</f>
        <v>3.9739684297978466E-2</v>
      </c>
      <c r="D4" s="34"/>
      <c r="F4" s="26">
        <v>37795.25</v>
      </c>
      <c r="G4" s="29">
        <f>(F4-F3)/F3</f>
        <v>-5.277167768193136E-3</v>
      </c>
      <c r="H4" s="26"/>
      <c r="K4" s="22"/>
      <c r="L4" s="22" t="s">
        <v>1061</v>
      </c>
      <c r="M4" s="22" t="s">
        <v>1062</v>
      </c>
    </row>
    <row r="5" spans="1:13" x14ac:dyDescent="0.3">
      <c r="A5" s="27">
        <v>43525</v>
      </c>
      <c r="B5" s="26">
        <v>75</v>
      </c>
      <c r="C5" s="29">
        <f t="shared" ref="C5:C68" si="0">(B5-B4)/B4</f>
        <v>-1.1985617259289308E-3</v>
      </c>
      <c r="D5" s="26"/>
      <c r="F5" s="26">
        <v>37542.01</v>
      </c>
      <c r="G5" s="29">
        <f t="shared" ref="G5:G68" si="1">(F5-F4)/F4</f>
        <v>-6.700312870003452E-3</v>
      </c>
      <c r="H5" s="26"/>
      <c r="K5" s="22" t="s">
        <v>1058</v>
      </c>
      <c r="L5" s="46">
        <f>AVERAGE(C4:C1737)</f>
        <v>7.8310900942355497E-4</v>
      </c>
      <c r="M5" s="45">
        <f>AVERAGE(G4:G1737)</f>
        <v>9.4710342104937042E-4</v>
      </c>
    </row>
    <row r="6" spans="1:13" x14ac:dyDescent="0.3">
      <c r="A6" s="27">
        <v>43556</v>
      </c>
      <c r="B6" s="26">
        <v>75.5</v>
      </c>
      <c r="C6" s="29">
        <f t="shared" si="0"/>
        <v>6.6666666666666671E-3</v>
      </c>
      <c r="D6" s="26"/>
      <c r="F6" s="26">
        <v>37547.49</v>
      </c>
      <c r="G6" s="29">
        <f t="shared" si="1"/>
        <v>1.4596980822273301E-4</v>
      </c>
      <c r="H6" s="26"/>
      <c r="K6" s="22" t="s">
        <v>1059</v>
      </c>
      <c r="L6" s="29">
        <f>_xlfn.STDEV.S(C4:C1736)</f>
        <v>2.181307673405233E-2</v>
      </c>
      <c r="M6" s="29">
        <f>_xlfn.STDEV.S(G4:G1736)</f>
        <v>1.1756047041923028E-2</v>
      </c>
    </row>
    <row r="7" spans="1:13" x14ac:dyDescent="0.3">
      <c r="A7" s="27">
        <v>43647</v>
      </c>
      <c r="B7" s="26">
        <v>78.64</v>
      </c>
      <c r="C7" s="29">
        <f t="shared" si="0"/>
        <v>4.1589403973509943E-2</v>
      </c>
      <c r="D7" s="26"/>
      <c r="F7" s="26">
        <v>38562.400000000001</v>
      </c>
      <c r="G7" s="29">
        <f t="shared" si="1"/>
        <v>2.7030035829292545E-2</v>
      </c>
      <c r="H7" s="26"/>
      <c r="K7" s="22" t="s">
        <v>1060</v>
      </c>
      <c r="L7" s="30">
        <f>_xlfn.STDEV.S(C4:C1737)/AVERAGE(C4:C1737)</f>
        <v>27.848624291229608</v>
      </c>
      <c r="M7" s="30">
        <f>_xlfn.STDEV.S(G4:G1737)/AVERAGE(G4:G1737)</f>
        <v>12.409341390248224</v>
      </c>
    </row>
    <row r="8" spans="1:13" x14ac:dyDescent="0.3">
      <c r="A8" s="27">
        <v>43678</v>
      </c>
      <c r="B8" s="26">
        <v>79.150000000000006</v>
      </c>
      <c r="C8" s="29">
        <f t="shared" si="0"/>
        <v>6.4852492370295663E-3</v>
      </c>
      <c r="D8" s="26"/>
      <c r="F8" s="26">
        <v>39052.5</v>
      </c>
      <c r="G8" s="29">
        <f t="shared" si="1"/>
        <v>1.2709271207186236E-2</v>
      </c>
      <c r="H8" s="26"/>
    </row>
    <row r="9" spans="1:13" x14ac:dyDescent="0.3">
      <c r="A9" s="27">
        <v>43709</v>
      </c>
      <c r="B9" s="26">
        <v>78.36</v>
      </c>
      <c r="C9" s="29">
        <f t="shared" si="0"/>
        <v>-9.9810486418194094E-3</v>
      </c>
      <c r="D9" s="26"/>
      <c r="F9" s="26">
        <v>38921.69</v>
      </c>
      <c r="G9" s="29">
        <f t="shared" si="1"/>
        <v>-3.3495934959348996E-3</v>
      </c>
      <c r="H9" s="26"/>
      <c r="K9" s="22" t="s">
        <v>1063</v>
      </c>
      <c r="L9" s="26">
        <f>SLOPE(C4:C1737,G4:G1737)</f>
        <v>0.81310034048287916</v>
      </c>
    </row>
    <row r="10" spans="1:13" x14ac:dyDescent="0.3">
      <c r="A10" s="27">
        <v>43739</v>
      </c>
      <c r="B10" s="26">
        <v>78.77</v>
      </c>
      <c r="C10" s="29">
        <f t="shared" si="0"/>
        <v>5.2322613578355869E-3</v>
      </c>
      <c r="D10" s="26"/>
      <c r="F10" s="26">
        <v>39090.28</v>
      </c>
      <c r="G10" s="29">
        <f t="shared" si="1"/>
        <v>4.3315179787927118E-3</v>
      </c>
      <c r="H10" s="26"/>
    </row>
    <row r="11" spans="1:13" x14ac:dyDescent="0.3">
      <c r="A11" s="27">
        <v>43770</v>
      </c>
      <c r="B11" s="26">
        <v>78.53</v>
      </c>
      <c r="C11" s="29">
        <f t="shared" si="0"/>
        <v>-3.0468452456518329E-3</v>
      </c>
      <c r="D11" s="26"/>
      <c r="F11" s="26">
        <v>39049.08</v>
      </c>
      <c r="G11" s="29">
        <f t="shared" si="1"/>
        <v>-1.0539704499429804E-3</v>
      </c>
      <c r="H11" s="26"/>
    </row>
    <row r="12" spans="1:13" x14ac:dyDescent="0.3">
      <c r="A12" s="26" t="s">
        <v>1056</v>
      </c>
      <c r="B12" s="26">
        <v>78</v>
      </c>
      <c r="C12" s="29">
        <f t="shared" si="0"/>
        <v>-6.7490131160066365E-3</v>
      </c>
      <c r="D12" s="26"/>
      <c r="F12" s="26">
        <v>39412.550000000003</v>
      </c>
      <c r="G12" s="29">
        <f t="shared" si="1"/>
        <v>9.3080297922512167E-3</v>
      </c>
      <c r="H12" s="26"/>
    </row>
    <row r="13" spans="1:13" x14ac:dyDescent="0.3">
      <c r="A13" s="26" t="s">
        <v>1055</v>
      </c>
      <c r="B13" s="26">
        <v>78.08</v>
      </c>
      <c r="C13" s="29">
        <f t="shared" si="0"/>
        <v>1.0256410256410037E-3</v>
      </c>
      <c r="D13" s="26"/>
      <c r="F13" s="26">
        <v>39614.17</v>
      </c>
      <c r="G13" s="29">
        <f t="shared" si="1"/>
        <v>5.1156294124586037E-3</v>
      </c>
      <c r="H13" s="26"/>
    </row>
    <row r="14" spans="1:13" x14ac:dyDescent="0.3">
      <c r="A14" s="26" t="s">
        <v>1054</v>
      </c>
      <c r="B14" s="26">
        <v>77.25</v>
      </c>
      <c r="C14" s="29">
        <f t="shared" si="0"/>
        <v>-1.0630122950819651E-2</v>
      </c>
      <c r="D14" s="26"/>
      <c r="F14" s="26">
        <v>39271.94</v>
      </c>
      <c r="G14" s="29">
        <f t="shared" si="1"/>
        <v>-8.6390804098633381E-3</v>
      </c>
      <c r="H14" s="26"/>
    </row>
    <row r="15" spans="1:13" x14ac:dyDescent="0.3">
      <c r="A15" s="26" t="s">
        <v>1053</v>
      </c>
      <c r="B15" s="26">
        <v>76.08</v>
      </c>
      <c r="C15" s="29">
        <f t="shared" si="0"/>
        <v>-1.5145631067961187E-2</v>
      </c>
      <c r="D15" s="26"/>
      <c r="F15" s="26">
        <v>39243.89</v>
      </c>
      <c r="G15" s="29">
        <f t="shared" si="1"/>
        <v>-7.1425042918691847E-4</v>
      </c>
      <c r="H15" s="26"/>
    </row>
    <row r="16" spans="1:13" x14ac:dyDescent="0.3">
      <c r="A16" s="26" t="s">
        <v>1052</v>
      </c>
      <c r="B16" s="26">
        <v>76</v>
      </c>
      <c r="C16" s="29">
        <f t="shared" si="0"/>
        <v>-1.0515247108306822E-3</v>
      </c>
      <c r="D16" s="26"/>
      <c r="F16" s="26">
        <v>39306.5</v>
      </c>
      <c r="G16" s="29">
        <f t="shared" si="1"/>
        <v>1.5954075908377224E-3</v>
      </c>
      <c r="H16" s="26"/>
    </row>
    <row r="17" spans="1:8" x14ac:dyDescent="0.3">
      <c r="A17" s="26" t="s">
        <v>1051</v>
      </c>
      <c r="B17" s="26">
        <v>76.56</v>
      </c>
      <c r="C17" s="29">
        <f t="shared" si="0"/>
        <v>7.3684210526316091E-3</v>
      </c>
      <c r="D17" s="26"/>
      <c r="F17" s="26">
        <v>39543.769999999997</v>
      </c>
      <c r="G17" s="29">
        <f t="shared" si="1"/>
        <v>6.0364061923599607E-3</v>
      </c>
      <c r="H17" s="26"/>
    </row>
    <row r="18" spans="1:8" x14ac:dyDescent="0.3">
      <c r="A18" s="26" t="s">
        <v>1050</v>
      </c>
      <c r="B18" s="26">
        <v>78.739999999999995</v>
      </c>
      <c r="C18" s="29">
        <f t="shared" si="0"/>
        <v>2.847439916405424E-2</v>
      </c>
      <c r="D18" s="26"/>
      <c r="F18" s="26">
        <v>39902.21</v>
      </c>
      <c r="G18" s="29">
        <f t="shared" si="1"/>
        <v>9.0643861220111883E-3</v>
      </c>
      <c r="H18" s="26"/>
    </row>
    <row r="19" spans="1:8" x14ac:dyDescent="0.3">
      <c r="A19" s="26" t="s">
        <v>1049</v>
      </c>
      <c r="B19" s="26">
        <v>79</v>
      </c>
      <c r="C19" s="29">
        <f t="shared" si="0"/>
        <v>3.3020066040132731E-3</v>
      </c>
      <c r="D19" s="26"/>
      <c r="F19" s="26">
        <v>40057.85</v>
      </c>
      <c r="G19" s="29">
        <f t="shared" si="1"/>
        <v>3.9005358349825593E-3</v>
      </c>
      <c r="H19" s="26"/>
    </row>
    <row r="20" spans="1:8" x14ac:dyDescent="0.3">
      <c r="A20" s="26" t="s">
        <v>1048</v>
      </c>
      <c r="B20" s="26">
        <v>79.13</v>
      </c>
      <c r="C20" s="29">
        <f t="shared" si="0"/>
        <v>1.6455696202531071E-3</v>
      </c>
      <c r="D20" s="26"/>
      <c r="F20" s="26">
        <v>40289.160000000003</v>
      </c>
      <c r="G20" s="29">
        <f t="shared" si="1"/>
        <v>5.7743987757706656E-3</v>
      </c>
      <c r="H20" s="26"/>
    </row>
    <row r="21" spans="1:8" x14ac:dyDescent="0.3">
      <c r="A21" s="26" t="s">
        <v>1047</v>
      </c>
      <c r="B21" s="26">
        <v>79.349999999999994</v>
      </c>
      <c r="C21" s="29">
        <f t="shared" si="0"/>
        <v>2.7802350562365586E-3</v>
      </c>
      <c r="D21" s="26"/>
      <c r="F21" s="26">
        <v>40264.78</v>
      </c>
      <c r="G21" s="29">
        <f t="shared" si="1"/>
        <v>-6.0512554741783283E-4</v>
      </c>
      <c r="H21" s="26"/>
    </row>
    <row r="22" spans="1:8" x14ac:dyDescent="0.3">
      <c r="A22" s="26" t="s">
        <v>1046</v>
      </c>
      <c r="B22" s="26">
        <v>79.28</v>
      </c>
      <c r="C22" s="29">
        <f t="shared" si="0"/>
        <v>-8.8216761184616488E-4</v>
      </c>
      <c r="D22" s="26"/>
      <c r="F22" s="26">
        <v>40420.089999999997</v>
      </c>
      <c r="G22" s="29">
        <f t="shared" si="1"/>
        <v>3.8572171510684442E-3</v>
      </c>
      <c r="H22" s="26"/>
    </row>
    <row r="23" spans="1:8" x14ac:dyDescent="0.3">
      <c r="A23" s="26" t="s">
        <v>1045</v>
      </c>
      <c r="B23" s="26">
        <v>79.62</v>
      </c>
      <c r="C23" s="29">
        <f t="shared" si="0"/>
        <v>4.2885973763875304E-3</v>
      </c>
      <c r="D23" s="26"/>
      <c r="F23" s="26">
        <v>40624.39</v>
      </c>
      <c r="G23" s="29">
        <f t="shared" si="1"/>
        <v>5.0544172464732987E-3</v>
      </c>
      <c r="H23" s="26"/>
    </row>
    <row r="24" spans="1:8" x14ac:dyDescent="0.3">
      <c r="A24" s="26" t="s">
        <v>1044</v>
      </c>
      <c r="B24" s="26">
        <v>79.06</v>
      </c>
      <c r="C24" s="29">
        <f t="shared" si="0"/>
        <v>-7.0334086912836255E-3</v>
      </c>
      <c r="D24" s="26"/>
      <c r="F24" s="26">
        <v>40607.120000000003</v>
      </c>
      <c r="G24" s="29">
        <f t="shared" si="1"/>
        <v>-4.2511407555896342E-4</v>
      </c>
      <c r="H24" s="26"/>
    </row>
    <row r="25" spans="1:8" x14ac:dyDescent="0.3">
      <c r="A25" s="26" t="s">
        <v>1043</v>
      </c>
      <c r="B25" s="26">
        <v>79.95</v>
      </c>
      <c r="C25" s="29">
        <f t="shared" si="0"/>
        <v>1.1257272957247667E-2</v>
      </c>
      <c r="D25" s="26"/>
      <c r="F25" s="26">
        <v>40799.519999999997</v>
      </c>
      <c r="G25" s="29">
        <f t="shared" si="1"/>
        <v>4.7380853406987292E-3</v>
      </c>
      <c r="H25" s="26"/>
    </row>
    <row r="26" spans="1:8" x14ac:dyDescent="0.3">
      <c r="A26" s="27">
        <v>43467</v>
      </c>
      <c r="B26" s="26">
        <v>83.53</v>
      </c>
      <c r="C26" s="29">
        <f t="shared" si="0"/>
        <v>4.4777986241400849E-2</v>
      </c>
      <c r="D26" s="26"/>
      <c r="F26" s="26">
        <v>41112.71</v>
      </c>
      <c r="G26" s="29">
        <f t="shared" si="1"/>
        <v>7.6763157997937811E-3</v>
      </c>
      <c r="H26" s="26"/>
    </row>
    <row r="27" spans="1:8" x14ac:dyDescent="0.3">
      <c r="A27" s="27">
        <v>43557</v>
      </c>
      <c r="B27" s="26">
        <v>85.33</v>
      </c>
      <c r="C27" s="29">
        <f t="shared" si="0"/>
        <v>2.1549144020112501E-2</v>
      </c>
      <c r="D27" s="26"/>
      <c r="F27" s="26">
        <v>41614.39</v>
      </c>
      <c r="G27" s="29">
        <f t="shared" si="1"/>
        <v>1.2202552446676474E-2</v>
      </c>
      <c r="H27" s="26"/>
    </row>
    <row r="28" spans="1:8" x14ac:dyDescent="0.3">
      <c r="A28" s="27">
        <v>43618</v>
      </c>
      <c r="B28" s="26">
        <v>83.96</v>
      </c>
      <c r="C28" s="29">
        <f t="shared" si="0"/>
        <v>-1.605531466072899E-2</v>
      </c>
      <c r="D28" s="26"/>
      <c r="F28" s="26">
        <v>41505.68</v>
      </c>
      <c r="G28" s="29">
        <f t="shared" si="1"/>
        <v>-2.6123175180508265E-3</v>
      </c>
      <c r="H28" s="26"/>
    </row>
    <row r="29" spans="1:8" x14ac:dyDescent="0.3">
      <c r="A29" s="27">
        <v>43648</v>
      </c>
      <c r="B29" s="26">
        <v>83.01</v>
      </c>
      <c r="C29" s="29">
        <f t="shared" si="0"/>
        <v>-1.1314911862791672E-2</v>
      </c>
      <c r="D29" s="26"/>
      <c r="F29" s="26">
        <v>41332.75</v>
      </c>
      <c r="G29" s="29">
        <f t="shared" si="1"/>
        <v>-4.1664177047575244E-3</v>
      </c>
      <c r="H29" s="26"/>
    </row>
    <row r="30" spans="1:8" x14ac:dyDescent="0.3">
      <c r="A30" s="27">
        <v>43679</v>
      </c>
      <c r="B30" s="26">
        <v>82.5</v>
      </c>
      <c r="C30" s="29">
        <f t="shared" si="0"/>
        <v>-6.1438380917962308E-3</v>
      </c>
      <c r="D30" s="26"/>
      <c r="F30" s="26">
        <v>40887.35</v>
      </c>
      <c r="G30" s="29">
        <f t="shared" si="1"/>
        <v>-1.0775958531672861E-2</v>
      </c>
      <c r="H30" s="26"/>
    </row>
    <row r="31" spans="1:8" x14ac:dyDescent="0.3">
      <c r="A31" s="27">
        <v>43771</v>
      </c>
      <c r="B31" s="26">
        <v>81.56</v>
      </c>
      <c r="C31" s="29">
        <f t="shared" si="0"/>
        <v>-1.1393939393939366E-2</v>
      </c>
      <c r="D31" s="26"/>
      <c r="F31" s="26">
        <v>40326.53</v>
      </c>
      <c r="G31" s="29">
        <f t="shared" si="1"/>
        <v>-1.3716222743709233E-2</v>
      </c>
      <c r="H31" s="26"/>
    </row>
    <row r="32" spans="1:8" x14ac:dyDescent="0.3">
      <c r="A32" s="27">
        <v>43801</v>
      </c>
      <c r="B32" s="26">
        <v>81</v>
      </c>
      <c r="C32" s="29">
        <f t="shared" si="0"/>
        <v>-6.8661108386464231E-3</v>
      </c>
      <c r="D32" s="26"/>
      <c r="F32" s="26">
        <v>40596.28</v>
      </c>
      <c r="G32" s="29">
        <f t="shared" si="1"/>
        <v>6.6891448383979485E-3</v>
      </c>
      <c r="H32" s="26"/>
    </row>
    <row r="33" spans="1:8" x14ac:dyDescent="0.3">
      <c r="A33" s="26" t="s">
        <v>1042</v>
      </c>
      <c r="B33" s="26">
        <v>81.23</v>
      </c>
      <c r="C33" s="29">
        <f t="shared" si="0"/>
        <v>2.8395061728395555E-3</v>
      </c>
      <c r="D33" s="26"/>
      <c r="F33" s="26">
        <v>40544.11</v>
      </c>
      <c r="G33" s="29">
        <f t="shared" si="1"/>
        <v>-1.2850931169062351E-3</v>
      </c>
      <c r="H33" s="26"/>
    </row>
    <row r="34" spans="1:8" x14ac:dyDescent="0.3">
      <c r="A34" s="26" t="s">
        <v>1041</v>
      </c>
      <c r="B34" s="26">
        <v>80.56</v>
      </c>
      <c r="C34" s="29">
        <f t="shared" si="0"/>
        <v>-8.2481841684107059E-3</v>
      </c>
      <c r="D34" s="26"/>
      <c r="F34" s="26">
        <v>40506.980000000003</v>
      </c>
      <c r="G34" s="29">
        <f t="shared" si="1"/>
        <v>-9.1579270083860223E-4</v>
      </c>
      <c r="H34" s="26"/>
    </row>
    <row r="35" spans="1:8" x14ac:dyDescent="0.3">
      <c r="A35" s="26" t="s">
        <v>1040</v>
      </c>
      <c r="B35" s="26">
        <v>80.63</v>
      </c>
      <c r="C35" s="29">
        <f t="shared" si="0"/>
        <v>8.6891757696118638E-4</v>
      </c>
      <c r="D35" s="26"/>
      <c r="F35" s="26">
        <v>40486.67</v>
      </c>
      <c r="G35" s="29">
        <f t="shared" si="1"/>
        <v>-5.0139506820811989E-4</v>
      </c>
      <c r="H35" s="26"/>
    </row>
    <row r="36" spans="1:8" x14ac:dyDescent="0.3">
      <c r="A36" s="26" t="s">
        <v>1039</v>
      </c>
      <c r="B36" s="26">
        <v>80.430000000000007</v>
      </c>
      <c r="C36" s="29">
        <f t="shared" si="0"/>
        <v>-2.4804663276694612E-3</v>
      </c>
      <c r="D36" s="26"/>
      <c r="F36" s="26">
        <v>40219.47</v>
      </c>
      <c r="G36" s="29">
        <f t="shared" si="1"/>
        <v>-6.5997030627610795E-3</v>
      </c>
      <c r="H36" s="26"/>
    </row>
    <row r="37" spans="1:8" x14ac:dyDescent="0.3">
      <c r="A37" s="26" t="s">
        <v>1038</v>
      </c>
      <c r="B37" s="26">
        <v>80.099999999999994</v>
      </c>
      <c r="C37" s="29">
        <f t="shared" si="0"/>
        <v>-4.1029466616935529E-3</v>
      </c>
      <c r="D37" s="26"/>
      <c r="F37" s="26">
        <v>39957.07</v>
      </c>
      <c r="G37" s="29">
        <f t="shared" si="1"/>
        <v>-6.5242033273934606E-3</v>
      </c>
      <c r="H37" s="26"/>
    </row>
    <row r="38" spans="1:8" x14ac:dyDescent="0.3">
      <c r="A38" s="26" t="s">
        <v>1037</v>
      </c>
      <c r="B38" s="26">
        <v>81.56</v>
      </c>
      <c r="C38" s="29">
        <f t="shared" si="0"/>
        <v>1.822721598002507E-2</v>
      </c>
      <c r="D38" s="26"/>
      <c r="F38" s="26">
        <v>40279.379999999997</v>
      </c>
      <c r="G38" s="29">
        <f t="shared" si="1"/>
        <v>8.0664072716041917E-3</v>
      </c>
      <c r="H38" s="26"/>
    </row>
    <row r="39" spans="1:8" x14ac:dyDescent="0.3">
      <c r="A39" s="26" t="s">
        <v>1036</v>
      </c>
      <c r="B39" s="26">
        <v>84.27</v>
      </c>
      <c r="C39" s="29">
        <f t="shared" si="0"/>
        <v>3.3227072094163729E-2</v>
      </c>
      <c r="D39" s="26"/>
      <c r="F39" s="26">
        <v>40070.71</v>
      </c>
      <c r="G39" s="29">
        <f t="shared" si="1"/>
        <v>-5.1805663344370806E-3</v>
      </c>
      <c r="H39" s="26"/>
    </row>
    <row r="40" spans="1:8" x14ac:dyDescent="0.3">
      <c r="A40" s="26" t="s">
        <v>1035</v>
      </c>
      <c r="B40" s="26">
        <v>85.77</v>
      </c>
      <c r="C40" s="29">
        <f t="shared" si="0"/>
        <v>1.77999288002848E-2</v>
      </c>
      <c r="D40" s="26"/>
      <c r="F40" s="26">
        <v>40016.129999999997</v>
      </c>
      <c r="G40" s="29">
        <f t="shared" si="1"/>
        <v>-1.3620921615814081E-3</v>
      </c>
      <c r="H40" s="26"/>
    </row>
    <row r="41" spans="1:8" x14ac:dyDescent="0.3">
      <c r="A41" s="26" t="s">
        <v>1034</v>
      </c>
      <c r="B41" s="26">
        <v>84.95</v>
      </c>
      <c r="C41" s="29">
        <f t="shared" si="0"/>
        <v>-9.5604523726243815E-3</v>
      </c>
      <c r="D41" s="26"/>
      <c r="F41" s="26">
        <v>39606.79</v>
      </c>
      <c r="G41" s="29">
        <f t="shared" si="1"/>
        <v>-1.0229375004529338E-2</v>
      </c>
      <c r="H41" s="26"/>
    </row>
    <row r="42" spans="1:8" x14ac:dyDescent="0.3">
      <c r="A42" s="26" t="s">
        <v>1033</v>
      </c>
      <c r="B42" s="26">
        <v>83.34</v>
      </c>
      <c r="C42" s="29">
        <f t="shared" si="0"/>
        <v>-1.8952324896998225E-2</v>
      </c>
      <c r="D42" s="26"/>
      <c r="F42" s="26">
        <v>38821.67</v>
      </c>
      <c r="G42" s="29">
        <f t="shared" si="1"/>
        <v>-1.9822863705945434E-2</v>
      </c>
      <c r="H42" s="26"/>
    </row>
    <row r="43" spans="1:8" x14ac:dyDescent="0.3">
      <c r="A43" s="26" t="s">
        <v>1032</v>
      </c>
      <c r="B43" s="26">
        <v>84.03</v>
      </c>
      <c r="C43" s="29">
        <f t="shared" si="0"/>
        <v>8.2793376529877328E-3</v>
      </c>
      <c r="D43" s="26"/>
      <c r="F43" s="26">
        <v>38692.69</v>
      </c>
      <c r="G43" s="29">
        <f t="shared" si="1"/>
        <v>-3.3223712426589565E-3</v>
      </c>
      <c r="H43" s="26"/>
    </row>
    <row r="44" spans="1:8" x14ac:dyDescent="0.3">
      <c r="A44" s="26" t="s">
        <v>1031</v>
      </c>
      <c r="B44" s="26">
        <v>84.01</v>
      </c>
      <c r="C44" s="29">
        <f t="shared" si="0"/>
        <v>-2.3801023444003355E-4</v>
      </c>
      <c r="D44" s="26"/>
      <c r="F44" s="26">
        <v>39054.6</v>
      </c>
      <c r="G44" s="29">
        <f t="shared" si="1"/>
        <v>9.353446348651288E-3</v>
      </c>
      <c r="H44" s="26"/>
    </row>
    <row r="45" spans="1:8" x14ac:dyDescent="0.3">
      <c r="A45" s="27">
        <v>43468</v>
      </c>
      <c r="B45" s="26">
        <v>87.04</v>
      </c>
      <c r="C45" s="29">
        <f t="shared" si="0"/>
        <v>3.6067134864897051E-2</v>
      </c>
      <c r="D45" s="26"/>
      <c r="F45" s="26">
        <v>39539.01</v>
      </c>
      <c r="G45" s="29">
        <f t="shared" si="1"/>
        <v>1.2403404464518994E-2</v>
      </c>
      <c r="H45" s="26"/>
    </row>
    <row r="46" spans="1:8" x14ac:dyDescent="0.3">
      <c r="A46" s="27">
        <v>43558</v>
      </c>
      <c r="B46" s="26">
        <v>87.06</v>
      </c>
      <c r="C46" s="29">
        <f t="shared" si="0"/>
        <v>2.2977941176466015E-4</v>
      </c>
      <c r="D46" s="26"/>
      <c r="F46" s="26">
        <v>39749.74</v>
      </c>
      <c r="G46" s="29">
        <f t="shared" si="1"/>
        <v>5.3296731506427683E-3</v>
      </c>
      <c r="H46" s="26"/>
    </row>
    <row r="47" spans="1:8" x14ac:dyDescent="0.3">
      <c r="A47" s="27">
        <v>43588</v>
      </c>
      <c r="B47" s="26">
        <v>87</v>
      </c>
      <c r="C47" s="29">
        <f t="shared" si="0"/>
        <v>-6.8917987594764845E-4</v>
      </c>
      <c r="D47" s="26"/>
      <c r="F47" s="26">
        <v>39688.51</v>
      </c>
      <c r="G47" s="29">
        <f t="shared" si="1"/>
        <v>-1.5403874339805978E-3</v>
      </c>
      <c r="H47" s="26"/>
    </row>
    <row r="48" spans="1:8" x14ac:dyDescent="0.3">
      <c r="A48" s="27">
        <v>43619</v>
      </c>
      <c r="B48" s="26">
        <v>86.76</v>
      </c>
      <c r="C48" s="29">
        <f t="shared" si="0"/>
        <v>-2.7586206896551137E-3</v>
      </c>
      <c r="D48" s="26"/>
      <c r="F48" s="26">
        <v>39568.1</v>
      </c>
      <c r="G48" s="29">
        <f t="shared" si="1"/>
        <v>-3.0338755473562368E-3</v>
      </c>
      <c r="H48" s="26"/>
    </row>
    <row r="49" spans="1:8" x14ac:dyDescent="0.3">
      <c r="A49" s="27">
        <v>43649</v>
      </c>
      <c r="B49" s="26">
        <v>84.99</v>
      </c>
      <c r="C49" s="29">
        <f t="shared" si="0"/>
        <v>-2.0401106500691681E-2</v>
      </c>
      <c r="D49" s="26"/>
      <c r="F49" s="26">
        <v>39294.1</v>
      </c>
      <c r="G49" s="29">
        <f t="shared" si="1"/>
        <v>-6.9247702063025517E-3</v>
      </c>
      <c r="H49" s="26"/>
    </row>
    <row r="50" spans="1:8" x14ac:dyDescent="0.3">
      <c r="A50" s="27">
        <v>43680</v>
      </c>
      <c r="B50" s="26">
        <v>85.61</v>
      </c>
      <c r="C50" s="29">
        <f t="shared" si="0"/>
        <v>7.2949758795152909E-3</v>
      </c>
      <c r="D50" s="26"/>
      <c r="F50" s="26">
        <v>38950.230000000003</v>
      </c>
      <c r="G50" s="29">
        <f t="shared" si="1"/>
        <v>-8.7511865649040274E-3</v>
      </c>
      <c r="H50" s="26"/>
    </row>
    <row r="51" spans="1:8" x14ac:dyDescent="0.3">
      <c r="A51" s="27">
        <v>43772</v>
      </c>
      <c r="B51" s="26">
        <v>85.44</v>
      </c>
      <c r="C51" s="29">
        <f t="shared" si="0"/>
        <v>-1.9857493283495118E-3</v>
      </c>
      <c r="D51" s="26"/>
      <c r="F51" s="26">
        <v>38924.11</v>
      </c>
      <c r="G51" s="29">
        <f t="shared" si="1"/>
        <v>-6.7059937771876102E-4</v>
      </c>
      <c r="H51" s="26"/>
    </row>
    <row r="52" spans="1:8" x14ac:dyDescent="0.3">
      <c r="A52" s="27">
        <v>43802</v>
      </c>
      <c r="B52" s="26">
        <v>85.12</v>
      </c>
      <c r="C52" s="29">
        <f t="shared" si="0"/>
        <v>-3.7453183520598453E-3</v>
      </c>
      <c r="D52" s="26"/>
      <c r="F52" s="26">
        <v>38896.49</v>
      </c>
      <c r="G52" s="29">
        <f t="shared" si="1"/>
        <v>-7.095859096072491E-4</v>
      </c>
      <c r="H52" s="26"/>
    </row>
    <row r="53" spans="1:8" x14ac:dyDescent="0.3">
      <c r="A53" s="26" t="s">
        <v>1030</v>
      </c>
      <c r="B53" s="26">
        <v>85.18</v>
      </c>
      <c r="C53" s="29">
        <f t="shared" si="0"/>
        <v>7.0488721804513941E-4</v>
      </c>
      <c r="D53" s="26"/>
      <c r="F53" s="26">
        <v>38928.93</v>
      </c>
      <c r="G53" s="29">
        <f t="shared" si="1"/>
        <v>8.3400841566944289E-4</v>
      </c>
      <c r="H53" s="26"/>
    </row>
    <row r="54" spans="1:8" x14ac:dyDescent="0.3">
      <c r="A54" s="26" t="s">
        <v>1029</v>
      </c>
      <c r="B54" s="26">
        <v>83.02</v>
      </c>
      <c r="C54" s="29">
        <f t="shared" si="0"/>
        <v>-2.5358065273538514E-2</v>
      </c>
      <c r="D54" s="26"/>
      <c r="F54" s="26">
        <v>38808.61</v>
      </c>
      <c r="G54" s="29">
        <f t="shared" si="1"/>
        <v>-3.0907605218021585E-3</v>
      </c>
      <c r="H54" s="26"/>
    </row>
    <row r="55" spans="1:8" x14ac:dyDescent="0.3">
      <c r="A55" s="26" t="s">
        <v>1028</v>
      </c>
      <c r="B55" s="26">
        <v>83.1</v>
      </c>
      <c r="C55" s="29">
        <f t="shared" si="0"/>
        <v>9.6362322331966152E-4</v>
      </c>
      <c r="D55" s="26"/>
      <c r="F55" s="26">
        <v>38306.949999999997</v>
      </c>
      <c r="G55" s="29">
        <f t="shared" si="1"/>
        <v>-1.2926512956789833E-2</v>
      </c>
      <c r="H55" s="26"/>
    </row>
    <row r="56" spans="1:8" x14ac:dyDescent="0.3">
      <c r="A56" s="26" t="s">
        <v>1027</v>
      </c>
      <c r="B56" s="26">
        <v>83.56</v>
      </c>
      <c r="C56" s="29">
        <f t="shared" si="0"/>
        <v>5.5354993983153791E-3</v>
      </c>
      <c r="D56" s="26"/>
      <c r="F56" s="26">
        <v>38851.949999999997</v>
      </c>
      <c r="G56" s="29">
        <f t="shared" si="1"/>
        <v>1.4227183317909675E-2</v>
      </c>
      <c r="H56" s="26"/>
    </row>
    <row r="57" spans="1:8" x14ac:dyDescent="0.3">
      <c r="A57" s="26" t="s">
        <v>1026</v>
      </c>
      <c r="B57" s="26">
        <v>82.8</v>
      </c>
      <c r="C57" s="29">
        <f t="shared" si="0"/>
        <v>-9.0952608903782321E-3</v>
      </c>
      <c r="D57" s="26"/>
      <c r="F57" s="26">
        <v>38612.370000000003</v>
      </c>
      <c r="G57" s="29">
        <f t="shared" si="1"/>
        <v>-6.1664858520613375E-3</v>
      </c>
      <c r="H57" s="26"/>
    </row>
    <row r="58" spans="1:8" x14ac:dyDescent="0.3">
      <c r="A58" s="26" t="s">
        <v>1025</v>
      </c>
      <c r="B58" s="26">
        <v>82.79</v>
      </c>
      <c r="C58" s="29">
        <f t="shared" si="0"/>
        <v>-1.2077294685979355E-4</v>
      </c>
      <c r="D58" s="26"/>
      <c r="F58" s="26">
        <v>38547.760000000002</v>
      </c>
      <c r="G58" s="29">
        <f t="shared" si="1"/>
        <v>-1.6732979612492209E-3</v>
      </c>
      <c r="H58" s="26"/>
    </row>
    <row r="59" spans="1:8" x14ac:dyDescent="0.3">
      <c r="A59" s="26" t="s">
        <v>1024</v>
      </c>
      <c r="B59" s="26">
        <v>83.57</v>
      </c>
      <c r="C59" s="29">
        <f t="shared" si="0"/>
        <v>9.4214277086603071E-3</v>
      </c>
      <c r="D59" s="26"/>
      <c r="F59" s="26">
        <v>38384.71</v>
      </c>
      <c r="G59" s="29">
        <f t="shared" si="1"/>
        <v>-4.2298177637300561E-3</v>
      </c>
      <c r="H59" s="26"/>
    </row>
    <row r="60" spans="1:8" x14ac:dyDescent="0.3">
      <c r="A60" s="26" t="s">
        <v>1023</v>
      </c>
      <c r="B60" s="26">
        <v>83.74</v>
      </c>
      <c r="C60" s="29">
        <f t="shared" si="0"/>
        <v>2.0342228072274945E-3</v>
      </c>
      <c r="D60" s="26"/>
      <c r="F60" s="26">
        <v>38531.870000000003</v>
      </c>
      <c r="G60" s="29">
        <f t="shared" si="1"/>
        <v>3.8338182052177414E-3</v>
      </c>
      <c r="H60" s="26"/>
    </row>
    <row r="61" spans="1:8" x14ac:dyDescent="0.3">
      <c r="A61" s="26" t="s">
        <v>1022</v>
      </c>
      <c r="B61" s="26">
        <v>83.5</v>
      </c>
      <c r="C61" s="29">
        <f t="shared" si="0"/>
        <v>-2.8660138524002256E-3</v>
      </c>
      <c r="D61" s="26"/>
      <c r="F61" s="26">
        <v>38128.660000000003</v>
      </c>
      <c r="G61" s="29">
        <f t="shared" si="1"/>
        <v>-1.046432472651857E-2</v>
      </c>
      <c r="H61" s="26"/>
    </row>
    <row r="62" spans="1:8" x14ac:dyDescent="0.3">
      <c r="A62" s="26" t="s">
        <v>1021</v>
      </c>
      <c r="B62" s="26">
        <v>83.5</v>
      </c>
      <c r="C62" s="29">
        <f t="shared" si="0"/>
        <v>0</v>
      </c>
      <c r="D62" s="26"/>
      <c r="F62" s="26">
        <v>38329.129999999997</v>
      </c>
      <c r="G62" s="29">
        <f t="shared" si="1"/>
        <v>5.2577247666189654E-3</v>
      </c>
      <c r="H62" s="26"/>
    </row>
    <row r="63" spans="1:8" x14ac:dyDescent="0.3">
      <c r="A63" s="26" t="s">
        <v>1020</v>
      </c>
      <c r="B63" s="26">
        <v>84.56</v>
      </c>
      <c r="C63" s="29">
        <f t="shared" si="0"/>
        <v>1.2694610778443142E-2</v>
      </c>
      <c r="D63" s="26"/>
      <c r="F63" s="26">
        <v>38965.01</v>
      </c>
      <c r="G63" s="29">
        <f t="shared" si="1"/>
        <v>1.658999304184584E-2</v>
      </c>
      <c r="H63" s="26"/>
    </row>
    <row r="64" spans="1:8" x14ac:dyDescent="0.3">
      <c r="A64" s="26" t="s">
        <v>1019</v>
      </c>
      <c r="B64" s="26">
        <v>85.33</v>
      </c>
      <c r="C64" s="29">
        <f t="shared" si="0"/>
        <v>9.1059602649006151E-3</v>
      </c>
      <c r="D64" s="26"/>
      <c r="F64" s="26">
        <v>38552.949999999997</v>
      </c>
      <c r="G64" s="29">
        <f t="shared" si="1"/>
        <v>-1.0575128814287611E-2</v>
      </c>
      <c r="H64" s="26"/>
    </row>
    <row r="65" spans="1:8" x14ac:dyDescent="0.3">
      <c r="A65" s="26" t="s">
        <v>1018</v>
      </c>
      <c r="B65" s="26">
        <v>85.66</v>
      </c>
      <c r="C65" s="29">
        <f t="shared" si="0"/>
        <v>3.8673385679127894E-3</v>
      </c>
      <c r="D65" s="26"/>
      <c r="F65" s="26">
        <v>38649.339999999997</v>
      </c>
      <c r="G65" s="29">
        <f t="shared" si="1"/>
        <v>2.5001977799364102E-3</v>
      </c>
      <c r="H65" s="26"/>
    </row>
    <row r="66" spans="1:8" x14ac:dyDescent="0.3">
      <c r="A66" s="27">
        <v>43469</v>
      </c>
      <c r="B66" s="26">
        <v>84.05</v>
      </c>
      <c r="C66" s="29">
        <f t="shared" si="0"/>
        <v>-1.8795236983422829E-2</v>
      </c>
      <c r="D66" s="26"/>
      <c r="F66" s="26">
        <v>38354.85</v>
      </c>
      <c r="G66" s="29">
        <f t="shared" si="1"/>
        <v>-7.6195350295761325E-3</v>
      </c>
      <c r="H66" s="26"/>
    </row>
    <row r="67" spans="1:8" x14ac:dyDescent="0.3">
      <c r="A67" s="27">
        <v>43500</v>
      </c>
      <c r="B67" s="26">
        <v>83.95</v>
      </c>
      <c r="C67" s="29">
        <f t="shared" si="0"/>
        <v>-1.1897679952408604E-3</v>
      </c>
      <c r="D67" s="26"/>
      <c r="F67" s="26">
        <v>38036.03</v>
      </c>
      <c r="G67" s="29">
        <f t="shared" si="1"/>
        <v>-8.3123777045145449E-3</v>
      </c>
      <c r="H67" s="26"/>
    </row>
    <row r="68" spans="1:8" x14ac:dyDescent="0.3">
      <c r="A68" s="27">
        <v>43528</v>
      </c>
      <c r="B68" s="26">
        <v>83.82</v>
      </c>
      <c r="C68" s="29">
        <f t="shared" si="0"/>
        <v>-1.5485407980942187E-3</v>
      </c>
      <c r="D68" s="26"/>
      <c r="F68" s="26">
        <v>38022.800000000003</v>
      </c>
      <c r="G68" s="29">
        <f t="shared" si="1"/>
        <v>-3.4782809877886638E-4</v>
      </c>
      <c r="H68" s="26"/>
    </row>
    <row r="69" spans="1:8" x14ac:dyDescent="0.3">
      <c r="A69" s="27">
        <v>43559</v>
      </c>
      <c r="B69" s="26">
        <v>83</v>
      </c>
      <c r="C69" s="29">
        <f t="shared" ref="C69:C132" si="2">(B69-B68)/B68</f>
        <v>-9.7828680505845055E-3</v>
      </c>
      <c r="D69" s="26"/>
      <c r="F69" s="26">
        <v>37516.11</v>
      </c>
      <c r="G69" s="29">
        <f t="shared" ref="G69:G132" si="3">(F69-F68)/F68</f>
        <v>-1.3325951797342707E-2</v>
      </c>
      <c r="H69" s="26"/>
    </row>
    <row r="70" spans="1:8" x14ac:dyDescent="0.3">
      <c r="A70" s="27">
        <v>43589</v>
      </c>
      <c r="B70" s="26">
        <v>83.15</v>
      </c>
      <c r="C70" s="29">
        <f t="shared" si="2"/>
        <v>1.8072289156627192E-3</v>
      </c>
      <c r="D70" s="26"/>
      <c r="F70" s="26">
        <v>37521.81</v>
      </c>
      <c r="G70" s="29">
        <f t="shared" si="3"/>
        <v>1.5193472884041256E-4</v>
      </c>
      <c r="H70" s="26"/>
    </row>
    <row r="71" spans="1:8" x14ac:dyDescent="0.3">
      <c r="A71" s="27">
        <v>43681</v>
      </c>
      <c r="B71" s="26">
        <v>83</v>
      </c>
      <c r="C71" s="29">
        <f t="shared" si="2"/>
        <v>-1.8039687312087272E-3</v>
      </c>
      <c r="D71" s="26"/>
      <c r="F71" s="26">
        <v>36921.910000000003</v>
      </c>
      <c r="G71" s="29">
        <f t="shared" si="3"/>
        <v>-1.5988034692356105E-2</v>
      </c>
      <c r="H71" s="26"/>
    </row>
    <row r="72" spans="1:8" x14ac:dyDescent="0.3">
      <c r="A72" s="27">
        <v>43712</v>
      </c>
      <c r="B72" s="26">
        <v>82.77</v>
      </c>
      <c r="C72" s="29">
        <f t="shared" si="2"/>
        <v>-2.7710843373494457E-3</v>
      </c>
      <c r="D72" s="26"/>
      <c r="F72" s="26">
        <v>37129.97</v>
      </c>
      <c r="G72" s="29">
        <f t="shared" si="3"/>
        <v>5.6351364271241024E-3</v>
      </c>
      <c r="H72" s="26"/>
    </row>
    <row r="73" spans="1:8" x14ac:dyDescent="0.3">
      <c r="A73" s="27">
        <v>43742</v>
      </c>
      <c r="B73" s="26">
        <v>82.5</v>
      </c>
      <c r="C73" s="29">
        <f t="shared" si="2"/>
        <v>-3.2620514679231128E-3</v>
      </c>
      <c r="D73" s="26"/>
      <c r="F73" s="26">
        <v>36579.32</v>
      </c>
      <c r="G73" s="29">
        <f t="shared" si="3"/>
        <v>-1.483033786453373E-2</v>
      </c>
      <c r="H73" s="26"/>
    </row>
    <row r="74" spans="1:8" x14ac:dyDescent="0.3">
      <c r="A74" s="27">
        <v>43773</v>
      </c>
      <c r="B74" s="26">
        <v>82.36</v>
      </c>
      <c r="C74" s="29">
        <f t="shared" si="2"/>
        <v>-1.696969696969704E-3</v>
      </c>
      <c r="D74" s="26"/>
      <c r="F74" s="26">
        <v>36787.64</v>
      </c>
      <c r="G74" s="29">
        <f t="shared" si="3"/>
        <v>5.6950211212236784E-3</v>
      </c>
      <c r="H74" s="26"/>
    </row>
    <row r="75" spans="1:8" x14ac:dyDescent="0.3">
      <c r="A75" s="27">
        <v>43803</v>
      </c>
      <c r="B75" s="26">
        <v>84.1</v>
      </c>
      <c r="C75" s="29">
        <f t="shared" si="2"/>
        <v>2.1126760563380219E-2</v>
      </c>
      <c r="D75" s="26"/>
      <c r="F75" s="26">
        <v>37337.870000000003</v>
      </c>
      <c r="G75" s="29">
        <f t="shared" si="3"/>
        <v>1.4956925750061793E-2</v>
      </c>
      <c r="H75" s="26"/>
    </row>
    <row r="76" spans="1:8" x14ac:dyDescent="0.3">
      <c r="A76" s="26" t="s">
        <v>1017</v>
      </c>
      <c r="B76" s="26">
        <v>84.15</v>
      </c>
      <c r="C76" s="29">
        <f t="shared" si="2"/>
        <v>5.9453032104650862E-4</v>
      </c>
      <c r="D76" s="26"/>
      <c r="F76" s="26">
        <v>37504.080000000002</v>
      </c>
      <c r="G76" s="29">
        <f t="shared" si="3"/>
        <v>4.4515126331523226E-3</v>
      </c>
      <c r="H76" s="26"/>
    </row>
    <row r="77" spans="1:8" x14ac:dyDescent="0.3">
      <c r="A77" s="26" t="s">
        <v>1016</v>
      </c>
      <c r="B77" s="26">
        <v>83.45</v>
      </c>
      <c r="C77" s="29">
        <f t="shared" si="2"/>
        <v>-8.3184789067142339E-3</v>
      </c>
      <c r="D77" s="26"/>
      <c r="F77" s="26">
        <v>37381.949999999997</v>
      </c>
      <c r="G77" s="29">
        <f t="shared" si="3"/>
        <v>-3.2564456987081046E-3</v>
      </c>
      <c r="H77" s="26"/>
    </row>
    <row r="78" spans="1:8" x14ac:dyDescent="0.3">
      <c r="A78" s="26" t="s">
        <v>1015</v>
      </c>
      <c r="B78" s="26">
        <v>82.07</v>
      </c>
      <c r="C78" s="29">
        <f t="shared" si="2"/>
        <v>-1.6536848412223002E-2</v>
      </c>
      <c r="D78" s="26"/>
      <c r="F78" s="26">
        <v>36752.57</v>
      </c>
      <c r="G78" s="29">
        <f t="shared" si="3"/>
        <v>-1.6836467867513531E-2</v>
      </c>
      <c r="H78" s="26"/>
    </row>
    <row r="79" spans="1:8" x14ac:dyDescent="0.3">
      <c r="A79" s="26" t="s">
        <v>1014</v>
      </c>
      <c r="B79" s="26">
        <v>82.32</v>
      </c>
      <c r="C79" s="29">
        <f t="shared" si="2"/>
        <v>3.0461800901669311E-3</v>
      </c>
      <c r="D79" s="26"/>
      <c r="F79" s="26">
        <v>36811.86</v>
      </c>
      <c r="G79" s="29">
        <f t="shared" si="3"/>
        <v>1.6132205176400147E-3</v>
      </c>
      <c r="H79" s="26"/>
    </row>
    <row r="80" spans="1:8" x14ac:dyDescent="0.3">
      <c r="A80" s="26" t="s">
        <v>1013</v>
      </c>
      <c r="B80" s="26">
        <v>82.22</v>
      </c>
      <c r="C80" s="29">
        <f t="shared" si="2"/>
        <v>-1.2147716229348193E-3</v>
      </c>
      <c r="D80" s="26"/>
      <c r="F80" s="26">
        <v>37292.47</v>
      </c>
      <c r="G80" s="29">
        <f t="shared" si="3"/>
        <v>1.3055846675500792E-2</v>
      </c>
      <c r="H80" s="26"/>
    </row>
    <row r="81" spans="1:8" x14ac:dyDescent="0.3">
      <c r="A81" s="26" t="s">
        <v>1012</v>
      </c>
      <c r="B81" s="26">
        <v>81.88</v>
      </c>
      <c r="C81" s="29">
        <f t="shared" si="2"/>
        <v>-4.1352468985648679E-3</v>
      </c>
      <c r="D81" s="26"/>
      <c r="F81" s="26">
        <v>36901.69</v>
      </c>
      <c r="G81" s="29">
        <f t="shared" si="3"/>
        <v>-1.0478791026713941E-2</v>
      </c>
      <c r="H81" s="26"/>
    </row>
    <row r="82" spans="1:8" x14ac:dyDescent="0.3">
      <c r="A82" s="26" t="s">
        <v>1011</v>
      </c>
      <c r="B82" s="26">
        <v>81.430000000000007</v>
      </c>
      <c r="C82" s="29">
        <f t="shared" si="2"/>
        <v>-5.4958475818269251E-3</v>
      </c>
      <c r="D82" s="26"/>
      <c r="F82" s="26">
        <v>36404.03</v>
      </c>
      <c r="G82" s="29">
        <f t="shared" si="3"/>
        <v>-1.3486103210991243E-2</v>
      </c>
      <c r="H82" s="26"/>
    </row>
    <row r="83" spans="1:8" x14ac:dyDescent="0.3">
      <c r="A83" s="26" t="s">
        <v>1010</v>
      </c>
      <c r="B83" s="26">
        <v>81.569999999999993</v>
      </c>
      <c r="C83" s="29">
        <f t="shared" si="2"/>
        <v>1.7192680830159198E-3</v>
      </c>
      <c r="D83" s="26"/>
      <c r="F83" s="26">
        <v>36504.25</v>
      </c>
      <c r="G83" s="29">
        <f t="shared" si="3"/>
        <v>2.7529919077640902E-3</v>
      </c>
      <c r="H83" s="26"/>
    </row>
    <row r="84" spans="1:8" x14ac:dyDescent="0.3">
      <c r="A84" s="26" t="s">
        <v>1009</v>
      </c>
      <c r="B84" s="26">
        <v>83.61</v>
      </c>
      <c r="C84" s="29">
        <f t="shared" si="2"/>
        <v>2.5009194556822441E-2</v>
      </c>
      <c r="D84" s="26"/>
      <c r="F84" s="26">
        <v>36796.03</v>
      </c>
      <c r="G84" s="29">
        <f t="shared" si="3"/>
        <v>7.9930419060793966E-3</v>
      </c>
      <c r="H84" s="26"/>
    </row>
    <row r="85" spans="1:8" x14ac:dyDescent="0.3">
      <c r="A85" s="26" t="s">
        <v>1008</v>
      </c>
      <c r="B85" s="26">
        <v>82.66</v>
      </c>
      <c r="C85" s="29">
        <f t="shared" si="2"/>
        <v>-1.1362277239564679E-2</v>
      </c>
      <c r="D85" s="26"/>
      <c r="F85" s="26">
        <v>37130.629999999997</v>
      </c>
      <c r="G85" s="29">
        <f t="shared" si="3"/>
        <v>9.0933723013052921E-3</v>
      </c>
      <c r="H85" s="26"/>
    </row>
    <row r="86" spans="1:8" x14ac:dyDescent="0.3">
      <c r="A86" s="26" t="s">
        <v>1007</v>
      </c>
      <c r="B86" s="26">
        <v>82.14</v>
      </c>
      <c r="C86" s="29">
        <f t="shared" si="2"/>
        <v>-6.2908299056375037E-3</v>
      </c>
      <c r="D86" s="26"/>
      <c r="F86" s="26">
        <v>37026.269999999997</v>
      </c>
      <c r="G86" s="29">
        <f t="shared" si="3"/>
        <v>-2.8106175413668065E-3</v>
      </c>
      <c r="H86" s="26"/>
    </row>
    <row r="87" spans="1:8" x14ac:dyDescent="0.3">
      <c r="A87" s="26" t="s">
        <v>1006</v>
      </c>
      <c r="B87" s="26">
        <v>81.27</v>
      </c>
      <c r="C87" s="29">
        <f t="shared" si="2"/>
        <v>-1.0591672753834972E-2</v>
      </c>
      <c r="D87" s="26"/>
      <c r="F87" s="26">
        <v>36784.44</v>
      </c>
      <c r="G87" s="29">
        <f t="shared" si="3"/>
        <v>-6.5313087167568999E-3</v>
      </c>
      <c r="H87" s="26"/>
    </row>
    <row r="88" spans="1:8" x14ac:dyDescent="0.3">
      <c r="A88" s="27">
        <v>43501</v>
      </c>
      <c r="B88" s="26">
        <v>81.010000000000005</v>
      </c>
      <c r="C88" s="29">
        <f t="shared" si="2"/>
        <v>-3.1992125015379712E-3</v>
      </c>
      <c r="D88" s="26"/>
      <c r="F88" s="26">
        <v>36547.629999999997</v>
      </c>
      <c r="G88" s="29">
        <f t="shared" si="3"/>
        <v>-6.437776407633362E-3</v>
      </c>
      <c r="H88" s="26"/>
    </row>
    <row r="89" spans="1:8" x14ac:dyDescent="0.3">
      <c r="A89" s="27">
        <v>43529</v>
      </c>
      <c r="B89" s="26">
        <v>81.83</v>
      </c>
      <c r="C89" s="29">
        <f t="shared" si="2"/>
        <v>1.012220713492153E-2</v>
      </c>
      <c r="D89" s="26"/>
      <c r="F89" s="26">
        <v>36122.949999999997</v>
      </c>
      <c r="G89" s="29">
        <f t="shared" si="3"/>
        <v>-1.1619905312601674E-2</v>
      </c>
      <c r="H89" s="26"/>
    </row>
    <row r="90" spans="1:8" x14ac:dyDescent="0.3">
      <c r="A90" s="27">
        <v>43621</v>
      </c>
      <c r="B90" s="26">
        <v>80.84</v>
      </c>
      <c r="C90" s="29">
        <f t="shared" si="2"/>
        <v>-1.2098252474642489E-2</v>
      </c>
      <c r="D90" s="26"/>
      <c r="F90" s="26">
        <v>35605.42</v>
      </c>
      <c r="G90" s="29">
        <f t="shared" si="3"/>
        <v>-1.4326902979961462E-2</v>
      </c>
      <c r="H90" s="26"/>
    </row>
    <row r="91" spans="1:8" x14ac:dyDescent="0.3">
      <c r="A91" s="27">
        <v>43651</v>
      </c>
      <c r="B91" s="26">
        <v>80.47</v>
      </c>
      <c r="C91" s="29">
        <f t="shared" si="2"/>
        <v>-4.5769421078674481E-3</v>
      </c>
      <c r="D91" s="26"/>
      <c r="F91" s="26">
        <v>35631.06</v>
      </c>
      <c r="G91" s="29">
        <f t="shared" si="3"/>
        <v>7.2011508360242404E-4</v>
      </c>
      <c r="H91" s="26"/>
    </row>
    <row r="92" spans="1:8" x14ac:dyDescent="0.3">
      <c r="A92" s="27">
        <v>43682</v>
      </c>
      <c r="B92" s="26">
        <v>80.430000000000007</v>
      </c>
      <c r="C92" s="29">
        <f t="shared" si="2"/>
        <v>-4.9707965701493778E-4</v>
      </c>
      <c r="D92" s="26"/>
      <c r="F92" s="26">
        <v>35035.03</v>
      </c>
      <c r="G92" s="29">
        <f t="shared" si="3"/>
        <v>-1.6727821176243392E-2</v>
      </c>
      <c r="H92" s="26"/>
    </row>
    <row r="93" spans="1:8" x14ac:dyDescent="0.3">
      <c r="A93" s="27">
        <v>43713</v>
      </c>
      <c r="B93" s="26">
        <v>79.709999999999994</v>
      </c>
      <c r="C93" s="29">
        <f t="shared" si="2"/>
        <v>-8.9518836255130293E-3</v>
      </c>
      <c r="D93" s="26"/>
      <c r="F93" s="26">
        <v>34887.64</v>
      </c>
      <c r="G93" s="29">
        <f t="shared" si="3"/>
        <v>-4.2069323188819712E-3</v>
      </c>
      <c r="H93" s="26"/>
    </row>
    <row r="94" spans="1:8" x14ac:dyDescent="0.3">
      <c r="A94" s="27">
        <v>43743</v>
      </c>
      <c r="B94" s="26">
        <v>79.91</v>
      </c>
      <c r="C94" s="29">
        <f t="shared" si="2"/>
        <v>2.5090954710827104E-3</v>
      </c>
      <c r="D94" s="26"/>
      <c r="F94" s="26">
        <v>34716.53</v>
      </c>
      <c r="G94" s="29">
        <f t="shared" si="3"/>
        <v>-4.9046023176116411E-3</v>
      </c>
      <c r="H94" s="26"/>
    </row>
    <row r="95" spans="1:8" x14ac:dyDescent="0.3">
      <c r="A95" s="26" t="s">
        <v>1005</v>
      </c>
      <c r="B95" s="26">
        <v>78.42</v>
      </c>
      <c r="C95" s="29">
        <f t="shared" si="2"/>
        <v>-1.8645976723814229E-2</v>
      </c>
      <c r="D95" s="26"/>
      <c r="F95" s="26">
        <v>33900.379999999997</v>
      </c>
      <c r="G95" s="29">
        <f t="shared" si="3"/>
        <v>-2.3508973967156323E-2</v>
      </c>
      <c r="H95" s="26"/>
    </row>
    <row r="96" spans="1:8" x14ac:dyDescent="0.3">
      <c r="A96" s="26" t="s">
        <v>1004</v>
      </c>
      <c r="B96" s="26">
        <v>78.989999999999995</v>
      </c>
      <c r="C96" s="29">
        <f t="shared" si="2"/>
        <v>7.2685539403212597E-3</v>
      </c>
      <c r="D96" s="26"/>
      <c r="F96" s="26">
        <v>33885.089999999997</v>
      </c>
      <c r="G96" s="29">
        <f t="shared" si="3"/>
        <v>-4.5102739261332391E-4</v>
      </c>
      <c r="H96" s="26"/>
    </row>
    <row r="97" spans="1:8" x14ac:dyDescent="0.3">
      <c r="A97" s="26" t="s">
        <v>1003</v>
      </c>
      <c r="B97" s="26">
        <v>78.75</v>
      </c>
      <c r="C97" s="29">
        <f t="shared" si="2"/>
        <v>-3.0383592859855031E-3</v>
      </c>
      <c r="D97" s="26"/>
      <c r="F97" s="26">
        <v>34291.65</v>
      </c>
      <c r="G97" s="29">
        <f t="shared" si="3"/>
        <v>1.1998197437280084E-2</v>
      </c>
      <c r="H97" s="26"/>
    </row>
    <row r="98" spans="1:8" x14ac:dyDescent="0.3">
      <c r="A98" s="26" t="s">
        <v>1002</v>
      </c>
      <c r="B98" s="26">
        <v>78.790000000000006</v>
      </c>
      <c r="C98" s="29">
        <f t="shared" si="2"/>
        <v>5.0793650793658739E-4</v>
      </c>
      <c r="D98" s="26"/>
      <c r="F98" s="26">
        <v>33971.120000000003</v>
      </c>
      <c r="G98" s="29">
        <f t="shared" si="3"/>
        <v>-9.3471734372653058E-3</v>
      </c>
      <c r="H98" s="26"/>
    </row>
    <row r="99" spans="1:8" x14ac:dyDescent="0.3">
      <c r="A99" s="26" t="s">
        <v>1001</v>
      </c>
      <c r="B99" s="26">
        <v>77.459999999999994</v>
      </c>
      <c r="C99" s="29">
        <f t="shared" si="2"/>
        <v>-1.6880314760756597E-2</v>
      </c>
      <c r="D99" s="26"/>
      <c r="F99" s="26">
        <v>33166.620000000003</v>
      </c>
      <c r="G99" s="29">
        <f t="shared" si="3"/>
        <v>-2.3681880373682115E-2</v>
      </c>
      <c r="H99" s="26"/>
    </row>
    <row r="100" spans="1:8" x14ac:dyDescent="0.3">
      <c r="A100" s="26" t="s">
        <v>1000</v>
      </c>
      <c r="B100" s="26">
        <v>77.260000000000005</v>
      </c>
      <c r="C100" s="29">
        <f t="shared" si="2"/>
        <v>-2.5819777949908167E-3</v>
      </c>
      <c r="D100" s="26"/>
      <c r="F100" s="26">
        <v>33250.54</v>
      </c>
      <c r="G100" s="29">
        <f t="shared" si="3"/>
        <v>2.5302548164388848E-3</v>
      </c>
      <c r="H100" s="26"/>
    </row>
    <row r="101" spans="1:8" x14ac:dyDescent="0.3">
      <c r="A101" s="26" t="s">
        <v>999</v>
      </c>
      <c r="B101" s="26">
        <v>76.489999999999995</v>
      </c>
      <c r="C101" s="29">
        <f t="shared" si="2"/>
        <v>-9.966347398395161E-3</v>
      </c>
      <c r="D101" s="26"/>
      <c r="F101" s="26">
        <v>33442.1</v>
      </c>
      <c r="G101" s="29">
        <f t="shared" si="3"/>
        <v>5.7611094436360328E-3</v>
      </c>
      <c r="H101" s="26"/>
    </row>
    <row r="102" spans="1:8" x14ac:dyDescent="0.3">
      <c r="A102" s="26" t="s">
        <v>998</v>
      </c>
      <c r="B102" s="26">
        <v>78.13</v>
      </c>
      <c r="C102" s="29">
        <f t="shared" si="2"/>
        <v>2.1440711204078974E-2</v>
      </c>
      <c r="D102" s="26"/>
      <c r="F102" s="26">
        <v>34637.14</v>
      </c>
      <c r="G102" s="29">
        <f t="shared" si="3"/>
        <v>3.573459800670415E-2</v>
      </c>
      <c r="H102" s="26"/>
    </row>
    <row r="103" spans="1:8" x14ac:dyDescent="0.3">
      <c r="A103" s="26" t="s">
        <v>997</v>
      </c>
      <c r="B103" s="26">
        <v>81.010000000000005</v>
      </c>
      <c r="C103" s="29">
        <f t="shared" si="2"/>
        <v>3.686164085498541E-2</v>
      </c>
      <c r="D103" s="26"/>
      <c r="F103" s="26">
        <v>35581.339999999997</v>
      </c>
      <c r="G103" s="29">
        <f t="shared" si="3"/>
        <v>2.7259756434855682E-2</v>
      </c>
      <c r="H103" s="26"/>
    </row>
    <row r="104" spans="1:8" x14ac:dyDescent="0.3">
      <c r="A104" s="26" t="s">
        <v>996</v>
      </c>
      <c r="B104" s="26">
        <v>81.84</v>
      </c>
      <c r="C104" s="29">
        <f t="shared" si="2"/>
        <v>1.0245648685347466E-2</v>
      </c>
      <c r="D104" s="26"/>
      <c r="F104" s="26">
        <v>35703.81</v>
      </c>
      <c r="G104" s="29">
        <f t="shared" si="3"/>
        <v>3.4419726744411867E-3</v>
      </c>
      <c r="H104" s="26"/>
    </row>
    <row r="105" spans="1:8" x14ac:dyDescent="0.3">
      <c r="A105" s="26" t="s">
        <v>995</v>
      </c>
      <c r="B105" s="26">
        <v>82.79</v>
      </c>
      <c r="C105" s="29">
        <f t="shared" si="2"/>
        <v>1.160801564027374E-2</v>
      </c>
      <c r="D105" s="26"/>
      <c r="F105" s="26">
        <v>35697.370000000003</v>
      </c>
      <c r="G105" s="29">
        <f t="shared" si="3"/>
        <v>-1.8037290698093712E-4</v>
      </c>
      <c r="H105" s="26"/>
    </row>
    <row r="106" spans="1:8" x14ac:dyDescent="0.3">
      <c r="A106" s="26" t="s">
        <v>994</v>
      </c>
      <c r="B106" s="26">
        <v>81.31</v>
      </c>
      <c r="C106" s="29">
        <f t="shared" si="2"/>
        <v>-1.7876555139509649E-2</v>
      </c>
      <c r="D106" s="26"/>
      <c r="F106" s="26">
        <v>34949.279999999999</v>
      </c>
      <c r="G106" s="29">
        <f t="shared" si="3"/>
        <v>-2.0956445810994023E-2</v>
      </c>
      <c r="H106" s="26"/>
    </row>
    <row r="107" spans="1:8" x14ac:dyDescent="0.3">
      <c r="A107" s="26" t="s">
        <v>993</v>
      </c>
      <c r="B107" s="26">
        <v>82.7</v>
      </c>
      <c r="C107" s="29">
        <f t="shared" si="2"/>
        <v>1.7095068257286933E-2</v>
      </c>
      <c r="D107" s="26"/>
      <c r="F107" s="26">
        <v>35959.43</v>
      </c>
      <c r="G107" s="29">
        <f t="shared" si="3"/>
        <v>2.8903313601882544E-2</v>
      </c>
      <c r="H107" s="26"/>
    </row>
    <row r="108" spans="1:8" x14ac:dyDescent="0.3">
      <c r="A108" s="26" t="s">
        <v>992</v>
      </c>
      <c r="B108" s="26">
        <v>84.7</v>
      </c>
      <c r="C108" s="29">
        <f t="shared" si="2"/>
        <v>2.4183796856106408E-2</v>
      </c>
      <c r="D108" s="26"/>
      <c r="F108" s="26">
        <v>35974.79</v>
      </c>
      <c r="G108" s="29">
        <f t="shared" si="3"/>
        <v>4.271480387759367E-4</v>
      </c>
      <c r="H108" s="26"/>
    </row>
    <row r="109" spans="1:8" x14ac:dyDescent="0.3">
      <c r="A109" s="27">
        <v>43530</v>
      </c>
      <c r="B109" s="26">
        <v>83.81</v>
      </c>
      <c r="C109" s="29">
        <f t="shared" si="2"/>
        <v>-1.0507674144037787E-2</v>
      </c>
      <c r="D109" s="26"/>
      <c r="F109" s="26">
        <v>35505.29</v>
      </c>
      <c r="G109" s="29">
        <f t="shared" si="3"/>
        <v>-1.3050805855989708E-2</v>
      </c>
      <c r="H109" s="26"/>
    </row>
    <row r="110" spans="1:8" x14ac:dyDescent="0.3">
      <c r="A110" s="27">
        <v>43744</v>
      </c>
      <c r="B110" s="26">
        <v>81.83</v>
      </c>
      <c r="C110" s="29">
        <f t="shared" si="2"/>
        <v>-2.3624865767808183E-2</v>
      </c>
      <c r="D110" s="26"/>
      <c r="F110" s="26">
        <v>34567.550000000003</v>
      </c>
      <c r="G110" s="29">
        <f t="shared" si="3"/>
        <v>-2.6411275615549061E-2</v>
      </c>
      <c r="H110" s="26"/>
    </row>
    <row r="111" spans="1:8" x14ac:dyDescent="0.3">
      <c r="A111" s="27">
        <v>43775</v>
      </c>
      <c r="B111" s="26">
        <v>79.959999999999994</v>
      </c>
      <c r="C111" s="29">
        <f t="shared" si="2"/>
        <v>-2.2852254674324876E-2</v>
      </c>
      <c r="D111" s="26"/>
      <c r="F111" s="26">
        <v>34659.85</v>
      </c>
      <c r="G111" s="29">
        <f t="shared" si="3"/>
        <v>2.6701342733284721E-3</v>
      </c>
      <c r="H111" s="26"/>
    </row>
    <row r="112" spans="1:8" x14ac:dyDescent="0.3">
      <c r="A112" s="27">
        <v>43805</v>
      </c>
      <c r="B112" s="26">
        <v>80.23</v>
      </c>
      <c r="C112" s="29">
        <f t="shared" si="2"/>
        <v>3.3766883441722143E-3</v>
      </c>
      <c r="D112" s="26"/>
      <c r="F112" s="26">
        <v>34937.93</v>
      </c>
      <c r="G112" s="29">
        <f t="shared" si="3"/>
        <v>8.0231160838838533E-3</v>
      </c>
      <c r="H112" s="26"/>
    </row>
    <row r="113" spans="1:8" x14ac:dyDescent="0.3">
      <c r="A113" s="26" t="s">
        <v>991</v>
      </c>
      <c r="B113" s="26">
        <v>80.58</v>
      </c>
      <c r="C113" s="29">
        <f t="shared" si="2"/>
        <v>4.3624579334412853E-3</v>
      </c>
      <c r="D113" s="26"/>
      <c r="F113" s="26">
        <v>35403.07</v>
      </c>
      <c r="G113" s="29">
        <f t="shared" si="3"/>
        <v>1.3313324515791274E-2</v>
      </c>
      <c r="H113" s="26"/>
    </row>
    <row r="114" spans="1:8" x14ac:dyDescent="0.3">
      <c r="A114" s="26" t="s">
        <v>990</v>
      </c>
      <c r="B114" s="26">
        <v>82.02</v>
      </c>
      <c r="C114" s="29">
        <f t="shared" si="2"/>
        <v>1.7870439314966464E-2</v>
      </c>
      <c r="D114" s="26"/>
      <c r="F114" s="26">
        <v>35572.949999999997</v>
      </c>
      <c r="G114" s="29">
        <f t="shared" si="3"/>
        <v>4.798453919391662E-3</v>
      </c>
      <c r="H114" s="26"/>
    </row>
    <row r="115" spans="1:8" x14ac:dyDescent="0.3">
      <c r="A115" s="26" t="s">
        <v>989</v>
      </c>
      <c r="B115" s="26">
        <v>80.739999999999995</v>
      </c>
      <c r="C115" s="29">
        <f t="shared" si="2"/>
        <v>-1.5605949768349198E-2</v>
      </c>
      <c r="D115" s="26"/>
      <c r="F115" s="26">
        <v>35168.82</v>
      </c>
      <c r="G115" s="29">
        <f t="shared" si="3"/>
        <v>-1.1360598432235657E-2</v>
      </c>
      <c r="H115" s="26"/>
    </row>
    <row r="116" spans="1:8" x14ac:dyDescent="0.3">
      <c r="A116" s="26" t="s">
        <v>988</v>
      </c>
      <c r="B116" s="26">
        <v>79.92</v>
      </c>
      <c r="C116" s="29">
        <f t="shared" si="2"/>
        <v>-1.0156056477582279E-2</v>
      </c>
      <c r="D116" s="26"/>
      <c r="F116" s="26">
        <v>34681.72</v>
      </c>
      <c r="G116" s="29">
        <f t="shared" si="3"/>
        <v>-1.3850336747152692E-2</v>
      </c>
      <c r="H116" s="26"/>
    </row>
    <row r="117" spans="1:8" x14ac:dyDescent="0.3">
      <c r="A117" s="26" t="s">
        <v>987</v>
      </c>
      <c r="B117" s="26">
        <v>79.8</v>
      </c>
      <c r="C117" s="29">
        <f t="shared" si="2"/>
        <v>-1.5015015015015583E-3</v>
      </c>
      <c r="D117" s="26"/>
      <c r="F117" s="26">
        <v>34656.120000000003</v>
      </c>
      <c r="G117" s="29">
        <f t="shared" si="3"/>
        <v>-7.381410149207866E-4</v>
      </c>
      <c r="H117" s="26"/>
    </row>
    <row r="118" spans="1:8" x14ac:dyDescent="0.3">
      <c r="A118" s="26" t="s">
        <v>986</v>
      </c>
      <c r="B118" s="26">
        <v>79.8</v>
      </c>
      <c r="C118" s="29">
        <f t="shared" si="2"/>
        <v>0</v>
      </c>
      <c r="D118" s="26"/>
      <c r="F118" s="26">
        <v>34995.910000000003</v>
      </c>
      <c r="G118" s="29">
        <f t="shared" si="3"/>
        <v>9.8046174817031113E-3</v>
      </c>
      <c r="H118" s="26"/>
    </row>
    <row r="119" spans="1:8" x14ac:dyDescent="0.3">
      <c r="A119" s="26" t="s">
        <v>985</v>
      </c>
      <c r="B119" s="26">
        <v>79.25</v>
      </c>
      <c r="C119" s="29">
        <f t="shared" si="2"/>
        <v>-6.8922305764410677E-3</v>
      </c>
      <c r="D119" s="26"/>
      <c r="F119" s="26">
        <v>35125.25</v>
      </c>
      <c r="G119" s="29">
        <f t="shared" si="3"/>
        <v>3.6958604591221232E-3</v>
      </c>
      <c r="H119" s="26"/>
    </row>
    <row r="120" spans="1:8" x14ac:dyDescent="0.3">
      <c r="A120" s="26" t="s">
        <v>984</v>
      </c>
      <c r="B120" s="26">
        <v>79.69</v>
      </c>
      <c r="C120" s="29">
        <f t="shared" si="2"/>
        <v>5.5520504731860912E-3</v>
      </c>
      <c r="D120" s="26"/>
      <c r="F120" s="26">
        <v>34471.949999999997</v>
      </c>
      <c r="G120" s="29">
        <f t="shared" si="3"/>
        <v>-1.8599155877894191E-2</v>
      </c>
      <c r="H120" s="26"/>
    </row>
    <row r="121" spans="1:8" x14ac:dyDescent="0.3">
      <c r="A121" s="26" t="s">
        <v>983</v>
      </c>
      <c r="B121" s="26">
        <v>78.650000000000006</v>
      </c>
      <c r="C121" s="29">
        <f t="shared" si="2"/>
        <v>-1.3050570962479508E-2</v>
      </c>
      <c r="D121" s="26"/>
      <c r="F121" s="26">
        <v>34190.620000000003</v>
      </c>
      <c r="G121" s="29">
        <f t="shared" si="3"/>
        <v>-8.1611281056045426E-3</v>
      </c>
      <c r="H121" s="26"/>
    </row>
    <row r="122" spans="1:8" x14ac:dyDescent="0.3">
      <c r="A122" s="26" t="s">
        <v>982</v>
      </c>
      <c r="B122" s="26">
        <v>78.5</v>
      </c>
      <c r="C122" s="29">
        <f t="shared" si="2"/>
        <v>-1.9071837253656157E-3</v>
      </c>
      <c r="D122" s="26"/>
      <c r="F122" s="26">
        <v>34088.559999999998</v>
      </c>
      <c r="G122" s="29">
        <f t="shared" si="3"/>
        <v>-2.9850292273145367E-3</v>
      </c>
      <c r="H122" s="26"/>
    </row>
    <row r="123" spans="1:8" x14ac:dyDescent="0.3">
      <c r="A123" s="26" t="s">
        <v>981</v>
      </c>
      <c r="B123" s="26">
        <v>78.52</v>
      </c>
      <c r="C123" s="29">
        <f t="shared" si="2"/>
        <v>2.5477707006364356E-4</v>
      </c>
      <c r="D123" s="26"/>
      <c r="F123" s="26">
        <v>33774.42</v>
      </c>
      <c r="G123" s="29">
        <f t="shared" si="3"/>
        <v>-9.2154083364037499E-3</v>
      </c>
      <c r="H123" s="26"/>
    </row>
    <row r="124" spans="1:8" x14ac:dyDescent="0.3">
      <c r="A124" s="26" t="s">
        <v>980</v>
      </c>
      <c r="B124" s="26">
        <v>78.38</v>
      </c>
      <c r="C124" s="29">
        <f t="shared" si="2"/>
        <v>-1.7829852266938433E-3</v>
      </c>
      <c r="D124" s="26"/>
      <c r="F124" s="26">
        <v>33901.58</v>
      </c>
      <c r="G124" s="29">
        <f t="shared" si="3"/>
        <v>3.7649795318469865E-3</v>
      </c>
      <c r="H124" s="26"/>
    </row>
    <row r="125" spans="1:8" x14ac:dyDescent="0.3">
      <c r="A125" s="27">
        <v>43472</v>
      </c>
      <c r="B125" s="26">
        <v>78.349999999999994</v>
      </c>
      <c r="C125" s="29">
        <f t="shared" si="2"/>
        <v>-3.8275070170963431E-4</v>
      </c>
      <c r="D125" s="26"/>
      <c r="F125" s="26">
        <v>33996.33</v>
      </c>
      <c r="G125" s="29">
        <f t="shared" si="3"/>
        <v>2.7948549890595069E-3</v>
      </c>
      <c r="H125" s="26"/>
    </row>
    <row r="126" spans="1:8" x14ac:dyDescent="0.3">
      <c r="A126" s="27">
        <v>43503</v>
      </c>
      <c r="B126" s="26">
        <v>78.89</v>
      </c>
      <c r="C126" s="29">
        <f t="shared" si="2"/>
        <v>6.8921506062540692E-3</v>
      </c>
      <c r="D126" s="26"/>
      <c r="F126" s="26">
        <v>34307.11</v>
      </c>
      <c r="G126" s="29">
        <f t="shared" si="3"/>
        <v>9.141574987653044E-3</v>
      </c>
      <c r="H126" s="26"/>
    </row>
    <row r="127" spans="1:8" x14ac:dyDescent="0.3">
      <c r="A127" s="27">
        <v>43531</v>
      </c>
      <c r="B127" s="26">
        <v>79.510000000000005</v>
      </c>
      <c r="C127" s="29">
        <f t="shared" si="2"/>
        <v>7.8590442388135947E-3</v>
      </c>
      <c r="D127" s="26"/>
      <c r="F127" s="26">
        <v>34896.550000000003</v>
      </c>
      <c r="G127" s="29">
        <f t="shared" si="3"/>
        <v>1.7181278166537559E-2</v>
      </c>
      <c r="H127" s="26"/>
    </row>
    <row r="128" spans="1:8" x14ac:dyDescent="0.3">
      <c r="A128" s="27">
        <v>43562</v>
      </c>
      <c r="B128" s="26">
        <v>79.66</v>
      </c>
      <c r="C128" s="29">
        <f t="shared" si="2"/>
        <v>1.886555150295453E-3</v>
      </c>
      <c r="D128" s="26"/>
      <c r="F128" s="26">
        <v>34570.620000000003</v>
      </c>
      <c r="G128" s="29">
        <f t="shared" si="3"/>
        <v>-9.3398917658049363E-3</v>
      </c>
      <c r="H128" s="26"/>
    </row>
    <row r="129" spans="1:8" x14ac:dyDescent="0.3">
      <c r="A129" s="27">
        <v>43592</v>
      </c>
      <c r="B129" s="26">
        <v>78.91</v>
      </c>
      <c r="C129" s="29">
        <f t="shared" si="2"/>
        <v>-9.4150138086869194E-3</v>
      </c>
      <c r="D129" s="26"/>
      <c r="F129" s="26">
        <v>34190.019999999997</v>
      </c>
      <c r="G129" s="29">
        <f t="shared" si="3"/>
        <v>-1.1009348400462757E-2</v>
      </c>
      <c r="H129" s="26"/>
    </row>
    <row r="130" spans="1:8" x14ac:dyDescent="0.3">
      <c r="A130" s="27">
        <v>43684</v>
      </c>
      <c r="B130" s="26">
        <v>77.7</v>
      </c>
      <c r="C130" s="29">
        <f t="shared" si="2"/>
        <v>-1.5333924724369456E-2</v>
      </c>
      <c r="D130" s="26"/>
      <c r="F130" s="26">
        <v>33742.68</v>
      </c>
      <c r="G130" s="29">
        <f t="shared" si="3"/>
        <v>-1.3083935019634283E-2</v>
      </c>
      <c r="H130" s="26"/>
    </row>
    <row r="131" spans="1:8" x14ac:dyDescent="0.3">
      <c r="A131" s="27">
        <v>43715</v>
      </c>
      <c r="B131" s="26">
        <v>77.83</v>
      </c>
      <c r="C131" s="29">
        <f t="shared" si="2"/>
        <v>1.6731016731016146E-3</v>
      </c>
      <c r="D131" s="26"/>
      <c r="F131" s="26">
        <v>33855.58</v>
      </c>
      <c r="G131" s="29">
        <f t="shared" si="3"/>
        <v>3.345910876077462E-3</v>
      </c>
      <c r="H131" s="26"/>
    </row>
    <row r="132" spans="1:8" x14ac:dyDescent="0.3">
      <c r="A132" s="27">
        <v>43745</v>
      </c>
      <c r="B132" s="26">
        <v>77.61</v>
      </c>
      <c r="C132" s="29">
        <f t="shared" si="2"/>
        <v>-2.8266735192085169E-3</v>
      </c>
      <c r="D132" s="26"/>
      <c r="F132" s="26">
        <v>33840.050000000003</v>
      </c>
      <c r="G132" s="29">
        <f t="shared" si="3"/>
        <v>-4.5871315747651747E-4</v>
      </c>
      <c r="H132" s="26"/>
    </row>
    <row r="133" spans="1:8" x14ac:dyDescent="0.3">
      <c r="A133" s="27">
        <v>43776</v>
      </c>
      <c r="B133" s="26">
        <v>77.349999999999994</v>
      </c>
      <c r="C133" s="29">
        <f t="shared" ref="C133:C196" si="4">(B133-B132)/B132</f>
        <v>-3.3500837520938683E-3</v>
      </c>
      <c r="D133" s="26"/>
      <c r="F133" s="26">
        <v>33875.4</v>
      </c>
      <c r="G133" s="29">
        <f t="shared" ref="G133:G196" si="5">(F133-F132)/F132</f>
        <v>1.0446202059393689E-3</v>
      </c>
      <c r="H133" s="26"/>
    </row>
    <row r="134" spans="1:8" x14ac:dyDescent="0.3">
      <c r="A134" s="27">
        <v>43806</v>
      </c>
      <c r="B134" s="26">
        <v>77.02</v>
      </c>
      <c r="C134" s="29">
        <f t="shared" si="4"/>
        <v>-4.2663219133807148E-3</v>
      </c>
      <c r="D134" s="26"/>
      <c r="F134" s="26">
        <v>33672.49</v>
      </c>
      <c r="G134" s="29">
        <f t="shared" si="5"/>
        <v>-5.9898923702746973E-3</v>
      </c>
      <c r="H134" s="26"/>
    </row>
    <row r="135" spans="1:8" x14ac:dyDescent="0.3">
      <c r="A135" s="26" t="s">
        <v>979</v>
      </c>
      <c r="B135" s="26">
        <v>75.989999999999995</v>
      </c>
      <c r="C135" s="29">
        <f t="shared" si="4"/>
        <v>-1.3373149831212688E-2</v>
      </c>
      <c r="D135" s="26"/>
      <c r="F135" s="26">
        <v>32958.35</v>
      </c>
      <c r="G135" s="29">
        <f t="shared" si="5"/>
        <v>-2.1208410782808145E-2</v>
      </c>
      <c r="H135" s="26"/>
    </row>
    <row r="136" spans="1:8" x14ac:dyDescent="0.3">
      <c r="A136" s="26" t="s">
        <v>978</v>
      </c>
      <c r="B136" s="26">
        <v>75.290000000000006</v>
      </c>
      <c r="C136" s="29">
        <f t="shared" si="4"/>
        <v>-9.2117383866296716E-3</v>
      </c>
      <c r="D136" s="26"/>
      <c r="F136" s="26">
        <v>32972.019999999997</v>
      </c>
      <c r="G136" s="29">
        <f t="shared" si="5"/>
        <v>4.14765909094304E-4</v>
      </c>
      <c r="H136" s="26"/>
    </row>
    <row r="137" spans="1:8" x14ac:dyDescent="0.3">
      <c r="A137" s="26" t="s">
        <v>977</v>
      </c>
      <c r="B137" s="26">
        <v>75.599999999999994</v>
      </c>
      <c r="C137" s="29">
        <f t="shared" si="4"/>
        <v>4.1174126710052869E-3</v>
      </c>
      <c r="D137" s="26"/>
      <c r="F137" s="26">
        <v>32981.99</v>
      </c>
      <c r="G137" s="29">
        <f t="shared" si="5"/>
        <v>3.023775916671519E-4</v>
      </c>
      <c r="H137" s="26"/>
    </row>
    <row r="138" spans="1:8" x14ac:dyDescent="0.3">
      <c r="A138" s="26" t="s">
        <v>976</v>
      </c>
      <c r="B138" s="26">
        <v>75.45</v>
      </c>
      <c r="C138" s="29">
        <f t="shared" si="4"/>
        <v>-1.9841269841268717E-3</v>
      </c>
      <c r="D138" s="26"/>
      <c r="F138" s="26">
        <v>32309.54</v>
      </c>
      <c r="G138" s="29">
        <f t="shared" si="5"/>
        <v>-2.0388399850948872E-2</v>
      </c>
      <c r="H138" s="26"/>
    </row>
    <row r="139" spans="1:8" x14ac:dyDescent="0.3">
      <c r="A139" s="26" t="s">
        <v>975</v>
      </c>
      <c r="B139" s="26">
        <v>74.959999999999994</v>
      </c>
      <c r="C139" s="29">
        <f t="shared" si="4"/>
        <v>-6.4943671305501532E-3</v>
      </c>
      <c r="D139" s="26"/>
      <c r="F139" s="26">
        <v>32458.77</v>
      </c>
      <c r="G139" s="29">
        <f t="shared" si="5"/>
        <v>4.6187596604594051E-3</v>
      </c>
      <c r="H139" s="26"/>
    </row>
    <row r="140" spans="1:8" x14ac:dyDescent="0.3">
      <c r="A140" s="26" t="s">
        <v>974</v>
      </c>
      <c r="B140" s="26">
        <v>74.83</v>
      </c>
      <c r="C140" s="29">
        <f t="shared" si="4"/>
        <v>-1.7342582710778477E-3</v>
      </c>
      <c r="D140" s="26"/>
      <c r="F140" s="26">
        <v>32584.55</v>
      </c>
      <c r="G140" s="29">
        <f t="shared" si="5"/>
        <v>3.8750698193430878E-3</v>
      </c>
      <c r="H140" s="26"/>
    </row>
    <row r="141" spans="1:8" x14ac:dyDescent="0.3">
      <c r="A141" s="26" t="s">
        <v>973</v>
      </c>
      <c r="B141" s="26">
        <v>75.28</v>
      </c>
      <c r="C141" s="29">
        <f t="shared" si="4"/>
        <v>6.0136308966992225E-3</v>
      </c>
      <c r="D141" s="26"/>
      <c r="F141" s="26">
        <v>32715.88</v>
      </c>
      <c r="G141" s="29">
        <f t="shared" si="5"/>
        <v>4.0304377381305484E-3</v>
      </c>
      <c r="H141" s="26"/>
    </row>
    <row r="142" spans="1:8" x14ac:dyDescent="0.3">
      <c r="A142" s="26" t="s">
        <v>972</v>
      </c>
      <c r="B142" s="26">
        <v>74.739999999999995</v>
      </c>
      <c r="C142" s="29">
        <f t="shared" si="4"/>
        <v>-7.1732199787460978E-3</v>
      </c>
      <c r="D142" s="26"/>
      <c r="F142" s="26">
        <v>32401.4</v>
      </c>
      <c r="G142" s="29">
        <f t="shared" si="5"/>
        <v>-9.6124573143072899E-3</v>
      </c>
      <c r="H142" s="26"/>
    </row>
    <row r="143" spans="1:8" x14ac:dyDescent="0.3">
      <c r="A143" s="26" t="s">
        <v>971</v>
      </c>
      <c r="B143" s="26">
        <v>74.58</v>
      </c>
      <c r="C143" s="29">
        <f t="shared" si="4"/>
        <v>-2.1407546160020952E-3</v>
      </c>
      <c r="D143" s="26"/>
      <c r="F143" s="26">
        <v>32446.400000000001</v>
      </c>
      <c r="G143" s="29">
        <f t="shared" si="5"/>
        <v>1.3888288777645409E-3</v>
      </c>
      <c r="H143" s="26"/>
    </row>
    <row r="144" spans="1:8" x14ac:dyDescent="0.3">
      <c r="A144" s="26" t="s">
        <v>970</v>
      </c>
      <c r="B144" s="26">
        <v>74.67</v>
      </c>
      <c r="C144" s="29">
        <f t="shared" si="4"/>
        <v>1.2067578439260312E-3</v>
      </c>
      <c r="D144" s="26"/>
      <c r="F144" s="26">
        <v>32103.27</v>
      </c>
      <c r="G144" s="29">
        <f t="shared" si="5"/>
        <v>-1.0575287242960729E-2</v>
      </c>
      <c r="H144" s="26"/>
    </row>
    <row r="145" spans="1:8" x14ac:dyDescent="0.3">
      <c r="A145" s="26" t="s">
        <v>969</v>
      </c>
      <c r="B145" s="26">
        <v>74.040000000000006</v>
      </c>
      <c r="C145" s="29">
        <f t="shared" si="4"/>
        <v>-8.4371233427078529E-3</v>
      </c>
      <c r="D145" s="26"/>
      <c r="F145" s="26">
        <v>31734.23</v>
      </c>
      <c r="G145" s="29">
        <f t="shared" si="5"/>
        <v>-1.1495402181771541E-2</v>
      </c>
      <c r="H145" s="26"/>
    </row>
    <row r="146" spans="1:8" x14ac:dyDescent="0.3">
      <c r="A146" s="26" t="s">
        <v>968</v>
      </c>
      <c r="B146" s="26">
        <v>73.27</v>
      </c>
      <c r="C146" s="29">
        <f t="shared" si="4"/>
        <v>-1.0399783900594411E-2</v>
      </c>
      <c r="D146" s="26"/>
      <c r="F146" s="26">
        <v>31658.12</v>
      </c>
      <c r="G146" s="29">
        <f t="shared" si="5"/>
        <v>-2.3983566010582448E-3</v>
      </c>
      <c r="H146" s="26"/>
    </row>
    <row r="147" spans="1:8" x14ac:dyDescent="0.3">
      <c r="A147" s="26" t="s">
        <v>967</v>
      </c>
      <c r="B147" s="26">
        <v>73.27</v>
      </c>
      <c r="C147" s="29">
        <f t="shared" si="4"/>
        <v>0</v>
      </c>
      <c r="D147" s="26"/>
      <c r="F147" s="26">
        <v>31938.48</v>
      </c>
      <c r="G147" s="29">
        <f t="shared" si="5"/>
        <v>8.8558638352498695E-3</v>
      </c>
      <c r="H147" s="26"/>
    </row>
    <row r="148" spans="1:8" x14ac:dyDescent="0.3">
      <c r="A148" s="27">
        <v>43473</v>
      </c>
      <c r="B148" s="26">
        <v>72.31</v>
      </c>
      <c r="C148" s="29">
        <f t="shared" si="4"/>
        <v>-1.3102224648560035E-2</v>
      </c>
      <c r="D148" s="26"/>
      <c r="F148" s="26">
        <v>31839.11</v>
      </c>
      <c r="G148" s="29">
        <f t="shared" si="5"/>
        <v>-3.1112939626431499E-3</v>
      </c>
      <c r="H148" s="26"/>
    </row>
    <row r="149" spans="1:8" x14ac:dyDescent="0.3">
      <c r="A149" s="27">
        <v>43504</v>
      </c>
      <c r="B149" s="26">
        <v>71.819999999999993</v>
      </c>
      <c r="C149" s="29">
        <f t="shared" si="4"/>
        <v>-6.7763794772508516E-3</v>
      </c>
      <c r="D149" s="26"/>
      <c r="F149" s="26">
        <v>31666.41</v>
      </c>
      <c r="G149" s="29">
        <f t="shared" si="5"/>
        <v>-5.4241465920373006E-3</v>
      </c>
      <c r="H149" s="26"/>
    </row>
    <row r="150" spans="1:8" x14ac:dyDescent="0.3">
      <c r="A150" s="27">
        <v>43593</v>
      </c>
      <c r="B150" s="26">
        <v>72.17</v>
      </c>
      <c r="C150" s="29">
        <f t="shared" si="4"/>
        <v>4.8732943469786769E-3</v>
      </c>
      <c r="D150" s="26"/>
      <c r="F150" s="26">
        <v>31180.799999999999</v>
      </c>
      <c r="G150" s="29">
        <f t="shared" si="5"/>
        <v>-1.5335176927223533E-2</v>
      </c>
      <c r="H150" s="26"/>
    </row>
    <row r="151" spans="1:8" x14ac:dyDescent="0.3">
      <c r="A151" s="27">
        <v>43624</v>
      </c>
      <c r="B151" s="26">
        <v>72.28</v>
      </c>
      <c r="C151" s="29">
        <f t="shared" si="4"/>
        <v>1.5241790217541836E-3</v>
      </c>
      <c r="D151" s="26"/>
      <c r="F151" s="26">
        <v>31000.67</v>
      </c>
      <c r="G151" s="29">
        <f t="shared" si="5"/>
        <v>-5.7769524835796712E-3</v>
      </c>
      <c r="H151" s="26"/>
    </row>
    <row r="152" spans="1:8" x14ac:dyDescent="0.3">
      <c r="A152" s="27">
        <v>43654</v>
      </c>
      <c r="B152" s="26">
        <v>70.14</v>
      </c>
      <c r="C152" s="29">
        <f t="shared" si="4"/>
        <v>-2.9607083563918103E-2</v>
      </c>
      <c r="D152" s="26"/>
      <c r="F152" s="26">
        <v>30277.45</v>
      </c>
      <c r="G152" s="29">
        <f t="shared" si="5"/>
        <v>-2.3329173208191875E-2</v>
      </c>
      <c r="H152" s="26"/>
    </row>
    <row r="153" spans="1:8" x14ac:dyDescent="0.3">
      <c r="A153" s="27">
        <v>43685</v>
      </c>
      <c r="B153" s="26">
        <v>70.02</v>
      </c>
      <c r="C153" s="29">
        <f t="shared" si="4"/>
        <v>-1.7108639863131529E-3</v>
      </c>
      <c r="D153" s="26"/>
      <c r="F153" s="26">
        <v>29737.98</v>
      </c>
      <c r="G153" s="29">
        <f t="shared" si="5"/>
        <v>-1.7817550685411129E-2</v>
      </c>
      <c r="H153" s="26"/>
    </row>
    <row r="154" spans="1:8" x14ac:dyDescent="0.3">
      <c r="A154" s="27">
        <v>43716</v>
      </c>
      <c r="B154" s="26">
        <v>68.12</v>
      </c>
      <c r="C154" s="29">
        <f t="shared" si="4"/>
        <v>-2.7135104255926759E-2</v>
      </c>
      <c r="D154" s="26"/>
      <c r="F154" s="26">
        <v>29429.07</v>
      </c>
      <c r="G154" s="29">
        <f t="shared" si="5"/>
        <v>-1.0387726402398545E-2</v>
      </c>
      <c r="H154" s="26"/>
    </row>
    <row r="155" spans="1:8" x14ac:dyDescent="0.3">
      <c r="A155" s="26" t="s">
        <v>966</v>
      </c>
      <c r="B155" s="26">
        <v>66.09</v>
      </c>
      <c r="C155" s="29">
        <f t="shared" si="4"/>
        <v>-2.9800352319436303E-2</v>
      </c>
      <c r="D155" s="26"/>
      <c r="F155" s="26">
        <v>28764.63</v>
      </c>
      <c r="G155" s="29">
        <f t="shared" si="5"/>
        <v>-2.2577675747143852E-2</v>
      </c>
      <c r="H155" s="26"/>
    </row>
    <row r="156" spans="1:8" x14ac:dyDescent="0.3">
      <c r="A156" s="26" t="s">
        <v>965</v>
      </c>
      <c r="B156" s="26">
        <v>67.44</v>
      </c>
      <c r="C156" s="29">
        <f t="shared" si="4"/>
        <v>2.0426690876077989E-2</v>
      </c>
      <c r="D156" s="26"/>
      <c r="F156" s="26">
        <v>29562.42</v>
      </c>
      <c r="G156" s="29">
        <f t="shared" si="5"/>
        <v>2.7735103841071387E-2</v>
      </c>
      <c r="H156" s="26"/>
    </row>
    <row r="157" spans="1:8" x14ac:dyDescent="0.3">
      <c r="A157" s="26" t="s">
        <v>964</v>
      </c>
      <c r="B157" s="26">
        <v>70.81</v>
      </c>
      <c r="C157" s="29">
        <f t="shared" si="4"/>
        <v>4.9970344009489985E-2</v>
      </c>
      <c r="D157" s="26"/>
      <c r="F157" s="26">
        <v>30419.22</v>
      </c>
      <c r="G157" s="29">
        <f t="shared" si="5"/>
        <v>2.8982742278879842E-2</v>
      </c>
      <c r="H157" s="26"/>
    </row>
    <row r="158" spans="1:8" x14ac:dyDescent="0.3">
      <c r="A158" s="26" t="s">
        <v>963</v>
      </c>
      <c r="B158" s="26">
        <v>70.53</v>
      </c>
      <c r="C158" s="29">
        <f t="shared" si="4"/>
        <v>-3.9542437508826595E-3</v>
      </c>
      <c r="D158" s="26"/>
      <c r="F158" s="26">
        <v>30972.75</v>
      </c>
      <c r="G158" s="29">
        <f t="shared" si="5"/>
        <v>1.8196719048022888E-2</v>
      </c>
      <c r="H158" s="26"/>
    </row>
    <row r="159" spans="1:8" x14ac:dyDescent="0.3">
      <c r="A159" s="26" t="s">
        <v>962</v>
      </c>
      <c r="B159" s="26">
        <v>70.73</v>
      </c>
      <c r="C159" s="29">
        <f t="shared" si="4"/>
        <v>2.8356727633631483E-3</v>
      </c>
      <c r="D159" s="26"/>
      <c r="F159" s="26">
        <v>31884.45</v>
      </c>
      <c r="G159" s="29">
        <f t="shared" si="5"/>
        <v>2.9435552219289559E-2</v>
      </c>
      <c r="H159" s="26"/>
    </row>
    <row r="160" spans="1:8" x14ac:dyDescent="0.3">
      <c r="A160" s="26" t="s">
        <v>961</v>
      </c>
      <c r="B160" s="26">
        <v>70.180000000000007</v>
      </c>
      <c r="C160" s="29">
        <f t="shared" si="4"/>
        <v>-7.7760497667184666E-3</v>
      </c>
      <c r="D160" s="26"/>
      <c r="F160" s="26">
        <v>31350.01</v>
      </c>
      <c r="G160" s="29">
        <f t="shared" si="5"/>
        <v>-1.6761775724530369E-2</v>
      </c>
      <c r="H160" s="26"/>
    </row>
    <row r="161" spans="1:8" x14ac:dyDescent="0.3">
      <c r="A161" s="26" t="s">
        <v>960</v>
      </c>
      <c r="B161" s="26">
        <v>69.45</v>
      </c>
      <c r="C161" s="29">
        <f t="shared" si="4"/>
        <v>-1.0401823881447761E-2</v>
      </c>
      <c r="D161" s="26"/>
      <c r="F161" s="26">
        <v>30520.6</v>
      </c>
      <c r="G161" s="29">
        <f t="shared" si="5"/>
        <v>-2.6456450891084241E-2</v>
      </c>
      <c r="H161" s="26"/>
    </row>
    <row r="162" spans="1:8" x14ac:dyDescent="0.3">
      <c r="A162" s="26" t="s">
        <v>959</v>
      </c>
      <c r="B162" s="26">
        <v>67.08</v>
      </c>
      <c r="C162" s="29">
        <f t="shared" si="4"/>
        <v>-3.412526997840179E-2</v>
      </c>
      <c r="D162" s="26"/>
      <c r="F162" s="26">
        <v>30584.85</v>
      </c>
      <c r="G162" s="29">
        <f t="shared" si="5"/>
        <v>2.1051355477939493E-3</v>
      </c>
      <c r="H162" s="26"/>
    </row>
    <row r="163" spans="1:8" x14ac:dyDescent="0.3">
      <c r="A163" s="26" t="s">
        <v>958</v>
      </c>
      <c r="B163" s="26">
        <v>67.02</v>
      </c>
      <c r="C163" s="29">
        <f t="shared" si="4"/>
        <v>-8.9445438282650979E-4</v>
      </c>
      <c r="D163" s="26"/>
      <c r="F163" s="26">
        <v>30637.71</v>
      </c>
      <c r="G163" s="29">
        <f t="shared" si="5"/>
        <v>1.7283066616315132E-3</v>
      </c>
      <c r="H163" s="26"/>
    </row>
    <row r="164" spans="1:8" x14ac:dyDescent="0.3">
      <c r="A164" s="26" t="s">
        <v>957</v>
      </c>
      <c r="B164" s="26">
        <v>66.16</v>
      </c>
      <c r="C164" s="29">
        <f t="shared" si="4"/>
        <v>-1.2831990450611751E-2</v>
      </c>
      <c r="D164" s="26"/>
      <c r="F164" s="26">
        <v>30158.959999999999</v>
      </c>
      <c r="G164" s="29">
        <f t="shared" si="5"/>
        <v>-1.5626167882651806E-2</v>
      </c>
      <c r="H164" s="26"/>
    </row>
    <row r="165" spans="1:8" x14ac:dyDescent="0.3">
      <c r="A165" s="26" t="s">
        <v>956</v>
      </c>
      <c r="B165" s="26">
        <v>65.12</v>
      </c>
      <c r="C165" s="29">
        <f t="shared" si="4"/>
        <v>-1.5719467956469047E-2</v>
      </c>
      <c r="D165" s="26"/>
      <c r="F165" s="26">
        <v>29672.12</v>
      </c>
      <c r="G165" s="29">
        <f t="shared" si="5"/>
        <v>-1.6142466451097789E-2</v>
      </c>
      <c r="H165" s="26"/>
    </row>
    <row r="166" spans="1:8" x14ac:dyDescent="0.3">
      <c r="A166" s="27">
        <v>43505</v>
      </c>
      <c r="B166" s="26">
        <v>67.180000000000007</v>
      </c>
      <c r="C166" s="29">
        <f t="shared" si="4"/>
        <v>3.1633906633906667E-2</v>
      </c>
      <c r="D166" s="26"/>
      <c r="F166" s="26">
        <v>30057.29</v>
      </c>
      <c r="G166" s="29">
        <f t="shared" si="5"/>
        <v>1.2980872280106777E-2</v>
      </c>
      <c r="H166" s="26"/>
    </row>
    <row r="167" spans="1:8" x14ac:dyDescent="0.3">
      <c r="A167" s="27">
        <v>43533</v>
      </c>
      <c r="B167" s="26">
        <v>66.41</v>
      </c>
      <c r="C167" s="29">
        <f t="shared" si="4"/>
        <v>-1.1461744566835519E-2</v>
      </c>
      <c r="D167" s="26"/>
      <c r="F167" s="26">
        <v>29809.68</v>
      </c>
      <c r="G167" s="29">
        <f t="shared" si="5"/>
        <v>-8.2379349568773696E-3</v>
      </c>
      <c r="H167" s="26"/>
    </row>
    <row r="168" spans="1:8" x14ac:dyDescent="0.3">
      <c r="A168" s="27">
        <v>43564</v>
      </c>
      <c r="B168" s="26">
        <v>64</v>
      </c>
      <c r="C168" s="29">
        <f t="shared" si="4"/>
        <v>-3.6289715404306533E-2</v>
      </c>
      <c r="D168" s="26"/>
      <c r="F168" s="26">
        <v>30244.73</v>
      </c>
      <c r="G168" s="29">
        <f t="shared" si="5"/>
        <v>1.4594252605193992E-2</v>
      </c>
      <c r="H168" s="26"/>
    </row>
    <row r="169" spans="1:8" x14ac:dyDescent="0.3">
      <c r="A169" s="27">
        <v>43594</v>
      </c>
      <c r="B169" s="26">
        <v>64.319999999999993</v>
      </c>
      <c r="C169" s="29">
        <f t="shared" si="4"/>
        <v>4.9999999999998934E-3</v>
      </c>
      <c r="D169" s="26"/>
      <c r="F169" s="26">
        <v>30214.77</v>
      </c>
      <c r="G169" s="29">
        <f t="shared" si="5"/>
        <v>-9.9058579792245228E-4</v>
      </c>
      <c r="H169" s="26"/>
    </row>
    <row r="170" spans="1:8" x14ac:dyDescent="0.3">
      <c r="A170" s="27">
        <v>43625</v>
      </c>
      <c r="B170" s="26">
        <v>64.52</v>
      </c>
      <c r="C170" s="29">
        <f t="shared" si="4"/>
        <v>3.1094527363184524E-3</v>
      </c>
      <c r="D170" s="26"/>
      <c r="F170" s="26">
        <v>30467.200000000001</v>
      </c>
      <c r="G170" s="29">
        <f t="shared" si="5"/>
        <v>8.354523301021332E-3</v>
      </c>
      <c r="H170" s="26"/>
    </row>
    <row r="171" spans="1:8" x14ac:dyDescent="0.3">
      <c r="A171" s="27">
        <v>43778</v>
      </c>
      <c r="B171" s="26">
        <v>65.86</v>
      </c>
      <c r="C171" s="29">
        <f t="shared" si="4"/>
        <v>2.0768753874767568E-2</v>
      </c>
      <c r="D171" s="26"/>
      <c r="F171" s="26">
        <v>30954.83</v>
      </c>
      <c r="G171" s="29">
        <f t="shared" si="5"/>
        <v>1.6005080873857821E-2</v>
      </c>
      <c r="H171" s="26"/>
    </row>
    <row r="172" spans="1:8" x14ac:dyDescent="0.3">
      <c r="A172" s="27">
        <v>43808</v>
      </c>
      <c r="B172" s="26">
        <v>69</v>
      </c>
      <c r="C172" s="29">
        <f t="shared" si="4"/>
        <v>4.7676890373519597E-2</v>
      </c>
      <c r="D172" s="26"/>
      <c r="F172" s="26">
        <v>31546.61</v>
      </c>
      <c r="G172" s="29">
        <f t="shared" si="5"/>
        <v>1.9117533515771168E-2</v>
      </c>
      <c r="H172" s="26"/>
    </row>
    <row r="173" spans="1:8" x14ac:dyDescent="0.3">
      <c r="A173" s="26" t="s">
        <v>955</v>
      </c>
      <c r="B173" s="26">
        <v>67.92</v>
      </c>
      <c r="C173" s="29">
        <f t="shared" si="4"/>
        <v>-1.5652173913043455E-2</v>
      </c>
      <c r="D173" s="26"/>
      <c r="F173" s="26">
        <v>31481.31</v>
      </c>
      <c r="G173" s="29">
        <f t="shared" si="5"/>
        <v>-2.0699529997042243E-3</v>
      </c>
      <c r="H173" s="26"/>
    </row>
    <row r="174" spans="1:8" x14ac:dyDescent="0.3">
      <c r="A174" s="26" t="s">
        <v>954</v>
      </c>
      <c r="B174" s="26">
        <v>68.7</v>
      </c>
      <c r="C174" s="29">
        <f t="shared" si="4"/>
        <v>1.1484098939929344E-2</v>
      </c>
      <c r="D174" s="26"/>
      <c r="F174" s="26">
        <v>31928.55</v>
      </c>
      <c r="G174" s="29">
        <f t="shared" si="5"/>
        <v>1.4206524442597781E-2</v>
      </c>
      <c r="H174" s="26"/>
    </row>
    <row r="175" spans="1:8" x14ac:dyDescent="0.3">
      <c r="A175" s="26" t="s">
        <v>953</v>
      </c>
      <c r="B175" s="26">
        <v>67.08</v>
      </c>
      <c r="C175" s="29">
        <f t="shared" si="4"/>
        <v>-2.358078602620094E-2</v>
      </c>
      <c r="D175" s="26"/>
      <c r="F175" s="26">
        <v>31908.92</v>
      </c>
      <c r="G175" s="29">
        <f t="shared" si="5"/>
        <v>-6.1481025602481228E-4</v>
      </c>
      <c r="H175" s="26"/>
    </row>
    <row r="176" spans="1:8" x14ac:dyDescent="0.3">
      <c r="A176" s="26" t="s">
        <v>952</v>
      </c>
      <c r="B176" s="26">
        <v>66.209999999999994</v>
      </c>
      <c r="C176" s="29">
        <f t="shared" si="4"/>
        <v>-1.2969588550983967E-2</v>
      </c>
      <c r="D176" s="26"/>
      <c r="F176" s="26">
        <v>31555.47</v>
      </c>
      <c r="G176" s="29">
        <f t="shared" si="5"/>
        <v>-1.1076839955723889E-2</v>
      </c>
      <c r="H176" s="26"/>
    </row>
    <row r="177" spans="1:8" x14ac:dyDescent="0.3">
      <c r="A177" s="26" t="s">
        <v>951</v>
      </c>
      <c r="B177" s="26">
        <v>67</v>
      </c>
      <c r="C177" s="29">
        <f t="shared" si="4"/>
        <v>1.1931732366712073E-2</v>
      </c>
      <c r="D177" s="26"/>
      <c r="F177" s="26">
        <v>32184.03</v>
      </c>
      <c r="G177" s="29">
        <f t="shared" si="5"/>
        <v>1.9919208935883309E-2</v>
      </c>
      <c r="H177" s="26"/>
    </row>
    <row r="178" spans="1:8" x14ac:dyDescent="0.3">
      <c r="A178" s="26" t="s">
        <v>950</v>
      </c>
      <c r="B178" s="26">
        <v>66.58</v>
      </c>
      <c r="C178" s="29">
        <f t="shared" si="4"/>
        <v>-6.2686567164179363E-3</v>
      </c>
      <c r="D178" s="26"/>
      <c r="F178" s="26">
        <v>32111.1</v>
      </c>
      <c r="G178" s="29">
        <f t="shared" si="5"/>
        <v>-2.2660306990765389E-3</v>
      </c>
      <c r="H178" s="26"/>
    </row>
    <row r="179" spans="1:8" x14ac:dyDescent="0.3">
      <c r="A179" s="26" t="s">
        <v>949</v>
      </c>
      <c r="B179" s="26">
        <v>66.900000000000006</v>
      </c>
      <c r="C179" s="29">
        <f t="shared" si="4"/>
        <v>4.8062481225594382E-3</v>
      </c>
      <c r="D179" s="26"/>
      <c r="F179" s="26">
        <v>31751.21</v>
      </c>
      <c r="G179" s="29">
        <f t="shared" si="5"/>
        <v>-1.1207650936903421E-2</v>
      </c>
      <c r="H179" s="26"/>
    </row>
    <row r="180" spans="1:8" x14ac:dyDescent="0.3">
      <c r="A180" s="26" t="s">
        <v>948</v>
      </c>
      <c r="B180" s="26">
        <v>67.66</v>
      </c>
      <c r="C180" s="29">
        <f t="shared" si="4"/>
        <v>1.1360239162929608E-2</v>
      </c>
      <c r="D180" s="26"/>
      <c r="F180" s="26">
        <v>31829.24</v>
      </c>
      <c r="G180" s="29">
        <f t="shared" si="5"/>
        <v>2.4575441376880592E-3</v>
      </c>
      <c r="H180" s="26"/>
    </row>
    <row r="181" spans="1:8" x14ac:dyDescent="0.3">
      <c r="A181" s="26" t="s">
        <v>947</v>
      </c>
      <c r="B181" s="26">
        <v>67</v>
      </c>
      <c r="C181" s="29">
        <f t="shared" si="4"/>
        <v>-9.75465563109661E-3</v>
      </c>
      <c r="D181" s="26"/>
      <c r="F181" s="26">
        <v>31565.21</v>
      </c>
      <c r="G181" s="29">
        <f t="shared" si="5"/>
        <v>-8.295202775812506E-3</v>
      </c>
      <c r="H181" s="26"/>
    </row>
    <row r="182" spans="1:8" x14ac:dyDescent="0.3">
      <c r="A182" s="26" t="s">
        <v>946</v>
      </c>
      <c r="B182" s="26">
        <v>67</v>
      </c>
      <c r="C182" s="29">
        <f t="shared" si="4"/>
        <v>0</v>
      </c>
      <c r="D182" s="26"/>
      <c r="F182" s="26">
        <v>31433.89</v>
      </c>
      <c r="G182" s="29">
        <f t="shared" si="5"/>
        <v>-4.1602764562630725E-3</v>
      </c>
      <c r="H182" s="26"/>
    </row>
    <row r="183" spans="1:8" x14ac:dyDescent="0.3">
      <c r="A183" s="26" t="s">
        <v>945</v>
      </c>
      <c r="B183" s="26">
        <v>66.989999999999995</v>
      </c>
      <c r="C183" s="29">
        <f t="shared" si="4"/>
        <v>-1.4925373134335994E-4</v>
      </c>
      <c r="D183" s="26"/>
      <c r="F183" s="26">
        <v>32070.81</v>
      </c>
      <c r="G183" s="29">
        <f t="shared" si="5"/>
        <v>2.0262207445530984E-2</v>
      </c>
      <c r="H183" s="26"/>
    </row>
    <row r="184" spans="1:8" x14ac:dyDescent="0.3">
      <c r="A184" s="26" t="s">
        <v>944</v>
      </c>
      <c r="B184" s="26">
        <v>66.81</v>
      </c>
      <c r="C184" s="29">
        <f t="shared" si="4"/>
        <v>-2.6869682042094736E-3</v>
      </c>
      <c r="D184" s="26"/>
      <c r="F184" s="26">
        <v>32078.85</v>
      </c>
      <c r="G184" s="29">
        <f t="shared" si="5"/>
        <v>2.5069525839843877E-4</v>
      </c>
      <c r="H184" s="26"/>
    </row>
    <row r="185" spans="1:8" x14ac:dyDescent="0.3">
      <c r="A185" s="27">
        <v>43475</v>
      </c>
      <c r="B185" s="26">
        <v>66.67</v>
      </c>
      <c r="C185" s="29">
        <f t="shared" si="4"/>
        <v>-2.0954946864241964E-3</v>
      </c>
      <c r="D185" s="26"/>
      <c r="F185" s="26">
        <v>32254.32</v>
      </c>
      <c r="G185" s="29">
        <f t="shared" si="5"/>
        <v>5.4699591787112437E-3</v>
      </c>
      <c r="H185" s="26"/>
    </row>
    <row r="186" spans="1:8" x14ac:dyDescent="0.3">
      <c r="A186" s="27">
        <v>43506</v>
      </c>
      <c r="B186" s="26">
        <v>65.92</v>
      </c>
      <c r="C186" s="29">
        <f t="shared" si="4"/>
        <v>-1.1249437528123593E-2</v>
      </c>
      <c r="D186" s="26"/>
      <c r="F186" s="26">
        <v>32363.35</v>
      </c>
      <c r="G186" s="29">
        <f t="shared" si="5"/>
        <v>3.3803223878227425E-3</v>
      </c>
      <c r="H186" s="26"/>
    </row>
    <row r="187" spans="1:8" x14ac:dyDescent="0.3">
      <c r="A187" s="27">
        <v>43534</v>
      </c>
      <c r="B187" s="26">
        <v>66.510000000000005</v>
      </c>
      <c r="C187" s="29">
        <f t="shared" si="4"/>
        <v>8.9502427184466535E-3</v>
      </c>
      <c r="D187" s="26"/>
      <c r="F187" s="26">
        <v>32752.25</v>
      </c>
      <c r="G187" s="29">
        <f t="shared" si="5"/>
        <v>1.2016679361067427E-2</v>
      </c>
      <c r="H187" s="26"/>
    </row>
    <row r="188" spans="1:8" x14ac:dyDescent="0.3">
      <c r="A188" s="27">
        <v>43565</v>
      </c>
      <c r="B188" s="26">
        <v>67.319999999999993</v>
      </c>
      <c r="C188" s="29">
        <f t="shared" si="4"/>
        <v>1.2178619756427424E-2</v>
      </c>
      <c r="D188" s="26"/>
      <c r="F188" s="26">
        <v>33033.32</v>
      </c>
      <c r="G188" s="29">
        <f t="shared" si="5"/>
        <v>8.5817004938591908E-3</v>
      </c>
      <c r="H188" s="26"/>
    </row>
    <row r="189" spans="1:8" x14ac:dyDescent="0.3">
      <c r="A189" s="27">
        <v>43656</v>
      </c>
      <c r="B189" s="26">
        <v>69.83</v>
      </c>
      <c r="C189" s="29">
        <f t="shared" si="4"/>
        <v>3.7284610814022658E-2</v>
      </c>
      <c r="D189" s="26"/>
      <c r="F189" s="26">
        <v>33636.82</v>
      </c>
      <c r="G189" s="29">
        <f t="shared" si="5"/>
        <v>1.8269432197550835E-2</v>
      </c>
      <c r="H189" s="26"/>
    </row>
    <row r="190" spans="1:8" x14ac:dyDescent="0.3">
      <c r="A190" s="27">
        <v>43687</v>
      </c>
      <c r="B190" s="26">
        <v>69.569999999999993</v>
      </c>
      <c r="C190" s="29">
        <f t="shared" si="4"/>
        <v>-3.723328082486111E-3</v>
      </c>
      <c r="D190" s="26"/>
      <c r="F190" s="26">
        <v>33476.620000000003</v>
      </c>
      <c r="G190" s="29">
        <f t="shared" si="5"/>
        <v>-4.7626380852885944E-3</v>
      </c>
      <c r="H190" s="26"/>
    </row>
    <row r="191" spans="1:8" x14ac:dyDescent="0.3">
      <c r="A191" s="27">
        <v>43718</v>
      </c>
      <c r="B191" s="26">
        <v>69.239999999999995</v>
      </c>
      <c r="C191" s="29">
        <f t="shared" si="4"/>
        <v>-4.7434238896075656E-3</v>
      </c>
      <c r="D191" s="26"/>
      <c r="F191" s="26">
        <v>33523.74</v>
      </c>
      <c r="G191" s="29">
        <f t="shared" si="5"/>
        <v>1.4075495076861207E-3</v>
      </c>
      <c r="H191" s="26"/>
    </row>
    <row r="192" spans="1:8" x14ac:dyDescent="0.3">
      <c r="A192" s="27">
        <v>43748</v>
      </c>
      <c r="B192" s="26">
        <v>69.22</v>
      </c>
      <c r="C192" s="29">
        <f t="shared" si="4"/>
        <v>-2.8885037550543073E-4</v>
      </c>
      <c r="D192" s="26"/>
      <c r="F192" s="26">
        <v>34027.699999999997</v>
      </c>
      <c r="G192" s="29">
        <f t="shared" si="5"/>
        <v>1.5032928903517304E-2</v>
      </c>
      <c r="H192" s="26"/>
    </row>
    <row r="193" spans="1:8" x14ac:dyDescent="0.3">
      <c r="A193" s="27">
        <v>43779</v>
      </c>
      <c r="B193" s="26">
        <v>70</v>
      </c>
      <c r="C193" s="29">
        <f t="shared" si="4"/>
        <v>1.1268419531927205E-2</v>
      </c>
      <c r="D193" s="26"/>
      <c r="F193" s="26">
        <v>34475.69</v>
      </c>
      <c r="G193" s="29">
        <f t="shared" si="5"/>
        <v>1.3165450500621708E-2</v>
      </c>
      <c r="H193" s="26"/>
    </row>
    <row r="194" spans="1:8" x14ac:dyDescent="0.3">
      <c r="A194" s="26" t="s">
        <v>943</v>
      </c>
      <c r="B194" s="26">
        <v>69.61</v>
      </c>
      <c r="C194" s="29">
        <f t="shared" si="4"/>
        <v>-5.5714285714285796E-3</v>
      </c>
      <c r="D194" s="26"/>
      <c r="F194" s="26">
        <v>34186.26</v>
      </c>
      <c r="G194" s="29">
        <f t="shared" si="5"/>
        <v>-8.3951909301887874E-3</v>
      </c>
      <c r="H194" s="26"/>
    </row>
    <row r="195" spans="1:8" x14ac:dyDescent="0.3">
      <c r="A195" s="26" t="s">
        <v>942</v>
      </c>
      <c r="B195" s="26">
        <v>69.59</v>
      </c>
      <c r="C195" s="29">
        <f t="shared" si="4"/>
        <v>-2.8731504094233617E-4</v>
      </c>
      <c r="D195" s="26"/>
      <c r="F195" s="26">
        <v>34083.53</v>
      </c>
      <c r="G195" s="29">
        <f t="shared" si="5"/>
        <v>-3.0050084449133423E-3</v>
      </c>
      <c r="H195" s="26"/>
    </row>
    <row r="196" spans="1:8" x14ac:dyDescent="0.3">
      <c r="A196" s="26" t="s">
        <v>941</v>
      </c>
      <c r="B196" s="26">
        <v>70.62</v>
      </c>
      <c r="C196" s="29">
        <f t="shared" si="4"/>
        <v>1.4800977151889655E-2</v>
      </c>
      <c r="D196" s="26"/>
      <c r="F196" s="26">
        <v>34281.089999999997</v>
      </c>
      <c r="G196" s="29">
        <f t="shared" si="5"/>
        <v>5.7963479721730021E-3</v>
      </c>
      <c r="H196" s="26"/>
    </row>
    <row r="197" spans="1:8" x14ac:dyDescent="0.3">
      <c r="A197" s="26" t="s">
        <v>940</v>
      </c>
      <c r="B197" s="26">
        <v>70.09</v>
      </c>
      <c r="C197" s="29">
        <f t="shared" ref="C197:C260" si="6">(B197-B196)/B196</f>
        <v>-7.5049561030869601E-3</v>
      </c>
      <c r="D197" s="26"/>
      <c r="F197" s="26">
        <v>33898.559999999998</v>
      </c>
      <c r="G197" s="29">
        <f t="shared" ref="G197:G260" si="7">(F197-F196)/F196</f>
        <v>-1.1158630020223945E-2</v>
      </c>
      <c r="H197" s="26"/>
    </row>
    <row r="198" spans="1:8" x14ac:dyDescent="0.3">
      <c r="A198" s="26" t="s">
        <v>939</v>
      </c>
      <c r="B198" s="26">
        <v>70.44</v>
      </c>
      <c r="C198" s="29">
        <f t="shared" si="6"/>
        <v>4.993579683264293E-3</v>
      </c>
      <c r="D198" s="26"/>
      <c r="F198" s="26">
        <v>33870.15</v>
      </c>
      <c r="G198" s="29">
        <f t="shared" si="7"/>
        <v>-8.3808869757288267E-4</v>
      </c>
      <c r="H198" s="26"/>
    </row>
    <row r="199" spans="1:8" x14ac:dyDescent="0.3">
      <c r="A199" s="26" t="s">
        <v>938</v>
      </c>
      <c r="B199" s="26">
        <v>68.45</v>
      </c>
      <c r="C199" s="29">
        <f t="shared" si="6"/>
        <v>-2.8250993753549048E-2</v>
      </c>
      <c r="D199" s="26"/>
      <c r="F199" s="26">
        <v>33084.730000000003</v>
      </c>
      <c r="G199" s="29">
        <f t="shared" si="7"/>
        <v>-2.318915032853407E-2</v>
      </c>
      <c r="H199" s="26"/>
    </row>
    <row r="200" spans="1:8" x14ac:dyDescent="0.3">
      <c r="A200" s="26" t="s">
        <v>937</v>
      </c>
      <c r="B200" s="26">
        <v>68.150000000000006</v>
      </c>
      <c r="C200" s="29">
        <f t="shared" si="6"/>
        <v>-4.3827611395178545E-3</v>
      </c>
      <c r="D200" s="26"/>
      <c r="F200" s="26">
        <v>33198.959999999999</v>
      </c>
      <c r="G200" s="29">
        <f t="shared" si="7"/>
        <v>3.4526502105350692E-3</v>
      </c>
      <c r="H200" s="26"/>
    </row>
    <row r="201" spans="1:8" x14ac:dyDescent="0.3">
      <c r="A201" s="26" t="s">
        <v>936</v>
      </c>
      <c r="B201" s="26">
        <v>68.22</v>
      </c>
      <c r="C201" s="29">
        <f t="shared" si="6"/>
        <v>1.0271460014672513E-3</v>
      </c>
      <c r="D201" s="26"/>
      <c r="F201" s="26">
        <v>33439.69</v>
      </c>
      <c r="G201" s="29">
        <f t="shared" si="7"/>
        <v>7.2511307583130076E-3</v>
      </c>
      <c r="H201" s="26"/>
    </row>
    <row r="202" spans="1:8" x14ac:dyDescent="0.3">
      <c r="A202" s="26" t="s">
        <v>935</v>
      </c>
      <c r="B202" s="26">
        <v>68.53</v>
      </c>
      <c r="C202" s="29">
        <f t="shared" si="6"/>
        <v>4.5441219583700126E-3</v>
      </c>
      <c r="D202" s="26"/>
      <c r="F202" s="26">
        <v>33762.480000000003</v>
      </c>
      <c r="G202" s="29">
        <f t="shared" si="7"/>
        <v>9.65290049040529E-3</v>
      </c>
      <c r="H202" s="26"/>
    </row>
    <row r="203" spans="1:8" x14ac:dyDescent="0.3">
      <c r="A203" s="26" t="s">
        <v>934</v>
      </c>
      <c r="B203" s="26">
        <v>67.7</v>
      </c>
      <c r="C203" s="29">
        <f t="shared" si="6"/>
        <v>-1.2111484021596355E-2</v>
      </c>
      <c r="D203" s="26"/>
      <c r="F203" s="26">
        <v>33657.46</v>
      </c>
      <c r="G203" s="29">
        <f t="shared" si="7"/>
        <v>-3.110553490146579E-3</v>
      </c>
      <c r="H203" s="26"/>
    </row>
    <row r="204" spans="1:8" x14ac:dyDescent="0.3">
      <c r="A204" s="26" t="s">
        <v>933</v>
      </c>
      <c r="B204" s="26">
        <v>69.010000000000005</v>
      </c>
      <c r="C204" s="29">
        <f t="shared" si="6"/>
        <v>1.9350073855243757E-2</v>
      </c>
      <c r="D204" s="26"/>
      <c r="F204" s="26">
        <v>33861.589999999997</v>
      </c>
      <c r="G204" s="29">
        <f t="shared" si="7"/>
        <v>6.0649258737883781E-3</v>
      </c>
      <c r="H204" s="26"/>
    </row>
    <row r="205" spans="1:8" x14ac:dyDescent="0.3">
      <c r="A205" s="26" t="s">
        <v>932</v>
      </c>
      <c r="B205" s="26">
        <v>68.34</v>
      </c>
      <c r="C205" s="29">
        <f t="shared" si="6"/>
        <v>-9.7087378640776933E-3</v>
      </c>
      <c r="D205" s="26"/>
      <c r="F205" s="26">
        <v>33797.51</v>
      </c>
      <c r="G205" s="29">
        <f t="shared" si="7"/>
        <v>-1.8924096594399281E-3</v>
      </c>
      <c r="H205" s="26"/>
    </row>
    <row r="206" spans="1:8" x14ac:dyDescent="0.3">
      <c r="A206" s="26" t="s">
        <v>931</v>
      </c>
      <c r="B206" s="26">
        <v>68.790000000000006</v>
      </c>
      <c r="C206" s="29">
        <f t="shared" si="6"/>
        <v>6.5847234416154931E-3</v>
      </c>
      <c r="D206" s="26"/>
      <c r="F206" s="26">
        <v>33761.410000000003</v>
      </c>
      <c r="G206" s="29">
        <f t="shared" si="7"/>
        <v>-1.0681260246686382E-3</v>
      </c>
      <c r="H206" s="26"/>
    </row>
    <row r="207" spans="1:8" x14ac:dyDescent="0.3">
      <c r="A207" s="26" t="s">
        <v>930</v>
      </c>
      <c r="B207" s="26">
        <v>68.989999999999995</v>
      </c>
      <c r="C207" s="29">
        <f t="shared" si="6"/>
        <v>2.9073993312979884E-3</v>
      </c>
      <c r="D207" s="26"/>
      <c r="F207" s="26">
        <v>34203.68</v>
      </c>
      <c r="G207" s="29">
        <f t="shared" si="7"/>
        <v>1.3099867570696744E-2</v>
      </c>
      <c r="H207" s="26"/>
    </row>
    <row r="208" spans="1:8" x14ac:dyDescent="0.3">
      <c r="A208" s="27">
        <v>43476</v>
      </c>
      <c r="B208" s="26">
        <v>68.66</v>
      </c>
      <c r="C208" s="29">
        <f t="shared" si="6"/>
        <v>-4.7833019278156015E-3</v>
      </c>
      <c r="D208" s="26"/>
      <c r="F208" s="26">
        <v>34377.61</v>
      </c>
      <c r="G208" s="29">
        <f t="shared" si="7"/>
        <v>5.0851253432379288E-3</v>
      </c>
      <c r="H208" s="26"/>
    </row>
    <row r="209" spans="1:8" x14ac:dyDescent="0.3">
      <c r="A209" s="27">
        <v>43566</v>
      </c>
      <c r="B209" s="26">
        <v>69.790000000000006</v>
      </c>
      <c r="C209" s="29">
        <f t="shared" si="6"/>
        <v>1.6457908534809346E-2</v>
      </c>
      <c r="D209" s="26"/>
      <c r="F209" s="26">
        <v>35277.46</v>
      </c>
      <c r="G209" s="29">
        <f t="shared" si="7"/>
        <v>2.6175467113624201E-2</v>
      </c>
      <c r="H209" s="26"/>
    </row>
    <row r="210" spans="1:8" x14ac:dyDescent="0.3">
      <c r="A210" s="27">
        <v>43596</v>
      </c>
      <c r="B210" s="26">
        <v>69.510000000000005</v>
      </c>
      <c r="C210" s="29">
        <f t="shared" si="6"/>
        <v>-4.0120361083249905E-3</v>
      </c>
      <c r="D210" s="26"/>
      <c r="F210" s="26">
        <v>35358.31</v>
      </c>
      <c r="G210" s="29">
        <f t="shared" si="7"/>
        <v>2.2918316681529382E-3</v>
      </c>
      <c r="H210" s="26"/>
    </row>
    <row r="211" spans="1:8" x14ac:dyDescent="0.3">
      <c r="A211" s="27">
        <v>43627</v>
      </c>
      <c r="B211" s="26">
        <v>69.39</v>
      </c>
      <c r="C211" s="29">
        <f t="shared" si="6"/>
        <v>-1.7263703064307947E-3</v>
      </c>
      <c r="D211" s="26"/>
      <c r="F211" s="26">
        <v>35653.33</v>
      </c>
      <c r="G211" s="29">
        <f t="shared" si="7"/>
        <v>8.3437245728091667E-3</v>
      </c>
      <c r="H211" s="26"/>
    </row>
    <row r="212" spans="1:8" x14ac:dyDescent="0.3">
      <c r="A212" s="27">
        <v>43657</v>
      </c>
      <c r="B212" s="26">
        <v>69.010000000000005</v>
      </c>
      <c r="C212" s="29">
        <f t="shared" si="6"/>
        <v>-5.4762934140365387E-3</v>
      </c>
      <c r="D212" s="26"/>
      <c r="F212" s="26">
        <v>35758.519999999997</v>
      </c>
      <c r="G212" s="29">
        <f t="shared" si="7"/>
        <v>2.9503555488363934E-3</v>
      </c>
      <c r="H212" s="26"/>
    </row>
    <row r="213" spans="1:8" x14ac:dyDescent="0.3">
      <c r="A213" s="27">
        <v>43688</v>
      </c>
      <c r="B213" s="26">
        <v>69.66</v>
      </c>
      <c r="C213" s="29">
        <f t="shared" si="6"/>
        <v>9.4189247935080635E-3</v>
      </c>
      <c r="D213" s="26"/>
      <c r="F213" s="26">
        <v>35978.160000000003</v>
      </c>
      <c r="G213" s="29">
        <f t="shared" si="7"/>
        <v>6.14231237758181E-3</v>
      </c>
      <c r="H213" s="26"/>
    </row>
    <row r="214" spans="1:8" x14ac:dyDescent="0.3">
      <c r="A214" s="27">
        <v>43780</v>
      </c>
      <c r="B214" s="26">
        <v>71.17</v>
      </c>
      <c r="C214" s="29">
        <f t="shared" si="6"/>
        <v>2.1676715475165163E-2</v>
      </c>
      <c r="D214" s="26"/>
      <c r="F214" s="26">
        <v>36803.1</v>
      </c>
      <c r="G214" s="29">
        <f t="shared" si="7"/>
        <v>2.2928910205524546E-2</v>
      </c>
      <c r="H214" s="26"/>
    </row>
    <row r="215" spans="1:8" x14ac:dyDescent="0.3">
      <c r="A215" s="27">
        <v>43810</v>
      </c>
      <c r="B215" s="26">
        <v>70.84</v>
      </c>
      <c r="C215" s="29">
        <f t="shared" si="6"/>
        <v>-4.6367851622874569E-3</v>
      </c>
      <c r="D215" s="26"/>
      <c r="F215" s="26">
        <v>36765.56</v>
      </c>
      <c r="G215" s="29">
        <f t="shared" si="7"/>
        <v>-1.0200227698210444E-3</v>
      </c>
      <c r="H215" s="26"/>
    </row>
    <row r="216" spans="1:8" x14ac:dyDescent="0.3">
      <c r="A216" s="26" t="s">
        <v>929</v>
      </c>
      <c r="B216" s="26">
        <v>73.599999999999994</v>
      </c>
      <c r="C216" s="29">
        <f t="shared" si="6"/>
        <v>3.8961038961038828E-2</v>
      </c>
      <c r="D216" s="26"/>
      <c r="F216" s="26">
        <v>37166.959999999999</v>
      </c>
      <c r="G216" s="29">
        <f t="shared" si="7"/>
        <v>1.0917826357058113E-2</v>
      </c>
      <c r="H216" s="26"/>
    </row>
    <row r="217" spans="1:8" x14ac:dyDescent="0.3">
      <c r="A217" s="26" t="s">
        <v>928</v>
      </c>
      <c r="B217" s="26">
        <v>74.959999999999994</v>
      </c>
      <c r="C217" s="29">
        <f t="shared" si="6"/>
        <v>1.8478260869565211E-2</v>
      </c>
      <c r="D217" s="26"/>
      <c r="F217" s="26">
        <v>37243.199999999997</v>
      </c>
      <c r="G217" s="29">
        <f t="shared" si="7"/>
        <v>2.0512842589223861E-3</v>
      </c>
      <c r="H217" s="26"/>
    </row>
    <row r="218" spans="1:8" x14ac:dyDescent="0.3">
      <c r="A218" s="26" t="s">
        <v>927</v>
      </c>
      <c r="B218" s="26">
        <v>75.510000000000005</v>
      </c>
      <c r="C218" s="29">
        <f t="shared" si="6"/>
        <v>7.3372465314836101E-3</v>
      </c>
      <c r="D218" s="26"/>
      <c r="F218" s="26">
        <v>37583.89</v>
      </c>
      <c r="G218" s="29">
        <f t="shared" si="7"/>
        <v>9.1477101860205981E-3</v>
      </c>
      <c r="H218" s="26"/>
    </row>
    <row r="219" spans="1:8" x14ac:dyDescent="0.3">
      <c r="A219" s="26" t="s">
        <v>926</v>
      </c>
      <c r="B219" s="26">
        <v>76.05</v>
      </c>
      <c r="C219" s="29">
        <f t="shared" si="6"/>
        <v>7.1513706793801084E-3</v>
      </c>
      <c r="D219" s="26"/>
      <c r="F219" s="26">
        <v>38411.56</v>
      </c>
      <c r="G219" s="29">
        <f t="shared" si="7"/>
        <v>2.2021935462241887E-2</v>
      </c>
      <c r="H219" s="26"/>
    </row>
    <row r="220" spans="1:8" x14ac:dyDescent="0.3">
      <c r="A220" s="26" t="s">
        <v>925</v>
      </c>
      <c r="B220" s="26">
        <v>74.97</v>
      </c>
      <c r="C220" s="29">
        <f t="shared" si="6"/>
        <v>-1.4201183431952641E-2</v>
      </c>
      <c r="D220" s="26"/>
      <c r="F220" s="26">
        <v>38564.370000000003</v>
      </c>
      <c r="G220" s="29">
        <f t="shared" si="7"/>
        <v>3.9782294705032794E-3</v>
      </c>
      <c r="H220" s="26"/>
    </row>
    <row r="221" spans="1:8" x14ac:dyDescent="0.3">
      <c r="A221" s="26" t="s">
        <v>924</v>
      </c>
      <c r="B221" s="26">
        <v>74.45</v>
      </c>
      <c r="C221" s="29">
        <f t="shared" si="6"/>
        <v>-6.9361077764438575E-3</v>
      </c>
      <c r="D221" s="26"/>
      <c r="F221" s="26">
        <v>38037.68</v>
      </c>
      <c r="G221" s="29">
        <f t="shared" si="7"/>
        <v>-1.3657425234743944E-2</v>
      </c>
      <c r="H221" s="26"/>
    </row>
    <row r="222" spans="1:8" x14ac:dyDescent="0.3">
      <c r="A222" s="26" t="s">
        <v>923</v>
      </c>
      <c r="B222" s="26">
        <v>72.5</v>
      </c>
      <c r="C222" s="29">
        <f t="shared" si="6"/>
        <v>-2.619207521826733E-2</v>
      </c>
      <c r="D222" s="26"/>
      <c r="F222" s="26">
        <v>37101.31</v>
      </c>
      <c r="G222" s="29">
        <f t="shared" si="7"/>
        <v>-2.4616906183552799E-2</v>
      </c>
      <c r="H222" s="26"/>
    </row>
    <row r="223" spans="1:8" x14ac:dyDescent="0.3">
      <c r="A223" s="26" t="s">
        <v>922</v>
      </c>
      <c r="B223" s="26">
        <v>73.91</v>
      </c>
      <c r="C223" s="29">
        <f t="shared" si="6"/>
        <v>1.9448275862068917E-2</v>
      </c>
      <c r="D223" s="26"/>
      <c r="F223" s="26">
        <v>37925.79</v>
      </c>
      <c r="G223" s="29">
        <f t="shared" si="7"/>
        <v>2.2222395920791026E-2</v>
      </c>
      <c r="H223" s="26"/>
    </row>
    <row r="224" spans="1:8" x14ac:dyDescent="0.3">
      <c r="A224" s="26" t="s">
        <v>921</v>
      </c>
      <c r="B224" s="26">
        <v>73.95</v>
      </c>
      <c r="C224" s="29">
        <f t="shared" si="6"/>
        <v>5.4119875524294761E-4</v>
      </c>
      <c r="D224" s="26"/>
      <c r="F224" s="26">
        <v>38212.28</v>
      </c>
      <c r="G224" s="29">
        <f t="shared" si="7"/>
        <v>7.5539626201589459E-3</v>
      </c>
      <c r="H224" s="26"/>
    </row>
    <row r="225" spans="1:8" x14ac:dyDescent="0.3">
      <c r="A225" s="26" t="s">
        <v>920</v>
      </c>
      <c r="B225" s="26">
        <v>73</v>
      </c>
      <c r="C225" s="29">
        <f t="shared" si="6"/>
        <v>-1.284651791751187E-2</v>
      </c>
      <c r="D225" s="26"/>
      <c r="F225" s="26">
        <v>37795.050000000003</v>
      </c>
      <c r="G225" s="29">
        <f t="shared" si="7"/>
        <v>-1.0918741305151013E-2</v>
      </c>
      <c r="H225" s="26"/>
    </row>
    <row r="226" spans="1:8" x14ac:dyDescent="0.3">
      <c r="A226" s="26" t="s">
        <v>919</v>
      </c>
      <c r="B226" s="26">
        <v>73.37</v>
      </c>
      <c r="C226" s="29">
        <f t="shared" si="6"/>
        <v>5.0684931506849934E-3</v>
      </c>
      <c r="D226" s="26"/>
      <c r="F226" s="26">
        <v>38122.720000000001</v>
      </c>
      <c r="G226" s="29">
        <f t="shared" si="7"/>
        <v>8.6696538303295857E-3</v>
      </c>
      <c r="H226" s="26"/>
    </row>
    <row r="227" spans="1:8" x14ac:dyDescent="0.3">
      <c r="A227" s="26" t="s">
        <v>918</v>
      </c>
      <c r="B227" s="26">
        <v>74</v>
      </c>
      <c r="C227" s="29">
        <f t="shared" si="6"/>
        <v>8.5866157830175194E-3</v>
      </c>
      <c r="D227" s="26"/>
      <c r="F227" s="26">
        <v>38706.269999999997</v>
      </c>
      <c r="G227" s="29">
        <f t="shared" si="7"/>
        <v>1.5307144925650521E-2</v>
      </c>
      <c r="H227" s="26"/>
    </row>
    <row r="228" spans="1:8" x14ac:dyDescent="0.3">
      <c r="A228" s="26" t="s">
        <v>917</v>
      </c>
      <c r="B228" s="26">
        <v>75.08</v>
      </c>
      <c r="C228" s="29">
        <f t="shared" si="6"/>
        <v>1.4594594594594572E-2</v>
      </c>
      <c r="D228" s="26"/>
      <c r="F228" s="26">
        <v>39287.65</v>
      </c>
      <c r="G228" s="29">
        <f t="shared" si="7"/>
        <v>1.5020305495724716E-2</v>
      </c>
      <c r="H228" s="26"/>
    </row>
    <row r="229" spans="1:8" x14ac:dyDescent="0.3">
      <c r="A229" s="27">
        <v>43508</v>
      </c>
      <c r="B229" s="26">
        <v>78.78</v>
      </c>
      <c r="C229" s="29">
        <f t="shared" si="6"/>
        <v>4.9280767181672923E-2</v>
      </c>
      <c r="D229" s="26"/>
      <c r="F229" s="26">
        <v>40124.22</v>
      </c>
      <c r="G229" s="29">
        <f t="shared" si="7"/>
        <v>2.1293459904066538E-2</v>
      </c>
      <c r="H229" s="26"/>
    </row>
    <row r="230" spans="1:8" x14ac:dyDescent="0.3">
      <c r="A230" s="27">
        <v>43536</v>
      </c>
      <c r="B230" s="26">
        <v>77.260000000000005</v>
      </c>
      <c r="C230" s="29">
        <f t="shared" si="6"/>
        <v>-1.9294237116019245E-2</v>
      </c>
      <c r="D230" s="26"/>
      <c r="F230" s="26">
        <v>39788.730000000003</v>
      </c>
      <c r="G230" s="29">
        <f t="shared" si="7"/>
        <v>-8.3612840324372145E-3</v>
      </c>
      <c r="H230" s="26"/>
    </row>
    <row r="231" spans="1:8" x14ac:dyDescent="0.3">
      <c r="A231" s="27">
        <v>43567</v>
      </c>
      <c r="B231" s="26">
        <v>78.11</v>
      </c>
      <c r="C231" s="29">
        <f t="shared" si="6"/>
        <v>1.1001812063163269E-2</v>
      </c>
      <c r="D231" s="26"/>
      <c r="F231" s="26">
        <v>40270.519999999997</v>
      </c>
      <c r="G231" s="29">
        <f t="shared" si="7"/>
        <v>1.2108705153444041E-2</v>
      </c>
      <c r="H231" s="26"/>
    </row>
    <row r="232" spans="1:8" x14ac:dyDescent="0.3">
      <c r="A232" s="27">
        <v>43597</v>
      </c>
      <c r="B232" s="26">
        <v>78.05</v>
      </c>
      <c r="C232" s="29">
        <f t="shared" si="6"/>
        <v>-7.6814748431701797E-4</v>
      </c>
      <c r="D232" s="26"/>
      <c r="F232" s="26">
        <v>40641.1</v>
      </c>
      <c r="G232" s="29">
        <f t="shared" si="7"/>
        <v>9.2022650812555139E-3</v>
      </c>
      <c r="H232" s="26"/>
    </row>
    <row r="233" spans="1:8" x14ac:dyDescent="0.3">
      <c r="A233" s="27">
        <v>43628</v>
      </c>
      <c r="B233" s="26">
        <v>79.94</v>
      </c>
      <c r="C233" s="29">
        <f t="shared" si="6"/>
        <v>2.4215246636771309E-2</v>
      </c>
      <c r="D233" s="26"/>
      <c r="F233" s="26">
        <v>40732.25</v>
      </c>
      <c r="G233" s="29">
        <f t="shared" si="7"/>
        <v>2.2428034674258682E-3</v>
      </c>
      <c r="H233" s="26"/>
    </row>
    <row r="234" spans="1:8" x14ac:dyDescent="0.3">
      <c r="A234" s="27">
        <v>43720</v>
      </c>
      <c r="B234" s="26">
        <v>79.989999999999995</v>
      </c>
      <c r="C234" s="29">
        <f t="shared" si="6"/>
        <v>6.2546910182633428E-4</v>
      </c>
      <c r="D234" s="26"/>
      <c r="F234" s="26">
        <v>40442.800000000003</v>
      </c>
      <c r="G234" s="29">
        <f t="shared" si="7"/>
        <v>-7.1061628071122287E-3</v>
      </c>
      <c r="H234" s="26"/>
    </row>
    <row r="235" spans="1:8" x14ac:dyDescent="0.3">
      <c r="A235" s="27">
        <v>43750</v>
      </c>
      <c r="B235" s="26">
        <v>80.02</v>
      </c>
      <c r="C235" s="29">
        <f t="shared" si="6"/>
        <v>3.7504688086012174E-4</v>
      </c>
      <c r="D235" s="26"/>
      <c r="F235" s="26">
        <v>40664.6</v>
      </c>
      <c r="G235" s="29">
        <f t="shared" si="7"/>
        <v>5.4842889216373649E-3</v>
      </c>
      <c r="H235" s="26"/>
    </row>
    <row r="236" spans="1:8" x14ac:dyDescent="0.3">
      <c r="A236" s="27">
        <v>43781</v>
      </c>
      <c r="B236" s="26">
        <v>79.98</v>
      </c>
      <c r="C236" s="29">
        <f t="shared" si="6"/>
        <v>-4.9987503124209007E-4</v>
      </c>
      <c r="D236" s="26"/>
      <c r="F236" s="26">
        <v>40531.42</v>
      </c>
      <c r="G236" s="29">
        <f t="shared" si="7"/>
        <v>-3.2750844715059364E-3</v>
      </c>
      <c r="H236" s="26"/>
    </row>
    <row r="237" spans="1:8" x14ac:dyDescent="0.3">
      <c r="A237" s="27">
        <v>43811</v>
      </c>
      <c r="B237" s="26">
        <v>78.510000000000005</v>
      </c>
      <c r="C237" s="29">
        <f t="shared" si="6"/>
        <v>-1.8379594898724667E-2</v>
      </c>
      <c r="D237" s="26"/>
      <c r="F237" s="26">
        <v>40514.17</v>
      </c>
      <c r="G237" s="29">
        <f t="shared" si="7"/>
        <v>-4.2559574769401122E-4</v>
      </c>
      <c r="H237" s="26"/>
    </row>
    <row r="238" spans="1:8" x14ac:dyDescent="0.3">
      <c r="A238" s="26" t="s">
        <v>916</v>
      </c>
      <c r="B238" s="26">
        <v>78.989999999999995</v>
      </c>
      <c r="C238" s="29">
        <f t="shared" si="6"/>
        <v>6.1138708444782794E-3</v>
      </c>
      <c r="D238" s="26"/>
      <c r="F238" s="26">
        <v>40916.589999999997</v>
      </c>
      <c r="G238" s="29">
        <f t="shared" si="7"/>
        <v>9.9328210352081329E-3</v>
      </c>
      <c r="H238" s="26"/>
    </row>
    <row r="239" spans="1:8" x14ac:dyDescent="0.3">
      <c r="A239" s="26" t="s">
        <v>915</v>
      </c>
      <c r="B239" s="26">
        <v>80.3</v>
      </c>
      <c r="C239" s="29">
        <f t="shared" si="6"/>
        <v>1.6584377769337921E-2</v>
      </c>
      <c r="D239" s="26"/>
      <c r="F239" s="26">
        <v>41644.879999999997</v>
      </c>
      <c r="G239" s="29">
        <f t="shared" si="7"/>
        <v>1.7799381620022609E-2</v>
      </c>
      <c r="H239" s="26"/>
    </row>
    <row r="240" spans="1:8" x14ac:dyDescent="0.3">
      <c r="A240" s="26" t="s">
        <v>914</v>
      </c>
      <c r="B240" s="26">
        <v>79.94</v>
      </c>
      <c r="C240" s="29">
        <f t="shared" si="6"/>
        <v>-4.4831880448318734E-3</v>
      </c>
      <c r="D240" s="26"/>
      <c r="F240" s="26">
        <v>41768.660000000003</v>
      </c>
      <c r="G240" s="29">
        <f t="shared" si="7"/>
        <v>2.9722741427038839E-3</v>
      </c>
      <c r="H240" s="26"/>
    </row>
    <row r="241" spans="1:8" x14ac:dyDescent="0.3">
      <c r="A241" s="26" t="s">
        <v>913</v>
      </c>
      <c r="B241" s="26">
        <v>79.010000000000005</v>
      </c>
      <c r="C241" s="29">
        <f t="shared" si="6"/>
        <v>-1.1633725293970386E-2</v>
      </c>
      <c r="D241" s="26"/>
      <c r="F241" s="26">
        <v>41603.71</v>
      </c>
      <c r="G241" s="29">
        <f t="shared" si="7"/>
        <v>-3.9491331539006601E-3</v>
      </c>
      <c r="H241" s="26"/>
    </row>
    <row r="242" spans="1:8" x14ac:dyDescent="0.3">
      <c r="A242" s="26" t="s">
        <v>912</v>
      </c>
      <c r="B242" s="26">
        <v>78.06</v>
      </c>
      <c r="C242" s="29">
        <f t="shared" si="6"/>
        <v>-1.202379445639796E-2</v>
      </c>
      <c r="D242" s="26"/>
      <c r="F242" s="26">
        <v>40655.370000000003</v>
      </c>
      <c r="G242" s="29">
        <f t="shared" si="7"/>
        <v>-2.2794601731432041E-2</v>
      </c>
      <c r="H242" s="26"/>
    </row>
    <row r="243" spans="1:8" x14ac:dyDescent="0.3">
      <c r="A243" s="26" t="s">
        <v>911</v>
      </c>
      <c r="B243" s="26">
        <v>77.5</v>
      </c>
      <c r="C243" s="29">
        <f t="shared" si="6"/>
        <v>-7.1739687419933671E-3</v>
      </c>
      <c r="D243" s="26"/>
      <c r="F243" s="26">
        <v>40832.99</v>
      </c>
      <c r="G243" s="29">
        <f t="shared" si="7"/>
        <v>4.3689185463075438E-3</v>
      </c>
      <c r="H243" s="26"/>
    </row>
    <row r="244" spans="1:8" x14ac:dyDescent="0.3">
      <c r="A244" s="26" t="s">
        <v>910</v>
      </c>
      <c r="B244" s="26">
        <v>76.510000000000005</v>
      </c>
      <c r="C244" s="29">
        <f t="shared" si="6"/>
        <v>-1.2774193548387032E-2</v>
      </c>
      <c r="D244" s="26"/>
      <c r="F244" s="26">
        <v>40008.29</v>
      </c>
      <c r="G244" s="29">
        <f t="shared" si="7"/>
        <v>-2.0196904512748078E-2</v>
      </c>
      <c r="H244" s="26"/>
    </row>
    <row r="245" spans="1:8" x14ac:dyDescent="0.3">
      <c r="A245" s="26" t="s">
        <v>909</v>
      </c>
      <c r="B245" s="26">
        <v>75.290000000000006</v>
      </c>
      <c r="C245" s="29">
        <f t="shared" si="6"/>
        <v>-1.5945628022480705E-2</v>
      </c>
      <c r="D245" s="26"/>
      <c r="F245" s="26">
        <v>40328.32</v>
      </c>
      <c r="G245" s="29">
        <f t="shared" si="7"/>
        <v>7.9990921881439771E-3</v>
      </c>
      <c r="H245" s="26"/>
    </row>
    <row r="246" spans="1:8" x14ac:dyDescent="0.3">
      <c r="A246" s="26" t="s">
        <v>908</v>
      </c>
      <c r="B246" s="26">
        <v>78.489999999999995</v>
      </c>
      <c r="C246" s="29">
        <f t="shared" si="6"/>
        <v>4.2502324345862513E-2</v>
      </c>
      <c r="D246" s="26"/>
      <c r="F246" s="26">
        <v>41127.79</v>
      </c>
      <c r="G246" s="29">
        <f t="shared" si="7"/>
        <v>1.9824034326250167E-2</v>
      </c>
      <c r="H246" s="26"/>
    </row>
    <row r="247" spans="1:8" x14ac:dyDescent="0.3">
      <c r="A247" s="26" t="s">
        <v>907</v>
      </c>
      <c r="B247" s="26">
        <v>77.650000000000006</v>
      </c>
      <c r="C247" s="29">
        <f t="shared" si="6"/>
        <v>-1.0702000254809394E-2</v>
      </c>
      <c r="D247" s="26"/>
      <c r="F247" s="26">
        <v>40848.53</v>
      </c>
      <c r="G247" s="29">
        <f t="shared" si="7"/>
        <v>-6.7900560667130917E-3</v>
      </c>
      <c r="H247" s="26"/>
    </row>
    <row r="248" spans="1:8" x14ac:dyDescent="0.3">
      <c r="A248" s="26" t="s">
        <v>906</v>
      </c>
      <c r="B248" s="26">
        <v>76.33</v>
      </c>
      <c r="C248" s="29">
        <f t="shared" si="6"/>
        <v>-1.6999356084996874E-2</v>
      </c>
      <c r="D248" s="26"/>
      <c r="F248" s="26">
        <v>40887.620000000003</v>
      </c>
      <c r="G248" s="29">
        <f t="shared" si="7"/>
        <v>9.5694998081947589E-4</v>
      </c>
      <c r="H248" s="26"/>
    </row>
    <row r="249" spans="1:8" x14ac:dyDescent="0.3">
      <c r="A249" s="26" t="s">
        <v>905</v>
      </c>
      <c r="B249" s="26">
        <v>76.16</v>
      </c>
      <c r="C249" s="29">
        <f t="shared" si="6"/>
        <v>-2.2271714922049222E-3</v>
      </c>
      <c r="D249" s="26"/>
      <c r="F249" s="26">
        <v>40735.08</v>
      </c>
      <c r="G249" s="29">
        <f t="shared" si="7"/>
        <v>-3.7307135998622776E-3</v>
      </c>
      <c r="H249" s="26"/>
    </row>
    <row r="250" spans="1:8" x14ac:dyDescent="0.3">
      <c r="A250" s="27">
        <v>43831</v>
      </c>
      <c r="B250" s="26">
        <v>77.33</v>
      </c>
      <c r="C250" s="29">
        <f t="shared" si="6"/>
        <v>1.5362394957983217E-2</v>
      </c>
      <c r="D250" s="26"/>
      <c r="F250" s="26">
        <v>41400</v>
      </c>
      <c r="G250" s="29">
        <f t="shared" si="7"/>
        <v>1.6323031647415404E-2</v>
      </c>
      <c r="H250" s="26"/>
    </row>
    <row r="251" spans="1:8" x14ac:dyDescent="0.3">
      <c r="A251" s="27">
        <v>43862</v>
      </c>
      <c r="B251" s="26">
        <v>80.77</v>
      </c>
      <c r="C251" s="29">
        <f t="shared" si="6"/>
        <v>4.4484676063623406E-2</v>
      </c>
      <c r="D251" s="26"/>
      <c r="F251" s="26">
        <v>42480.76</v>
      </c>
      <c r="G251" s="29">
        <f t="shared" si="7"/>
        <v>2.6105314009661883E-2</v>
      </c>
      <c r="H251" s="26"/>
    </row>
    <row r="252" spans="1:8" x14ac:dyDescent="0.3">
      <c r="A252" s="27">
        <v>43891</v>
      </c>
      <c r="B252" s="26">
        <v>81.75</v>
      </c>
      <c r="C252" s="29">
        <f t="shared" si="6"/>
        <v>1.2133217778878345E-2</v>
      </c>
      <c r="D252" s="26"/>
      <c r="F252" s="26">
        <v>42323.3</v>
      </c>
      <c r="G252" s="29">
        <f t="shared" si="7"/>
        <v>-3.7066191847791594E-3</v>
      </c>
      <c r="H252" s="26"/>
    </row>
    <row r="253" spans="1:8" x14ac:dyDescent="0.3">
      <c r="A253" s="27">
        <v>43983</v>
      </c>
      <c r="B253" s="26">
        <v>79.62</v>
      </c>
      <c r="C253" s="29">
        <f t="shared" si="6"/>
        <v>-2.6055045871559577E-2</v>
      </c>
      <c r="D253" s="26"/>
      <c r="F253" s="26">
        <v>41296.239999999998</v>
      </c>
      <c r="G253" s="29">
        <f t="shared" si="7"/>
        <v>-2.4267011315280352E-2</v>
      </c>
      <c r="H253" s="26"/>
    </row>
    <row r="254" spans="1:8" x14ac:dyDescent="0.3">
      <c r="A254" s="27">
        <v>44013</v>
      </c>
      <c r="B254" s="26">
        <v>81.47</v>
      </c>
      <c r="C254" s="29">
        <f t="shared" si="6"/>
        <v>2.3235367997990381E-2</v>
      </c>
      <c r="D254" s="26"/>
      <c r="F254" s="26">
        <v>41904.47</v>
      </c>
      <c r="G254" s="29">
        <f t="shared" si="7"/>
        <v>1.4728459540142232E-2</v>
      </c>
      <c r="H254" s="26"/>
    </row>
    <row r="255" spans="1:8" x14ac:dyDescent="0.3">
      <c r="A255" s="27">
        <v>44044</v>
      </c>
      <c r="B255" s="26">
        <v>81.31</v>
      </c>
      <c r="C255" s="29">
        <f t="shared" si="6"/>
        <v>-1.9639130968454226E-3</v>
      </c>
      <c r="D255" s="26"/>
      <c r="F255" s="26">
        <v>41357.56</v>
      </c>
      <c r="G255" s="29">
        <f t="shared" si="7"/>
        <v>-1.305135227816993E-2</v>
      </c>
      <c r="H255" s="26"/>
    </row>
    <row r="256" spans="1:8" x14ac:dyDescent="0.3">
      <c r="A256" s="27">
        <v>44075</v>
      </c>
      <c r="B256" s="26">
        <v>81.44</v>
      </c>
      <c r="C256" s="29">
        <f t="shared" si="6"/>
        <v>1.5988193334152681E-3</v>
      </c>
      <c r="D256" s="26"/>
      <c r="F256" s="26">
        <v>42523.07</v>
      </c>
      <c r="G256" s="29">
        <f t="shared" si="7"/>
        <v>2.8181304699793751E-2</v>
      </c>
      <c r="H256" s="26"/>
    </row>
    <row r="257" spans="1:8" x14ac:dyDescent="0.3">
      <c r="A257" s="27">
        <v>44105</v>
      </c>
      <c r="B257" s="26">
        <v>81.650000000000006</v>
      </c>
      <c r="C257" s="29">
        <f t="shared" si="6"/>
        <v>2.5785854616896852E-3</v>
      </c>
      <c r="D257" s="26"/>
      <c r="F257" s="26">
        <v>43207.05</v>
      </c>
      <c r="G257" s="29">
        <f t="shared" si="7"/>
        <v>1.6084915788065236E-2</v>
      </c>
      <c r="H257" s="26"/>
    </row>
    <row r="258" spans="1:8" x14ac:dyDescent="0.3">
      <c r="A258" s="26" t="s">
        <v>904</v>
      </c>
      <c r="B258" s="26">
        <v>81.98</v>
      </c>
      <c r="C258" s="29">
        <f t="shared" si="6"/>
        <v>4.0416411512553367E-3</v>
      </c>
      <c r="D258" s="26"/>
      <c r="F258" s="26">
        <v>43218.67</v>
      </c>
      <c r="G258" s="29">
        <f t="shared" si="7"/>
        <v>2.6893759236039816E-4</v>
      </c>
      <c r="H258" s="26"/>
    </row>
    <row r="259" spans="1:8" x14ac:dyDescent="0.3">
      <c r="A259" s="26" t="s">
        <v>903</v>
      </c>
      <c r="B259" s="26">
        <v>82</v>
      </c>
      <c r="C259" s="29">
        <f t="shared" si="6"/>
        <v>2.4396194193700927E-4</v>
      </c>
      <c r="D259" s="26"/>
      <c r="F259" s="26">
        <v>43207.040000000001</v>
      </c>
      <c r="G259" s="29">
        <f t="shared" si="7"/>
        <v>-2.6909666586216979E-4</v>
      </c>
      <c r="H259" s="26"/>
    </row>
    <row r="260" spans="1:8" x14ac:dyDescent="0.3">
      <c r="A260" s="26" t="s">
        <v>902</v>
      </c>
      <c r="B260" s="26">
        <v>81.59</v>
      </c>
      <c r="C260" s="29">
        <f t="shared" si="6"/>
        <v>-4.9999999999999585E-3</v>
      </c>
      <c r="D260" s="26"/>
      <c r="F260" s="26">
        <v>42993.03</v>
      </c>
      <c r="G260" s="29">
        <f t="shared" si="7"/>
        <v>-4.9531280087689884E-3</v>
      </c>
      <c r="H260" s="26"/>
    </row>
    <row r="261" spans="1:8" x14ac:dyDescent="0.3">
      <c r="A261" s="26" t="s">
        <v>901</v>
      </c>
      <c r="B261" s="26">
        <v>81.53</v>
      </c>
      <c r="C261" s="29">
        <f t="shared" ref="C261:C324" si="8">(B261-B260)/B260</f>
        <v>-7.3538423826452102E-4</v>
      </c>
      <c r="D261" s="26"/>
      <c r="F261" s="26">
        <v>43065.1</v>
      </c>
      <c r="G261" s="29">
        <f t="shared" ref="G261:G324" si="9">(F261-F260)/F260</f>
        <v>1.676318231117921E-3</v>
      </c>
      <c r="H261" s="26"/>
    </row>
    <row r="262" spans="1:8" x14ac:dyDescent="0.3">
      <c r="A262" s="26" t="s">
        <v>900</v>
      </c>
      <c r="B262" s="26">
        <v>81.819999999999993</v>
      </c>
      <c r="C262" s="29">
        <f t="shared" si="8"/>
        <v>3.5569728934133696E-3</v>
      </c>
      <c r="D262" s="26"/>
      <c r="F262" s="26">
        <v>43167.77</v>
      </c>
      <c r="G262" s="29">
        <f t="shared" si="9"/>
        <v>2.3840650549980902E-3</v>
      </c>
      <c r="H262" s="26"/>
    </row>
    <row r="263" spans="1:8" x14ac:dyDescent="0.3">
      <c r="A263" s="26" t="s">
        <v>899</v>
      </c>
      <c r="B263" s="26">
        <v>80.849999999999994</v>
      </c>
      <c r="C263" s="29">
        <f t="shared" si="8"/>
        <v>-1.1855292104619884E-2</v>
      </c>
      <c r="D263" s="26"/>
      <c r="F263" s="26">
        <v>42747.63</v>
      </c>
      <c r="G263" s="29">
        <f t="shared" si="9"/>
        <v>-9.7327242060453768E-3</v>
      </c>
      <c r="H263" s="26"/>
    </row>
    <row r="264" spans="1:8" x14ac:dyDescent="0.3">
      <c r="A264" s="26" t="s">
        <v>898</v>
      </c>
      <c r="B264" s="26">
        <v>81.11</v>
      </c>
      <c r="C264" s="29">
        <f t="shared" si="8"/>
        <v>3.2158317872604224E-3</v>
      </c>
      <c r="D264" s="26"/>
      <c r="F264" s="26">
        <v>42626.48</v>
      </c>
      <c r="G264" s="29">
        <f t="shared" si="9"/>
        <v>-2.8340752458088131E-3</v>
      </c>
      <c r="H264" s="26"/>
    </row>
    <row r="265" spans="1:8" x14ac:dyDescent="0.3">
      <c r="A265" s="26" t="s">
        <v>897</v>
      </c>
      <c r="B265" s="26">
        <v>80.819999999999993</v>
      </c>
      <c r="C265" s="29">
        <f t="shared" si="8"/>
        <v>-3.5753914437184841E-3</v>
      </c>
      <c r="D265" s="26"/>
      <c r="F265" s="26">
        <v>42561.27</v>
      </c>
      <c r="G265" s="29">
        <f t="shared" si="9"/>
        <v>-1.5298002556159082E-3</v>
      </c>
      <c r="H265" s="26"/>
    </row>
    <row r="266" spans="1:8" x14ac:dyDescent="0.3">
      <c r="A266" s="26" t="s">
        <v>896</v>
      </c>
      <c r="B266" s="26">
        <v>80.75</v>
      </c>
      <c r="C266" s="29">
        <f t="shared" si="8"/>
        <v>-8.6612224696848786E-4</v>
      </c>
      <c r="D266" s="26"/>
      <c r="F266" s="26">
        <v>42506.95</v>
      </c>
      <c r="G266" s="29">
        <f t="shared" si="9"/>
        <v>-1.2762777050590764E-3</v>
      </c>
      <c r="H266" s="26"/>
    </row>
    <row r="267" spans="1:8" x14ac:dyDescent="0.3">
      <c r="A267" s="26" t="s">
        <v>895</v>
      </c>
      <c r="B267" s="26">
        <v>81.8</v>
      </c>
      <c r="C267" s="29">
        <f t="shared" si="8"/>
        <v>1.3003095975232163E-2</v>
      </c>
      <c r="D267" s="26"/>
      <c r="F267" s="26">
        <v>42633.03</v>
      </c>
      <c r="G267" s="29">
        <f t="shared" si="9"/>
        <v>2.9661031901842346E-3</v>
      </c>
      <c r="H267" s="26"/>
    </row>
    <row r="268" spans="1:8" x14ac:dyDescent="0.3">
      <c r="A268" s="26" t="s">
        <v>894</v>
      </c>
      <c r="B268" s="26">
        <v>81.47</v>
      </c>
      <c r="C268" s="29">
        <f t="shared" si="8"/>
        <v>-4.0342298288508346E-3</v>
      </c>
      <c r="D268" s="26"/>
      <c r="F268" s="26">
        <v>42539.23</v>
      </c>
      <c r="G268" s="29">
        <f t="shared" si="9"/>
        <v>-2.2001720262433996E-3</v>
      </c>
      <c r="H268" s="26"/>
    </row>
    <row r="269" spans="1:8" x14ac:dyDescent="0.3">
      <c r="A269" s="26" t="s">
        <v>893</v>
      </c>
      <c r="B269" s="26">
        <v>80.98</v>
      </c>
      <c r="C269" s="29">
        <f t="shared" si="8"/>
        <v>-6.0144838590891724E-3</v>
      </c>
      <c r="D269" s="26"/>
      <c r="F269" s="26">
        <v>42299.19</v>
      </c>
      <c r="G269" s="29">
        <f t="shared" si="9"/>
        <v>-5.6427913716350971E-3</v>
      </c>
      <c r="H269" s="26"/>
    </row>
    <row r="270" spans="1:8" x14ac:dyDescent="0.3">
      <c r="A270" s="26" t="s">
        <v>892</v>
      </c>
      <c r="B270" s="26">
        <v>81.569999999999993</v>
      </c>
      <c r="C270" s="29">
        <f t="shared" si="8"/>
        <v>7.2857495677943838E-3</v>
      </c>
      <c r="D270" s="26"/>
      <c r="F270" s="26">
        <v>41898.699999999997</v>
      </c>
      <c r="G270" s="29">
        <f t="shared" si="9"/>
        <v>-9.4680300024658909E-3</v>
      </c>
      <c r="H270" s="26"/>
    </row>
    <row r="271" spans="1:8" x14ac:dyDescent="0.3">
      <c r="A271" s="26" t="s">
        <v>891</v>
      </c>
      <c r="B271" s="26">
        <v>80.52</v>
      </c>
      <c r="C271" s="29">
        <f t="shared" si="8"/>
        <v>-1.2872379551305593E-2</v>
      </c>
      <c r="D271" s="26"/>
      <c r="F271" s="26">
        <v>41903.51</v>
      </c>
      <c r="G271" s="29">
        <f t="shared" si="9"/>
        <v>1.1480069787379914E-4</v>
      </c>
      <c r="H271" s="26"/>
    </row>
    <row r="272" spans="1:8" x14ac:dyDescent="0.3">
      <c r="A272" s="26" t="s">
        <v>890</v>
      </c>
      <c r="B272" s="26">
        <v>80.260000000000005</v>
      </c>
      <c r="C272" s="29">
        <f t="shared" si="8"/>
        <v>-3.2290114257326244E-3</v>
      </c>
      <c r="D272" s="26"/>
      <c r="F272" s="26">
        <v>41630.94</v>
      </c>
      <c r="G272" s="29">
        <f t="shared" si="9"/>
        <v>-6.5047056917188961E-3</v>
      </c>
      <c r="H272" s="26"/>
    </row>
    <row r="273" spans="1:8" x14ac:dyDescent="0.3">
      <c r="A273" s="27">
        <v>43892</v>
      </c>
      <c r="B273" s="26">
        <v>78.03</v>
      </c>
      <c r="C273" s="29">
        <f t="shared" si="8"/>
        <v>-2.7784699725890902E-2</v>
      </c>
      <c r="D273" s="26"/>
      <c r="F273" s="26">
        <v>40409.379999999997</v>
      </c>
      <c r="G273" s="29">
        <f t="shared" si="9"/>
        <v>-2.9342599518531288E-2</v>
      </c>
      <c r="H273" s="26"/>
    </row>
    <row r="274" spans="1:8" x14ac:dyDescent="0.3">
      <c r="A274" s="27">
        <v>43923</v>
      </c>
      <c r="B274" s="26">
        <v>79.92</v>
      </c>
      <c r="C274" s="29">
        <f t="shared" si="8"/>
        <v>2.4221453287197239E-2</v>
      </c>
      <c r="D274" s="26"/>
      <c r="F274" s="26">
        <v>40884.25</v>
      </c>
      <c r="G274" s="29">
        <f t="shared" si="9"/>
        <v>1.1751479483228959E-2</v>
      </c>
      <c r="H274" s="26"/>
    </row>
    <row r="275" spans="1:8" x14ac:dyDescent="0.3">
      <c r="A275" s="27">
        <v>43984</v>
      </c>
      <c r="B275" s="26">
        <v>79.489999999999995</v>
      </c>
      <c r="C275" s="29">
        <f t="shared" si="8"/>
        <v>-5.3803803803804656E-3</v>
      </c>
      <c r="D275" s="26"/>
      <c r="F275" s="26">
        <v>40724.410000000003</v>
      </c>
      <c r="G275" s="29">
        <f t="shared" si="9"/>
        <v>-3.9095739802001142E-3</v>
      </c>
      <c r="H275" s="26"/>
    </row>
    <row r="276" spans="1:8" x14ac:dyDescent="0.3">
      <c r="A276" s="27">
        <v>44014</v>
      </c>
      <c r="B276" s="26">
        <v>79.67</v>
      </c>
      <c r="C276" s="29">
        <f t="shared" si="8"/>
        <v>2.2644357780853795E-3</v>
      </c>
      <c r="D276" s="26"/>
      <c r="F276" s="26">
        <v>40143.629999999997</v>
      </c>
      <c r="G276" s="29">
        <f t="shared" si="9"/>
        <v>-1.4261225638382632E-2</v>
      </c>
      <c r="H276" s="26"/>
    </row>
    <row r="277" spans="1:8" x14ac:dyDescent="0.3">
      <c r="A277" s="27">
        <v>44106</v>
      </c>
      <c r="B277" s="26">
        <v>77.989999999999995</v>
      </c>
      <c r="C277" s="29">
        <f t="shared" si="8"/>
        <v>-2.1086983808208948E-2</v>
      </c>
      <c r="D277" s="26"/>
      <c r="F277" s="26">
        <v>39296.699999999997</v>
      </c>
      <c r="G277" s="29">
        <f t="shared" si="9"/>
        <v>-2.109749417279903E-2</v>
      </c>
      <c r="H277" s="26"/>
    </row>
    <row r="278" spans="1:8" x14ac:dyDescent="0.3">
      <c r="A278" s="27">
        <v>44137</v>
      </c>
      <c r="B278" s="26">
        <v>78.930000000000007</v>
      </c>
      <c r="C278" s="29">
        <f t="shared" si="8"/>
        <v>1.2052827285549583E-2</v>
      </c>
      <c r="D278" s="26"/>
      <c r="F278" s="26">
        <v>39714.46</v>
      </c>
      <c r="G278" s="29">
        <f t="shared" si="9"/>
        <v>1.0630918117806382E-2</v>
      </c>
      <c r="H278" s="26"/>
    </row>
    <row r="279" spans="1:8" x14ac:dyDescent="0.3">
      <c r="A279" s="27">
        <v>44167</v>
      </c>
      <c r="B279" s="26">
        <v>79.48</v>
      </c>
      <c r="C279" s="29">
        <f t="shared" si="8"/>
        <v>6.9681996705941605E-3</v>
      </c>
      <c r="D279" s="26"/>
      <c r="F279" s="26">
        <v>40531.129999999997</v>
      </c>
      <c r="G279" s="29">
        <f t="shared" si="9"/>
        <v>2.0563542850639244E-2</v>
      </c>
      <c r="H279" s="26"/>
    </row>
    <row r="280" spans="1:8" x14ac:dyDescent="0.3">
      <c r="A280" s="26" t="s">
        <v>889</v>
      </c>
      <c r="B280" s="26">
        <v>79.66</v>
      </c>
      <c r="C280" s="29">
        <f t="shared" si="8"/>
        <v>2.2647206844488249E-3</v>
      </c>
      <c r="D280" s="26"/>
      <c r="F280" s="26">
        <v>40455.440000000002</v>
      </c>
      <c r="G280" s="29">
        <f t="shared" si="9"/>
        <v>-1.867453485752681E-3</v>
      </c>
      <c r="H280" s="26"/>
    </row>
    <row r="281" spans="1:8" x14ac:dyDescent="0.3">
      <c r="A281" s="26" t="s">
        <v>888</v>
      </c>
      <c r="B281" s="26">
        <v>79.569999999999993</v>
      </c>
      <c r="C281" s="29">
        <f t="shared" si="8"/>
        <v>-1.1298016570424731E-3</v>
      </c>
      <c r="D281" s="26"/>
      <c r="F281" s="26">
        <v>40243.26</v>
      </c>
      <c r="G281" s="29">
        <f t="shared" si="9"/>
        <v>-5.2447829018792101E-3</v>
      </c>
      <c r="H281" s="26"/>
    </row>
    <row r="282" spans="1:8" x14ac:dyDescent="0.3">
      <c r="A282" s="26" t="s">
        <v>887</v>
      </c>
      <c r="B282" s="26">
        <v>79.180000000000007</v>
      </c>
      <c r="C282" s="29">
        <f t="shared" si="8"/>
        <v>-4.901344727912359E-3</v>
      </c>
      <c r="D282" s="26"/>
      <c r="F282" s="26">
        <v>40276.93</v>
      </c>
      <c r="G282" s="29">
        <f t="shared" si="9"/>
        <v>8.3666184101383067E-4</v>
      </c>
      <c r="H282" s="26"/>
    </row>
    <row r="283" spans="1:8" x14ac:dyDescent="0.3">
      <c r="A283" s="26" t="s">
        <v>886</v>
      </c>
      <c r="B283" s="26">
        <v>78.58</v>
      </c>
      <c r="C283" s="29">
        <f t="shared" si="8"/>
        <v>-7.5776711290731049E-3</v>
      </c>
      <c r="D283" s="26"/>
      <c r="F283" s="26">
        <v>40175.35</v>
      </c>
      <c r="G283" s="29">
        <f t="shared" si="9"/>
        <v>-2.5220392914753371E-3</v>
      </c>
      <c r="H283" s="26"/>
    </row>
    <row r="284" spans="1:8" x14ac:dyDescent="0.3">
      <c r="A284" s="26" t="s">
        <v>885</v>
      </c>
      <c r="B284" s="26">
        <v>78.17</v>
      </c>
      <c r="C284" s="29">
        <f t="shared" si="8"/>
        <v>-5.2176126240773297E-3</v>
      </c>
      <c r="D284" s="26"/>
      <c r="F284" s="26">
        <v>40574.519999999997</v>
      </c>
      <c r="G284" s="29">
        <f t="shared" si="9"/>
        <v>9.9356943996753797E-3</v>
      </c>
      <c r="H284" s="26"/>
    </row>
    <row r="285" spans="1:8" x14ac:dyDescent="0.3">
      <c r="A285" s="26" t="s">
        <v>884</v>
      </c>
      <c r="B285" s="26">
        <v>78.930000000000007</v>
      </c>
      <c r="C285" s="29">
        <f t="shared" si="8"/>
        <v>9.7223998976590145E-3</v>
      </c>
      <c r="D285" s="26"/>
      <c r="F285" s="26">
        <v>40481.65</v>
      </c>
      <c r="G285" s="29">
        <f t="shared" si="9"/>
        <v>-2.2888748899554537E-3</v>
      </c>
      <c r="H285" s="26"/>
    </row>
    <row r="286" spans="1:8" x14ac:dyDescent="0.3">
      <c r="A286" s="26" t="s">
        <v>883</v>
      </c>
      <c r="B286" s="26">
        <v>79.14</v>
      </c>
      <c r="C286" s="29">
        <f t="shared" si="8"/>
        <v>2.6605853287722503E-3</v>
      </c>
      <c r="D286" s="26"/>
      <c r="F286" s="26">
        <v>40249.22</v>
      </c>
      <c r="G286" s="29">
        <f t="shared" si="9"/>
        <v>-5.7416137929160562E-3</v>
      </c>
      <c r="H286" s="26"/>
    </row>
    <row r="287" spans="1:8" x14ac:dyDescent="0.3">
      <c r="A287" s="26" t="s">
        <v>882</v>
      </c>
      <c r="B287" s="26">
        <v>77.37</v>
      </c>
      <c r="C287" s="29">
        <f t="shared" si="8"/>
        <v>-2.2365428354814202E-2</v>
      </c>
      <c r="D287" s="26"/>
      <c r="F287" s="26">
        <v>39143.730000000003</v>
      </c>
      <c r="G287" s="29">
        <f t="shared" si="9"/>
        <v>-2.7466122324854941E-2</v>
      </c>
      <c r="H287" s="26"/>
    </row>
    <row r="288" spans="1:8" x14ac:dyDescent="0.3">
      <c r="A288" s="26" t="s">
        <v>881</v>
      </c>
      <c r="B288" s="26">
        <v>76.599999999999994</v>
      </c>
      <c r="C288" s="29">
        <f t="shared" si="8"/>
        <v>-9.9521778467107427E-3</v>
      </c>
      <c r="D288" s="26"/>
      <c r="F288" s="26">
        <v>38858.449999999997</v>
      </c>
      <c r="G288" s="29">
        <f t="shared" si="9"/>
        <v>-7.2880126651191923E-3</v>
      </c>
      <c r="H288" s="26"/>
    </row>
    <row r="289" spans="1:8" x14ac:dyDescent="0.3">
      <c r="A289" s="26" t="s">
        <v>880</v>
      </c>
      <c r="B289" s="26">
        <v>76.52</v>
      </c>
      <c r="C289" s="29">
        <f t="shared" si="8"/>
        <v>-1.0443864229764792E-3</v>
      </c>
      <c r="D289" s="26"/>
      <c r="F289" s="26">
        <v>38338.33</v>
      </c>
      <c r="G289" s="29">
        <f t="shared" si="9"/>
        <v>-1.3384990909313043E-2</v>
      </c>
      <c r="H289" s="26"/>
    </row>
    <row r="290" spans="1:8" x14ac:dyDescent="0.3">
      <c r="A290" s="26" t="s">
        <v>879</v>
      </c>
      <c r="B290" s="26">
        <v>74.97</v>
      </c>
      <c r="C290" s="29">
        <f t="shared" si="8"/>
        <v>-2.0256142185049623E-2</v>
      </c>
      <c r="D290" s="26"/>
      <c r="F290" s="26">
        <v>38087.32</v>
      </c>
      <c r="G290" s="29">
        <f t="shared" si="9"/>
        <v>-6.5472335388631177E-3</v>
      </c>
      <c r="H290" s="26"/>
    </row>
    <row r="291" spans="1:8" x14ac:dyDescent="0.3">
      <c r="A291" s="26" t="s">
        <v>878</v>
      </c>
      <c r="B291" s="26">
        <v>73.930000000000007</v>
      </c>
      <c r="C291" s="29">
        <f t="shared" si="8"/>
        <v>-1.3872215552887715E-2</v>
      </c>
      <c r="D291" s="26"/>
      <c r="F291" s="26">
        <v>37983.620000000003</v>
      </c>
      <c r="G291" s="29">
        <f t="shared" si="9"/>
        <v>-2.7226909113058383E-3</v>
      </c>
      <c r="H291" s="26"/>
    </row>
    <row r="292" spans="1:8" x14ac:dyDescent="0.3">
      <c r="A292" s="27">
        <v>43864</v>
      </c>
      <c r="B292" s="26">
        <v>78.099999999999994</v>
      </c>
      <c r="C292" s="29">
        <f t="shared" si="8"/>
        <v>5.6404707155417115E-2</v>
      </c>
      <c r="D292" s="26"/>
      <c r="F292" s="26">
        <v>39296.300000000003</v>
      </c>
      <c r="G292" s="29">
        <f t="shared" si="9"/>
        <v>3.4559107320471301E-2</v>
      </c>
      <c r="H292" s="26"/>
    </row>
    <row r="293" spans="1:8" x14ac:dyDescent="0.3">
      <c r="A293" s="27">
        <v>43893</v>
      </c>
      <c r="B293" s="26">
        <v>78.48</v>
      </c>
      <c r="C293" s="29">
        <f t="shared" si="8"/>
        <v>4.8655569782331586E-3</v>
      </c>
      <c r="D293" s="26"/>
      <c r="F293" s="26">
        <v>39199.68</v>
      </c>
      <c r="G293" s="29">
        <f t="shared" si="9"/>
        <v>-2.4587556589297874E-3</v>
      </c>
      <c r="H293" s="26"/>
    </row>
    <row r="294" spans="1:8" x14ac:dyDescent="0.3">
      <c r="A294" s="27">
        <v>43924</v>
      </c>
      <c r="B294" s="26">
        <v>77.78</v>
      </c>
      <c r="C294" s="29">
        <f t="shared" si="8"/>
        <v>-8.9194699286442771E-3</v>
      </c>
      <c r="D294" s="26"/>
      <c r="F294" s="26">
        <v>38906.400000000001</v>
      </c>
      <c r="G294" s="29">
        <f t="shared" si="9"/>
        <v>-7.4816937281120361E-3</v>
      </c>
      <c r="H294" s="26"/>
    </row>
    <row r="295" spans="1:8" x14ac:dyDescent="0.3">
      <c r="A295" s="27">
        <v>43954</v>
      </c>
      <c r="B295" s="26">
        <v>75.08</v>
      </c>
      <c r="C295" s="29">
        <f t="shared" si="8"/>
        <v>-3.471329390588844E-2</v>
      </c>
      <c r="D295" s="26"/>
      <c r="F295" s="26">
        <v>39382.11</v>
      </c>
      <c r="G295" s="29">
        <f t="shared" si="9"/>
        <v>1.2227037196965001E-2</v>
      </c>
      <c r="H295" s="26"/>
    </row>
    <row r="296" spans="1:8" x14ac:dyDescent="0.3">
      <c r="A296" s="27">
        <v>43985</v>
      </c>
      <c r="B296" s="26">
        <v>73.540000000000006</v>
      </c>
      <c r="C296" s="29">
        <f t="shared" si="8"/>
        <v>-2.0511454448588068E-2</v>
      </c>
      <c r="D296" s="26"/>
      <c r="F296" s="26">
        <v>38219.67</v>
      </c>
      <c r="G296" s="29">
        <f t="shared" si="9"/>
        <v>-2.9516955795410717E-2</v>
      </c>
      <c r="H296" s="26"/>
    </row>
    <row r="297" spans="1:8" x14ac:dyDescent="0.3">
      <c r="A297" s="27">
        <v>44077</v>
      </c>
      <c r="B297" s="26">
        <v>68.400000000000006</v>
      </c>
      <c r="C297" s="29">
        <f t="shared" si="8"/>
        <v>-6.9893935273320648E-2</v>
      </c>
      <c r="D297" s="26"/>
      <c r="F297" s="26">
        <v>37058.949999999997</v>
      </c>
      <c r="G297" s="29">
        <f t="shared" si="9"/>
        <v>-3.0369702302505523E-2</v>
      </c>
      <c r="H297" s="26"/>
    </row>
    <row r="298" spans="1:8" x14ac:dyDescent="0.3">
      <c r="A298" s="27">
        <v>44107</v>
      </c>
      <c r="B298" s="26">
        <v>72.47</v>
      </c>
      <c r="C298" s="29">
        <f t="shared" si="8"/>
        <v>5.9502923976608085E-2</v>
      </c>
      <c r="D298" s="26"/>
      <c r="F298" s="26">
        <v>37695.75</v>
      </c>
      <c r="G298" s="29">
        <f t="shared" si="9"/>
        <v>1.7183433421616181E-2</v>
      </c>
      <c r="H298" s="26"/>
    </row>
    <row r="299" spans="1:8" x14ac:dyDescent="0.3">
      <c r="A299" s="27">
        <v>44138</v>
      </c>
      <c r="B299" s="26">
        <v>74.7</v>
      </c>
      <c r="C299" s="29">
        <f t="shared" si="8"/>
        <v>3.0771353663584987E-2</v>
      </c>
      <c r="D299" s="26"/>
      <c r="F299" s="26">
        <v>37673.25</v>
      </c>
      <c r="G299" s="29">
        <f t="shared" si="9"/>
        <v>-5.9688426414118299E-4</v>
      </c>
      <c r="H299" s="26"/>
    </row>
    <row r="300" spans="1:8" x14ac:dyDescent="0.3">
      <c r="A300" s="27">
        <v>44168</v>
      </c>
      <c r="B300" s="26">
        <v>66.510000000000005</v>
      </c>
      <c r="C300" s="29">
        <f t="shared" si="8"/>
        <v>-0.10963855421686744</v>
      </c>
      <c r="D300" s="26"/>
      <c r="F300" s="26">
        <v>35956.69</v>
      </c>
      <c r="G300" s="29">
        <f t="shared" si="9"/>
        <v>-4.55644256866609E-2</v>
      </c>
      <c r="H300" s="26"/>
    </row>
    <row r="301" spans="1:8" x14ac:dyDescent="0.3">
      <c r="A301" s="26" t="s">
        <v>877</v>
      </c>
      <c r="B301" s="26">
        <v>66.2</v>
      </c>
      <c r="C301" s="29">
        <f t="shared" si="8"/>
        <v>-4.6609532401143024E-3</v>
      </c>
      <c r="D301" s="26"/>
      <c r="F301" s="26">
        <v>36060.879999999997</v>
      </c>
      <c r="G301" s="29">
        <f t="shared" si="9"/>
        <v>2.8976527038499663E-3</v>
      </c>
      <c r="H301" s="26"/>
    </row>
    <row r="302" spans="1:8" x14ac:dyDescent="0.3">
      <c r="A302" s="26" t="s">
        <v>876</v>
      </c>
      <c r="B302" s="26">
        <v>61.24</v>
      </c>
      <c r="C302" s="29">
        <f t="shared" si="8"/>
        <v>-7.4924471299093659E-2</v>
      </c>
      <c r="D302" s="26"/>
      <c r="F302" s="26">
        <v>33684.910000000003</v>
      </c>
      <c r="G302" s="29">
        <f t="shared" si="9"/>
        <v>-6.5887743172102123E-2</v>
      </c>
      <c r="H302" s="26"/>
    </row>
    <row r="303" spans="1:8" x14ac:dyDescent="0.3">
      <c r="A303" s="26" t="s">
        <v>875</v>
      </c>
      <c r="B303" s="26">
        <v>57.77</v>
      </c>
      <c r="C303" s="29">
        <f t="shared" si="8"/>
        <v>-5.6662312214239036E-2</v>
      </c>
      <c r="D303" s="26"/>
      <c r="F303" s="26">
        <v>32616.93</v>
      </c>
      <c r="G303" s="29">
        <f t="shared" si="9"/>
        <v>-3.1704997875903577E-2</v>
      </c>
      <c r="H303" s="26"/>
    </row>
    <row r="304" spans="1:8" x14ac:dyDescent="0.3">
      <c r="A304" s="26" t="s">
        <v>874</v>
      </c>
      <c r="B304" s="26">
        <v>54.78</v>
      </c>
      <c r="C304" s="29">
        <f t="shared" si="8"/>
        <v>-5.1756967284057501E-2</v>
      </c>
      <c r="D304" s="26"/>
      <c r="F304" s="26">
        <v>30416.05</v>
      </c>
      <c r="G304" s="29">
        <f t="shared" si="9"/>
        <v>-6.7476614138731045E-2</v>
      </c>
      <c r="H304" s="26"/>
    </row>
    <row r="305" spans="1:8" x14ac:dyDescent="0.3">
      <c r="A305" s="26" t="s">
        <v>873</v>
      </c>
      <c r="B305" s="26">
        <v>58.06</v>
      </c>
      <c r="C305" s="29">
        <f t="shared" si="8"/>
        <v>5.9875867104782786E-2</v>
      </c>
      <c r="D305" s="26"/>
      <c r="F305" s="26">
        <v>30129.83</v>
      </c>
      <c r="G305" s="29">
        <f t="shared" si="9"/>
        <v>-9.4101633841342826E-3</v>
      </c>
      <c r="H305" s="26"/>
    </row>
    <row r="306" spans="1:8" x14ac:dyDescent="0.3">
      <c r="A306" s="26" t="s">
        <v>872</v>
      </c>
      <c r="B306" s="26">
        <v>59.02</v>
      </c>
      <c r="C306" s="29">
        <f t="shared" si="8"/>
        <v>1.6534619359283513E-2</v>
      </c>
      <c r="D306" s="26"/>
      <c r="F306" s="26">
        <v>30667.41</v>
      </c>
      <c r="G306" s="29">
        <f t="shared" si="9"/>
        <v>1.7842118591442371E-2</v>
      </c>
      <c r="H306" s="26"/>
    </row>
    <row r="307" spans="1:8" x14ac:dyDescent="0.3">
      <c r="A307" s="26" t="s">
        <v>871</v>
      </c>
      <c r="B307" s="26">
        <v>54.6</v>
      </c>
      <c r="C307" s="29">
        <f t="shared" si="8"/>
        <v>-7.4889867841409719E-2</v>
      </c>
      <c r="D307" s="26"/>
      <c r="F307" s="26">
        <v>28564.83</v>
      </c>
      <c r="G307" s="29">
        <f t="shared" si="9"/>
        <v>-6.8560729451883878E-2</v>
      </c>
      <c r="H307" s="26"/>
    </row>
    <row r="308" spans="1:8" x14ac:dyDescent="0.3">
      <c r="A308" s="26" t="s">
        <v>870</v>
      </c>
      <c r="B308" s="26">
        <v>52.01</v>
      </c>
      <c r="C308" s="29">
        <f t="shared" si="8"/>
        <v>-4.7435897435897496E-2</v>
      </c>
      <c r="D308" s="26"/>
      <c r="F308" s="26">
        <v>27228.799999999999</v>
      </c>
      <c r="G308" s="29">
        <f t="shared" si="9"/>
        <v>-4.6771851959210062E-2</v>
      </c>
      <c r="H308" s="26"/>
    </row>
    <row r="309" spans="1:8" x14ac:dyDescent="0.3">
      <c r="A309" s="26" t="s">
        <v>869</v>
      </c>
      <c r="B309" s="26">
        <v>52.95</v>
      </c>
      <c r="C309" s="29">
        <f t="shared" si="8"/>
        <v>1.8073447413958946E-2</v>
      </c>
      <c r="D309" s="26"/>
      <c r="F309" s="26">
        <v>27267.200000000001</v>
      </c>
      <c r="G309" s="29">
        <f t="shared" si="9"/>
        <v>1.4102714772594258E-3</v>
      </c>
      <c r="H309" s="26"/>
    </row>
    <row r="310" spans="1:8" x14ac:dyDescent="0.3">
      <c r="A310" s="26" t="s">
        <v>868</v>
      </c>
      <c r="B310" s="26">
        <v>54.01</v>
      </c>
      <c r="C310" s="29">
        <f t="shared" si="8"/>
        <v>2.0018885741265251E-2</v>
      </c>
      <c r="D310" s="26"/>
      <c r="F310" s="26">
        <v>28109.57</v>
      </c>
      <c r="G310" s="29">
        <f t="shared" si="9"/>
        <v>3.089316101396546E-2</v>
      </c>
      <c r="H310" s="26"/>
    </row>
    <row r="311" spans="1:8" x14ac:dyDescent="0.3">
      <c r="A311" s="26" t="s">
        <v>867</v>
      </c>
      <c r="B311" s="26">
        <v>53.27</v>
      </c>
      <c r="C311" s="29">
        <f t="shared" si="8"/>
        <v>-1.3701166450657191E-2</v>
      </c>
      <c r="D311" s="26"/>
      <c r="F311" s="26">
        <v>28023.39</v>
      </c>
      <c r="G311" s="29">
        <f t="shared" si="9"/>
        <v>-3.0658597765814378E-3</v>
      </c>
      <c r="H311" s="26"/>
    </row>
    <row r="312" spans="1:8" x14ac:dyDescent="0.3">
      <c r="A312" s="26" t="s">
        <v>866</v>
      </c>
      <c r="B312" s="26">
        <v>53.87</v>
      </c>
      <c r="C312" s="29">
        <f t="shared" si="8"/>
        <v>1.1263375258118909E-2</v>
      </c>
      <c r="D312" s="26"/>
      <c r="F312" s="26">
        <v>29231.63</v>
      </c>
      <c r="G312" s="29">
        <f t="shared" si="9"/>
        <v>4.3115411804210753E-2</v>
      </c>
      <c r="H312" s="26"/>
    </row>
    <row r="313" spans="1:8" x14ac:dyDescent="0.3">
      <c r="A313" s="27">
        <v>43834</v>
      </c>
      <c r="B313" s="26">
        <v>53.38</v>
      </c>
      <c r="C313" s="29">
        <f t="shared" si="8"/>
        <v>-9.0959717839241682E-3</v>
      </c>
      <c r="D313" s="26"/>
      <c r="F313" s="26">
        <v>29505.57</v>
      </c>
      <c r="G313" s="29">
        <f t="shared" si="9"/>
        <v>9.3713556171858593E-3</v>
      </c>
      <c r="H313" s="26"/>
    </row>
    <row r="314" spans="1:8" x14ac:dyDescent="0.3">
      <c r="A314" s="27">
        <v>43865</v>
      </c>
      <c r="B314" s="26">
        <v>55.66</v>
      </c>
      <c r="C314" s="29">
        <f t="shared" si="8"/>
        <v>4.2712626451854516E-2</v>
      </c>
      <c r="D314" s="26"/>
      <c r="F314" s="26">
        <v>30782.66</v>
      </c>
      <c r="G314" s="29">
        <f t="shared" si="9"/>
        <v>4.3283014020742527E-2</v>
      </c>
      <c r="H314" s="26"/>
    </row>
    <row r="315" spans="1:8" x14ac:dyDescent="0.3">
      <c r="A315" s="27">
        <v>43894</v>
      </c>
      <c r="B315" s="26">
        <v>57.83</v>
      </c>
      <c r="C315" s="29">
        <f t="shared" si="8"/>
        <v>3.8986704994610169E-2</v>
      </c>
      <c r="D315" s="26"/>
      <c r="F315" s="26">
        <v>31621.79</v>
      </c>
      <c r="G315" s="29">
        <f t="shared" si="9"/>
        <v>2.7259827448310219E-2</v>
      </c>
      <c r="H315" s="26"/>
    </row>
    <row r="316" spans="1:8" x14ac:dyDescent="0.3">
      <c r="A316" s="27">
        <v>43986</v>
      </c>
      <c r="B316" s="26">
        <v>58.47</v>
      </c>
      <c r="C316" s="29">
        <f t="shared" si="8"/>
        <v>1.1066920283589842E-2</v>
      </c>
      <c r="D316" s="26"/>
      <c r="F316" s="26">
        <v>30579.15</v>
      </c>
      <c r="G316" s="29">
        <f t="shared" si="9"/>
        <v>-3.2972200498453737E-2</v>
      </c>
      <c r="H316" s="26"/>
    </row>
    <row r="317" spans="1:8" x14ac:dyDescent="0.3">
      <c r="A317" s="27">
        <v>44016</v>
      </c>
      <c r="B317" s="26">
        <v>57.92</v>
      </c>
      <c r="C317" s="29">
        <f t="shared" si="8"/>
        <v>-9.4065332649221345E-3</v>
      </c>
      <c r="D317" s="26"/>
      <c r="F317" s="26">
        <v>31231.55</v>
      </c>
      <c r="G317" s="29">
        <f t="shared" si="9"/>
        <v>2.1334798383866059E-2</v>
      </c>
      <c r="H317" s="26"/>
    </row>
    <row r="318" spans="1:8" x14ac:dyDescent="0.3">
      <c r="A318" s="27">
        <v>44047</v>
      </c>
      <c r="B318" s="26">
        <v>56.18</v>
      </c>
      <c r="C318" s="29">
        <f t="shared" si="8"/>
        <v>-3.0041436464088432E-2</v>
      </c>
      <c r="D318" s="26"/>
      <c r="F318" s="26">
        <v>30971.27</v>
      </c>
      <c r="G318" s="29">
        <f t="shared" si="9"/>
        <v>-8.3338803229426276E-3</v>
      </c>
      <c r="H318" s="26"/>
    </row>
    <row r="319" spans="1:8" x14ac:dyDescent="0.3">
      <c r="A319" s="27">
        <v>44078</v>
      </c>
      <c r="B319" s="26">
        <v>56.92</v>
      </c>
      <c r="C319" s="29">
        <f t="shared" si="8"/>
        <v>1.3171947312210787E-2</v>
      </c>
      <c r="D319" s="26"/>
      <c r="F319" s="26">
        <v>31837.3</v>
      </c>
      <c r="G319" s="29">
        <f t="shared" si="9"/>
        <v>2.7962366412484823E-2</v>
      </c>
      <c r="H319" s="26"/>
    </row>
    <row r="320" spans="1:8" x14ac:dyDescent="0.3">
      <c r="A320" s="27">
        <v>44108</v>
      </c>
      <c r="B320" s="26">
        <v>57.06</v>
      </c>
      <c r="C320" s="29">
        <f t="shared" si="8"/>
        <v>2.4595924104005721E-3</v>
      </c>
      <c r="D320" s="26"/>
      <c r="F320" s="26">
        <v>32033.200000000001</v>
      </c>
      <c r="G320" s="29">
        <f t="shared" si="9"/>
        <v>6.1531599727364271E-3</v>
      </c>
      <c r="H320" s="26"/>
    </row>
    <row r="321" spans="1:8" x14ac:dyDescent="0.3">
      <c r="A321" s="26" t="s">
        <v>865</v>
      </c>
      <c r="B321" s="26">
        <v>55.37</v>
      </c>
      <c r="C321" s="29">
        <f t="shared" si="8"/>
        <v>-2.9617946021731595E-2</v>
      </c>
      <c r="D321" s="26"/>
      <c r="F321" s="26">
        <v>31032.99</v>
      </c>
      <c r="G321" s="29">
        <f t="shared" si="9"/>
        <v>-3.1224167426295191E-2</v>
      </c>
      <c r="H321" s="26"/>
    </row>
    <row r="322" spans="1:8" x14ac:dyDescent="0.3">
      <c r="A322" s="26" t="s">
        <v>864</v>
      </c>
      <c r="B322" s="26">
        <v>56.03</v>
      </c>
      <c r="C322" s="29">
        <f t="shared" si="8"/>
        <v>1.191981217265674E-2</v>
      </c>
      <c r="D322" s="26"/>
      <c r="F322" s="26">
        <v>31222.74</v>
      </c>
      <c r="G322" s="29">
        <f t="shared" si="9"/>
        <v>6.1144607722298109E-3</v>
      </c>
      <c r="H322" s="26"/>
    </row>
    <row r="323" spans="1:8" x14ac:dyDescent="0.3">
      <c r="A323" s="26" t="s">
        <v>863</v>
      </c>
      <c r="B323" s="26">
        <v>56.66</v>
      </c>
      <c r="C323" s="29">
        <f t="shared" si="8"/>
        <v>1.1243976441192138E-2</v>
      </c>
      <c r="D323" s="26"/>
      <c r="F323" s="26">
        <v>31242.19</v>
      </c>
      <c r="G323" s="29">
        <f t="shared" si="9"/>
        <v>6.2294340599182158E-4</v>
      </c>
      <c r="H323" s="26"/>
    </row>
    <row r="324" spans="1:8" x14ac:dyDescent="0.3">
      <c r="A324" s="26" t="s">
        <v>862</v>
      </c>
      <c r="B324" s="26">
        <v>56.52</v>
      </c>
      <c r="C324" s="29">
        <f t="shared" si="8"/>
        <v>-2.4708789269324649E-3</v>
      </c>
      <c r="D324" s="26"/>
      <c r="F324" s="26">
        <v>31329.46</v>
      </c>
      <c r="G324" s="29">
        <f t="shared" si="9"/>
        <v>2.7933381110607303E-3</v>
      </c>
      <c r="H324" s="26"/>
    </row>
    <row r="325" spans="1:8" x14ac:dyDescent="0.3">
      <c r="A325" s="26" t="s">
        <v>861</v>
      </c>
      <c r="B325" s="26">
        <v>55</v>
      </c>
      <c r="C325" s="29">
        <f t="shared" ref="C325:C388" si="10">(B325-B324)/B324</f>
        <v>-2.6893135173390006E-2</v>
      </c>
      <c r="D325" s="26"/>
      <c r="F325" s="26">
        <v>32831.83</v>
      </c>
      <c r="G325" s="29">
        <f t="shared" ref="G325:G388" si="11">(F325-F324)/F324</f>
        <v>4.7953906642502063E-2</v>
      </c>
      <c r="H325" s="26"/>
    </row>
    <row r="326" spans="1:8" x14ac:dyDescent="0.3">
      <c r="A326" s="26" t="s">
        <v>860</v>
      </c>
      <c r="B326" s="26">
        <v>56.43</v>
      </c>
      <c r="C326" s="29">
        <f t="shared" si="10"/>
        <v>2.5999999999999995E-2</v>
      </c>
      <c r="D326" s="26"/>
      <c r="F326" s="26">
        <v>33499.65</v>
      </c>
      <c r="G326" s="29">
        <f t="shared" si="11"/>
        <v>2.0340626763722877E-2</v>
      </c>
      <c r="H326" s="26"/>
    </row>
    <row r="327" spans="1:8" x14ac:dyDescent="0.3">
      <c r="A327" s="26" t="s">
        <v>859</v>
      </c>
      <c r="B327" s="26">
        <v>57.12</v>
      </c>
      <c r="C327" s="29">
        <f t="shared" si="10"/>
        <v>1.2227538543327976E-2</v>
      </c>
      <c r="D327" s="26"/>
      <c r="F327" s="26">
        <v>32422.83</v>
      </c>
      <c r="G327" s="29">
        <f t="shared" si="11"/>
        <v>-3.2144216432111967E-2</v>
      </c>
      <c r="H327" s="26"/>
    </row>
    <row r="328" spans="1:8" x14ac:dyDescent="0.3">
      <c r="A328" s="26" t="s">
        <v>858</v>
      </c>
      <c r="B328" s="26">
        <v>58.13</v>
      </c>
      <c r="C328" s="29">
        <f t="shared" si="10"/>
        <v>1.7682072829131742E-2</v>
      </c>
      <c r="D328" s="26"/>
      <c r="F328" s="26">
        <v>32464.23</v>
      </c>
      <c r="G328" s="29">
        <f t="shared" si="11"/>
        <v>1.2768780516690806E-3</v>
      </c>
      <c r="H328" s="26"/>
    </row>
    <row r="329" spans="1:8" x14ac:dyDescent="0.3">
      <c r="A329" s="26" t="s">
        <v>857</v>
      </c>
      <c r="B329" s="26">
        <v>58.51</v>
      </c>
      <c r="C329" s="29">
        <f t="shared" si="10"/>
        <v>6.5370720798210123E-3</v>
      </c>
      <c r="D329" s="26"/>
      <c r="F329" s="26">
        <v>32850.83</v>
      </c>
      <c r="G329" s="29">
        <f t="shared" si="11"/>
        <v>1.190849128409952E-2</v>
      </c>
      <c r="H329" s="26"/>
    </row>
    <row r="330" spans="1:8" x14ac:dyDescent="0.3">
      <c r="A330" s="26" t="s">
        <v>856</v>
      </c>
      <c r="B330" s="26">
        <v>58.36</v>
      </c>
      <c r="C330" s="29">
        <f t="shared" si="10"/>
        <v>-2.5636643308835855E-3</v>
      </c>
      <c r="D330" s="26"/>
      <c r="F330" s="26">
        <v>32806.379999999997</v>
      </c>
      <c r="G330" s="29">
        <f t="shared" si="11"/>
        <v>-1.3530860559688861E-3</v>
      </c>
      <c r="H330" s="26"/>
    </row>
    <row r="331" spans="1:8" x14ac:dyDescent="0.3">
      <c r="A331" s="26" t="s">
        <v>855</v>
      </c>
      <c r="B331" s="26">
        <v>58.48</v>
      </c>
      <c r="C331" s="29">
        <f t="shared" si="10"/>
        <v>2.0562028786839863E-3</v>
      </c>
      <c r="D331" s="26"/>
      <c r="F331" s="26">
        <v>32314.57</v>
      </c>
      <c r="G331" s="29">
        <f t="shared" si="11"/>
        <v>-1.4991291328089162E-2</v>
      </c>
      <c r="H331" s="26"/>
    </row>
    <row r="332" spans="1:8" x14ac:dyDescent="0.3">
      <c r="A332" s="26" t="s">
        <v>854</v>
      </c>
      <c r="B332" s="26">
        <v>59.23</v>
      </c>
      <c r="C332" s="29">
        <f t="shared" si="10"/>
        <v>1.2824897400820793E-2</v>
      </c>
      <c r="D332" s="26"/>
      <c r="F332" s="26">
        <v>32553.39</v>
      </c>
      <c r="G332" s="29">
        <f t="shared" si="11"/>
        <v>7.3904743278341541E-3</v>
      </c>
      <c r="H332" s="26"/>
    </row>
    <row r="333" spans="1:8" x14ac:dyDescent="0.3">
      <c r="A333" s="26" t="s">
        <v>853</v>
      </c>
      <c r="B333" s="26">
        <v>57.06</v>
      </c>
      <c r="C333" s="29">
        <f t="shared" si="10"/>
        <v>-3.663683943947315E-2</v>
      </c>
      <c r="D333" s="26"/>
      <c r="F333" s="26">
        <v>33158.839999999997</v>
      </c>
      <c r="G333" s="29">
        <f t="shared" si="11"/>
        <v>1.859867743420876E-2</v>
      </c>
      <c r="H333" s="26"/>
    </row>
    <row r="334" spans="1:8" x14ac:dyDescent="0.3">
      <c r="A334" s="26" t="s">
        <v>852</v>
      </c>
      <c r="B334" s="26">
        <v>57.53</v>
      </c>
      <c r="C334" s="29">
        <f t="shared" si="10"/>
        <v>8.2369435681738327E-3</v>
      </c>
      <c r="D334" s="26"/>
      <c r="F334" s="26">
        <v>34111.64</v>
      </c>
      <c r="G334" s="29">
        <f t="shared" si="11"/>
        <v>2.873441893624756E-2</v>
      </c>
      <c r="H334" s="26"/>
    </row>
    <row r="335" spans="1:8" x14ac:dyDescent="0.3">
      <c r="A335" s="27">
        <v>43926</v>
      </c>
      <c r="B335" s="26">
        <v>57.06</v>
      </c>
      <c r="C335" s="29">
        <f t="shared" si="10"/>
        <v>-8.1696506170693354E-3</v>
      </c>
      <c r="D335" s="26"/>
      <c r="F335" s="26">
        <v>33916.639999999999</v>
      </c>
      <c r="G335" s="29">
        <f t="shared" si="11"/>
        <v>-5.7165237438012361E-3</v>
      </c>
      <c r="H335" s="26"/>
    </row>
    <row r="336" spans="1:8" x14ac:dyDescent="0.3">
      <c r="A336" s="27">
        <v>43956</v>
      </c>
      <c r="B336" s="26">
        <v>57</v>
      </c>
      <c r="C336" s="29">
        <f t="shared" si="10"/>
        <v>-1.0515247108307444E-3</v>
      </c>
      <c r="D336" s="26"/>
      <c r="F336" s="26">
        <v>33992.75</v>
      </c>
      <c r="G336" s="29">
        <f t="shared" si="11"/>
        <v>2.2440312483783943E-3</v>
      </c>
      <c r="H336" s="26"/>
    </row>
    <row r="337" spans="1:8" x14ac:dyDescent="0.3">
      <c r="A337" s="27">
        <v>43987</v>
      </c>
      <c r="B337" s="26">
        <v>57</v>
      </c>
      <c r="C337" s="29">
        <f t="shared" si="10"/>
        <v>0</v>
      </c>
      <c r="D337" s="26"/>
      <c r="F337" s="26">
        <v>33728.18</v>
      </c>
      <c r="G337" s="29">
        <f t="shared" si="11"/>
        <v>-7.7831302262982459E-3</v>
      </c>
      <c r="H337" s="26"/>
    </row>
    <row r="338" spans="1:8" x14ac:dyDescent="0.3">
      <c r="A338" s="27">
        <v>44017</v>
      </c>
      <c r="B338" s="26">
        <v>55.31</v>
      </c>
      <c r="C338" s="29">
        <f t="shared" si="10"/>
        <v>-2.9649122807017505E-2</v>
      </c>
      <c r="D338" s="26"/>
      <c r="F338" s="26">
        <v>33304.160000000003</v>
      </c>
      <c r="G338" s="29">
        <f t="shared" si="11"/>
        <v>-1.2571683381670662E-2</v>
      </c>
      <c r="H338" s="26"/>
    </row>
    <row r="339" spans="1:8" x14ac:dyDescent="0.3">
      <c r="A339" s="27">
        <v>44048</v>
      </c>
      <c r="B339" s="26">
        <v>55.08</v>
      </c>
      <c r="C339" s="29">
        <f t="shared" si="10"/>
        <v>-4.1583800397758811E-3</v>
      </c>
      <c r="D339" s="26"/>
      <c r="F339" s="26">
        <v>33267.69</v>
      </c>
      <c r="G339" s="29">
        <f t="shared" si="11"/>
        <v>-1.0950583951074328E-3</v>
      </c>
      <c r="H339" s="26"/>
    </row>
    <row r="340" spans="1:8" x14ac:dyDescent="0.3">
      <c r="A340" s="27">
        <v>44140</v>
      </c>
      <c r="B340" s="26">
        <v>55.07</v>
      </c>
      <c r="C340" s="29">
        <f t="shared" si="10"/>
        <v>-1.8155410312269447E-4</v>
      </c>
      <c r="D340" s="26"/>
      <c r="F340" s="26">
        <v>33283.79</v>
      </c>
      <c r="G340" s="29">
        <f t="shared" si="11"/>
        <v>4.8395304873883769E-4</v>
      </c>
      <c r="H340" s="26"/>
    </row>
    <row r="341" spans="1:8" x14ac:dyDescent="0.3">
      <c r="A341" s="27">
        <v>44170</v>
      </c>
      <c r="B341" s="26">
        <v>54.52</v>
      </c>
      <c r="C341" s="29">
        <f t="shared" si="10"/>
        <v>-9.9872889050299108E-3</v>
      </c>
      <c r="D341" s="26"/>
      <c r="F341" s="26">
        <v>33603.019999999997</v>
      </c>
      <c r="G341" s="29">
        <f t="shared" si="11"/>
        <v>9.5911553341730595E-3</v>
      </c>
      <c r="H341" s="26"/>
    </row>
    <row r="342" spans="1:8" x14ac:dyDescent="0.3">
      <c r="A342" s="26" t="s">
        <v>851</v>
      </c>
      <c r="B342" s="26">
        <v>54.58</v>
      </c>
      <c r="C342" s="29">
        <f t="shared" si="10"/>
        <v>1.100513573000645E-3</v>
      </c>
      <c r="D342" s="26"/>
      <c r="F342" s="26">
        <v>33693.040000000001</v>
      </c>
      <c r="G342" s="29">
        <f t="shared" si="11"/>
        <v>2.6789258822571328E-3</v>
      </c>
      <c r="H342" s="26"/>
    </row>
    <row r="343" spans="1:8" x14ac:dyDescent="0.3">
      <c r="A343" s="26" t="s">
        <v>850</v>
      </c>
      <c r="B343" s="26">
        <v>53.97</v>
      </c>
      <c r="C343" s="29">
        <f t="shared" si="10"/>
        <v>-1.1176255038475622E-2</v>
      </c>
      <c r="D343" s="26"/>
      <c r="F343" s="26">
        <v>33804.9</v>
      </c>
      <c r="G343" s="29">
        <f t="shared" si="11"/>
        <v>3.3199735019458195E-3</v>
      </c>
      <c r="H343" s="26"/>
    </row>
    <row r="344" spans="1:8" x14ac:dyDescent="0.3">
      <c r="A344" s="26" t="s">
        <v>849</v>
      </c>
      <c r="B344" s="26">
        <v>52.57</v>
      </c>
      <c r="C344" s="29">
        <f t="shared" si="10"/>
        <v>-2.5940337224383891E-2</v>
      </c>
      <c r="D344" s="26"/>
      <c r="F344" s="26">
        <v>34008.33</v>
      </c>
      <c r="G344" s="29">
        <f t="shared" si="11"/>
        <v>6.017766655129886E-3</v>
      </c>
      <c r="H344" s="26"/>
    </row>
    <row r="345" spans="1:8" x14ac:dyDescent="0.3">
      <c r="A345" s="26" t="s">
        <v>848</v>
      </c>
      <c r="B345" s="26">
        <v>50.98</v>
      </c>
      <c r="C345" s="29">
        <f t="shared" si="10"/>
        <v>-3.024538710291047E-2</v>
      </c>
      <c r="D345" s="26"/>
      <c r="F345" s="26">
        <v>33804.97</v>
      </c>
      <c r="G345" s="29">
        <f t="shared" si="11"/>
        <v>-5.9797114412851373E-3</v>
      </c>
      <c r="H345" s="26"/>
    </row>
    <row r="346" spans="1:8" x14ac:dyDescent="0.3">
      <c r="A346" s="26" t="s">
        <v>847</v>
      </c>
      <c r="B346" s="26">
        <v>51.22</v>
      </c>
      <c r="C346" s="29">
        <f t="shared" si="10"/>
        <v>4.7077285209886624E-3</v>
      </c>
      <c r="D346" s="26"/>
      <c r="F346" s="26">
        <v>34158.550000000003</v>
      </c>
      <c r="G346" s="29">
        <f t="shared" si="11"/>
        <v>1.0459408779241683E-2</v>
      </c>
      <c r="H346" s="26"/>
    </row>
    <row r="347" spans="1:8" x14ac:dyDescent="0.3">
      <c r="A347" s="26" t="s">
        <v>846</v>
      </c>
      <c r="B347" s="26">
        <v>51.15</v>
      </c>
      <c r="C347" s="29">
        <f t="shared" si="10"/>
        <v>-1.3666536509176158E-3</v>
      </c>
      <c r="D347" s="26"/>
      <c r="F347" s="26">
        <v>33932.81</v>
      </c>
      <c r="G347" s="29">
        <f t="shared" si="11"/>
        <v>-6.6085943343615356E-3</v>
      </c>
      <c r="H347" s="26"/>
    </row>
    <row r="348" spans="1:8" x14ac:dyDescent="0.3">
      <c r="A348" s="26" t="s">
        <v>845</v>
      </c>
      <c r="B348" s="26">
        <v>51.02</v>
      </c>
      <c r="C348" s="29">
        <f t="shared" si="10"/>
        <v>-2.5415444770282591E-3</v>
      </c>
      <c r="D348" s="26"/>
      <c r="F348" s="26">
        <v>33836.61</v>
      </c>
      <c r="G348" s="29">
        <f t="shared" si="11"/>
        <v>-2.8350142531666871E-3</v>
      </c>
      <c r="H348" s="26"/>
    </row>
    <row r="349" spans="1:8" x14ac:dyDescent="0.3">
      <c r="A349" s="26" t="s">
        <v>844</v>
      </c>
      <c r="B349" s="26">
        <v>50.55</v>
      </c>
      <c r="C349" s="29">
        <f t="shared" si="10"/>
        <v>-9.2120736965896899E-3</v>
      </c>
      <c r="D349" s="26"/>
      <c r="F349" s="26">
        <v>33695.42</v>
      </c>
      <c r="G349" s="29">
        <f t="shared" si="11"/>
        <v>-4.1726993336508094E-3</v>
      </c>
      <c r="H349" s="26"/>
    </row>
    <row r="350" spans="1:8" x14ac:dyDescent="0.3">
      <c r="A350" s="26" t="s">
        <v>843</v>
      </c>
      <c r="B350" s="26">
        <v>51.51</v>
      </c>
      <c r="C350" s="29">
        <f t="shared" si="10"/>
        <v>1.8991097922848681E-2</v>
      </c>
      <c r="D350" s="26"/>
      <c r="F350" s="26">
        <v>33931.230000000003</v>
      </c>
      <c r="G350" s="29">
        <f t="shared" si="11"/>
        <v>6.9982804784746696E-3</v>
      </c>
      <c r="H350" s="26"/>
    </row>
    <row r="351" spans="1:8" x14ac:dyDescent="0.3">
      <c r="A351" s="27">
        <v>43836</v>
      </c>
      <c r="B351" s="26">
        <v>53.07</v>
      </c>
      <c r="C351" s="29">
        <f t="shared" si="10"/>
        <v>3.0285381479324448E-2</v>
      </c>
      <c r="D351" s="26"/>
      <c r="F351" s="26">
        <v>34021.97</v>
      </c>
      <c r="G351" s="29">
        <f t="shared" si="11"/>
        <v>2.6742325580298137E-3</v>
      </c>
      <c r="H351" s="26"/>
    </row>
    <row r="352" spans="1:8" x14ac:dyDescent="0.3">
      <c r="A352" s="27">
        <v>43867</v>
      </c>
      <c r="B352" s="26">
        <v>54.61</v>
      </c>
      <c r="C352" s="29">
        <f t="shared" si="10"/>
        <v>2.9018277746372698E-2</v>
      </c>
      <c r="D352" s="26"/>
      <c r="F352" s="26">
        <v>34408.050000000003</v>
      </c>
      <c r="G352" s="29">
        <f t="shared" si="11"/>
        <v>1.1347961332045197E-2</v>
      </c>
      <c r="H352" s="26"/>
    </row>
    <row r="353" spans="1:8" x14ac:dyDescent="0.3">
      <c r="A353" s="27">
        <v>43896</v>
      </c>
      <c r="B353" s="26">
        <v>55.04</v>
      </c>
      <c r="C353" s="29">
        <f t="shared" si="10"/>
        <v>7.8740157480314907E-3</v>
      </c>
      <c r="D353" s="26"/>
      <c r="F353" s="26">
        <v>34401.42</v>
      </c>
      <c r="G353" s="29">
        <f t="shared" si="11"/>
        <v>-1.9268746703183284E-4</v>
      </c>
      <c r="H353" s="26"/>
    </row>
    <row r="354" spans="1:8" x14ac:dyDescent="0.3">
      <c r="A354" s="27">
        <v>43927</v>
      </c>
      <c r="B354" s="26">
        <v>55.02</v>
      </c>
      <c r="C354" s="29">
        <f t="shared" si="10"/>
        <v>-3.6337209302318355E-4</v>
      </c>
      <c r="D354" s="26"/>
      <c r="F354" s="26">
        <v>34119.39</v>
      </c>
      <c r="G354" s="29">
        <f t="shared" si="11"/>
        <v>-8.1982080972238594E-3</v>
      </c>
      <c r="H354" s="26"/>
    </row>
    <row r="355" spans="1:8" x14ac:dyDescent="0.3">
      <c r="A355" s="27">
        <v>43957</v>
      </c>
      <c r="B355" s="26">
        <v>54.88</v>
      </c>
      <c r="C355" s="29">
        <f t="shared" si="10"/>
        <v>-2.5445292620865242E-3</v>
      </c>
      <c r="D355" s="26"/>
      <c r="F355" s="26">
        <v>34350.42</v>
      </c>
      <c r="G355" s="29">
        <f t="shared" si="11"/>
        <v>6.7712230494155626E-3</v>
      </c>
      <c r="H355" s="26"/>
    </row>
    <row r="356" spans="1:8" x14ac:dyDescent="0.3">
      <c r="A356" s="27">
        <v>44049</v>
      </c>
      <c r="B356" s="26">
        <v>54</v>
      </c>
      <c r="C356" s="29">
        <f t="shared" si="10"/>
        <v>-1.603498542274057E-2</v>
      </c>
      <c r="D356" s="26"/>
      <c r="F356" s="26">
        <v>34749.57</v>
      </c>
      <c r="G356" s="29">
        <f t="shared" si="11"/>
        <v>1.1619945258311296E-2</v>
      </c>
      <c r="H356" s="26"/>
    </row>
    <row r="357" spans="1:8" x14ac:dyDescent="0.3">
      <c r="A357" s="27">
        <v>44080</v>
      </c>
      <c r="B357" s="26">
        <v>54.5</v>
      </c>
      <c r="C357" s="29">
        <f t="shared" si="10"/>
        <v>9.2592592592592587E-3</v>
      </c>
      <c r="D357" s="26"/>
      <c r="F357" s="26">
        <v>34803.599999999999</v>
      </c>
      <c r="G357" s="29">
        <f t="shared" si="11"/>
        <v>1.554839383623994E-3</v>
      </c>
      <c r="H357" s="26"/>
    </row>
    <row r="358" spans="1:8" x14ac:dyDescent="0.3">
      <c r="A358" s="27">
        <v>44110</v>
      </c>
      <c r="B358" s="26">
        <v>55.68</v>
      </c>
      <c r="C358" s="29">
        <f t="shared" si="10"/>
        <v>2.1651376146788987E-2</v>
      </c>
      <c r="D358" s="26"/>
      <c r="F358" s="26">
        <v>35065.08</v>
      </c>
      <c r="G358" s="29">
        <f t="shared" si="11"/>
        <v>7.5130158949075158E-3</v>
      </c>
      <c r="H358" s="26"/>
    </row>
    <row r="359" spans="1:8" x14ac:dyDescent="0.3">
      <c r="A359" s="27">
        <v>44141</v>
      </c>
      <c r="B359" s="26">
        <v>56.5</v>
      </c>
      <c r="C359" s="29">
        <f t="shared" si="10"/>
        <v>1.4727011494252878E-2</v>
      </c>
      <c r="D359" s="26"/>
      <c r="F359" s="26">
        <v>35128.58</v>
      </c>
      <c r="G359" s="29">
        <f t="shared" si="11"/>
        <v>1.8109184407963704E-3</v>
      </c>
      <c r="H359" s="26"/>
    </row>
    <row r="360" spans="1:8" x14ac:dyDescent="0.3">
      <c r="A360" s="27">
        <v>44171</v>
      </c>
      <c r="B360" s="26">
        <v>55.57</v>
      </c>
      <c r="C360" s="29">
        <f t="shared" si="10"/>
        <v>-1.6460176991150436E-2</v>
      </c>
      <c r="D360" s="26"/>
      <c r="F360" s="26">
        <v>34609.089999999997</v>
      </c>
      <c r="G360" s="29">
        <f t="shared" si="11"/>
        <v>-1.4788243646626342E-2</v>
      </c>
      <c r="H360" s="26"/>
    </row>
    <row r="361" spans="1:8" x14ac:dyDescent="0.3">
      <c r="A361" s="26" t="s">
        <v>842</v>
      </c>
      <c r="B361" s="26">
        <v>55.06</v>
      </c>
      <c r="C361" s="29">
        <f t="shared" si="10"/>
        <v>-9.1776138204066587E-3</v>
      </c>
      <c r="D361" s="26"/>
      <c r="F361" s="26">
        <v>33824.51</v>
      </c>
      <c r="G361" s="29">
        <f t="shared" si="11"/>
        <v>-2.2669766815596553E-2</v>
      </c>
      <c r="H361" s="26"/>
    </row>
    <row r="362" spans="1:8" x14ac:dyDescent="0.3">
      <c r="A362" s="26" t="s">
        <v>841</v>
      </c>
      <c r="B362" s="26">
        <v>55.15</v>
      </c>
      <c r="C362" s="29">
        <f t="shared" si="10"/>
        <v>1.634580457682461E-3</v>
      </c>
      <c r="D362" s="26"/>
      <c r="F362" s="26">
        <v>34019.120000000003</v>
      </c>
      <c r="G362" s="29">
        <f t="shared" si="11"/>
        <v>5.7535201544678862E-3</v>
      </c>
      <c r="H362" s="26"/>
    </row>
    <row r="363" spans="1:8" x14ac:dyDescent="0.3">
      <c r="A363" s="26" t="s">
        <v>840</v>
      </c>
      <c r="B363" s="26">
        <v>54.94</v>
      </c>
      <c r="C363" s="29">
        <f t="shared" si="10"/>
        <v>-3.8077969174977492E-3</v>
      </c>
      <c r="D363" s="26"/>
      <c r="F363" s="26">
        <v>33848.68</v>
      </c>
      <c r="G363" s="29">
        <f t="shared" si="11"/>
        <v>-5.0101237186618089E-3</v>
      </c>
      <c r="H363" s="26"/>
    </row>
    <row r="364" spans="1:8" x14ac:dyDescent="0.3">
      <c r="A364" s="26" t="s">
        <v>839</v>
      </c>
      <c r="B364" s="26">
        <v>52.13</v>
      </c>
      <c r="C364" s="29">
        <f t="shared" si="10"/>
        <v>-5.1146705496905628E-2</v>
      </c>
      <c r="D364" s="26"/>
      <c r="F364" s="26">
        <v>33539.85</v>
      </c>
      <c r="G364" s="29">
        <f t="shared" si="11"/>
        <v>-9.1238417569016496E-3</v>
      </c>
      <c r="H364" s="26"/>
    </row>
    <row r="365" spans="1:8" x14ac:dyDescent="0.3">
      <c r="A365" s="26" t="s">
        <v>838</v>
      </c>
      <c r="B365" s="26">
        <v>52.68</v>
      </c>
      <c r="C365" s="29">
        <f t="shared" si="10"/>
        <v>1.0550546710147653E-2</v>
      </c>
      <c r="D365" s="26"/>
      <c r="F365" s="26">
        <v>33438.94</v>
      </c>
      <c r="G365" s="29">
        <f t="shared" si="11"/>
        <v>-3.0086598479121471E-3</v>
      </c>
      <c r="H365" s="26"/>
    </row>
    <row r="366" spans="1:8" x14ac:dyDescent="0.3">
      <c r="A366" s="26" t="s">
        <v>837</v>
      </c>
      <c r="B366" s="26">
        <v>53.02</v>
      </c>
      <c r="C366" s="29">
        <f t="shared" si="10"/>
        <v>6.4540622627183636E-3</v>
      </c>
      <c r="D366" s="26"/>
      <c r="F366" s="26">
        <v>33737.919999999998</v>
      </c>
      <c r="G366" s="29">
        <f t="shared" si="11"/>
        <v>8.9410728928607155E-3</v>
      </c>
      <c r="H366" s="26"/>
    </row>
    <row r="367" spans="1:8" x14ac:dyDescent="0.3">
      <c r="A367" s="26" t="s">
        <v>836</v>
      </c>
      <c r="B367" s="26">
        <v>52.7</v>
      </c>
      <c r="C367" s="29">
        <f t="shared" si="10"/>
        <v>-6.0354583176159991E-3</v>
      </c>
      <c r="D367" s="26"/>
      <c r="F367" s="26">
        <v>34052.61</v>
      </c>
      <c r="G367" s="29">
        <f t="shared" si="11"/>
        <v>9.3274866974609686E-3</v>
      </c>
      <c r="H367" s="26"/>
    </row>
    <row r="368" spans="1:8" x14ac:dyDescent="0.3">
      <c r="A368" s="26" t="s">
        <v>835</v>
      </c>
      <c r="B368" s="26">
        <v>52.52</v>
      </c>
      <c r="C368" s="29">
        <f t="shared" si="10"/>
        <v>-3.4155597722960096E-3</v>
      </c>
      <c r="D368" s="26"/>
      <c r="F368" s="26">
        <v>34034.65</v>
      </c>
      <c r="G368" s="29">
        <f t="shared" si="11"/>
        <v>-5.2741919048199617E-4</v>
      </c>
      <c r="H368" s="26"/>
    </row>
    <row r="369" spans="1:8" x14ac:dyDescent="0.3">
      <c r="A369" s="26" t="s">
        <v>834</v>
      </c>
      <c r="B369" s="26">
        <v>52.63</v>
      </c>
      <c r="C369" s="29">
        <f t="shared" si="10"/>
        <v>2.0944402132520835E-3</v>
      </c>
      <c r="D369" s="26"/>
      <c r="F369" s="26">
        <v>33709.629999999997</v>
      </c>
      <c r="G369" s="29">
        <f t="shared" si="11"/>
        <v>-9.5496795177856704E-3</v>
      </c>
      <c r="H369" s="26"/>
    </row>
    <row r="370" spans="1:8" x14ac:dyDescent="0.3">
      <c r="A370" s="26" t="s">
        <v>833</v>
      </c>
      <c r="B370" s="26">
        <v>53</v>
      </c>
      <c r="C370" s="29">
        <f t="shared" si="10"/>
        <v>7.0302109063271412E-3</v>
      </c>
      <c r="D370" s="26"/>
      <c r="F370" s="26">
        <v>33939.49</v>
      </c>
      <c r="G370" s="29">
        <f t="shared" si="11"/>
        <v>6.8188229891577154E-3</v>
      </c>
      <c r="H370" s="26"/>
    </row>
    <row r="371" spans="1:8" x14ac:dyDescent="0.3">
      <c r="A371" s="26" t="s">
        <v>832</v>
      </c>
      <c r="B371" s="26">
        <v>51.8</v>
      </c>
      <c r="C371" s="29">
        <f t="shared" si="10"/>
        <v>-2.2641509433962318E-2</v>
      </c>
      <c r="D371" s="26"/>
      <c r="F371" s="26">
        <v>34181.800000000003</v>
      </c>
      <c r="G371" s="29">
        <f t="shared" si="11"/>
        <v>7.1394708641763609E-3</v>
      </c>
      <c r="H371" s="26"/>
    </row>
    <row r="372" spans="1:8" x14ac:dyDescent="0.3">
      <c r="A372" s="26" t="s">
        <v>831</v>
      </c>
      <c r="B372" s="26">
        <v>51.81</v>
      </c>
      <c r="C372" s="29">
        <f t="shared" si="10"/>
        <v>1.9305019305029182E-4</v>
      </c>
      <c r="D372" s="26"/>
      <c r="F372" s="26">
        <v>34421.919999999998</v>
      </c>
      <c r="G372" s="29">
        <f t="shared" si="11"/>
        <v>7.0247909706333579E-3</v>
      </c>
      <c r="H372" s="26"/>
    </row>
    <row r="373" spans="1:8" x14ac:dyDescent="0.3">
      <c r="A373" s="27">
        <v>43837</v>
      </c>
      <c r="B373" s="26">
        <v>51.11</v>
      </c>
      <c r="C373" s="29">
        <f t="shared" si="10"/>
        <v>-1.3510905230650508E-2</v>
      </c>
      <c r="D373" s="26"/>
      <c r="F373" s="26">
        <v>34889.410000000003</v>
      </c>
      <c r="G373" s="29">
        <f t="shared" si="11"/>
        <v>1.3581171532558476E-2</v>
      </c>
      <c r="H373" s="26"/>
    </row>
    <row r="374" spans="1:8" x14ac:dyDescent="0.3">
      <c r="A374" s="27">
        <v>43868</v>
      </c>
      <c r="B374" s="26">
        <v>52.45</v>
      </c>
      <c r="C374" s="29">
        <f t="shared" si="10"/>
        <v>2.6217961260027459E-2</v>
      </c>
      <c r="D374" s="26"/>
      <c r="F374" s="26">
        <v>34978.18</v>
      </c>
      <c r="G374" s="29">
        <f t="shared" si="11"/>
        <v>2.5443250545078518E-3</v>
      </c>
      <c r="H374" s="26"/>
    </row>
    <row r="375" spans="1:8" x14ac:dyDescent="0.3">
      <c r="A375" s="27">
        <v>43897</v>
      </c>
      <c r="B375" s="26">
        <v>52.49</v>
      </c>
      <c r="C375" s="29">
        <f t="shared" si="10"/>
        <v>7.6263107721638026E-4</v>
      </c>
      <c r="D375" s="26"/>
      <c r="F375" s="26">
        <v>35051.379999999997</v>
      </c>
      <c r="G375" s="29">
        <f t="shared" si="11"/>
        <v>2.0927332411233828E-3</v>
      </c>
      <c r="H375" s="26"/>
    </row>
    <row r="376" spans="1:8" x14ac:dyDescent="0.3">
      <c r="A376" s="27">
        <v>43989</v>
      </c>
      <c r="B376" s="26">
        <v>51.97</v>
      </c>
      <c r="C376" s="29">
        <f t="shared" si="10"/>
        <v>-9.9066488855020594E-3</v>
      </c>
      <c r="D376" s="26"/>
      <c r="F376" s="26">
        <v>35202.769999999997</v>
      </c>
      <c r="G376" s="29">
        <f t="shared" si="11"/>
        <v>4.3190881500243198E-3</v>
      </c>
      <c r="H376" s="26"/>
    </row>
    <row r="377" spans="1:8" x14ac:dyDescent="0.3">
      <c r="A377" s="27">
        <v>44019</v>
      </c>
      <c r="B377" s="26">
        <v>52.25</v>
      </c>
      <c r="C377" s="29">
        <f t="shared" si="10"/>
        <v>5.3877236867423735E-3</v>
      </c>
      <c r="D377" s="26"/>
      <c r="F377" s="26">
        <v>35373.35</v>
      </c>
      <c r="G377" s="29">
        <f t="shared" si="11"/>
        <v>4.8456414083324056E-3</v>
      </c>
      <c r="H377" s="26"/>
    </row>
    <row r="378" spans="1:8" x14ac:dyDescent="0.3">
      <c r="A378" s="27">
        <v>44050</v>
      </c>
      <c r="B378" s="26">
        <v>52.75</v>
      </c>
      <c r="C378" s="29">
        <f t="shared" si="10"/>
        <v>9.5693779904306216E-3</v>
      </c>
      <c r="D378" s="26"/>
      <c r="F378" s="26">
        <v>35694.89</v>
      </c>
      <c r="G378" s="29">
        <f t="shared" si="11"/>
        <v>9.0898939455833529E-3</v>
      </c>
      <c r="H378" s="26"/>
    </row>
    <row r="379" spans="1:8" x14ac:dyDescent="0.3">
      <c r="A379" s="27">
        <v>44081</v>
      </c>
      <c r="B379" s="26">
        <v>54.6</v>
      </c>
      <c r="C379" s="29">
        <f t="shared" si="10"/>
        <v>3.5071090047393394E-2</v>
      </c>
      <c r="D379" s="26"/>
      <c r="F379" s="26">
        <v>36142.17</v>
      </c>
      <c r="G379" s="29">
        <f t="shared" si="11"/>
        <v>1.2530645142764099E-2</v>
      </c>
      <c r="H379" s="26"/>
    </row>
    <row r="380" spans="1:8" x14ac:dyDescent="0.3">
      <c r="A380" s="27">
        <v>44111</v>
      </c>
      <c r="B380" s="26">
        <v>54.8</v>
      </c>
      <c r="C380" s="29">
        <f t="shared" si="10"/>
        <v>3.6630036630035849E-3</v>
      </c>
      <c r="D380" s="26"/>
      <c r="F380" s="26">
        <v>36190.400000000001</v>
      </c>
      <c r="G380" s="29">
        <f t="shared" si="11"/>
        <v>1.3344522478866987E-3</v>
      </c>
      <c r="H380" s="26"/>
    </row>
    <row r="381" spans="1:8" x14ac:dyDescent="0.3">
      <c r="A381" s="26" t="s">
        <v>830</v>
      </c>
      <c r="B381" s="26">
        <v>55.5</v>
      </c>
      <c r="C381" s="29">
        <f t="shared" si="10"/>
        <v>1.2773722627737278E-2</v>
      </c>
      <c r="D381" s="26"/>
      <c r="F381" s="26">
        <v>36618.57</v>
      </c>
      <c r="G381" s="29">
        <f t="shared" si="11"/>
        <v>1.1831038065343247E-2</v>
      </c>
      <c r="H381" s="26"/>
    </row>
    <row r="382" spans="1:8" x14ac:dyDescent="0.3">
      <c r="A382" s="26" t="s">
        <v>829</v>
      </c>
      <c r="B382" s="26">
        <v>55.3</v>
      </c>
      <c r="C382" s="29">
        <f t="shared" si="10"/>
        <v>-3.6036036036036548E-3</v>
      </c>
      <c r="D382" s="26"/>
      <c r="F382" s="26">
        <v>36745.22</v>
      </c>
      <c r="G382" s="29">
        <f t="shared" si="11"/>
        <v>3.4586276853520348E-3</v>
      </c>
      <c r="H382" s="26"/>
    </row>
    <row r="383" spans="1:8" x14ac:dyDescent="0.3">
      <c r="A383" s="26" t="s">
        <v>828</v>
      </c>
      <c r="B383" s="26">
        <v>54.5</v>
      </c>
      <c r="C383" s="29">
        <f t="shared" si="10"/>
        <v>-1.4466546112115682E-2</v>
      </c>
      <c r="D383" s="26"/>
      <c r="F383" s="26">
        <v>36679.03</v>
      </c>
      <c r="G383" s="29">
        <f t="shared" si="11"/>
        <v>-1.801322729868057E-3</v>
      </c>
      <c r="H383" s="26"/>
    </row>
    <row r="384" spans="1:8" x14ac:dyDescent="0.3">
      <c r="A384" s="26" t="s">
        <v>827</v>
      </c>
      <c r="B384" s="26">
        <v>55.2</v>
      </c>
      <c r="C384" s="29">
        <f t="shared" si="10"/>
        <v>1.2844036697247759E-2</v>
      </c>
      <c r="D384" s="26"/>
      <c r="F384" s="26">
        <v>37001.440000000002</v>
      </c>
      <c r="G384" s="29">
        <f t="shared" si="11"/>
        <v>8.790036159625909E-3</v>
      </c>
      <c r="H384" s="26"/>
    </row>
    <row r="385" spans="1:8" x14ac:dyDescent="0.3">
      <c r="A385" s="26" t="s">
        <v>826</v>
      </c>
      <c r="B385" s="26">
        <v>55.25</v>
      </c>
      <c r="C385" s="29">
        <f t="shared" si="10"/>
        <v>9.0579710144922387E-4</v>
      </c>
      <c r="D385" s="26"/>
      <c r="F385" s="26">
        <v>37330.85</v>
      </c>
      <c r="G385" s="29">
        <f t="shared" si="11"/>
        <v>8.9026264923742476E-3</v>
      </c>
      <c r="H385" s="26"/>
    </row>
    <row r="386" spans="1:8" x14ac:dyDescent="0.3">
      <c r="A386" s="26" t="s">
        <v>825</v>
      </c>
      <c r="B386" s="26">
        <v>55.4</v>
      </c>
      <c r="C386" s="29">
        <f t="shared" si="10"/>
        <v>2.7149321266968069E-3</v>
      </c>
      <c r="D386" s="26"/>
      <c r="F386" s="26">
        <v>37650.57</v>
      </c>
      <c r="G386" s="29">
        <f t="shared" si="11"/>
        <v>8.5644982635005949E-3</v>
      </c>
      <c r="H386" s="26"/>
    </row>
    <row r="387" spans="1:8" x14ac:dyDescent="0.3">
      <c r="A387" s="26" t="s">
        <v>824</v>
      </c>
      <c r="B387" s="26">
        <v>55.25</v>
      </c>
      <c r="C387" s="29">
        <f t="shared" si="10"/>
        <v>-2.7075812274367974E-3</v>
      </c>
      <c r="D387" s="26"/>
      <c r="F387" s="26">
        <v>37700.31</v>
      </c>
      <c r="G387" s="29">
        <f t="shared" si="11"/>
        <v>1.3210955371989843E-3</v>
      </c>
      <c r="H387" s="26"/>
    </row>
    <row r="388" spans="1:8" x14ac:dyDescent="0.3">
      <c r="A388" s="26" t="s">
        <v>823</v>
      </c>
      <c r="B388" s="26">
        <v>55.5</v>
      </c>
      <c r="C388" s="29">
        <f t="shared" si="10"/>
        <v>4.5248868778280547E-3</v>
      </c>
      <c r="D388" s="26"/>
      <c r="F388" s="26">
        <v>37804.61</v>
      </c>
      <c r="G388" s="29">
        <f t="shared" si="11"/>
        <v>2.7665555004720895E-3</v>
      </c>
      <c r="H388" s="26"/>
    </row>
    <row r="389" spans="1:8" x14ac:dyDescent="0.3">
      <c r="A389" s="26" t="s">
        <v>822</v>
      </c>
      <c r="B389" s="26">
        <v>56.25</v>
      </c>
      <c r="C389" s="29">
        <f t="shared" ref="C389:C452" si="12">(B389-B388)/B388</f>
        <v>1.3513513513513514E-2</v>
      </c>
      <c r="D389" s="26"/>
      <c r="F389" s="26">
        <v>37578.21</v>
      </c>
      <c r="G389" s="29">
        <f t="shared" ref="G389:G452" si="13">(F389-F388)/F388</f>
        <v>-5.9886876230174427E-3</v>
      </c>
      <c r="H389" s="26"/>
    </row>
    <row r="390" spans="1:8" x14ac:dyDescent="0.3">
      <c r="A390" s="26" t="s">
        <v>821</v>
      </c>
      <c r="B390" s="26">
        <v>57</v>
      </c>
      <c r="C390" s="29">
        <f t="shared" si="12"/>
        <v>1.3333333333333334E-2</v>
      </c>
      <c r="D390" s="26"/>
      <c r="F390" s="26">
        <v>37607.620000000003</v>
      </c>
      <c r="G390" s="29">
        <f t="shared" si="13"/>
        <v>7.8263440435304111E-4</v>
      </c>
      <c r="H390" s="26"/>
    </row>
    <row r="391" spans="1:8" x14ac:dyDescent="0.3">
      <c r="A391" s="26" t="s">
        <v>820</v>
      </c>
      <c r="B391" s="26">
        <v>60.95</v>
      </c>
      <c r="C391" s="29">
        <f t="shared" si="12"/>
        <v>6.9298245614035137E-2</v>
      </c>
      <c r="D391" s="26"/>
      <c r="F391" s="26">
        <v>38221.160000000003</v>
      </c>
      <c r="G391" s="29">
        <f t="shared" si="13"/>
        <v>1.6314246953144092E-2</v>
      </c>
      <c r="H391" s="26"/>
    </row>
    <row r="392" spans="1:8" x14ac:dyDescent="0.3">
      <c r="A392" s="26" t="s">
        <v>819</v>
      </c>
      <c r="B392" s="26">
        <v>62.5</v>
      </c>
      <c r="C392" s="29">
        <f t="shared" si="12"/>
        <v>2.543068088597206E-2</v>
      </c>
      <c r="D392" s="26"/>
      <c r="F392" s="26">
        <v>38627.269999999997</v>
      </c>
      <c r="G392" s="29">
        <f t="shared" si="13"/>
        <v>1.0625266213793439E-2</v>
      </c>
      <c r="H392" s="26"/>
    </row>
    <row r="393" spans="1:8" x14ac:dyDescent="0.3">
      <c r="A393" s="26" t="s">
        <v>818</v>
      </c>
      <c r="B393" s="26">
        <v>63</v>
      </c>
      <c r="C393" s="29">
        <f t="shared" si="12"/>
        <v>8.0000000000000002E-3</v>
      </c>
      <c r="D393" s="26"/>
      <c r="F393" s="26">
        <v>38836.269999999997</v>
      </c>
      <c r="G393" s="29">
        <f t="shared" si="13"/>
        <v>5.4106852490481468E-3</v>
      </c>
      <c r="H393" s="26"/>
    </row>
    <row r="394" spans="1:8" x14ac:dyDescent="0.3">
      <c r="A394" s="26" t="s">
        <v>817</v>
      </c>
      <c r="B394" s="26">
        <v>63.7</v>
      </c>
      <c r="C394" s="29">
        <f t="shared" si="12"/>
        <v>1.1111111111111157E-2</v>
      </c>
      <c r="D394" s="26"/>
      <c r="F394" s="26">
        <v>39258.44</v>
      </c>
      <c r="G394" s="29">
        <f t="shared" si="13"/>
        <v>1.0870508419063046E-2</v>
      </c>
      <c r="H394" s="26"/>
    </row>
    <row r="395" spans="1:8" x14ac:dyDescent="0.3">
      <c r="A395" s="27">
        <v>43898</v>
      </c>
      <c r="B395" s="26">
        <v>64.290000000000006</v>
      </c>
      <c r="C395" s="29">
        <f t="shared" si="12"/>
        <v>9.2621664050236002E-3</v>
      </c>
      <c r="D395" s="26"/>
      <c r="F395" s="26">
        <v>39871.61</v>
      </c>
      <c r="G395" s="29">
        <f t="shared" si="13"/>
        <v>1.5618807064162464E-2</v>
      </c>
      <c r="H395" s="26"/>
    </row>
    <row r="396" spans="1:8" x14ac:dyDescent="0.3">
      <c r="A396" s="27">
        <v>43929</v>
      </c>
      <c r="B396" s="26">
        <v>64.5</v>
      </c>
      <c r="C396" s="29">
        <f t="shared" si="12"/>
        <v>3.2664489034063418E-3</v>
      </c>
      <c r="D396" s="26"/>
      <c r="F396" s="26">
        <v>39577.620000000003</v>
      </c>
      <c r="G396" s="29">
        <f t="shared" si="13"/>
        <v>-7.3734168246528788E-3</v>
      </c>
      <c r="H396" s="26"/>
    </row>
    <row r="397" spans="1:8" x14ac:dyDescent="0.3">
      <c r="A397" s="27">
        <v>43959</v>
      </c>
      <c r="B397" s="26">
        <v>63.5</v>
      </c>
      <c r="C397" s="29">
        <f t="shared" si="12"/>
        <v>-1.5503875968992248E-2</v>
      </c>
      <c r="D397" s="26"/>
      <c r="F397" s="26">
        <v>39882.78</v>
      </c>
      <c r="G397" s="29">
        <f t="shared" si="13"/>
        <v>7.7104181605664058E-3</v>
      </c>
      <c r="H397" s="26"/>
    </row>
    <row r="398" spans="1:8" x14ac:dyDescent="0.3">
      <c r="A398" s="27">
        <v>43990</v>
      </c>
      <c r="B398" s="26">
        <v>63.49</v>
      </c>
      <c r="C398" s="29">
        <f t="shared" si="12"/>
        <v>-1.5748031496059858E-4</v>
      </c>
      <c r="D398" s="26"/>
      <c r="F398" s="26">
        <v>40166.120000000003</v>
      </c>
      <c r="G398" s="29">
        <f t="shared" si="13"/>
        <v>7.1043192074374904E-3</v>
      </c>
      <c r="H398" s="26"/>
    </row>
    <row r="399" spans="1:8" x14ac:dyDescent="0.3">
      <c r="A399" s="27">
        <v>44020</v>
      </c>
      <c r="B399" s="26">
        <v>63.49</v>
      </c>
      <c r="C399" s="29">
        <f t="shared" si="12"/>
        <v>0</v>
      </c>
      <c r="D399" s="26"/>
      <c r="F399" s="26">
        <v>40029.69</v>
      </c>
      <c r="G399" s="29">
        <f t="shared" si="13"/>
        <v>-3.3966437385537932E-3</v>
      </c>
      <c r="H399" s="26"/>
    </row>
    <row r="400" spans="1:8" x14ac:dyDescent="0.3">
      <c r="A400" s="27">
        <v>44112</v>
      </c>
      <c r="B400" s="26">
        <v>64.010000000000005</v>
      </c>
      <c r="C400" s="29">
        <f t="shared" si="12"/>
        <v>8.1902661836510179E-3</v>
      </c>
      <c r="D400" s="26"/>
      <c r="F400" s="26">
        <v>39914.76</v>
      </c>
      <c r="G400" s="29">
        <f t="shared" si="13"/>
        <v>-2.8711189119875842E-3</v>
      </c>
      <c r="H400" s="26"/>
    </row>
    <row r="401" spans="1:8" x14ac:dyDescent="0.3">
      <c r="A401" s="27">
        <v>44143</v>
      </c>
      <c r="B401" s="26">
        <v>63.49</v>
      </c>
      <c r="C401" s="29">
        <f t="shared" si="12"/>
        <v>-8.1237306670833166E-3</v>
      </c>
      <c r="D401" s="26"/>
      <c r="F401" s="26">
        <v>40559.15</v>
      </c>
      <c r="G401" s="29">
        <f t="shared" si="13"/>
        <v>1.6144153190448832E-2</v>
      </c>
      <c r="H401" s="26"/>
    </row>
    <row r="402" spans="1:8" x14ac:dyDescent="0.3">
      <c r="A402" s="27">
        <v>44173</v>
      </c>
      <c r="B402" s="26">
        <v>63.13</v>
      </c>
      <c r="C402" s="29">
        <f t="shared" si="12"/>
        <v>-5.6701842809891226E-3</v>
      </c>
      <c r="D402" s="26"/>
      <c r="F402" s="26">
        <v>40473.18</v>
      </c>
      <c r="G402" s="29">
        <f t="shared" si="13"/>
        <v>-2.1196203569355167E-3</v>
      </c>
      <c r="H402" s="26"/>
    </row>
    <row r="403" spans="1:8" x14ac:dyDescent="0.3">
      <c r="A403" s="26" t="s">
        <v>816</v>
      </c>
      <c r="B403" s="26">
        <v>64.739999999999995</v>
      </c>
      <c r="C403" s="29">
        <f t="shared" si="12"/>
        <v>2.5502930460953466E-2</v>
      </c>
      <c r="D403" s="26"/>
      <c r="F403" s="26">
        <v>40290.74</v>
      </c>
      <c r="G403" s="29">
        <f t="shared" si="13"/>
        <v>-4.507676441534921E-3</v>
      </c>
      <c r="H403" s="26"/>
    </row>
    <row r="404" spans="1:8" x14ac:dyDescent="0.3">
      <c r="A404" s="26" t="s">
        <v>815</v>
      </c>
      <c r="B404" s="26">
        <v>64.510000000000005</v>
      </c>
      <c r="C404" s="29">
        <f t="shared" si="12"/>
        <v>-3.552672227370865E-3</v>
      </c>
      <c r="D404" s="26"/>
      <c r="F404" s="26">
        <v>40122.5</v>
      </c>
      <c r="G404" s="29">
        <f t="shared" si="13"/>
        <v>-4.1756492931129575E-3</v>
      </c>
      <c r="H404" s="26"/>
    </row>
    <row r="405" spans="1:8" x14ac:dyDescent="0.3">
      <c r="A405" s="26" t="s">
        <v>814</v>
      </c>
      <c r="B405" s="26">
        <v>65.25</v>
      </c>
      <c r="C405" s="29">
        <f t="shared" si="12"/>
        <v>1.1471089753526505E-2</v>
      </c>
      <c r="D405" s="26"/>
      <c r="F405" s="26">
        <v>40184.01</v>
      </c>
      <c r="G405" s="29">
        <f t="shared" si="13"/>
        <v>1.5330550190043501E-3</v>
      </c>
      <c r="H405" s="26"/>
    </row>
    <row r="406" spans="1:8" x14ac:dyDescent="0.3">
      <c r="A406" s="26" t="s">
        <v>813</v>
      </c>
      <c r="B406" s="26">
        <v>65.48</v>
      </c>
      <c r="C406" s="29">
        <f t="shared" si="12"/>
        <v>3.524904214559448E-3</v>
      </c>
      <c r="D406" s="26"/>
      <c r="F406" s="26">
        <v>40154.11</v>
      </c>
      <c r="G406" s="29">
        <f t="shared" si="13"/>
        <v>-7.4407705950703905E-4</v>
      </c>
      <c r="H406" s="26"/>
    </row>
    <row r="407" spans="1:8" x14ac:dyDescent="0.3">
      <c r="A407" s="26" t="s">
        <v>812</v>
      </c>
      <c r="B407" s="26">
        <v>65.900000000000006</v>
      </c>
      <c r="C407" s="29">
        <f t="shared" si="12"/>
        <v>6.414172266340893E-3</v>
      </c>
      <c r="D407" s="26"/>
      <c r="F407" s="26">
        <v>39868.550000000003</v>
      </c>
      <c r="G407" s="29">
        <f t="shared" si="13"/>
        <v>-7.1116007800944327E-3</v>
      </c>
      <c r="H407" s="26"/>
    </row>
    <row r="408" spans="1:8" x14ac:dyDescent="0.3">
      <c r="A408" s="26" t="s">
        <v>811</v>
      </c>
      <c r="B408" s="26">
        <v>65.5</v>
      </c>
      <c r="C408" s="29">
        <f t="shared" si="12"/>
        <v>-6.0698027314113152E-3</v>
      </c>
      <c r="D408" s="26"/>
      <c r="F408" s="26">
        <v>39621.589999999997</v>
      </c>
      <c r="G408" s="29">
        <f t="shared" si="13"/>
        <v>-6.1943562030725065E-3</v>
      </c>
      <c r="H408" s="26"/>
    </row>
    <row r="409" spans="1:8" x14ac:dyDescent="0.3">
      <c r="A409" s="26" t="s">
        <v>810</v>
      </c>
      <c r="B409" s="26">
        <v>65.28</v>
      </c>
      <c r="C409" s="29">
        <f t="shared" si="12"/>
        <v>-3.358778625954181E-3</v>
      </c>
      <c r="D409" s="26"/>
      <c r="F409" s="26">
        <v>39802.6</v>
      </c>
      <c r="G409" s="29">
        <f t="shared" si="13"/>
        <v>4.568468857509304E-3</v>
      </c>
      <c r="H409" s="26"/>
    </row>
    <row r="410" spans="1:8" x14ac:dyDescent="0.3">
      <c r="A410" s="26" t="s">
        <v>809</v>
      </c>
      <c r="B410" s="26">
        <v>65.599999999999994</v>
      </c>
      <c r="C410" s="29">
        <f t="shared" si="12"/>
        <v>4.9019607843136213E-3</v>
      </c>
      <c r="D410" s="26"/>
      <c r="F410" s="26">
        <v>40292.82</v>
      </c>
      <c r="G410" s="29">
        <f t="shared" si="13"/>
        <v>1.2316280845974916E-2</v>
      </c>
      <c r="H410" s="26"/>
    </row>
    <row r="411" spans="1:8" x14ac:dyDescent="0.3">
      <c r="A411" s="26" t="s">
        <v>808</v>
      </c>
      <c r="B411" s="26">
        <v>65.540000000000006</v>
      </c>
      <c r="C411" s="29">
        <f t="shared" si="12"/>
        <v>-9.1463414634128154E-4</v>
      </c>
      <c r="D411" s="26"/>
      <c r="F411" s="26">
        <v>40862.589999999997</v>
      </c>
      <c r="G411" s="29">
        <f t="shared" si="13"/>
        <v>1.4140732765787969E-2</v>
      </c>
      <c r="H411" s="26"/>
    </row>
    <row r="412" spans="1:8" x14ac:dyDescent="0.3">
      <c r="A412" s="26" t="s">
        <v>807</v>
      </c>
      <c r="B412" s="26">
        <v>65.5</v>
      </c>
      <c r="C412" s="29">
        <f t="shared" si="12"/>
        <v>-6.1031431187070866E-4</v>
      </c>
      <c r="D412" s="26"/>
      <c r="F412" s="26">
        <v>41081.94</v>
      </c>
      <c r="G412" s="29">
        <f t="shared" si="13"/>
        <v>5.367990624187205E-3</v>
      </c>
      <c r="H412" s="26"/>
    </row>
    <row r="413" spans="1:8" x14ac:dyDescent="0.3">
      <c r="A413" s="26" t="s">
        <v>806</v>
      </c>
      <c r="B413" s="26">
        <v>65.099999999999994</v>
      </c>
      <c r="C413" s="29">
        <f t="shared" si="12"/>
        <v>-6.1068702290077203E-3</v>
      </c>
      <c r="D413" s="26"/>
      <c r="F413" s="26">
        <v>41056.22</v>
      </c>
      <c r="G413" s="29">
        <f t="shared" si="13"/>
        <v>-6.2606585764939928E-4</v>
      </c>
      <c r="H413" s="26"/>
    </row>
    <row r="414" spans="1:8" x14ac:dyDescent="0.3">
      <c r="A414" s="26" t="s">
        <v>805</v>
      </c>
      <c r="B414" s="26">
        <v>65.2</v>
      </c>
      <c r="C414" s="29">
        <f t="shared" si="12"/>
        <v>1.5360983102919899E-3</v>
      </c>
      <c r="D414" s="26"/>
      <c r="F414" s="26">
        <v>41110.93</v>
      </c>
      <c r="G414" s="29">
        <f t="shared" si="13"/>
        <v>1.3325630075052971E-3</v>
      </c>
      <c r="H414" s="26"/>
    </row>
    <row r="415" spans="1:8" x14ac:dyDescent="0.3">
      <c r="A415" s="27">
        <v>43839</v>
      </c>
      <c r="B415" s="26">
        <v>65.25</v>
      </c>
      <c r="C415" s="29">
        <f t="shared" si="12"/>
        <v>7.668711656441281E-4</v>
      </c>
      <c r="D415" s="26"/>
      <c r="F415" s="26">
        <v>41377.26</v>
      </c>
      <c r="G415" s="29">
        <f t="shared" si="13"/>
        <v>6.4783258369489997E-3</v>
      </c>
      <c r="H415" s="26"/>
    </row>
    <row r="416" spans="1:8" x14ac:dyDescent="0.3">
      <c r="A416" s="27">
        <v>43870</v>
      </c>
      <c r="B416" s="26">
        <v>65.5</v>
      </c>
      <c r="C416" s="29">
        <f t="shared" si="12"/>
        <v>3.8314176245210726E-3</v>
      </c>
      <c r="D416" s="26"/>
      <c r="F416" s="26">
        <v>41834.85</v>
      </c>
      <c r="G416" s="29">
        <f t="shared" si="13"/>
        <v>1.1058972972110684E-2</v>
      </c>
      <c r="H416" s="26"/>
    </row>
    <row r="417" spans="1:8" x14ac:dyDescent="0.3">
      <c r="A417" s="27">
        <v>43899</v>
      </c>
      <c r="B417" s="26">
        <v>64.5</v>
      </c>
      <c r="C417" s="29">
        <f t="shared" si="12"/>
        <v>-1.5267175572519083E-2</v>
      </c>
      <c r="D417" s="26"/>
      <c r="F417" s="26">
        <v>42188.11</v>
      </c>
      <c r="G417" s="29">
        <f t="shared" si="13"/>
        <v>8.4441560086865874E-3</v>
      </c>
      <c r="H417" s="26"/>
    </row>
    <row r="418" spans="1:8" x14ac:dyDescent="0.3">
      <c r="A418" s="27">
        <v>43930</v>
      </c>
      <c r="B418" s="26">
        <v>65</v>
      </c>
      <c r="C418" s="29">
        <f t="shared" si="12"/>
        <v>7.7519379844961239E-3</v>
      </c>
      <c r="D418" s="26"/>
      <c r="F418" s="26">
        <v>42023</v>
      </c>
      <c r="G418" s="29">
        <f t="shared" si="13"/>
        <v>-3.9136619298660354E-3</v>
      </c>
      <c r="H418" s="26"/>
    </row>
    <row r="419" spans="1:8" x14ac:dyDescent="0.3">
      <c r="A419" s="27">
        <v>44021</v>
      </c>
      <c r="B419" s="26">
        <v>64.989999999999995</v>
      </c>
      <c r="C419" s="29">
        <f t="shared" si="12"/>
        <v>-1.5384615384623256E-4</v>
      </c>
      <c r="D419" s="26"/>
      <c r="F419" s="26">
        <v>42295.75</v>
      </c>
      <c r="G419" s="29">
        <f t="shared" si="13"/>
        <v>6.49049330128739E-3</v>
      </c>
      <c r="H419" s="26"/>
    </row>
    <row r="420" spans="1:8" x14ac:dyDescent="0.3">
      <c r="A420" s="27">
        <v>44052</v>
      </c>
      <c r="B420" s="26">
        <v>65</v>
      </c>
      <c r="C420" s="29">
        <f t="shared" si="12"/>
        <v>1.5386982612717521E-4</v>
      </c>
      <c r="D420" s="26"/>
      <c r="F420" s="26">
        <v>41985.19</v>
      </c>
      <c r="G420" s="29">
        <f t="shared" si="13"/>
        <v>-7.3425817014711329E-3</v>
      </c>
      <c r="H420" s="26"/>
    </row>
    <row r="421" spans="1:8" x14ac:dyDescent="0.3">
      <c r="A421" s="27">
        <v>44083</v>
      </c>
      <c r="B421" s="26">
        <v>65.3</v>
      </c>
      <c r="C421" s="29">
        <f t="shared" si="12"/>
        <v>4.6153846153845716E-3</v>
      </c>
      <c r="D421" s="26"/>
      <c r="F421" s="26">
        <v>42022.25</v>
      </c>
      <c r="G421" s="29">
        <f t="shared" si="13"/>
        <v>8.8269220646608167E-4</v>
      </c>
      <c r="H421" s="26"/>
    </row>
    <row r="422" spans="1:8" x14ac:dyDescent="0.3">
      <c r="A422" s="27">
        <v>44113</v>
      </c>
      <c r="B422" s="26">
        <v>65</v>
      </c>
      <c r="C422" s="29">
        <f t="shared" si="12"/>
        <v>-4.5941807044409984E-3</v>
      </c>
      <c r="D422" s="26"/>
      <c r="F422" s="26">
        <v>42647.35</v>
      </c>
      <c r="G422" s="29">
        <f t="shared" si="13"/>
        <v>1.4875452885078704E-2</v>
      </c>
      <c r="H422" s="26"/>
    </row>
    <row r="423" spans="1:8" x14ac:dyDescent="0.3">
      <c r="A423" s="27">
        <v>44144</v>
      </c>
      <c r="B423" s="26">
        <v>65</v>
      </c>
      <c r="C423" s="29">
        <f t="shared" si="12"/>
        <v>0</v>
      </c>
      <c r="D423" s="26"/>
      <c r="F423" s="26">
        <v>42530.67</v>
      </c>
      <c r="G423" s="29">
        <f t="shared" si="13"/>
        <v>-2.735926147814584E-3</v>
      </c>
      <c r="H423" s="26"/>
    </row>
    <row r="424" spans="1:8" x14ac:dyDescent="0.3">
      <c r="A424" s="26" t="s">
        <v>804</v>
      </c>
      <c r="B424" s="26">
        <v>65</v>
      </c>
      <c r="C424" s="29">
        <f t="shared" si="12"/>
        <v>0</v>
      </c>
      <c r="D424" s="26"/>
      <c r="F424" s="26">
        <v>42531.31</v>
      </c>
      <c r="G424" s="29">
        <f t="shared" si="13"/>
        <v>1.5047964210284436E-5</v>
      </c>
      <c r="H424" s="26"/>
    </row>
    <row r="425" spans="1:8" x14ac:dyDescent="0.3">
      <c r="A425" s="26" t="s">
        <v>803</v>
      </c>
      <c r="B425" s="26">
        <v>65.31</v>
      </c>
      <c r="C425" s="29">
        <f t="shared" si="12"/>
        <v>4.7692307692308042E-3</v>
      </c>
      <c r="D425" s="26"/>
      <c r="F425" s="26">
        <v>42346.42</v>
      </c>
      <c r="G425" s="29">
        <f t="shared" si="13"/>
        <v>-4.3471503699274586E-3</v>
      </c>
      <c r="H425" s="26"/>
    </row>
    <row r="426" spans="1:8" x14ac:dyDescent="0.3">
      <c r="A426" s="26" t="s">
        <v>802</v>
      </c>
      <c r="B426" s="26">
        <v>65</v>
      </c>
      <c r="C426" s="29">
        <f t="shared" si="12"/>
        <v>-4.7465931710305043E-3</v>
      </c>
      <c r="D426" s="26"/>
      <c r="F426" s="26">
        <v>42282.28</v>
      </c>
      <c r="G426" s="29">
        <f t="shared" si="13"/>
        <v>-1.5146498806746691E-3</v>
      </c>
      <c r="H426" s="26"/>
    </row>
    <row r="427" spans="1:8" x14ac:dyDescent="0.3">
      <c r="A427" s="26" t="s">
        <v>801</v>
      </c>
      <c r="B427" s="26">
        <v>65.38</v>
      </c>
      <c r="C427" s="29">
        <f t="shared" si="12"/>
        <v>5.8461538461537762E-3</v>
      </c>
      <c r="D427" s="26"/>
      <c r="F427" s="26">
        <v>42334.76</v>
      </c>
      <c r="G427" s="29">
        <f t="shared" si="13"/>
        <v>1.2411818851775071E-3</v>
      </c>
      <c r="H427" s="26"/>
    </row>
    <row r="428" spans="1:8" x14ac:dyDescent="0.3">
      <c r="A428" s="26" t="s">
        <v>800</v>
      </c>
      <c r="B428" s="26">
        <v>66</v>
      </c>
      <c r="C428" s="29">
        <f t="shared" si="12"/>
        <v>9.4830223309881403E-3</v>
      </c>
      <c r="D428" s="26"/>
      <c r="F428" s="26">
        <v>42504.76</v>
      </c>
      <c r="G428" s="29">
        <f t="shared" si="13"/>
        <v>4.0156127021860992E-3</v>
      </c>
      <c r="H428" s="26"/>
    </row>
    <row r="429" spans="1:8" x14ac:dyDescent="0.3">
      <c r="A429" s="26" t="s">
        <v>799</v>
      </c>
      <c r="B429" s="26">
        <v>65.349999999999994</v>
      </c>
      <c r="C429" s="29">
        <f t="shared" si="12"/>
        <v>-9.8484848484849345E-3</v>
      </c>
      <c r="D429" s="26"/>
      <c r="F429" s="26">
        <v>42174.13</v>
      </c>
      <c r="G429" s="29">
        <f t="shared" si="13"/>
        <v>-7.7786582020461861E-3</v>
      </c>
      <c r="H429" s="26"/>
    </row>
    <row r="430" spans="1:8" x14ac:dyDescent="0.3">
      <c r="A430" s="26" t="s">
        <v>798</v>
      </c>
      <c r="B430" s="26">
        <v>65.290000000000006</v>
      </c>
      <c r="C430" s="29">
        <f t="shared" si="12"/>
        <v>-9.1813312930356646E-4</v>
      </c>
      <c r="D430" s="26"/>
      <c r="F430" s="26">
        <v>41828.910000000003</v>
      </c>
      <c r="G430" s="29">
        <f t="shared" si="13"/>
        <v>-8.1855867566205612E-3</v>
      </c>
      <c r="H430" s="26"/>
    </row>
    <row r="431" spans="1:8" x14ac:dyDescent="0.3">
      <c r="A431" s="26" t="s">
        <v>797</v>
      </c>
      <c r="B431" s="26">
        <v>64.75</v>
      </c>
      <c r="C431" s="29">
        <f t="shared" si="12"/>
        <v>-8.2707918517384935E-3</v>
      </c>
      <c r="D431" s="26"/>
      <c r="F431" s="26">
        <v>41876.26</v>
      </c>
      <c r="G431" s="29">
        <f t="shared" si="13"/>
        <v>1.1319922034783727E-3</v>
      </c>
      <c r="H431" s="26"/>
    </row>
    <row r="432" spans="1:8" x14ac:dyDescent="0.3">
      <c r="A432" s="26" t="s">
        <v>796</v>
      </c>
      <c r="B432" s="26">
        <v>65</v>
      </c>
      <c r="C432" s="29">
        <f t="shared" si="12"/>
        <v>3.8610038610038611E-3</v>
      </c>
      <c r="D432" s="26"/>
      <c r="F432" s="26">
        <v>41806.370000000003</v>
      </c>
      <c r="G432" s="29">
        <f t="shared" si="13"/>
        <v>-1.6689647069723851E-3</v>
      </c>
      <c r="H432" s="26"/>
    </row>
    <row r="433" spans="1:8" x14ac:dyDescent="0.3">
      <c r="A433" s="26" t="s">
        <v>795</v>
      </c>
      <c r="B433" s="26">
        <v>65.2</v>
      </c>
      <c r="C433" s="29">
        <f t="shared" si="12"/>
        <v>3.0769230769231207E-3</v>
      </c>
      <c r="D433" s="26"/>
      <c r="F433" s="26">
        <v>41701.230000000003</v>
      </c>
      <c r="G433" s="29">
        <f t="shared" si="13"/>
        <v>-2.5149277490487554E-3</v>
      </c>
      <c r="H433" s="26"/>
    </row>
    <row r="434" spans="1:8" x14ac:dyDescent="0.3">
      <c r="A434" s="26" t="s">
        <v>794</v>
      </c>
      <c r="B434" s="26">
        <v>63</v>
      </c>
      <c r="C434" s="29">
        <f t="shared" si="12"/>
        <v>-3.3742331288343599E-2</v>
      </c>
      <c r="D434" s="26"/>
      <c r="F434" s="26">
        <v>40740.949999999997</v>
      </c>
      <c r="G434" s="29">
        <f t="shared" si="13"/>
        <v>-2.3027618130208774E-2</v>
      </c>
      <c r="H434" s="26"/>
    </row>
    <row r="435" spans="1:8" x14ac:dyDescent="0.3">
      <c r="A435" s="26" t="s">
        <v>793</v>
      </c>
      <c r="B435" s="26">
        <v>64.5</v>
      </c>
      <c r="C435" s="29">
        <f t="shared" si="12"/>
        <v>2.3809523809523808E-2</v>
      </c>
      <c r="D435" s="26"/>
      <c r="F435" s="26">
        <v>41204.36</v>
      </c>
      <c r="G435" s="29">
        <f t="shared" si="13"/>
        <v>1.1374550667080751E-2</v>
      </c>
      <c r="H435" s="26"/>
    </row>
    <row r="436" spans="1:8" x14ac:dyDescent="0.3">
      <c r="A436" s="26" t="s">
        <v>792</v>
      </c>
      <c r="B436" s="26">
        <v>64.98</v>
      </c>
      <c r="C436" s="29">
        <f t="shared" si="12"/>
        <v>7.4418604651163411E-3</v>
      </c>
      <c r="D436" s="26"/>
      <c r="F436" s="26">
        <v>40571.480000000003</v>
      </c>
      <c r="G436" s="29">
        <f t="shared" si="13"/>
        <v>-1.5359539621535133E-2</v>
      </c>
      <c r="H436" s="26"/>
    </row>
    <row r="437" spans="1:8" x14ac:dyDescent="0.3">
      <c r="A437" s="27">
        <v>43840</v>
      </c>
      <c r="B437" s="26">
        <v>63.8</v>
      </c>
      <c r="C437" s="29">
        <f t="shared" si="12"/>
        <v>-1.815943367189915E-2</v>
      </c>
      <c r="D437" s="26"/>
      <c r="F437" s="26">
        <v>40676.92</v>
      </c>
      <c r="G437" s="29">
        <f t="shared" si="13"/>
        <v>2.5988699450943138E-3</v>
      </c>
      <c r="H437" s="26"/>
    </row>
    <row r="438" spans="1:8" x14ac:dyDescent="0.3">
      <c r="A438" s="27">
        <v>43871</v>
      </c>
      <c r="B438" s="26">
        <v>64</v>
      </c>
      <c r="C438" s="29">
        <f t="shared" si="12"/>
        <v>3.1347962382445587E-3</v>
      </c>
      <c r="D438" s="26"/>
      <c r="F438" s="26">
        <v>40070.83</v>
      </c>
      <c r="G438" s="29">
        <f t="shared" si="13"/>
        <v>-1.490009568079384E-2</v>
      </c>
      <c r="H438" s="26"/>
    </row>
    <row r="439" spans="1:8" x14ac:dyDescent="0.3">
      <c r="A439" s="27">
        <v>43961</v>
      </c>
      <c r="B439" s="26">
        <v>64.75</v>
      </c>
      <c r="C439" s="29">
        <f t="shared" si="12"/>
        <v>1.171875E-2</v>
      </c>
      <c r="D439" s="26"/>
      <c r="F439" s="26">
        <v>39072.47</v>
      </c>
      <c r="G439" s="29">
        <f t="shared" si="13"/>
        <v>-2.4914881972746772E-2</v>
      </c>
      <c r="H439" s="26"/>
    </row>
    <row r="440" spans="1:8" x14ac:dyDescent="0.3">
      <c r="A440" s="27">
        <v>43992</v>
      </c>
      <c r="B440" s="26">
        <v>63.89</v>
      </c>
      <c r="C440" s="29">
        <f t="shared" si="12"/>
        <v>-1.3281853281853273E-2</v>
      </c>
      <c r="D440" s="26"/>
      <c r="F440" s="26">
        <v>39127.480000000003</v>
      </c>
      <c r="G440" s="29">
        <f t="shared" si="13"/>
        <v>1.4078966597197986E-3</v>
      </c>
      <c r="H440" s="26"/>
    </row>
    <row r="441" spans="1:8" x14ac:dyDescent="0.3">
      <c r="A441" s="27">
        <v>44022</v>
      </c>
      <c r="B441" s="26">
        <v>63.01</v>
      </c>
      <c r="C441" s="29">
        <f t="shared" si="12"/>
        <v>-1.3773673501330451E-2</v>
      </c>
      <c r="D441" s="26"/>
      <c r="F441" s="26">
        <v>39849.96</v>
      </c>
      <c r="G441" s="29">
        <f t="shared" si="13"/>
        <v>1.8464772073233337E-2</v>
      </c>
      <c r="H441" s="26"/>
    </row>
    <row r="442" spans="1:8" x14ac:dyDescent="0.3">
      <c r="A442" s="27">
        <v>44053</v>
      </c>
      <c r="B442" s="26">
        <v>62.46</v>
      </c>
      <c r="C442" s="29">
        <f t="shared" si="12"/>
        <v>-8.7287732106014464E-3</v>
      </c>
      <c r="D442" s="26"/>
      <c r="F442" s="26">
        <v>40353.620000000003</v>
      </c>
      <c r="G442" s="29">
        <f t="shared" si="13"/>
        <v>1.2638908545955969E-2</v>
      </c>
      <c r="H442" s="26"/>
    </row>
    <row r="443" spans="1:8" x14ac:dyDescent="0.3">
      <c r="A443" s="27">
        <v>44084</v>
      </c>
      <c r="B443" s="26">
        <v>62.8</v>
      </c>
      <c r="C443" s="29">
        <f t="shared" si="12"/>
        <v>5.4434838296509172E-3</v>
      </c>
      <c r="D443" s="26"/>
      <c r="F443" s="26">
        <v>40798.43</v>
      </c>
      <c r="G443" s="29">
        <f t="shared" si="13"/>
        <v>1.1022802910866426E-2</v>
      </c>
      <c r="H443" s="26"/>
    </row>
    <row r="444" spans="1:8" x14ac:dyDescent="0.3">
      <c r="A444" s="27">
        <v>44175</v>
      </c>
      <c r="B444" s="26">
        <v>62.65</v>
      </c>
      <c r="C444" s="29">
        <f t="shared" si="12"/>
        <v>-2.3885350318471111E-3</v>
      </c>
      <c r="D444" s="26"/>
      <c r="F444" s="26">
        <v>40209.82</v>
      </c>
      <c r="G444" s="29">
        <f t="shared" si="13"/>
        <v>-1.4427270853314713E-2</v>
      </c>
      <c r="H444" s="26"/>
    </row>
    <row r="445" spans="1:8" x14ac:dyDescent="0.3">
      <c r="A445" s="26" t="s">
        <v>791</v>
      </c>
      <c r="B445" s="26">
        <v>62.5</v>
      </c>
      <c r="C445" s="29">
        <f t="shared" si="12"/>
        <v>-2.3942537909018131E-3</v>
      </c>
      <c r="D445" s="26"/>
      <c r="F445" s="26">
        <v>40006.67</v>
      </c>
      <c r="G445" s="29">
        <f t="shared" si="13"/>
        <v>-5.0522484308559816E-3</v>
      </c>
      <c r="H445" s="26"/>
    </row>
    <row r="446" spans="1:8" x14ac:dyDescent="0.3">
      <c r="A446" s="26" t="s">
        <v>790</v>
      </c>
      <c r="B446" s="26">
        <v>63</v>
      </c>
      <c r="C446" s="29">
        <f t="shared" si="12"/>
        <v>8.0000000000000002E-3</v>
      </c>
      <c r="D446" s="26"/>
      <c r="F446" s="26">
        <v>40144.29</v>
      </c>
      <c r="G446" s="29">
        <f t="shared" si="13"/>
        <v>3.439926392274154E-3</v>
      </c>
      <c r="H446" s="26"/>
    </row>
    <row r="447" spans="1:8" x14ac:dyDescent="0.3">
      <c r="A447" s="26" t="s">
        <v>789</v>
      </c>
      <c r="B447" s="26">
        <v>63</v>
      </c>
      <c r="C447" s="29">
        <f t="shared" si="12"/>
        <v>0</v>
      </c>
      <c r="D447" s="26"/>
      <c r="F447" s="26">
        <v>40068.49</v>
      </c>
      <c r="G447" s="29">
        <f t="shared" si="13"/>
        <v>-1.8881888308400251E-3</v>
      </c>
      <c r="H447" s="26"/>
    </row>
    <row r="448" spans="1:8" x14ac:dyDescent="0.3">
      <c r="A448" s="26" t="s">
        <v>788</v>
      </c>
      <c r="B448" s="26">
        <v>62.98</v>
      </c>
      <c r="C448" s="29">
        <f t="shared" si="12"/>
        <v>-3.1746031746036706E-4</v>
      </c>
      <c r="D448" s="26"/>
      <c r="F448" s="26">
        <v>40164.019999999997</v>
      </c>
      <c r="G448" s="29">
        <f t="shared" si="13"/>
        <v>2.3841677088405088E-3</v>
      </c>
      <c r="H448" s="26"/>
    </row>
    <row r="449" spans="1:8" x14ac:dyDescent="0.3">
      <c r="A449" s="26" t="s">
        <v>787</v>
      </c>
      <c r="B449" s="26">
        <v>62.5</v>
      </c>
      <c r="C449" s="29">
        <f t="shared" si="12"/>
        <v>-7.6214671324229422E-3</v>
      </c>
      <c r="D449" s="26"/>
      <c r="F449" s="26">
        <v>40340.17</v>
      </c>
      <c r="G449" s="29">
        <f t="shared" si="13"/>
        <v>4.3857661658370222E-3</v>
      </c>
      <c r="H449" s="26"/>
    </row>
    <row r="450" spans="1:8" x14ac:dyDescent="0.3">
      <c r="A450" s="26" t="s">
        <v>786</v>
      </c>
      <c r="B450" s="26">
        <v>62.85</v>
      </c>
      <c r="C450" s="29">
        <f t="shared" si="12"/>
        <v>5.6000000000000225E-3</v>
      </c>
      <c r="D450" s="26"/>
      <c r="F450" s="26">
        <v>40956.58</v>
      </c>
      <c r="G450" s="29">
        <f t="shared" si="13"/>
        <v>1.5280302487570169E-2</v>
      </c>
      <c r="H450" s="26"/>
    </row>
    <row r="451" spans="1:8" x14ac:dyDescent="0.3">
      <c r="A451" s="26" t="s">
        <v>785</v>
      </c>
      <c r="B451" s="26">
        <v>67.349999999999994</v>
      </c>
      <c r="C451" s="29">
        <f t="shared" si="12"/>
        <v>7.1599045346061943E-2</v>
      </c>
      <c r="D451" s="26"/>
      <c r="F451" s="26">
        <v>41535.919999999998</v>
      </c>
      <c r="G451" s="29">
        <f t="shared" si="13"/>
        <v>1.4145224039702448E-2</v>
      </c>
      <c r="H451" s="26"/>
    </row>
    <row r="452" spans="1:8" x14ac:dyDescent="0.3">
      <c r="A452" s="26" t="s">
        <v>784</v>
      </c>
      <c r="B452" s="26">
        <v>71.05</v>
      </c>
      <c r="C452" s="29">
        <f t="shared" si="12"/>
        <v>5.493689680772091E-2</v>
      </c>
      <c r="D452" s="26"/>
      <c r="F452" s="26">
        <v>41199.019999999997</v>
      </c>
      <c r="G452" s="29">
        <f t="shared" si="13"/>
        <v>-8.1110518317639643E-3</v>
      </c>
      <c r="H452" s="26"/>
    </row>
    <row r="453" spans="1:8" x14ac:dyDescent="0.3">
      <c r="A453" s="26" t="s">
        <v>783</v>
      </c>
      <c r="B453" s="26">
        <v>70.459999999999994</v>
      </c>
      <c r="C453" s="29">
        <f t="shared" ref="C453:C516" si="14">(B453-B452)/B452</f>
        <v>-8.3040112596763326E-3</v>
      </c>
      <c r="D453" s="26"/>
      <c r="F453" s="26">
        <v>41266</v>
      </c>
      <c r="G453" s="29">
        <f t="shared" ref="G453:G516" si="15">(F453-F452)/F452</f>
        <v>1.6257668264925526E-3</v>
      </c>
      <c r="H453" s="26"/>
    </row>
    <row r="454" spans="1:8" x14ac:dyDescent="0.3">
      <c r="A454" s="26" t="s">
        <v>782</v>
      </c>
      <c r="B454" s="26">
        <v>70.7</v>
      </c>
      <c r="C454" s="29">
        <f t="shared" si="14"/>
        <v>3.4061879080330561E-3</v>
      </c>
      <c r="D454" s="26"/>
      <c r="F454" s="26">
        <v>41850.47</v>
      </c>
      <c r="G454" s="29">
        <f t="shared" si="15"/>
        <v>1.4163475985072485E-2</v>
      </c>
      <c r="H454" s="26"/>
    </row>
    <row r="455" spans="1:8" x14ac:dyDescent="0.3">
      <c r="A455" s="26" t="s">
        <v>781</v>
      </c>
      <c r="B455" s="26">
        <v>68.5</v>
      </c>
      <c r="C455" s="29">
        <f t="shared" si="14"/>
        <v>-3.1117397454031158E-2</v>
      </c>
      <c r="D455" s="26"/>
      <c r="F455" s="26">
        <v>41381.83</v>
      </c>
      <c r="G455" s="29">
        <f t="shared" si="15"/>
        <v>-1.119796265131549E-2</v>
      </c>
      <c r="H455" s="26"/>
    </row>
    <row r="456" spans="1:8" x14ac:dyDescent="0.3">
      <c r="A456" s="26" t="s">
        <v>780</v>
      </c>
      <c r="B456" s="26">
        <v>67.709999999999994</v>
      </c>
      <c r="C456" s="29">
        <f t="shared" si="14"/>
        <v>-1.1532846715328558E-2</v>
      </c>
      <c r="D456" s="26"/>
      <c r="F456" s="26">
        <v>41186.86</v>
      </c>
      <c r="G456" s="29">
        <f t="shared" si="15"/>
        <v>-4.7114881096365522E-3</v>
      </c>
      <c r="H456" s="26"/>
    </row>
    <row r="457" spans="1:8" x14ac:dyDescent="0.3">
      <c r="A457" s="26" t="s">
        <v>779</v>
      </c>
      <c r="B457" s="26">
        <v>67</v>
      </c>
      <c r="C457" s="29">
        <f t="shared" si="14"/>
        <v>-1.0485895731797279E-2</v>
      </c>
      <c r="D457" s="26"/>
      <c r="F457" s="26">
        <v>39888</v>
      </c>
      <c r="G457" s="29">
        <f t="shared" si="15"/>
        <v>-3.153578592784205E-2</v>
      </c>
      <c r="H457" s="26"/>
    </row>
    <row r="458" spans="1:8" x14ac:dyDescent="0.3">
      <c r="A458" s="27">
        <v>43872</v>
      </c>
      <c r="B458" s="26">
        <v>66</v>
      </c>
      <c r="C458" s="29">
        <f t="shared" si="14"/>
        <v>-1.4925373134328358E-2</v>
      </c>
      <c r="D458" s="26"/>
      <c r="F458" s="26">
        <v>39112.18</v>
      </c>
      <c r="G458" s="29">
        <f t="shared" si="15"/>
        <v>-1.9449959887685511E-2</v>
      </c>
      <c r="H458" s="26"/>
    </row>
    <row r="459" spans="1:8" x14ac:dyDescent="0.3">
      <c r="A459" s="27">
        <v>43901</v>
      </c>
      <c r="B459" s="26">
        <v>68.989999999999995</v>
      </c>
      <c r="C459" s="29">
        <f t="shared" si="14"/>
        <v>4.5303030303030227E-2</v>
      </c>
      <c r="D459" s="26"/>
      <c r="F459" s="26">
        <v>40480.879999999997</v>
      </c>
      <c r="G459" s="29">
        <f t="shared" si="15"/>
        <v>3.4994214078581075E-2</v>
      </c>
      <c r="H459" s="26"/>
    </row>
    <row r="460" spans="1:8" x14ac:dyDescent="0.3">
      <c r="A460" s="27">
        <v>43932</v>
      </c>
      <c r="B460" s="26">
        <v>68.400000000000006</v>
      </c>
      <c r="C460" s="29">
        <f t="shared" si="14"/>
        <v>-8.5519640527611136E-3</v>
      </c>
      <c r="D460" s="26"/>
      <c r="F460" s="26">
        <v>40281.96</v>
      </c>
      <c r="G460" s="29">
        <f t="shared" si="15"/>
        <v>-4.9139247961012275E-3</v>
      </c>
      <c r="H460" s="26"/>
    </row>
    <row r="461" spans="1:8" x14ac:dyDescent="0.3">
      <c r="A461" s="27">
        <v>43962</v>
      </c>
      <c r="B461" s="26">
        <v>69.75</v>
      </c>
      <c r="C461" s="29">
        <f t="shared" si="14"/>
        <v>1.9736842105263074E-2</v>
      </c>
      <c r="D461" s="26"/>
      <c r="F461" s="26">
        <v>41071.300000000003</v>
      </c>
      <c r="G461" s="29">
        <f t="shared" si="15"/>
        <v>1.9595372221212767E-2</v>
      </c>
      <c r="H461" s="26"/>
    </row>
    <row r="462" spans="1:8" x14ac:dyDescent="0.3">
      <c r="A462" s="27">
        <v>43993</v>
      </c>
      <c r="B462" s="26">
        <v>69</v>
      </c>
      <c r="C462" s="29">
        <f t="shared" si="14"/>
        <v>-1.0752688172043012E-2</v>
      </c>
      <c r="D462" s="26"/>
      <c r="F462" s="26">
        <v>40731.61</v>
      </c>
      <c r="G462" s="29">
        <f t="shared" si="15"/>
        <v>-8.2707389344871558E-3</v>
      </c>
      <c r="H462" s="26"/>
    </row>
    <row r="463" spans="1:8" x14ac:dyDescent="0.3">
      <c r="A463" s="27">
        <v>44085</v>
      </c>
      <c r="B463" s="26">
        <v>68.5</v>
      </c>
      <c r="C463" s="29">
        <f t="shared" si="14"/>
        <v>-7.246376811594203E-3</v>
      </c>
      <c r="D463" s="26"/>
      <c r="F463" s="26">
        <v>40784.04</v>
      </c>
      <c r="G463" s="29">
        <f t="shared" si="15"/>
        <v>1.2872066682362983E-3</v>
      </c>
      <c r="H463" s="26"/>
    </row>
    <row r="464" spans="1:8" x14ac:dyDescent="0.3">
      <c r="A464" s="27">
        <v>44115</v>
      </c>
      <c r="B464" s="26">
        <v>69.5</v>
      </c>
      <c r="C464" s="29">
        <f t="shared" si="14"/>
        <v>1.4598540145985401E-2</v>
      </c>
      <c r="D464" s="26"/>
      <c r="F464" s="26">
        <v>41153.050000000003</v>
      </c>
      <c r="G464" s="29">
        <f t="shared" si="15"/>
        <v>9.0479020714966454E-3</v>
      </c>
      <c r="H464" s="26"/>
    </row>
    <row r="465" spans="1:8" x14ac:dyDescent="0.3">
      <c r="A465" s="27">
        <v>44146</v>
      </c>
      <c r="B465" s="26">
        <v>69.5</v>
      </c>
      <c r="C465" s="29">
        <f t="shared" si="14"/>
        <v>0</v>
      </c>
      <c r="D465" s="26"/>
      <c r="F465" s="26">
        <v>41197.32</v>
      </c>
      <c r="G465" s="29">
        <f t="shared" si="15"/>
        <v>1.0757404372214647E-3</v>
      </c>
      <c r="H465" s="26"/>
    </row>
    <row r="466" spans="1:8" x14ac:dyDescent="0.3">
      <c r="A466" s="27">
        <v>44176</v>
      </c>
      <c r="B466" s="26">
        <v>69</v>
      </c>
      <c r="C466" s="29">
        <f t="shared" si="14"/>
        <v>-7.1942446043165471E-3</v>
      </c>
      <c r="D466" s="26"/>
      <c r="F466" s="26">
        <v>40564.550000000003</v>
      </c>
      <c r="G466" s="29">
        <f t="shared" si="15"/>
        <v>-1.5359494258364302E-2</v>
      </c>
      <c r="H466" s="26"/>
    </row>
    <row r="467" spans="1:8" x14ac:dyDescent="0.3">
      <c r="A467" s="26" t="s">
        <v>778</v>
      </c>
      <c r="B467" s="26">
        <v>69</v>
      </c>
      <c r="C467" s="29">
        <f t="shared" si="14"/>
        <v>0</v>
      </c>
      <c r="D467" s="26"/>
      <c r="F467" s="26">
        <v>40569.35</v>
      </c>
      <c r="G467" s="29">
        <f t="shared" si="15"/>
        <v>1.1832992107630022E-4</v>
      </c>
      <c r="H467" s="26"/>
    </row>
    <row r="468" spans="1:8" x14ac:dyDescent="0.3">
      <c r="A468" s="26" t="s">
        <v>777</v>
      </c>
      <c r="B468" s="26">
        <v>69</v>
      </c>
      <c r="C468" s="29">
        <f t="shared" si="14"/>
        <v>0</v>
      </c>
      <c r="D468" s="26"/>
      <c r="F468" s="26">
        <v>40504.75</v>
      </c>
      <c r="G468" s="29">
        <f t="shared" si="15"/>
        <v>-1.5923351002665447E-3</v>
      </c>
      <c r="H468" s="26"/>
    </row>
    <row r="469" spans="1:8" x14ac:dyDescent="0.3">
      <c r="A469" s="26" t="s">
        <v>776</v>
      </c>
      <c r="B469" s="26">
        <v>69.25</v>
      </c>
      <c r="C469" s="29">
        <f t="shared" si="14"/>
        <v>3.6231884057971015E-3</v>
      </c>
      <c r="D469" s="26"/>
      <c r="F469" s="26">
        <v>40652.67</v>
      </c>
      <c r="G469" s="29">
        <f t="shared" si="15"/>
        <v>3.6519173677160891E-3</v>
      </c>
      <c r="H469" s="26"/>
    </row>
    <row r="470" spans="1:8" x14ac:dyDescent="0.3">
      <c r="A470" s="26" t="s">
        <v>775</v>
      </c>
      <c r="B470" s="26">
        <v>69.349999999999994</v>
      </c>
      <c r="C470" s="29">
        <f t="shared" si="14"/>
        <v>1.4440433212995569E-3</v>
      </c>
      <c r="D470" s="26"/>
      <c r="F470" s="26">
        <v>40514.67</v>
      </c>
      <c r="G470" s="29">
        <f t="shared" si="15"/>
        <v>-3.3946109812713408E-3</v>
      </c>
      <c r="H470" s="26"/>
    </row>
    <row r="471" spans="1:8" x14ac:dyDescent="0.3">
      <c r="A471" s="26" t="s">
        <v>774</v>
      </c>
      <c r="B471" s="26">
        <v>67</v>
      </c>
      <c r="C471" s="29">
        <f t="shared" si="14"/>
        <v>-3.3886085075702878E-2</v>
      </c>
      <c r="D471" s="26"/>
      <c r="F471" s="26">
        <v>40540.699999999997</v>
      </c>
      <c r="G471" s="29">
        <f t="shared" si="15"/>
        <v>6.4248332764400742E-4</v>
      </c>
      <c r="H471" s="26"/>
    </row>
    <row r="472" spans="1:8" x14ac:dyDescent="0.3">
      <c r="A472" s="26" t="s">
        <v>773</v>
      </c>
      <c r="B472" s="26">
        <v>67.61</v>
      </c>
      <c r="C472" s="29">
        <f t="shared" si="14"/>
        <v>9.1044776119402898E-3</v>
      </c>
      <c r="D472" s="26"/>
      <c r="F472" s="26">
        <v>40187.18</v>
      </c>
      <c r="G472" s="29">
        <f t="shared" si="15"/>
        <v>-8.7201257008388319E-3</v>
      </c>
      <c r="H472" s="26"/>
    </row>
    <row r="473" spans="1:8" x14ac:dyDescent="0.3">
      <c r="A473" s="26" t="s">
        <v>772</v>
      </c>
      <c r="B473" s="26">
        <v>67</v>
      </c>
      <c r="C473" s="29">
        <f t="shared" si="14"/>
        <v>-9.0223339742641542E-3</v>
      </c>
      <c r="D473" s="26"/>
      <c r="F473" s="26">
        <v>39632.519999999997</v>
      </c>
      <c r="G473" s="29">
        <f t="shared" si="15"/>
        <v>-1.380191394370054E-2</v>
      </c>
      <c r="H473" s="26"/>
    </row>
    <row r="474" spans="1:8" x14ac:dyDescent="0.3">
      <c r="A474" s="26" t="s">
        <v>771</v>
      </c>
      <c r="B474" s="26">
        <v>66.900000000000006</v>
      </c>
      <c r="C474" s="29">
        <f t="shared" si="14"/>
        <v>-1.4925373134327511E-3</v>
      </c>
      <c r="D474" s="26"/>
      <c r="F474" s="26">
        <v>39863.360000000001</v>
      </c>
      <c r="G474" s="29">
        <f t="shared" si="15"/>
        <v>5.824509771268741E-3</v>
      </c>
      <c r="H474" s="26"/>
    </row>
    <row r="475" spans="1:8" x14ac:dyDescent="0.3">
      <c r="A475" s="26" t="s">
        <v>770</v>
      </c>
      <c r="B475" s="26">
        <v>67.489999999999995</v>
      </c>
      <c r="C475" s="29">
        <f t="shared" si="14"/>
        <v>8.8191330343795095E-3</v>
      </c>
      <c r="D475" s="26"/>
      <c r="F475" s="26">
        <v>40377.53</v>
      </c>
      <c r="G475" s="29">
        <f t="shared" si="15"/>
        <v>1.2898310629108992E-2</v>
      </c>
      <c r="H475" s="26"/>
    </row>
    <row r="476" spans="1:8" x14ac:dyDescent="0.3">
      <c r="A476" s="26" t="s">
        <v>769</v>
      </c>
      <c r="B476" s="26">
        <v>68.37</v>
      </c>
      <c r="C476" s="29">
        <f t="shared" si="14"/>
        <v>1.3038968736109198E-2</v>
      </c>
      <c r="D476" s="26"/>
      <c r="F476" s="26">
        <v>41031.03</v>
      </c>
      <c r="G476" s="29">
        <f t="shared" si="15"/>
        <v>1.6184744336763542E-2</v>
      </c>
      <c r="H476" s="26"/>
    </row>
    <row r="477" spans="1:8" x14ac:dyDescent="0.3">
      <c r="A477" s="26" t="s">
        <v>768</v>
      </c>
      <c r="B477" s="26">
        <v>67.599999999999994</v>
      </c>
      <c r="C477" s="29">
        <f t="shared" si="14"/>
        <v>-1.1262249524645461E-2</v>
      </c>
      <c r="D477" s="26"/>
      <c r="F477" s="26">
        <v>40807.089999999997</v>
      </c>
      <c r="G477" s="29">
        <f t="shared" si="15"/>
        <v>-5.4578205811553438E-3</v>
      </c>
      <c r="H477" s="26"/>
    </row>
    <row r="478" spans="1:8" x14ac:dyDescent="0.3">
      <c r="A478" s="26" t="s">
        <v>767</v>
      </c>
      <c r="B478" s="26">
        <v>67.25</v>
      </c>
      <c r="C478" s="29">
        <f t="shared" si="14"/>
        <v>-5.1775147928993246E-3</v>
      </c>
      <c r="D478" s="26"/>
      <c r="F478" s="26">
        <v>41068.82</v>
      </c>
      <c r="G478" s="29">
        <f t="shared" si="15"/>
        <v>6.4138364191125424E-3</v>
      </c>
      <c r="H478" s="26"/>
    </row>
    <row r="479" spans="1:8" x14ac:dyDescent="0.3">
      <c r="A479" s="27">
        <v>43842</v>
      </c>
      <c r="B479" s="26">
        <v>67.5</v>
      </c>
      <c r="C479" s="29">
        <f t="shared" si="14"/>
        <v>3.7174721189591076E-3</v>
      </c>
      <c r="D479" s="26"/>
      <c r="F479" s="26">
        <v>41665.269999999997</v>
      </c>
      <c r="G479" s="29">
        <f t="shared" si="15"/>
        <v>1.4523183281136325E-2</v>
      </c>
      <c r="H479" s="26"/>
    </row>
    <row r="480" spans="1:8" x14ac:dyDescent="0.3">
      <c r="A480" s="27">
        <v>43873</v>
      </c>
      <c r="B480" s="26">
        <v>70.400000000000006</v>
      </c>
      <c r="C480" s="29">
        <f t="shared" si="14"/>
        <v>4.296296296296305E-2</v>
      </c>
      <c r="D480" s="26"/>
      <c r="F480" s="26">
        <v>42027.38</v>
      </c>
      <c r="G480" s="29">
        <f t="shared" si="15"/>
        <v>8.6909313200178619E-3</v>
      </c>
      <c r="H480" s="26"/>
    </row>
    <row r="481" spans="1:8" x14ac:dyDescent="0.3">
      <c r="A481" s="27">
        <v>43902</v>
      </c>
      <c r="B481" s="26">
        <v>69.900000000000006</v>
      </c>
      <c r="C481" s="29">
        <f t="shared" si="14"/>
        <v>-7.102272727272727E-3</v>
      </c>
      <c r="D481" s="26"/>
      <c r="F481" s="26">
        <v>42047.72</v>
      </c>
      <c r="G481" s="29">
        <f t="shared" si="15"/>
        <v>4.8397021180011186E-4</v>
      </c>
      <c r="H481" s="26"/>
    </row>
    <row r="482" spans="1:8" x14ac:dyDescent="0.3">
      <c r="A482" s="27">
        <v>43933</v>
      </c>
      <c r="B482" s="26">
        <v>69.81</v>
      </c>
      <c r="C482" s="29">
        <f t="shared" si="14"/>
        <v>-1.2875536480687181E-3</v>
      </c>
      <c r="D482" s="26"/>
      <c r="F482" s="26">
        <v>42207</v>
      </c>
      <c r="G482" s="29">
        <f t="shared" si="15"/>
        <v>3.7880769753984005E-3</v>
      </c>
      <c r="H482" s="26"/>
    </row>
    <row r="483" spans="1:8" x14ac:dyDescent="0.3">
      <c r="A483" s="27">
        <v>44024</v>
      </c>
      <c r="B483" s="26">
        <v>70.8</v>
      </c>
      <c r="C483" s="29">
        <f t="shared" si="14"/>
        <v>1.418134937688003E-2</v>
      </c>
      <c r="D483" s="26"/>
      <c r="F483" s="26">
        <v>42115.31</v>
      </c>
      <c r="G483" s="29">
        <f t="shared" si="15"/>
        <v>-2.1723884663681931E-3</v>
      </c>
      <c r="H483" s="26"/>
    </row>
    <row r="484" spans="1:8" x14ac:dyDescent="0.3">
      <c r="A484" s="27">
        <v>44055</v>
      </c>
      <c r="B484" s="26">
        <v>70.48</v>
      </c>
      <c r="C484" s="29">
        <f t="shared" si="14"/>
        <v>-4.5197740112993389E-3</v>
      </c>
      <c r="D484" s="26"/>
      <c r="F484" s="26">
        <v>42101.78</v>
      </c>
      <c r="G484" s="29">
        <f t="shared" si="15"/>
        <v>-3.2126084314703697E-4</v>
      </c>
      <c r="H484" s="26"/>
    </row>
    <row r="485" spans="1:8" x14ac:dyDescent="0.3">
      <c r="A485" s="27">
        <v>44086</v>
      </c>
      <c r="B485" s="26">
        <v>69.95</v>
      </c>
      <c r="C485" s="29">
        <f t="shared" si="14"/>
        <v>-7.5198637911464399E-3</v>
      </c>
      <c r="D485" s="26"/>
      <c r="F485" s="26">
        <v>42204.03</v>
      </c>
      <c r="G485" s="29">
        <f t="shared" si="15"/>
        <v>2.428638409112394E-3</v>
      </c>
      <c r="H485" s="26"/>
    </row>
    <row r="486" spans="1:8" x14ac:dyDescent="0.3">
      <c r="A486" s="27">
        <v>44116</v>
      </c>
      <c r="B486" s="26">
        <v>70.989999999999995</v>
      </c>
      <c r="C486" s="29">
        <f t="shared" si="14"/>
        <v>1.486776268763391E-2</v>
      </c>
      <c r="D486" s="26"/>
      <c r="F486" s="26">
        <v>42305.84</v>
      </c>
      <c r="G486" s="29">
        <f t="shared" si="15"/>
        <v>2.4123288700154386E-3</v>
      </c>
      <c r="H486" s="26"/>
    </row>
    <row r="487" spans="1:8" x14ac:dyDescent="0.3">
      <c r="A487" s="27">
        <v>44147</v>
      </c>
      <c r="B487" s="26">
        <v>70.5</v>
      </c>
      <c r="C487" s="29">
        <f t="shared" si="14"/>
        <v>-6.902380616988237E-3</v>
      </c>
      <c r="D487" s="26"/>
      <c r="F487" s="26">
        <v>42470.39</v>
      </c>
      <c r="G487" s="29">
        <f t="shared" si="15"/>
        <v>3.8895339272309194E-3</v>
      </c>
      <c r="H487" s="26"/>
    </row>
    <row r="488" spans="1:8" x14ac:dyDescent="0.3">
      <c r="A488" s="26" t="s">
        <v>766</v>
      </c>
      <c r="B488" s="26">
        <v>72</v>
      </c>
      <c r="C488" s="29">
        <f t="shared" si="14"/>
        <v>2.1276595744680851E-2</v>
      </c>
      <c r="D488" s="26"/>
      <c r="F488" s="26">
        <v>43266.22</v>
      </c>
      <c r="G488" s="29">
        <f t="shared" si="15"/>
        <v>1.8738466964866623E-2</v>
      </c>
      <c r="H488" s="26"/>
    </row>
    <row r="489" spans="1:8" x14ac:dyDescent="0.3">
      <c r="A489" s="26" t="s">
        <v>765</v>
      </c>
      <c r="B489" s="26">
        <v>72.25</v>
      </c>
      <c r="C489" s="29">
        <f t="shared" si="14"/>
        <v>3.472222222222222E-3</v>
      </c>
      <c r="D489" s="26"/>
      <c r="F489" s="26">
        <v>43250.84</v>
      </c>
      <c r="G489" s="29">
        <f t="shared" si="15"/>
        <v>-3.5547362353366337E-4</v>
      </c>
      <c r="H489" s="26"/>
    </row>
    <row r="490" spans="1:8" x14ac:dyDescent="0.3">
      <c r="A490" s="26" t="s">
        <v>764</v>
      </c>
      <c r="B490" s="26">
        <v>73.5</v>
      </c>
      <c r="C490" s="29">
        <f t="shared" si="14"/>
        <v>1.7301038062283738E-2</v>
      </c>
      <c r="D490" s="26"/>
      <c r="F490" s="26">
        <v>43360.19</v>
      </c>
      <c r="G490" s="29">
        <f t="shared" si="15"/>
        <v>2.5282745953605947E-3</v>
      </c>
      <c r="H490" s="26"/>
    </row>
    <row r="491" spans="1:8" x14ac:dyDescent="0.3">
      <c r="A491" s="26" t="s">
        <v>763</v>
      </c>
      <c r="B491" s="26">
        <v>73.8</v>
      </c>
      <c r="C491" s="29">
        <f t="shared" si="14"/>
        <v>4.0816326530611858E-3</v>
      </c>
      <c r="D491" s="26"/>
      <c r="F491" s="26">
        <v>43766.69</v>
      </c>
      <c r="G491" s="29">
        <f t="shared" si="15"/>
        <v>9.3749589196910794E-3</v>
      </c>
      <c r="H491" s="26"/>
    </row>
    <row r="492" spans="1:8" x14ac:dyDescent="0.3">
      <c r="A492" s="26" t="s">
        <v>762</v>
      </c>
      <c r="B492" s="26">
        <v>73.16</v>
      </c>
      <c r="C492" s="29">
        <f t="shared" si="14"/>
        <v>-8.6720867208672173E-3</v>
      </c>
      <c r="D492" s="26"/>
      <c r="F492" s="26">
        <v>43740.55</v>
      </c>
      <c r="G492" s="29">
        <f t="shared" si="15"/>
        <v>-5.9725786894095523E-4</v>
      </c>
      <c r="H492" s="26"/>
    </row>
    <row r="493" spans="1:8" x14ac:dyDescent="0.3">
      <c r="A493" s="26" t="s">
        <v>761</v>
      </c>
      <c r="B493" s="26">
        <v>71.5</v>
      </c>
      <c r="C493" s="29">
        <f t="shared" si="14"/>
        <v>-2.2689994532531392E-2</v>
      </c>
      <c r="D493" s="26"/>
      <c r="F493" s="26">
        <v>43333.760000000002</v>
      </c>
      <c r="G493" s="29">
        <f t="shared" si="15"/>
        <v>-9.3000659571038959E-3</v>
      </c>
      <c r="H493" s="26"/>
    </row>
    <row r="494" spans="1:8" x14ac:dyDescent="0.3">
      <c r="A494" s="26" t="s">
        <v>760</v>
      </c>
      <c r="B494" s="26">
        <v>71.95</v>
      </c>
      <c r="C494" s="29">
        <f t="shared" si="14"/>
        <v>6.2937062937063332E-3</v>
      </c>
      <c r="D494" s="26"/>
      <c r="F494" s="26">
        <v>42906.94</v>
      </c>
      <c r="G494" s="29">
        <f t="shared" si="15"/>
        <v>-9.8495953270613876E-3</v>
      </c>
      <c r="H494" s="26"/>
    </row>
    <row r="495" spans="1:8" x14ac:dyDescent="0.3">
      <c r="A495" s="26" t="s">
        <v>759</v>
      </c>
      <c r="B495" s="26">
        <v>72.5</v>
      </c>
      <c r="C495" s="29">
        <f t="shared" si="14"/>
        <v>7.6441973592772357E-3</v>
      </c>
      <c r="D495" s="26"/>
      <c r="F495" s="26">
        <v>43087.7</v>
      </c>
      <c r="G495" s="29">
        <f t="shared" si="15"/>
        <v>4.2128382960890422E-3</v>
      </c>
      <c r="H495" s="26"/>
    </row>
    <row r="496" spans="1:8" x14ac:dyDescent="0.3">
      <c r="A496" s="26" t="s">
        <v>758</v>
      </c>
      <c r="B496" s="26">
        <v>73.25</v>
      </c>
      <c r="C496" s="29">
        <f t="shared" si="14"/>
        <v>1.0344827586206896E-2</v>
      </c>
      <c r="D496" s="26"/>
      <c r="F496" s="26">
        <v>43416.77</v>
      </c>
      <c r="G496" s="29">
        <f t="shared" si="15"/>
        <v>7.6372143326285625E-3</v>
      </c>
      <c r="H496" s="26"/>
    </row>
    <row r="497" spans="1:8" x14ac:dyDescent="0.3">
      <c r="A497" s="26" t="s">
        <v>757</v>
      </c>
      <c r="B497" s="26">
        <v>73.099999999999994</v>
      </c>
      <c r="C497" s="29">
        <f t="shared" si="14"/>
        <v>-2.047781569965948E-3</v>
      </c>
      <c r="D497" s="26"/>
      <c r="F497" s="26">
        <v>43674.28</v>
      </c>
      <c r="G497" s="29">
        <f t="shared" si="15"/>
        <v>5.9311183213307224E-3</v>
      </c>
      <c r="H497" s="26"/>
    </row>
    <row r="498" spans="1:8" x14ac:dyDescent="0.3">
      <c r="A498" s="26" t="s">
        <v>756</v>
      </c>
      <c r="B498" s="26">
        <v>72.900000000000006</v>
      </c>
      <c r="C498" s="29">
        <f t="shared" si="14"/>
        <v>-2.7359781121749473E-3</v>
      </c>
      <c r="D498" s="26"/>
      <c r="F498" s="26">
        <v>43255.55</v>
      </c>
      <c r="G498" s="29">
        <f t="shared" si="15"/>
        <v>-9.5875650382787284E-3</v>
      </c>
      <c r="H498" s="26"/>
    </row>
    <row r="499" spans="1:8" x14ac:dyDescent="0.3">
      <c r="A499" s="26" t="s">
        <v>755</v>
      </c>
      <c r="B499" s="26">
        <v>71</v>
      </c>
      <c r="C499" s="29">
        <f t="shared" si="14"/>
        <v>-2.6063100137174288E-2</v>
      </c>
      <c r="D499" s="26"/>
      <c r="F499" s="26">
        <v>43694.76</v>
      </c>
      <c r="G499" s="29">
        <f t="shared" si="15"/>
        <v>1.0153841530162005E-2</v>
      </c>
      <c r="H499" s="26"/>
    </row>
    <row r="500" spans="1:8" x14ac:dyDescent="0.3">
      <c r="A500" s="26" t="s">
        <v>754</v>
      </c>
      <c r="B500" s="26">
        <v>70.790000000000006</v>
      </c>
      <c r="C500" s="29">
        <f t="shared" si="14"/>
        <v>-2.9577464788731514E-3</v>
      </c>
      <c r="D500" s="26"/>
      <c r="F500" s="26">
        <v>43755.38</v>
      </c>
      <c r="G500" s="29">
        <f t="shared" si="15"/>
        <v>1.3873517099074429E-3</v>
      </c>
      <c r="H500" s="26"/>
    </row>
    <row r="501" spans="1:8" x14ac:dyDescent="0.3">
      <c r="A501" s="27">
        <v>44197</v>
      </c>
      <c r="B501" s="26">
        <v>71.900000000000006</v>
      </c>
      <c r="C501" s="29">
        <f t="shared" si="14"/>
        <v>1.5680180816499495E-2</v>
      </c>
      <c r="D501" s="26"/>
      <c r="F501" s="26">
        <v>44434.8</v>
      </c>
      <c r="G501" s="29">
        <f t="shared" si="15"/>
        <v>1.552769053771229E-2</v>
      </c>
      <c r="H501" s="26"/>
    </row>
    <row r="502" spans="1:8" x14ac:dyDescent="0.3">
      <c r="A502" s="27">
        <v>44287</v>
      </c>
      <c r="B502" s="26">
        <v>72</v>
      </c>
      <c r="C502" s="29">
        <f t="shared" si="14"/>
        <v>1.3908205841445661E-3</v>
      </c>
      <c r="D502" s="26"/>
      <c r="F502" s="26">
        <v>44686.46</v>
      </c>
      <c r="G502" s="29">
        <f t="shared" si="15"/>
        <v>5.6635789966421862E-3</v>
      </c>
      <c r="H502" s="26"/>
    </row>
    <row r="503" spans="1:8" x14ac:dyDescent="0.3">
      <c r="A503" s="27">
        <v>44317</v>
      </c>
      <c r="B503" s="26">
        <v>71.849999999999994</v>
      </c>
      <c r="C503" s="29">
        <f t="shared" si="14"/>
        <v>-2.0833333333334122E-3</v>
      </c>
      <c r="D503" s="26"/>
      <c r="F503" s="26">
        <v>44650.43</v>
      </c>
      <c r="G503" s="29">
        <f t="shared" si="15"/>
        <v>-8.0628449870495081E-4</v>
      </c>
      <c r="H503" s="26"/>
    </row>
    <row r="504" spans="1:8" x14ac:dyDescent="0.3">
      <c r="A504" s="27">
        <v>44348</v>
      </c>
      <c r="B504" s="26">
        <v>72.44</v>
      </c>
      <c r="C504" s="29">
        <f t="shared" si="14"/>
        <v>8.2115518441197421E-3</v>
      </c>
      <c r="D504" s="26"/>
      <c r="F504" s="26">
        <v>45153.42</v>
      </c>
      <c r="G504" s="29">
        <f t="shared" si="15"/>
        <v>1.1265065084479544E-2</v>
      </c>
      <c r="H504" s="26"/>
    </row>
    <row r="505" spans="1:8" x14ac:dyDescent="0.3">
      <c r="A505" s="27">
        <v>44378</v>
      </c>
      <c r="B505" s="26">
        <v>73.7</v>
      </c>
      <c r="C505" s="29">
        <f t="shared" si="14"/>
        <v>1.7393705135284446E-2</v>
      </c>
      <c r="D505" s="26"/>
      <c r="F505" s="26">
        <v>45344.54</v>
      </c>
      <c r="G505" s="29">
        <f t="shared" si="15"/>
        <v>4.2326804924190152E-3</v>
      </c>
      <c r="H505" s="26"/>
    </row>
    <row r="506" spans="1:8" x14ac:dyDescent="0.3">
      <c r="A506" s="27">
        <v>44409</v>
      </c>
      <c r="B506" s="26">
        <v>75.45</v>
      </c>
      <c r="C506" s="29">
        <f t="shared" si="14"/>
        <v>2.3744911804613297E-2</v>
      </c>
      <c r="D506" s="26"/>
      <c r="F506" s="26">
        <v>45654.34</v>
      </c>
      <c r="G506" s="29">
        <f t="shared" si="15"/>
        <v>6.8321345855530922E-3</v>
      </c>
      <c r="H506" s="26"/>
    </row>
    <row r="507" spans="1:8" x14ac:dyDescent="0.3">
      <c r="A507" s="27">
        <v>44501</v>
      </c>
      <c r="B507" s="26">
        <v>76.25</v>
      </c>
      <c r="C507" s="29">
        <f t="shared" si="14"/>
        <v>1.0603048376408179E-2</v>
      </c>
      <c r="D507" s="26"/>
      <c r="F507" s="26">
        <v>45605.42</v>
      </c>
      <c r="G507" s="29">
        <f t="shared" si="15"/>
        <v>-1.0715301108284176E-3</v>
      </c>
      <c r="H507" s="26"/>
    </row>
    <row r="508" spans="1:8" x14ac:dyDescent="0.3">
      <c r="A508" s="27">
        <v>44531</v>
      </c>
      <c r="B508" s="26">
        <v>76.349999999999994</v>
      </c>
      <c r="C508" s="29">
        <f t="shared" si="14"/>
        <v>1.311475409835991E-3</v>
      </c>
      <c r="D508" s="26"/>
      <c r="F508" s="26">
        <v>45922.04</v>
      </c>
      <c r="G508" s="29">
        <f t="shared" si="15"/>
        <v>6.9425958581239384E-3</v>
      </c>
      <c r="H508" s="26"/>
    </row>
    <row r="509" spans="1:8" x14ac:dyDescent="0.3">
      <c r="A509" s="26" t="s">
        <v>753</v>
      </c>
      <c r="B509" s="26">
        <v>77.7</v>
      </c>
      <c r="C509" s="29">
        <f t="shared" si="14"/>
        <v>1.7681728880157285E-2</v>
      </c>
      <c r="D509" s="26"/>
      <c r="F509" s="26">
        <v>46091.96</v>
      </c>
      <c r="G509" s="29">
        <f t="shared" si="15"/>
        <v>3.7001840510569269E-3</v>
      </c>
      <c r="H509" s="26"/>
    </row>
    <row r="510" spans="1:8" x14ac:dyDescent="0.3">
      <c r="A510" s="26" t="s">
        <v>752</v>
      </c>
      <c r="B510" s="26">
        <v>77.2</v>
      </c>
      <c r="C510" s="29">
        <f t="shared" si="14"/>
        <v>-6.4350064350064346E-3</v>
      </c>
      <c r="D510" s="26"/>
      <c r="F510" s="26">
        <v>45989.35</v>
      </c>
      <c r="G510" s="29">
        <f t="shared" si="15"/>
        <v>-2.2262017063279711E-3</v>
      </c>
      <c r="H510" s="26"/>
    </row>
    <row r="511" spans="1:8" x14ac:dyDescent="0.3">
      <c r="A511" s="26" t="s">
        <v>751</v>
      </c>
      <c r="B511" s="26">
        <v>76.95</v>
      </c>
      <c r="C511" s="29">
        <f t="shared" si="14"/>
        <v>-3.2383419689119169E-3</v>
      </c>
      <c r="D511" s="26"/>
      <c r="F511" s="26">
        <v>45931</v>
      </c>
      <c r="G511" s="29">
        <f t="shared" si="15"/>
        <v>-1.268772009171657E-3</v>
      </c>
      <c r="H511" s="26"/>
    </row>
    <row r="512" spans="1:8" x14ac:dyDescent="0.3">
      <c r="A512" s="26" t="s">
        <v>750</v>
      </c>
      <c r="B512" s="26">
        <v>76.98</v>
      </c>
      <c r="C512" s="29">
        <f t="shared" si="14"/>
        <v>3.8986354775829933E-4</v>
      </c>
      <c r="D512" s="26"/>
      <c r="F512" s="26">
        <v>45726.68</v>
      </c>
      <c r="G512" s="29">
        <f t="shared" si="15"/>
        <v>-4.4484117480568615E-3</v>
      </c>
      <c r="H512" s="26"/>
    </row>
    <row r="513" spans="1:8" x14ac:dyDescent="0.3">
      <c r="A513" s="26" t="s">
        <v>749</v>
      </c>
      <c r="B513" s="26">
        <v>78.819999999999993</v>
      </c>
      <c r="C513" s="29">
        <f t="shared" si="14"/>
        <v>2.3902312288906068E-2</v>
      </c>
      <c r="D513" s="26"/>
      <c r="F513" s="26">
        <v>45903.23</v>
      </c>
      <c r="G513" s="29">
        <f t="shared" si="15"/>
        <v>3.8609844405936076E-3</v>
      </c>
      <c r="H513" s="26"/>
    </row>
    <row r="514" spans="1:8" x14ac:dyDescent="0.3">
      <c r="A514" s="26" t="s">
        <v>748</v>
      </c>
      <c r="B514" s="26">
        <v>78.31</v>
      </c>
      <c r="C514" s="29">
        <f t="shared" si="14"/>
        <v>-6.4704389748793572E-3</v>
      </c>
      <c r="D514" s="26"/>
      <c r="F514" s="26">
        <v>45676.94</v>
      </c>
      <c r="G514" s="29">
        <f t="shared" si="15"/>
        <v>-4.9297184533637576E-3</v>
      </c>
      <c r="H514" s="26"/>
    </row>
    <row r="515" spans="1:8" x14ac:dyDescent="0.3">
      <c r="A515" s="26" t="s">
        <v>747</v>
      </c>
      <c r="B515" s="26">
        <v>79.52</v>
      </c>
      <c r="C515" s="29">
        <f t="shared" si="14"/>
        <v>1.5451411058613123E-2</v>
      </c>
      <c r="D515" s="26"/>
      <c r="F515" s="26">
        <v>45984.46</v>
      </c>
      <c r="G515" s="29">
        <f t="shared" si="15"/>
        <v>6.7325000317446128E-3</v>
      </c>
      <c r="H515" s="26"/>
    </row>
    <row r="516" spans="1:8" x14ac:dyDescent="0.3">
      <c r="A516" s="26" t="s">
        <v>746</v>
      </c>
      <c r="B516" s="26">
        <v>79</v>
      </c>
      <c r="C516" s="29">
        <f t="shared" si="14"/>
        <v>-6.5392354124747991E-3</v>
      </c>
      <c r="D516" s="26"/>
      <c r="F516" s="26">
        <v>45868.04</v>
      </c>
      <c r="G516" s="29">
        <f t="shared" si="15"/>
        <v>-2.5317248479159752E-3</v>
      </c>
      <c r="H516" s="26"/>
    </row>
    <row r="517" spans="1:8" x14ac:dyDescent="0.3">
      <c r="A517" s="26" t="s">
        <v>745</v>
      </c>
      <c r="B517" s="26">
        <v>79.47</v>
      </c>
      <c r="C517" s="29">
        <f t="shared" ref="C517:C580" si="16">(B517-B516)/B516</f>
        <v>5.9493670886075802E-3</v>
      </c>
      <c r="D517" s="26"/>
      <c r="F517" s="26">
        <v>46087.64</v>
      </c>
      <c r="G517" s="29">
        <f t="shared" ref="G517:G580" si="17">(F517-F516)/F516</f>
        <v>4.7876473466055783E-3</v>
      </c>
      <c r="H517" s="26"/>
    </row>
    <row r="518" spans="1:8" x14ac:dyDescent="0.3">
      <c r="A518" s="26" t="s">
        <v>744</v>
      </c>
      <c r="B518" s="26">
        <v>79.06</v>
      </c>
      <c r="C518" s="29">
        <f t="shared" si="16"/>
        <v>-5.1591795646155356E-3</v>
      </c>
      <c r="D518" s="26"/>
      <c r="F518" s="26">
        <v>46287.38</v>
      </c>
      <c r="G518" s="29">
        <f t="shared" si="17"/>
        <v>4.3339168592706843E-3</v>
      </c>
      <c r="H518" s="26"/>
    </row>
    <row r="519" spans="1:8" x14ac:dyDescent="0.3">
      <c r="A519" s="26" t="s">
        <v>743</v>
      </c>
      <c r="B519" s="26">
        <v>77.03</v>
      </c>
      <c r="C519" s="29">
        <f t="shared" si="16"/>
        <v>-2.5676701239564902E-2</v>
      </c>
      <c r="D519" s="26"/>
      <c r="F519" s="26">
        <v>46458.13</v>
      </c>
      <c r="G519" s="29">
        <f t="shared" si="17"/>
        <v>3.6889104546422805E-3</v>
      </c>
      <c r="H519" s="26"/>
    </row>
    <row r="520" spans="1:8" x14ac:dyDescent="0.3">
      <c r="A520" s="26" t="s">
        <v>742</v>
      </c>
      <c r="B520" s="26">
        <v>75.89</v>
      </c>
      <c r="C520" s="29">
        <f t="shared" si="16"/>
        <v>-1.4799428793976379E-2</v>
      </c>
      <c r="D520" s="26"/>
      <c r="F520" s="26">
        <v>46166.05</v>
      </c>
      <c r="G520" s="29">
        <f t="shared" si="17"/>
        <v>-6.2869512828001147E-3</v>
      </c>
      <c r="H520" s="26"/>
    </row>
    <row r="521" spans="1:8" x14ac:dyDescent="0.3">
      <c r="A521" s="26" t="s">
        <v>741</v>
      </c>
      <c r="B521" s="26">
        <v>75.31</v>
      </c>
      <c r="C521" s="29">
        <f t="shared" si="16"/>
        <v>-7.6426406641190974E-3</v>
      </c>
      <c r="D521" s="26"/>
      <c r="F521" s="26">
        <v>46385.54</v>
      </c>
      <c r="G521" s="29">
        <f t="shared" si="17"/>
        <v>4.7543595347663047E-3</v>
      </c>
      <c r="H521" s="26"/>
    </row>
    <row r="522" spans="1:8" x14ac:dyDescent="0.3">
      <c r="A522" s="27">
        <v>44198</v>
      </c>
      <c r="B522" s="26">
        <v>74.650000000000006</v>
      </c>
      <c r="C522" s="29">
        <f t="shared" si="16"/>
        <v>-8.7637763909174955E-3</v>
      </c>
      <c r="D522" s="26"/>
      <c r="F522" s="26">
        <v>46248.45</v>
      </c>
      <c r="G522" s="29">
        <f t="shared" si="17"/>
        <v>-2.9554468914235726E-3</v>
      </c>
      <c r="H522" s="26"/>
    </row>
    <row r="523" spans="1:8" x14ac:dyDescent="0.3">
      <c r="A523" s="27">
        <v>44229</v>
      </c>
      <c r="B523" s="26">
        <v>74.22</v>
      </c>
      <c r="C523" s="29">
        <f t="shared" si="16"/>
        <v>-5.760214333556688E-3</v>
      </c>
      <c r="D523" s="26"/>
      <c r="F523" s="26">
        <v>46580.34</v>
      </c>
      <c r="G523" s="29">
        <f t="shared" si="17"/>
        <v>7.1762405010329959E-3</v>
      </c>
      <c r="H523" s="26"/>
    </row>
    <row r="524" spans="1:8" x14ac:dyDescent="0.3">
      <c r="A524" s="27">
        <v>44257</v>
      </c>
      <c r="B524" s="26">
        <v>74.78</v>
      </c>
      <c r="C524" s="29">
        <f t="shared" si="16"/>
        <v>7.5451360819186507E-3</v>
      </c>
      <c r="D524" s="26"/>
      <c r="F524" s="26">
        <v>46933.63</v>
      </c>
      <c r="G524" s="29">
        <f t="shared" si="17"/>
        <v>7.5845302975461517E-3</v>
      </c>
      <c r="H524" s="26"/>
    </row>
    <row r="525" spans="1:8" x14ac:dyDescent="0.3">
      <c r="A525" s="27">
        <v>44288</v>
      </c>
      <c r="B525" s="26">
        <v>74.709999999999994</v>
      </c>
      <c r="C525" s="29">
        <f t="shared" si="16"/>
        <v>-9.3607916555238553E-4</v>
      </c>
      <c r="D525" s="26"/>
      <c r="F525" s="26">
        <v>46905.79</v>
      </c>
      <c r="G525" s="29">
        <f t="shared" si="17"/>
        <v>-5.9317806868969031E-4</v>
      </c>
      <c r="H525" s="26"/>
    </row>
    <row r="526" spans="1:8" x14ac:dyDescent="0.3">
      <c r="A526" s="27">
        <v>44410</v>
      </c>
      <c r="B526" s="26">
        <v>74.849999999999994</v>
      </c>
      <c r="C526" s="29">
        <f t="shared" si="16"/>
        <v>1.8739124615178768E-3</v>
      </c>
      <c r="D526" s="26"/>
      <c r="F526" s="26">
        <v>46721.87</v>
      </c>
      <c r="G526" s="29">
        <f t="shared" si="17"/>
        <v>-3.9210511111740839E-3</v>
      </c>
      <c r="H526" s="26"/>
    </row>
    <row r="527" spans="1:8" x14ac:dyDescent="0.3">
      <c r="A527" s="27">
        <v>44441</v>
      </c>
      <c r="B527" s="26">
        <v>75</v>
      </c>
      <c r="C527" s="29">
        <f t="shared" si="16"/>
        <v>2.0040080160321403E-3</v>
      </c>
      <c r="D527" s="26"/>
      <c r="F527" s="26">
        <v>46674.77</v>
      </c>
      <c r="G527" s="29">
        <f t="shared" si="17"/>
        <v>-1.0080932120226742E-3</v>
      </c>
      <c r="H527" s="26"/>
    </row>
    <row r="528" spans="1:8" x14ac:dyDescent="0.3">
      <c r="A528" s="27">
        <v>44471</v>
      </c>
      <c r="B528" s="26">
        <v>73.989999999999995</v>
      </c>
      <c r="C528" s="29">
        <f t="shared" si="16"/>
        <v>-1.3466666666666734E-2</v>
      </c>
      <c r="D528" s="26"/>
      <c r="F528" s="26">
        <v>46644.29</v>
      </c>
      <c r="G528" s="29">
        <f t="shared" si="17"/>
        <v>-6.5302946324097429E-4</v>
      </c>
      <c r="H528" s="26"/>
    </row>
    <row r="529" spans="1:8" x14ac:dyDescent="0.3">
      <c r="A529" s="27">
        <v>44502</v>
      </c>
      <c r="B529" s="26">
        <v>73.239999999999995</v>
      </c>
      <c r="C529" s="29">
        <f t="shared" si="16"/>
        <v>-1.0136504933099068E-2</v>
      </c>
      <c r="D529" s="26"/>
      <c r="F529" s="26">
        <v>46055.519999999997</v>
      </c>
      <c r="G529" s="29">
        <f t="shared" si="17"/>
        <v>-1.2622552513930517E-2</v>
      </c>
      <c r="H529" s="26"/>
    </row>
    <row r="530" spans="1:8" x14ac:dyDescent="0.3">
      <c r="A530" s="27">
        <v>44532</v>
      </c>
      <c r="B530" s="26">
        <v>72.5</v>
      </c>
      <c r="C530" s="29">
        <f t="shared" si="16"/>
        <v>-1.0103768432550449E-2</v>
      </c>
      <c r="D530" s="26"/>
      <c r="F530" s="26">
        <v>45808.36</v>
      </c>
      <c r="G530" s="29">
        <f t="shared" si="17"/>
        <v>-5.3665662661065653E-3</v>
      </c>
      <c r="H530" s="26"/>
    </row>
    <row r="531" spans="1:8" x14ac:dyDescent="0.3">
      <c r="A531" s="26" t="s">
        <v>740</v>
      </c>
      <c r="B531" s="26">
        <v>72.64</v>
      </c>
      <c r="C531" s="29">
        <f t="shared" si="16"/>
        <v>1.9310344827586285E-3</v>
      </c>
      <c r="D531" s="26"/>
      <c r="F531" s="26">
        <v>46375.59</v>
      </c>
      <c r="G531" s="29">
        <f t="shared" si="17"/>
        <v>1.238267425421901E-2</v>
      </c>
      <c r="H531" s="26"/>
    </row>
    <row r="532" spans="1:8" x14ac:dyDescent="0.3">
      <c r="A532" s="26" t="s">
        <v>739</v>
      </c>
      <c r="B532" s="26">
        <v>72.34</v>
      </c>
      <c r="C532" s="29">
        <f t="shared" si="16"/>
        <v>-4.1299559471365248E-3</v>
      </c>
      <c r="D532" s="26"/>
      <c r="F532" s="26">
        <v>46867.95</v>
      </c>
      <c r="G532" s="29">
        <f t="shared" si="17"/>
        <v>1.0616792152940816E-2</v>
      </c>
      <c r="H532" s="26"/>
    </row>
    <row r="533" spans="1:8" x14ac:dyDescent="0.3">
      <c r="A533" s="26" t="s">
        <v>738</v>
      </c>
      <c r="B533" s="26">
        <v>73.489999999999995</v>
      </c>
      <c r="C533" s="29">
        <f t="shared" si="16"/>
        <v>1.5897152336190094E-2</v>
      </c>
      <c r="D533" s="26"/>
      <c r="F533" s="26">
        <v>46768.14</v>
      </c>
      <c r="G533" s="29">
        <f t="shared" si="17"/>
        <v>-2.1296002918838497E-3</v>
      </c>
      <c r="H533" s="26"/>
    </row>
    <row r="534" spans="1:8" x14ac:dyDescent="0.3">
      <c r="A534" s="26" t="s">
        <v>737</v>
      </c>
      <c r="B534" s="26">
        <v>72.010000000000005</v>
      </c>
      <c r="C534" s="29">
        <f t="shared" si="16"/>
        <v>-2.0138794393794936E-2</v>
      </c>
      <c r="D534" s="26"/>
      <c r="F534" s="26">
        <v>46142.74</v>
      </c>
      <c r="G534" s="29">
        <f t="shared" si="17"/>
        <v>-1.3372351348589049E-2</v>
      </c>
      <c r="H534" s="26"/>
    </row>
    <row r="535" spans="1:8" x14ac:dyDescent="0.3">
      <c r="A535" s="26" t="s">
        <v>736</v>
      </c>
      <c r="B535" s="26">
        <v>72</v>
      </c>
      <c r="C535" s="29">
        <f t="shared" si="16"/>
        <v>-1.3886960144431489E-4</v>
      </c>
      <c r="D535" s="26"/>
      <c r="F535" s="26">
        <v>46227.65</v>
      </c>
      <c r="G535" s="29">
        <f t="shared" si="17"/>
        <v>1.8401594703739634E-3</v>
      </c>
      <c r="H535" s="26"/>
    </row>
    <row r="536" spans="1:8" x14ac:dyDescent="0.3">
      <c r="A536" s="26" t="s">
        <v>735</v>
      </c>
      <c r="B536" s="26">
        <v>70.900000000000006</v>
      </c>
      <c r="C536" s="29">
        <f t="shared" si="16"/>
        <v>-1.5277777777777699E-2</v>
      </c>
      <c r="D536" s="26"/>
      <c r="F536" s="26">
        <v>45890.04</v>
      </c>
      <c r="G536" s="29">
        <f t="shared" si="17"/>
        <v>-7.3032049000976811E-3</v>
      </c>
      <c r="H536" s="26"/>
    </row>
    <row r="537" spans="1:8" x14ac:dyDescent="0.3">
      <c r="A537" s="26" t="s">
        <v>734</v>
      </c>
      <c r="B537" s="26">
        <v>70</v>
      </c>
      <c r="C537" s="29">
        <f t="shared" si="16"/>
        <v>-1.2693935119887244E-2</v>
      </c>
      <c r="D537" s="26"/>
      <c r="F537" s="26">
        <v>45728.75</v>
      </c>
      <c r="G537" s="29">
        <f t="shared" si="17"/>
        <v>-3.5147060233549779E-3</v>
      </c>
      <c r="H537" s="26"/>
    </row>
    <row r="538" spans="1:8" x14ac:dyDescent="0.3">
      <c r="A538" s="26" t="s">
        <v>733</v>
      </c>
      <c r="B538" s="26">
        <v>70</v>
      </c>
      <c r="C538" s="29">
        <f t="shared" si="16"/>
        <v>0</v>
      </c>
      <c r="D538" s="26"/>
      <c r="F538" s="26">
        <v>45362.58</v>
      </c>
      <c r="G538" s="29">
        <f t="shared" si="17"/>
        <v>-8.0074351474728311E-3</v>
      </c>
      <c r="H538" s="26"/>
    </row>
    <row r="539" spans="1:8" x14ac:dyDescent="0.3">
      <c r="A539" s="26" t="s">
        <v>732</v>
      </c>
      <c r="B539" s="26">
        <v>71.25</v>
      </c>
      <c r="C539" s="29">
        <f t="shared" si="16"/>
        <v>1.7857142857142856E-2</v>
      </c>
      <c r="D539" s="26"/>
      <c r="F539" s="26">
        <v>45965.62</v>
      </c>
      <c r="G539" s="29">
        <f t="shared" si="17"/>
        <v>1.329377650036662E-2</v>
      </c>
      <c r="H539" s="26"/>
    </row>
    <row r="540" spans="1:8" x14ac:dyDescent="0.3">
      <c r="A540" s="26" t="s">
        <v>731</v>
      </c>
      <c r="B540" s="26">
        <v>70.5</v>
      </c>
      <c r="C540" s="29">
        <f t="shared" si="16"/>
        <v>-1.0526315789473684E-2</v>
      </c>
      <c r="D540" s="26"/>
      <c r="F540" s="26">
        <v>45865.02</v>
      </c>
      <c r="G540" s="29">
        <f t="shared" si="17"/>
        <v>-2.1885922565605732E-3</v>
      </c>
      <c r="H540" s="26"/>
    </row>
    <row r="541" spans="1:8" x14ac:dyDescent="0.3">
      <c r="A541" s="27">
        <v>44199</v>
      </c>
      <c r="B541" s="26">
        <v>69.739999999999995</v>
      </c>
      <c r="C541" s="29">
        <f t="shared" si="16"/>
        <v>-1.0780141843971703E-2</v>
      </c>
      <c r="D541" s="26"/>
      <c r="F541" s="26">
        <v>45593.43</v>
      </c>
      <c r="G541" s="29">
        <f t="shared" si="17"/>
        <v>-5.9215061936089101E-3</v>
      </c>
      <c r="H541" s="26"/>
    </row>
    <row r="542" spans="1:8" x14ac:dyDescent="0.3">
      <c r="A542" s="27">
        <v>44230</v>
      </c>
      <c r="B542" s="26">
        <v>70.5</v>
      </c>
      <c r="C542" s="29">
        <f t="shared" si="16"/>
        <v>1.0897619730427376E-2</v>
      </c>
      <c r="D542" s="26"/>
      <c r="F542" s="26">
        <v>45964.27</v>
      </c>
      <c r="G542" s="29">
        <f t="shared" si="17"/>
        <v>8.133628024914916E-3</v>
      </c>
      <c r="H542" s="26"/>
    </row>
    <row r="543" spans="1:8" x14ac:dyDescent="0.3">
      <c r="A543" s="27">
        <v>44258</v>
      </c>
      <c r="B543" s="26">
        <v>70.48</v>
      </c>
      <c r="C543" s="29">
        <f t="shared" si="16"/>
        <v>-2.8368794326235491E-4</v>
      </c>
      <c r="D543" s="26"/>
      <c r="F543" s="26">
        <v>46160.78</v>
      </c>
      <c r="G543" s="29">
        <f t="shared" si="17"/>
        <v>4.275277296909144E-3</v>
      </c>
      <c r="H543" s="26"/>
    </row>
    <row r="544" spans="1:8" x14ac:dyDescent="0.3">
      <c r="A544" s="27">
        <v>44289</v>
      </c>
      <c r="B544" s="26">
        <v>69.69</v>
      </c>
      <c r="C544" s="29">
        <f t="shared" si="16"/>
        <v>-1.1208853575482495E-2</v>
      </c>
      <c r="D544" s="26"/>
      <c r="F544" s="26">
        <v>45278.53</v>
      </c>
      <c r="G544" s="29">
        <f t="shared" si="17"/>
        <v>-1.9112545325273966E-2</v>
      </c>
      <c r="H544" s="26"/>
    </row>
    <row r="545" spans="1:8" x14ac:dyDescent="0.3">
      <c r="A545" s="27">
        <v>44319</v>
      </c>
      <c r="B545" s="26">
        <v>70.25</v>
      </c>
      <c r="C545" s="29">
        <f t="shared" si="16"/>
        <v>8.0355861673124165E-3</v>
      </c>
      <c r="D545" s="26"/>
      <c r="F545" s="26">
        <v>45837.35</v>
      </c>
      <c r="G545" s="29">
        <f t="shared" si="17"/>
        <v>1.2341831768831711E-2</v>
      </c>
      <c r="H545" s="26"/>
    </row>
    <row r="546" spans="1:8" x14ac:dyDescent="0.3">
      <c r="A546" s="27">
        <v>44411</v>
      </c>
      <c r="B546" s="26">
        <v>69.05</v>
      </c>
      <c r="C546" s="29">
        <f t="shared" si="16"/>
        <v>-1.7081850533807869E-2</v>
      </c>
      <c r="D546" s="26"/>
      <c r="F546" s="26">
        <v>45051.05</v>
      </c>
      <c r="G546" s="29">
        <f t="shared" si="17"/>
        <v>-1.7154133037795501E-2</v>
      </c>
      <c r="H546" s="26"/>
    </row>
    <row r="547" spans="1:8" x14ac:dyDescent="0.3">
      <c r="A547" s="27">
        <v>44442</v>
      </c>
      <c r="B547" s="26">
        <v>70.489999999999995</v>
      </c>
      <c r="C547" s="29">
        <f t="shared" si="16"/>
        <v>2.0854453294713943E-2</v>
      </c>
      <c r="D547" s="26"/>
      <c r="F547" s="26">
        <v>44222.91</v>
      </c>
      <c r="G547" s="29">
        <f t="shared" si="17"/>
        <v>-1.8382257461257826E-2</v>
      </c>
      <c r="H547" s="26"/>
    </row>
    <row r="548" spans="1:8" x14ac:dyDescent="0.3">
      <c r="A548" s="27">
        <v>44472</v>
      </c>
      <c r="B548" s="26">
        <v>70.510000000000005</v>
      </c>
      <c r="C548" s="29">
        <f t="shared" si="16"/>
        <v>2.8372818839566226E-4</v>
      </c>
      <c r="D548" s="26"/>
      <c r="F548" s="26">
        <v>43691.68</v>
      </c>
      <c r="G548" s="29">
        <f t="shared" si="17"/>
        <v>-1.2012551865085385E-2</v>
      </c>
      <c r="H548" s="26"/>
    </row>
    <row r="549" spans="1:8" x14ac:dyDescent="0.3">
      <c r="A549" s="27">
        <v>44503</v>
      </c>
      <c r="B549" s="26">
        <v>65.11</v>
      </c>
      <c r="C549" s="29">
        <f t="shared" si="16"/>
        <v>-7.6584881577081335E-2</v>
      </c>
      <c r="D549" s="26"/>
      <c r="F549" s="26">
        <v>42779.76</v>
      </c>
      <c r="G549" s="29">
        <f t="shared" si="17"/>
        <v>-2.0871708297781139E-2</v>
      </c>
      <c r="H549" s="26"/>
    </row>
    <row r="550" spans="1:8" x14ac:dyDescent="0.3">
      <c r="A550" s="27">
        <v>44533</v>
      </c>
      <c r="B550" s="26">
        <v>66</v>
      </c>
      <c r="C550" s="29">
        <f t="shared" si="16"/>
        <v>1.3669175241898335E-2</v>
      </c>
      <c r="D550" s="26"/>
      <c r="F550" s="26">
        <v>43788.08</v>
      </c>
      <c r="G550" s="29">
        <f t="shared" si="17"/>
        <v>2.3570024703270884E-2</v>
      </c>
      <c r="H550" s="26"/>
    </row>
    <row r="551" spans="1:8" x14ac:dyDescent="0.3">
      <c r="A551" s="26" t="s">
        <v>730</v>
      </c>
      <c r="B551" s="26">
        <v>67</v>
      </c>
      <c r="C551" s="29">
        <f t="shared" si="16"/>
        <v>1.5151515151515152E-2</v>
      </c>
      <c r="D551" s="26"/>
      <c r="F551" s="26">
        <v>44766.59</v>
      </c>
      <c r="G551" s="29">
        <f t="shared" si="17"/>
        <v>2.2346492470096763E-2</v>
      </c>
      <c r="H551" s="26"/>
    </row>
    <row r="552" spans="1:8" x14ac:dyDescent="0.3">
      <c r="A552" s="26" t="s">
        <v>729</v>
      </c>
      <c r="B552" s="26">
        <v>67.489999999999995</v>
      </c>
      <c r="C552" s="29">
        <f t="shared" si="16"/>
        <v>7.3134328358208196E-3</v>
      </c>
      <c r="D552" s="26"/>
      <c r="F552" s="26">
        <v>44857.06</v>
      </c>
      <c r="G552" s="29">
        <f t="shared" si="17"/>
        <v>2.0209267670376761E-3</v>
      </c>
      <c r="H552" s="26"/>
    </row>
    <row r="553" spans="1:8" x14ac:dyDescent="0.3">
      <c r="A553" s="26" t="s">
        <v>728</v>
      </c>
      <c r="B553" s="26">
        <v>68.010000000000005</v>
      </c>
      <c r="C553" s="29">
        <f t="shared" si="16"/>
        <v>7.7048451622464108E-3</v>
      </c>
      <c r="D553" s="26"/>
      <c r="F553" s="26">
        <v>45450.31</v>
      </c>
      <c r="G553" s="29">
        <f t="shared" si="17"/>
        <v>1.3225342900314912E-2</v>
      </c>
      <c r="H553" s="26"/>
    </row>
    <row r="554" spans="1:8" x14ac:dyDescent="0.3">
      <c r="A554" s="26" t="s">
        <v>727</v>
      </c>
      <c r="B554" s="26">
        <v>66</v>
      </c>
      <c r="C554" s="29">
        <f t="shared" si="16"/>
        <v>-2.9554477282752609E-2</v>
      </c>
      <c r="D554" s="26"/>
      <c r="F554" s="26">
        <v>44724.09</v>
      </c>
      <c r="G554" s="29">
        <f t="shared" si="17"/>
        <v>-1.5978328860683264E-2</v>
      </c>
      <c r="H554" s="26"/>
    </row>
    <row r="555" spans="1:8" x14ac:dyDescent="0.3">
      <c r="A555" s="26" t="s">
        <v>726</v>
      </c>
      <c r="B555" s="26">
        <v>65.48</v>
      </c>
      <c r="C555" s="29">
        <f t="shared" si="16"/>
        <v>-7.8787878787878185E-3</v>
      </c>
      <c r="D555" s="26"/>
      <c r="F555" s="26">
        <v>44901.31</v>
      </c>
      <c r="G555" s="29">
        <f t="shared" si="17"/>
        <v>3.9625177393212739E-3</v>
      </c>
      <c r="H555" s="26"/>
    </row>
    <row r="556" spans="1:8" x14ac:dyDescent="0.3">
      <c r="A556" s="26" t="s">
        <v>725</v>
      </c>
      <c r="B556" s="26">
        <v>66.540000000000006</v>
      </c>
      <c r="C556" s="29">
        <f t="shared" si="16"/>
        <v>1.6188149053146032E-2</v>
      </c>
      <c r="D556" s="26"/>
      <c r="F556" s="26">
        <v>45407.33</v>
      </c>
      <c r="G556" s="29">
        <f t="shared" si="17"/>
        <v>1.1269604383480217E-2</v>
      </c>
      <c r="H556" s="26"/>
    </row>
    <row r="557" spans="1:8" x14ac:dyDescent="0.3">
      <c r="A557" s="26" t="s">
        <v>724</v>
      </c>
      <c r="B557" s="26">
        <v>67.19</v>
      </c>
      <c r="C557" s="29">
        <f t="shared" si="16"/>
        <v>9.768560264502426E-3</v>
      </c>
      <c r="D557" s="26"/>
      <c r="F557" s="26">
        <v>45544.19</v>
      </c>
      <c r="G557" s="29">
        <f t="shared" si="17"/>
        <v>3.014050815143735E-3</v>
      </c>
      <c r="H557" s="26"/>
    </row>
    <row r="558" spans="1:8" x14ac:dyDescent="0.3">
      <c r="A558" s="26" t="s">
        <v>723</v>
      </c>
      <c r="B558" s="26">
        <v>67.94</v>
      </c>
      <c r="C558" s="29">
        <f t="shared" si="16"/>
        <v>1.116237535347522E-2</v>
      </c>
      <c r="D558" s="26"/>
      <c r="F558" s="26">
        <v>45726.16</v>
      </c>
      <c r="G558" s="29">
        <f t="shared" si="17"/>
        <v>3.9954602332372396E-3</v>
      </c>
      <c r="H558" s="26"/>
    </row>
    <row r="559" spans="1:8" x14ac:dyDescent="0.3">
      <c r="A559" s="26" t="s">
        <v>722</v>
      </c>
      <c r="B559" s="26">
        <v>66</v>
      </c>
      <c r="C559" s="29">
        <f t="shared" si="16"/>
        <v>-2.8554607006181891E-2</v>
      </c>
      <c r="D559" s="26"/>
      <c r="F559" s="26">
        <v>45521.63</v>
      </c>
      <c r="G559" s="29">
        <f t="shared" si="17"/>
        <v>-4.4729319059375657E-3</v>
      </c>
      <c r="H559" s="26"/>
    </row>
    <row r="560" spans="1:8" x14ac:dyDescent="0.3">
      <c r="A560" s="26" t="s">
        <v>721</v>
      </c>
      <c r="B560" s="26">
        <v>65.25</v>
      </c>
      <c r="C560" s="29">
        <f t="shared" si="16"/>
        <v>-1.1363636363636364E-2</v>
      </c>
      <c r="D560" s="26"/>
      <c r="F560" s="26">
        <v>44431.8</v>
      </c>
      <c r="G560" s="29">
        <f t="shared" si="17"/>
        <v>-2.3940926544150431E-2</v>
      </c>
      <c r="H560" s="26"/>
    </row>
    <row r="561" spans="1:8" x14ac:dyDescent="0.3">
      <c r="A561" s="26" t="s">
        <v>720</v>
      </c>
      <c r="B561" s="26">
        <v>65.5</v>
      </c>
      <c r="C561" s="29">
        <f t="shared" si="16"/>
        <v>3.8314176245210726E-3</v>
      </c>
      <c r="D561" s="26"/>
      <c r="F561" s="26">
        <v>44491.03</v>
      </c>
      <c r="G561" s="29">
        <f t="shared" si="17"/>
        <v>1.3330542539351528E-3</v>
      </c>
      <c r="H561" s="26"/>
    </row>
    <row r="562" spans="1:8" x14ac:dyDescent="0.3">
      <c r="A562" s="26" t="s">
        <v>719</v>
      </c>
      <c r="B562" s="26">
        <v>64.75</v>
      </c>
      <c r="C562" s="29">
        <f t="shared" si="16"/>
        <v>-1.1450381679389313E-2</v>
      </c>
      <c r="D562" s="26"/>
      <c r="F562" s="26">
        <v>44587.85</v>
      </c>
      <c r="G562" s="29">
        <f t="shared" si="17"/>
        <v>2.1761689940646397E-3</v>
      </c>
      <c r="H562" s="26"/>
    </row>
    <row r="563" spans="1:8" x14ac:dyDescent="0.3">
      <c r="A563" s="27">
        <v>44200</v>
      </c>
      <c r="B563" s="26">
        <v>64.400000000000006</v>
      </c>
      <c r="C563" s="29">
        <f t="shared" si="16"/>
        <v>-5.4054054054053172E-3</v>
      </c>
      <c r="D563" s="26"/>
      <c r="F563" s="26">
        <v>44428.1</v>
      </c>
      <c r="G563" s="29">
        <f t="shared" si="17"/>
        <v>-3.5828146008385696E-3</v>
      </c>
      <c r="H563" s="26"/>
    </row>
    <row r="564" spans="1:8" x14ac:dyDescent="0.3">
      <c r="A564" s="27">
        <v>44231</v>
      </c>
      <c r="B564" s="26">
        <v>64.150000000000006</v>
      </c>
      <c r="C564" s="29">
        <f t="shared" si="16"/>
        <v>-3.8819875776397511E-3</v>
      </c>
      <c r="D564" s="26"/>
      <c r="F564" s="26">
        <v>44300.95</v>
      </c>
      <c r="G564" s="29">
        <f t="shared" si="17"/>
        <v>-2.8619274738285335E-3</v>
      </c>
      <c r="H564" s="26"/>
    </row>
    <row r="565" spans="1:8" x14ac:dyDescent="0.3">
      <c r="A565" s="27">
        <v>44320</v>
      </c>
      <c r="B565" s="26">
        <v>63.5</v>
      </c>
      <c r="C565" s="29">
        <f t="shared" si="16"/>
        <v>-1.0132501948558154E-2</v>
      </c>
      <c r="D565" s="26"/>
      <c r="F565" s="26">
        <v>43548.21</v>
      </c>
      <c r="G565" s="29">
        <f t="shared" si="17"/>
        <v>-1.69915092114277E-2</v>
      </c>
      <c r="H565" s="26"/>
    </row>
    <row r="566" spans="1:8" x14ac:dyDescent="0.3">
      <c r="A566" s="27">
        <v>44351</v>
      </c>
      <c r="B566" s="26">
        <v>64.5</v>
      </c>
      <c r="C566" s="29">
        <f t="shared" si="16"/>
        <v>1.5748031496062992E-2</v>
      </c>
      <c r="D566" s="26"/>
      <c r="F566" s="26">
        <v>44404.7</v>
      </c>
      <c r="G566" s="29">
        <f t="shared" si="17"/>
        <v>1.9667628129835829E-2</v>
      </c>
      <c r="H566" s="26"/>
    </row>
    <row r="567" spans="1:8" x14ac:dyDescent="0.3">
      <c r="A567" s="27">
        <v>44381</v>
      </c>
      <c r="B567" s="26">
        <v>62.38</v>
      </c>
      <c r="C567" s="29">
        <f t="shared" si="16"/>
        <v>-3.2868217054263529E-2</v>
      </c>
      <c r="D567" s="26"/>
      <c r="F567" s="26">
        <v>43953.58</v>
      </c>
      <c r="G567" s="29">
        <f t="shared" si="17"/>
        <v>-1.015928494055799E-2</v>
      </c>
      <c r="H567" s="26"/>
    </row>
    <row r="568" spans="1:8" x14ac:dyDescent="0.3">
      <c r="A568" s="27">
        <v>44412</v>
      </c>
      <c r="B568" s="26">
        <v>63.3</v>
      </c>
      <c r="C568" s="29">
        <f t="shared" si="16"/>
        <v>1.4748316768194847E-2</v>
      </c>
      <c r="D568" s="26"/>
      <c r="F568" s="26">
        <v>44741.36</v>
      </c>
      <c r="G568" s="29">
        <f t="shared" si="17"/>
        <v>1.7922999673746685E-2</v>
      </c>
      <c r="H568" s="26"/>
    </row>
    <row r="569" spans="1:8" x14ac:dyDescent="0.3">
      <c r="A569" s="27">
        <v>44443</v>
      </c>
      <c r="B569" s="26">
        <v>63.02</v>
      </c>
      <c r="C569" s="29">
        <f t="shared" si="16"/>
        <v>-4.423380726698168E-3</v>
      </c>
      <c r="D569" s="26"/>
      <c r="F569" s="26">
        <v>45186.48</v>
      </c>
      <c r="G569" s="29">
        <f t="shared" si="17"/>
        <v>9.948736471131021E-3</v>
      </c>
      <c r="H569" s="26"/>
    </row>
    <row r="570" spans="1:8" x14ac:dyDescent="0.3">
      <c r="A570" s="27">
        <v>44534</v>
      </c>
      <c r="B570" s="26">
        <v>62.87</v>
      </c>
      <c r="C570" s="29">
        <f t="shared" si="16"/>
        <v>-2.3801967629324926E-3</v>
      </c>
      <c r="D570" s="26"/>
      <c r="F570" s="26">
        <v>44978.05</v>
      </c>
      <c r="G570" s="29">
        <f t="shared" si="17"/>
        <v>-4.6126629027089579E-3</v>
      </c>
      <c r="H570" s="26"/>
    </row>
    <row r="571" spans="1:8" x14ac:dyDescent="0.3">
      <c r="A571" s="26" t="s">
        <v>718</v>
      </c>
      <c r="B571" s="26">
        <v>64.099999999999994</v>
      </c>
      <c r="C571" s="29">
        <f t="shared" si="16"/>
        <v>1.9564180054079797E-2</v>
      </c>
      <c r="D571" s="26"/>
      <c r="F571" s="26">
        <v>45048.57</v>
      </c>
      <c r="G571" s="29">
        <f t="shared" si="17"/>
        <v>1.5678758861266062E-3</v>
      </c>
      <c r="H571" s="26"/>
    </row>
    <row r="572" spans="1:8" x14ac:dyDescent="0.3">
      <c r="A572" s="26" t="s">
        <v>717</v>
      </c>
      <c r="B572" s="26">
        <v>64.989999999999995</v>
      </c>
      <c r="C572" s="29">
        <f t="shared" si="16"/>
        <v>1.3884555382215299E-2</v>
      </c>
      <c r="D572" s="26"/>
      <c r="F572" s="26">
        <v>45311.22</v>
      </c>
      <c r="G572" s="29">
        <f t="shared" si="17"/>
        <v>5.8303737499326054E-3</v>
      </c>
      <c r="H572" s="26"/>
    </row>
    <row r="573" spans="1:8" x14ac:dyDescent="0.3">
      <c r="A573" s="26" t="s">
        <v>716</v>
      </c>
      <c r="B573" s="26">
        <v>64.48</v>
      </c>
      <c r="C573" s="29">
        <f t="shared" si="16"/>
        <v>-7.8473611324817814E-3</v>
      </c>
      <c r="D573" s="26"/>
      <c r="F573" s="26">
        <v>45230.18</v>
      </c>
      <c r="G573" s="29">
        <f t="shared" si="17"/>
        <v>-1.7885194881091455E-3</v>
      </c>
      <c r="H573" s="26"/>
    </row>
    <row r="574" spans="1:8" x14ac:dyDescent="0.3">
      <c r="A574" s="26" t="s">
        <v>715</v>
      </c>
      <c r="B574" s="26">
        <v>64.97</v>
      </c>
      <c r="C574" s="29">
        <f t="shared" si="16"/>
        <v>7.5992555831264708E-3</v>
      </c>
      <c r="D574" s="26"/>
      <c r="F574" s="26">
        <v>45305.63</v>
      </c>
      <c r="G574" s="29">
        <f t="shared" si="17"/>
        <v>1.6681339760309839E-3</v>
      </c>
      <c r="H574" s="26"/>
    </row>
    <row r="575" spans="1:8" x14ac:dyDescent="0.3">
      <c r="A575" s="26" t="s">
        <v>714</v>
      </c>
      <c r="B575" s="26">
        <v>63.89</v>
      </c>
      <c r="C575" s="29">
        <f t="shared" si="16"/>
        <v>-1.6623056795444024E-2</v>
      </c>
      <c r="D575" s="26"/>
      <c r="F575" s="26">
        <v>44913.57</v>
      </c>
      <c r="G575" s="29">
        <f t="shared" si="17"/>
        <v>-8.653670636519074E-3</v>
      </c>
      <c r="H575" s="26"/>
    </row>
    <row r="576" spans="1:8" x14ac:dyDescent="0.3">
      <c r="A576" s="26" t="s">
        <v>713</v>
      </c>
      <c r="B576" s="26">
        <v>64.489999999999995</v>
      </c>
      <c r="C576" s="29">
        <f t="shared" si="16"/>
        <v>9.3911410236342825E-3</v>
      </c>
      <c r="D576" s="26"/>
      <c r="F576" s="26">
        <v>45399.78</v>
      </c>
      <c r="G576" s="29">
        <f t="shared" si="17"/>
        <v>1.0825458764466934E-2</v>
      </c>
      <c r="H576" s="26"/>
    </row>
    <row r="577" spans="1:8" x14ac:dyDescent="0.3">
      <c r="A577" s="26" t="s">
        <v>712</v>
      </c>
      <c r="B577" s="26">
        <v>64.44</v>
      </c>
      <c r="C577" s="29">
        <f t="shared" si="16"/>
        <v>-7.7531400217083516E-4</v>
      </c>
      <c r="D577" s="26"/>
      <c r="F577" s="26">
        <v>45306.54</v>
      </c>
      <c r="G577" s="29">
        <f t="shared" si="17"/>
        <v>-2.0537544455060787E-3</v>
      </c>
      <c r="H577" s="26"/>
    </row>
    <row r="578" spans="1:8" x14ac:dyDescent="0.3">
      <c r="A578" s="26" t="s">
        <v>711</v>
      </c>
      <c r="B578" s="26">
        <v>64.849999999999994</v>
      </c>
      <c r="C578" s="29">
        <f t="shared" si="16"/>
        <v>6.3625077591557512E-3</v>
      </c>
      <c r="D578" s="26"/>
      <c r="F578" s="26">
        <v>44929.61</v>
      </c>
      <c r="G578" s="29">
        <f t="shared" si="17"/>
        <v>-8.3195494513595668E-3</v>
      </c>
      <c r="H578" s="26"/>
    </row>
    <row r="579" spans="1:8" x14ac:dyDescent="0.3">
      <c r="A579" s="26" t="s">
        <v>710</v>
      </c>
      <c r="B579" s="26">
        <v>64.08</v>
      </c>
      <c r="C579" s="29">
        <f t="shared" si="16"/>
        <v>-1.1873554356206571E-2</v>
      </c>
      <c r="D579" s="26"/>
      <c r="F579" s="26">
        <v>44706.76</v>
      </c>
      <c r="G579" s="29">
        <f t="shared" si="17"/>
        <v>-4.9599807343085897E-3</v>
      </c>
      <c r="H579" s="26"/>
    </row>
    <row r="580" spans="1:8" x14ac:dyDescent="0.3">
      <c r="A580" s="26" t="s">
        <v>709</v>
      </c>
      <c r="B580" s="26">
        <v>66.8</v>
      </c>
      <c r="C580" s="29">
        <f t="shared" si="16"/>
        <v>4.2446941323345803E-2</v>
      </c>
      <c r="D580" s="26"/>
      <c r="F580" s="26">
        <v>45682.77</v>
      </c>
      <c r="G580" s="29">
        <f t="shared" si="17"/>
        <v>2.1831374047235692E-2</v>
      </c>
      <c r="H580" s="26"/>
    </row>
    <row r="581" spans="1:8" x14ac:dyDescent="0.3">
      <c r="A581" s="26" t="s">
        <v>708</v>
      </c>
      <c r="B581" s="26">
        <v>66.05</v>
      </c>
      <c r="C581" s="29">
        <f t="shared" ref="C581:C644" si="18">(B581-B580)/B580</f>
        <v>-1.1227544910179641E-2</v>
      </c>
      <c r="D581" s="26"/>
      <c r="F581" s="26">
        <v>45292.87</v>
      </c>
      <c r="G581" s="29">
        <f t="shared" ref="G581:G644" si="19">(F581-F580)/F580</f>
        <v>-8.5349465454917506E-3</v>
      </c>
      <c r="H581" s="26"/>
    </row>
    <row r="582" spans="1:8" x14ac:dyDescent="0.3">
      <c r="A582" s="26" t="s">
        <v>707</v>
      </c>
      <c r="B582" s="26">
        <v>66.099999999999994</v>
      </c>
      <c r="C582" s="29">
        <f t="shared" si="18"/>
        <v>7.5700227100676998E-4</v>
      </c>
      <c r="D582" s="26"/>
      <c r="F582" s="26">
        <v>45059.12</v>
      </c>
      <c r="G582" s="29">
        <f t="shared" si="19"/>
        <v>-5.1608564438508754E-3</v>
      </c>
      <c r="H582" s="26"/>
    </row>
    <row r="583" spans="1:8" x14ac:dyDescent="0.3">
      <c r="A583" s="26" t="s">
        <v>706</v>
      </c>
      <c r="B583" s="26">
        <v>66</v>
      </c>
      <c r="C583" s="29">
        <f t="shared" si="18"/>
        <v>-1.5128593040846343E-3</v>
      </c>
      <c r="D583" s="26"/>
      <c r="F583" s="26">
        <v>44863.11</v>
      </c>
      <c r="G583" s="29">
        <f t="shared" si="19"/>
        <v>-4.3500627619891827E-3</v>
      </c>
      <c r="H583" s="26"/>
    </row>
    <row r="584" spans="1:8" x14ac:dyDescent="0.3">
      <c r="A584" s="26" t="s">
        <v>705</v>
      </c>
      <c r="B584" s="26">
        <v>66.5</v>
      </c>
      <c r="C584" s="29">
        <f t="shared" si="18"/>
        <v>7.575757575757576E-3</v>
      </c>
      <c r="D584" s="26"/>
      <c r="F584" s="26">
        <v>44262.35</v>
      </c>
      <c r="G584" s="29">
        <f t="shared" si="19"/>
        <v>-1.3390957514982845E-2</v>
      </c>
      <c r="H584" s="26"/>
    </row>
    <row r="585" spans="1:8" x14ac:dyDescent="0.3">
      <c r="A585" s="27">
        <v>44260</v>
      </c>
      <c r="B585" s="26">
        <v>65.62</v>
      </c>
      <c r="C585" s="29">
        <f t="shared" si="18"/>
        <v>-1.3233082706766848E-2</v>
      </c>
      <c r="D585" s="26"/>
      <c r="F585" s="26">
        <v>44076.2</v>
      </c>
      <c r="G585" s="29">
        <f t="shared" si="19"/>
        <v>-4.2056058930445735E-3</v>
      </c>
      <c r="H585" s="26"/>
    </row>
    <row r="586" spans="1:8" x14ac:dyDescent="0.3">
      <c r="A586" s="27">
        <v>44291</v>
      </c>
      <c r="B586" s="26">
        <v>66.900000000000006</v>
      </c>
      <c r="C586" s="29">
        <f t="shared" si="18"/>
        <v>1.9506248095092975E-2</v>
      </c>
      <c r="D586" s="26"/>
      <c r="F586" s="26">
        <v>44563.59</v>
      </c>
      <c r="G586" s="29">
        <f t="shared" si="19"/>
        <v>1.1057895190601718E-2</v>
      </c>
      <c r="H586" s="26"/>
    </row>
    <row r="587" spans="1:8" x14ac:dyDescent="0.3">
      <c r="A587" s="27">
        <v>44321</v>
      </c>
      <c r="B587" s="26">
        <v>67.2</v>
      </c>
      <c r="C587" s="29">
        <f t="shared" si="18"/>
        <v>4.4843049327353834E-3</v>
      </c>
      <c r="D587" s="26"/>
      <c r="F587" s="26">
        <v>44943.61</v>
      </c>
      <c r="G587" s="29">
        <f t="shared" si="19"/>
        <v>8.5275894513885467E-3</v>
      </c>
      <c r="H587" s="26"/>
    </row>
    <row r="588" spans="1:8" x14ac:dyDescent="0.3">
      <c r="A588" s="27">
        <v>44352</v>
      </c>
      <c r="B588" s="26">
        <v>68.5</v>
      </c>
      <c r="C588" s="29">
        <f t="shared" si="18"/>
        <v>1.9345238095238051E-2</v>
      </c>
      <c r="D588" s="26"/>
      <c r="F588" s="26">
        <v>45174.67</v>
      </c>
      <c r="G588" s="29">
        <f t="shared" si="19"/>
        <v>5.1411090475375178E-3</v>
      </c>
      <c r="H588" s="26"/>
    </row>
    <row r="589" spans="1:8" x14ac:dyDescent="0.3">
      <c r="A589" s="26" t="s">
        <v>704</v>
      </c>
      <c r="B589" s="26">
        <v>67.650000000000006</v>
      </c>
      <c r="C589" s="29">
        <f t="shared" si="18"/>
        <v>-1.2408759124087508E-2</v>
      </c>
      <c r="D589" s="26"/>
      <c r="F589" s="26">
        <v>45796.31</v>
      </c>
      <c r="G589" s="29">
        <f t="shared" si="19"/>
        <v>1.376080887807259E-2</v>
      </c>
      <c r="H589" s="26"/>
    </row>
    <row r="590" spans="1:8" x14ac:dyDescent="0.3">
      <c r="A590" s="26" t="s">
        <v>703</v>
      </c>
      <c r="B590" s="26">
        <v>66.25</v>
      </c>
      <c r="C590" s="29">
        <f t="shared" si="18"/>
        <v>-2.0694752402069558E-2</v>
      </c>
      <c r="D590" s="26"/>
      <c r="F590" s="26">
        <v>45981.82</v>
      </c>
      <c r="G590" s="29">
        <f t="shared" si="19"/>
        <v>4.0507630418259036E-3</v>
      </c>
      <c r="H590" s="26"/>
    </row>
    <row r="591" spans="1:8" x14ac:dyDescent="0.3">
      <c r="A591" s="26" t="s">
        <v>702</v>
      </c>
      <c r="B591" s="26">
        <v>66.099999999999994</v>
      </c>
      <c r="C591" s="29">
        <f t="shared" si="18"/>
        <v>-2.2641509433963124E-3</v>
      </c>
      <c r="D591" s="26"/>
      <c r="F591" s="26">
        <v>45682.11</v>
      </c>
      <c r="G591" s="29">
        <f t="shared" si="19"/>
        <v>-6.5180108138390156E-3</v>
      </c>
      <c r="H591" s="26"/>
    </row>
    <row r="592" spans="1:8" x14ac:dyDescent="0.3">
      <c r="A592" s="26" t="s">
        <v>701</v>
      </c>
      <c r="B592" s="26">
        <v>66.2</v>
      </c>
      <c r="C592" s="29">
        <f t="shared" si="18"/>
        <v>1.5128593040848492E-3</v>
      </c>
      <c r="D592" s="26"/>
      <c r="F592" s="26">
        <v>45574.07</v>
      </c>
      <c r="G592" s="29">
        <f t="shared" si="19"/>
        <v>-2.3650396183539E-3</v>
      </c>
      <c r="H592" s="26"/>
    </row>
    <row r="593" spans="1:8" x14ac:dyDescent="0.3">
      <c r="A593" s="26" t="s">
        <v>700</v>
      </c>
      <c r="B593" s="26">
        <v>66.97</v>
      </c>
      <c r="C593" s="29">
        <f t="shared" si="18"/>
        <v>1.1631419939576979E-2</v>
      </c>
      <c r="D593" s="26"/>
      <c r="F593" s="26">
        <v>45914.98</v>
      </c>
      <c r="G593" s="29">
        <f t="shared" si="19"/>
        <v>7.4803501201451501E-3</v>
      </c>
      <c r="H593" s="26"/>
    </row>
    <row r="594" spans="1:8" x14ac:dyDescent="0.3">
      <c r="A594" s="26" t="s">
        <v>699</v>
      </c>
      <c r="B594" s="26">
        <v>67.8</v>
      </c>
      <c r="C594" s="29">
        <f t="shared" si="18"/>
        <v>1.2393609078691926E-2</v>
      </c>
      <c r="D594" s="26"/>
      <c r="F594" s="26">
        <v>46097.11</v>
      </c>
      <c r="G594" s="29">
        <f t="shared" si="19"/>
        <v>3.966679284189983E-3</v>
      </c>
      <c r="H594" s="26"/>
    </row>
    <row r="595" spans="1:8" x14ac:dyDescent="0.3">
      <c r="A595" s="26" t="s">
        <v>698</v>
      </c>
      <c r="B595" s="26">
        <v>68.5</v>
      </c>
      <c r="C595" s="29">
        <f t="shared" si="18"/>
        <v>1.0324483775811251E-2</v>
      </c>
      <c r="D595" s="26"/>
      <c r="F595" s="26">
        <v>46300.66</v>
      </c>
      <c r="G595" s="29">
        <f t="shared" si="19"/>
        <v>4.4156781195177509E-3</v>
      </c>
      <c r="H595" s="26"/>
    </row>
    <row r="596" spans="1:8" x14ac:dyDescent="0.3">
      <c r="A596" s="26" t="s">
        <v>697</v>
      </c>
      <c r="B596" s="26">
        <v>69.5</v>
      </c>
      <c r="C596" s="29">
        <f t="shared" si="18"/>
        <v>1.4598540145985401E-2</v>
      </c>
      <c r="D596" s="26"/>
      <c r="F596" s="26">
        <v>46812.31</v>
      </c>
      <c r="G596" s="29">
        <f t="shared" si="19"/>
        <v>1.1050598414795689E-2</v>
      </c>
      <c r="H596" s="26"/>
    </row>
    <row r="597" spans="1:8" x14ac:dyDescent="0.3">
      <c r="A597" s="26" t="s">
        <v>696</v>
      </c>
      <c r="B597" s="26">
        <v>70.010000000000005</v>
      </c>
      <c r="C597" s="29">
        <f t="shared" si="18"/>
        <v>7.3381294964029514E-3</v>
      </c>
      <c r="D597" s="26"/>
      <c r="F597" s="26">
        <v>46790.75</v>
      </c>
      <c r="G597" s="29">
        <f t="shared" si="19"/>
        <v>-4.6056261696971742E-4</v>
      </c>
      <c r="H597" s="26"/>
    </row>
    <row r="598" spans="1:8" x14ac:dyDescent="0.3">
      <c r="A598" s="26" t="s">
        <v>695</v>
      </c>
      <c r="B598" s="26">
        <v>73</v>
      </c>
      <c r="C598" s="29">
        <f t="shared" si="18"/>
        <v>4.2708184545064913E-2</v>
      </c>
      <c r="D598" s="26"/>
      <c r="F598" s="26">
        <v>47126.29</v>
      </c>
      <c r="G598" s="29">
        <f t="shared" si="19"/>
        <v>7.171075479662131E-3</v>
      </c>
      <c r="H598" s="26"/>
    </row>
    <row r="599" spans="1:8" x14ac:dyDescent="0.3">
      <c r="A599" s="26" t="s">
        <v>694</v>
      </c>
      <c r="B599" s="26">
        <v>73</v>
      </c>
      <c r="C599" s="29">
        <f t="shared" si="18"/>
        <v>0</v>
      </c>
      <c r="D599" s="26"/>
      <c r="F599" s="26">
        <v>47896.34</v>
      </c>
      <c r="G599" s="29">
        <f t="shared" si="19"/>
        <v>1.6340136259399916E-2</v>
      </c>
      <c r="H599" s="26"/>
    </row>
    <row r="600" spans="1:8" x14ac:dyDescent="0.3">
      <c r="A600" s="27">
        <v>44202</v>
      </c>
      <c r="B600" s="26">
        <v>74</v>
      </c>
      <c r="C600" s="29">
        <f t="shared" si="18"/>
        <v>1.3698630136986301E-2</v>
      </c>
      <c r="D600" s="26"/>
      <c r="F600" s="26">
        <v>48191.26</v>
      </c>
      <c r="G600" s="29">
        <f t="shared" si="19"/>
        <v>6.157464223780054E-3</v>
      </c>
      <c r="H600" s="26"/>
    </row>
    <row r="601" spans="1:8" x14ac:dyDescent="0.3">
      <c r="A601" s="27">
        <v>44233</v>
      </c>
      <c r="B601" s="26">
        <v>74.2</v>
      </c>
      <c r="C601" s="29">
        <f t="shared" si="18"/>
        <v>2.702702702702741E-3</v>
      </c>
      <c r="D601" s="26"/>
      <c r="F601" s="26">
        <v>48126.9</v>
      </c>
      <c r="G601" s="29">
        <f t="shared" si="19"/>
        <v>-1.3355118749748519E-3</v>
      </c>
      <c r="H601" s="26"/>
    </row>
    <row r="602" spans="1:8" x14ac:dyDescent="0.3">
      <c r="A602" s="27">
        <v>44261</v>
      </c>
      <c r="B602" s="26">
        <v>73.099999999999994</v>
      </c>
      <c r="C602" s="29">
        <f t="shared" si="18"/>
        <v>-1.4824797843665883E-2</v>
      </c>
      <c r="D602" s="26"/>
      <c r="F602" s="26">
        <v>48093.53</v>
      </c>
      <c r="G602" s="29">
        <f t="shared" si="19"/>
        <v>-6.9337522258866905E-4</v>
      </c>
      <c r="H602" s="26"/>
    </row>
    <row r="603" spans="1:8" x14ac:dyDescent="0.3">
      <c r="A603" s="27">
        <v>44292</v>
      </c>
      <c r="B603" s="26">
        <v>71.45</v>
      </c>
      <c r="C603" s="29">
        <f t="shared" si="18"/>
        <v>-2.2571819425444482E-2</v>
      </c>
      <c r="D603" s="26"/>
      <c r="F603" s="26">
        <v>48211.7</v>
      </c>
      <c r="G603" s="29">
        <f t="shared" si="19"/>
        <v>2.4570872630891986E-3</v>
      </c>
      <c r="H603" s="26"/>
    </row>
    <row r="604" spans="1:8" x14ac:dyDescent="0.3">
      <c r="A604" s="27">
        <v>44383</v>
      </c>
      <c r="B604" s="26">
        <v>72</v>
      </c>
      <c r="C604" s="29">
        <f t="shared" si="18"/>
        <v>7.6976906927921224E-3</v>
      </c>
      <c r="D604" s="26"/>
      <c r="F604" s="26">
        <v>48302.66</v>
      </c>
      <c r="G604" s="29">
        <f t="shared" si="19"/>
        <v>1.8866789596717478E-3</v>
      </c>
      <c r="H604" s="26"/>
    </row>
    <row r="605" spans="1:8" x14ac:dyDescent="0.3">
      <c r="A605" s="27">
        <v>44414</v>
      </c>
      <c r="B605" s="26">
        <v>72.650000000000006</v>
      </c>
      <c r="C605" s="29">
        <f t="shared" si="18"/>
        <v>9.0277777777778567E-3</v>
      </c>
      <c r="D605" s="26"/>
      <c r="F605" s="26">
        <v>48147.98</v>
      </c>
      <c r="G605" s="29">
        <f t="shared" si="19"/>
        <v>-3.2023081130521649E-3</v>
      </c>
      <c r="H605" s="26"/>
    </row>
    <row r="606" spans="1:8" x14ac:dyDescent="0.3">
      <c r="A606" s="27">
        <v>44445</v>
      </c>
      <c r="B606" s="26">
        <v>71.7</v>
      </c>
      <c r="C606" s="29">
        <f t="shared" si="18"/>
        <v>-1.3076393668272578E-2</v>
      </c>
      <c r="D606" s="26"/>
      <c r="F606" s="26">
        <v>47777.62</v>
      </c>
      <c r="G606" s="29">
        <f t="shared" si="19"/>
        <v>-7.6921191709392704E-3</v>
      </c>
      <c r="H606" s="26"/>
    </row>
    <row r="607" spans="1:8" x14ac:dyDescent="0.3">
      <c r="A607" s="27">
        <v>44475</v>
      </c>
      <c r="B607" s="26">
        <v>73</v>
      </c>
      <c r="C607" s="29">
        <f t="shared" si="18"/>
        <v>1.8131101813110142E-2</v>
      </c>
      <c r="D607" s="26"/>
      <c r="F607" s="26">
        <v>48251.49</v>
      </c>
      <c r="G607" s="29">
        <f t="shared" si="19"/>
        <v>9.9182420555899466E-3</v>
      </c>
      <c r="H607" s="26"/>
    </row>
    <row r="608" spans="1:8" x14ac:dyDescent="0.3">
      <c r="A608" s="27">
        <v>44506</v>
      </c>
      <c r="B608" s="26">
        <v>72.900000000000006</v>
      </c>
      <c r="C608" s="29">
        <f t="shared" si="18"/>
        <v>-1.3698630136985523E-3</v>
      </c>
      <c r="D608" s="26"/>
      <c r="F608" s="26">
        <v>48304.72</v>
      </c>
      <c r="G608" s="29">
        <f t="shared" si="19"/>
        <v>1.1031783681706658E-3</v>
      </c>
      <c r="H608" s="26"/>
    </row>
    <row r="609" spans="1:8" x14ac:dyDescent="0.3">
      <c r="A609" s="26" t="s">
        <v>693</v>
      </c>
      <c r="B609" s="26">
        <v>72.599999999999994</v>
      </c>
      <c r="C609" s="29">
        <f t="shared" si="18"/>
        <v>-4.1152263374487153E-3</v>
      </c>
      <c r="D609" s="26"/>
      <c r="F609" s="26">
        <v>48726.080000000002</v>
      </c>
      <c r="G609" s="29">
        <f t="shared" si="19"/>
        <v>8.7229570940479638E-3</v>
      </c>
      <c r="H609" s="26"/>
    </row>
    <row r="610" spans="1:8" x14ac:dyDescent="0.3">
      <c r="A610" s="26" t="s">
        <v>692</v>
      </c>
      <c r="B610" s="26">
        <v>72.25</v>
      </c>
      <c r="C610" s="29">
        <f t="shared" si="18"/>
        <v>-4.8209366391183794E-3</v>
      </c>
      <c r="D610" s="26"/>
      <c r="F610" s="26">
        <v>48632.56</v>
      </c>
      <c r="G610" s="29">
        <f t="shared" si="19"/>
        <v>-1.9193007112413736E-3</v>
      </c>
      <c r="H610" s="26"/>
    </row>
    <row r="611" spans="1:8" x14ac:dyDescent="0.3">
      <c r="A611" s="26" t="s">
        <v>691</v>
      </c>
      <c r="B611" s="26">
        <v>72.5</v>
      </c>
      <c r="C611" s="29">
        <f t="shared" si="18"/>
        <v>3.4602076124567475E-3</v>
      </c>
      <c r="D611" s="26"/>
      <c r="F611" s="26">
        <v>48480.9</v>
      </c>
      <c r="G611" s="29">
        <f t="shared" si="19"/>
        <v>-3.1184868738145027E-3</v>
      </c>
      <c r="H611" s="26"/>
    </row>
    <row r="612" spans="1:8" x14ac:dyDescent="0.3">
      <c r="A612" s="26" t="s">
        <v>690</v>
      </c>
      <c r="B612" s="26">
        <v>72.11</v>
      </c>
      <c r="C612" s="29">
        <f t="shared" si="18"/>
        <v>-5.3793103448275944E-3</v>
      </c>
      <c r="D612" s="26"/>
      <c r="F612" s="26">
        <v>48131.25</v>
      </c>
      <c r="G612" s="29">
        <f t="shared" si="19"/>
        <v>-7.2121185869074515E-3</v>
      </c>
      <c r="H612" s="26"/>
    </row>
    <row r="613" spans="1:8" x14ac:dyDescent="0.3">
      <c r="A613" s="26" t="s">
        <v>689</v>
      </c>
      <c r="B613" s="26">
        <v>72.64</v>
      </c>
      <c r="C613" s="29">
        <f t="shared" si="18"/>
        <v>7.3498821245319805E-3</v>
      </c>
      <c r="D613" s="26"/>
      <c r="F613" s="26">
        <v>48238.67</v>
      </c>
      <c r="G613" s="29">
        <f t="shared" si="19"/>
        <v>2.2318140501233243E-3</v>
      </c>
      <c r="H613" s="26"/>
    </row>
    <row r="614" spans="1:8" x14ac:dyDescent="0.3">
      <c r="A614" s="26" t="s">
        <v>688</v>
      </c>
      <c r="B614" s="26">
        <v>71.5</v>
      </c>
      <c r="C614" s="29">
        <f t="shared" si="18"/>
        <v>-1.569383259911895E-2</v>
      </c>
      <c r="D614" s="26"/>
      <c r="F614" s="26">
        <v>48012.52</v>
      </c>
      <c r="G614" s="29">
        <f t="shared" si="19"/>
        <v>-4.6881474966038962E-3</v>
      </c>
      <c r="H614" s="26"/>
    </row>
    <row r="615" spans="1:8" x14ac:dyDescent="0.3">
      <c r="A615" s="26" t="s">
        <v>687</v>
      </c>
      <c r="B615" s="26">
        <v>71.5</v>
      </c>
      <c r="C615" s="29">
        <f t="shared" si="18"/>
        <v>0</v>
      </c>
      <c r="D615" s="26"/>
      <c r="F615" s="26">
        <v>47987.14</v>
      </c>
      <c r="G615" s="29">
        <f t="shared" si="19"/>
        <v>-5.2861212033855718E-4</v>
      </c>
      <c r="H615" s="26"/>
    </row>
    <row r="616" spans="1:8" x14ac:dyDescent="0.3">
      <c r="A616" s="26" t="s">
        <v>686</v>
      </c>
      <c r="B616" s="26">
        <v>70.89</v>
      </c>
      <c r="C616" s="29">
        <f t="shared" si="18"/>
        <v>-8.5314685314685241E-3</v>
      </c>
      <c r="D616" s="26"/>
      <c r="F616" s="26">
        <v>47900.7</v>
      </c>
      <c r="G616" s="29">
        <f t="shared" si="19"/>
        <v>-1.8013159358945402E-3</v>
      </c>
      <c r="H616" s="26"/>
    </row>
    <row r="617" spans="1:8" x14ac:dyDescent="0.3">
      <c r="A617" s="26" t="s">
        <v>685</v>
      </c>
      <c r="B617" s="26">
        <v>70.400000000000006</v>
      </c>
      <c r="C617" s="29">
        <f t="shared" si="18"/>
        <v>-6.9121173649315118E-3</v>
      </c>
      <c r="D617" s="26"/>
      <c r="F617" s="26">
        <v>47962.54</v>
      </c>
      <c r="G617" s="29">
        <f t="shared" si="19"/>
        <v>1.2910040980612764E-3</v>
      </c>
      <c r="H617" s="26"/>
    </row>
    <row r="618" spans="1:8" x14ac:dyDescent="0.3">
      <c r="A618" s="26" t="s">
        <v>684</v>
      </c>
      <c r="B618" s="26">
        <v>70.2</v>
      </c>
      <c r="C618" s="29">
        <f t="shared" si="18"/>
        <v>-2.8409090909091309E-3</v>
      </c>
      <c r="D618" s="26"/>
      <c r="F618" s="26">
        <v>47703.94</v>
      </c>
      <c r="G618" s="29">
        <f t="shared" si="19"/>
        <v>-5.3917077786121946E-3</v>
      </c>
      <c r="H618" s="26"/>
    </row>
    <row r="619" spans="1:8" x14ac:dyDescent="0.3">
      <c r="A619" s="26" t="s">
        <v>683</v>
      </c>
      <c r="B619" s="26">
        <v>70.099999999999994</v>
      </c>
      <c r="C619" s="29">
        <f t="shared" si="18"/>
        <v>-1.424501424501546E-3</v>
      </c>
      <c r="D619" s="26"/>
      <c r="F619" s="26">
        <v>47002.35</v>
      </c>
      <c r="G619" s="29">
        <f t="shared" si="19"/>
        <v>-1.4707170938081923E-2</v>
      </c>
      <c r="H619" s="26"/>
    </row>
    <row r="620" spans="1:8" x14ac:dyDescent="0.3">
      <c r="A620" s="26" t="s">
        <v>682</v>
      </c>
      <c r="B620" s="26">
        <v>70</v>
      </c>
      <c r="C620" s="29">
        <f t="shared" si="18"/>
        <v>-1.4265335235377221E-3</v>
      </c>
      <c r="D620" s="26"/>
      <c r="F620" s="26">
        <v>47137.77</v>
      </c>
      <c r="G620" s="29">
        <f t="shared" si="19"/>
        <v>2.8811325391176878E-3</v>
      </c>
      <c r="H620" s="26"/>
    </row>
    <row r="621" spans="1:8" x14ac:dyDescent="0.3">
      <c r="A621" s="26" t="s">
        <v>681</v>
      </c>
      <c r="B621" s="26">
        <v>70.95</v>
      </c>
      <c r="C621" s="29">
        <f t="shared" si="18"/>
        <v>1.3571428571428613E-2</v>
      </c>
      <c r="D621" s="26"/>
      <c r="F621" s="26">
        <v>47356.02</v>
      </c>
      <c r="G621" s="29">
        <f t="shared" si="19"/>
        <v>4.6300450785007443E-3</v>
      </c>
      <c r="H621" s="26"/>
    </row>
    <row r="622" spans="1:8" x14ac:dyDescent="0.3">
      <c r="A622" s="27">
        <v>44203</v>
      </c>
      <c r="B622" s="26">
        <v>70.459999999999994</v>
      </c>
      <c r="C622" s="29">
        <f t="shared" si="18"/>
        <v>-6.9062720225512202E-3</v>
      </c>
      <c r="D622" s="26"/>
      <c r="F622" s="26">
        <v>47800.57</v>
      </c>
      <c r="G622" s="29">
        <f t="shared" si="19"/>
        <v>9.3874020663054659E-3</v>
      </c>
      <c r="H622" s="26"/>
    </row>
    <row r="623" spans="1:8" x14ac:dyDescent="0.3">
      <c r="A623" s="27">
        <v>44234</v>
      </c>
      <c r="B623" s="26">
        <v>70.489999999999995</v>
      </c>
      <c r="C623" s="29">
        <f t="shared" si="18"/>
        <v>4.2577348850413201E-4</v>
      </c>
      <c r="D623" s="26"/>
      <c r="F623" s="26">
        <v>47686.18</v>
      </c>
      <c r="G623" s="29">
        <f t="shared" si="19"/>
        <v>-2.3930676977282784E-3</v>
      </c>
      <c r="H623" s="26"/>
    </row>
    <row r="624" spans="1:8" x14ac:dyDescent="0.3">
      <c r="A624" s="27">
        <v>44323</v>
      </c>
      <c r="B624" s="26">
        <v>69.7</v>
      </c>
      <c r="C624" s="29">
        <f t="shared" si="18"/>
        <v>-1.1207263441622813E-2</v>
      </c>
      <c r="D624" s="26"/>
      <c r="F624" s="26">
        <v>47429.120000000003</v>
      </c>
      <c r="G624" s="29">
        <f t="shared" si="19"/>
        <v>-5.3906603548448976E-3</v>
      </c>
      <c r="H624" s="26"/>
    </row>
    <row r="625" spans="1:8" x14ac:dyDescent="0.3">
      <c r="A625" s="27">
        <v>44354</v>
      </c>
      <c r="B625" s="26">
        <v>70</v>
      </c>
      <c r="C625" s="29">
        <f t="shared" si="18"/>
        <v>4.3041606886656692E-3</v>
      </c>
      <c r="D625" s="26"/>
      <c r="F625" s="26">
        <v>47346.16</v>
      </c>
      <c r="G625" s="29">
        <f t="shared" si="19"/>
        <v>-1.7491363955308285E-3</v>
      </c>
      <c r="H625" s="26"/>
    </row>
    <row r="626" spans="1:8" x14ac:dyDescent="0.3">
      <c r="A626" s="27">
        <v>44384</v>
      </c>
      <c r="B626" s="26">
        <v>69.150000000000006</v>
      </c>
      <c r="C626" s="29">
        <f t="shared" si="18"/>
        <v>-1.2142857142857061E-2</v>
      </c>
      <c r="D626" s="26"/>
      <c r="F626" s="26">
        <v>47247.92</v>
      </c>
      <c r="G626" s="29">
        <f t="shared" si="19"/>
        <v>-2.0749306807564803E-3</v>
      </c>
      <c r="H626" s="26"/>
    </row>
    <row r="627" spans="1:8" x14ac:dyDescent="0.3">
      <c r="A627" s="27">
        <v>44415</v>
      </c>
      <c r="B627" s="26">
        <v>69.760000000000005</v>
      </c>
      <c r="C627" s="29">
        <f t="shared" si="18"/>
        <v>8.8214027476500277E-3</v>
      </c>
      <c r="D627" s="26"/>
      <c r="F627" s="26">
        <v>48053.17</v>
      </c>
      <c r="G627" s="29">
        <f t="shared" si="19"/>
        <v>1.7043078298473246E-2</v>
      </c>
      <c r="H627" s="26"/>
    </row>
    <row r="628" spans="1:8" x14ac:dyDescent="0.3">
      <c r="A628" s="27">
        <v>44446</v>
      </c>
      <c r="B628" s="26">
        <v>69.61</v>
      </c>
      <c r="C628" s="29">
        <f t="shared" si="18"/>
        <v>-2.1502293577982464E-3</v>
      </c>
      <c r="D628" s="26"/>
      <c r="F628" s="26">
        <v>47563.45</v>
      </c>
      <c r="G628" s="29">
        <f t="shared" si="19"/>
        <v>-1.0191211110526135E-2</v>
      </c>
      <c r="H628" s="26"/>
    </row>
    <row r="629" spans="1:8" x14ac:dyDescent="0.3">
      <c r="A629" s="27">
        <v>44537</v>
      </c>
      <c r="B629" s="26">
        <v>69</v>
      </c>
      <c r="C629" s="29">
        <f t="shared" si="18"/>
        <v>-8.7631087487429881E-3</v>
      </c>
      <c r="D629" s="26"/>
      <c r="F629" s="26">
        <v>47447.08</v>
      </c>
      <c r="G629" s="29">
        <f t="shared" si="19"/>
        <v>-2.4466265588386745E-3</v>
      </c>
      <c r="H629" s="26"/>
    </row>
    <row r="630" spans="1:8" x14ac:dyDescent="0.3">
      <c r="A630" s="26" t="s">
        <v>680</v>
      </c>
      <c r="B630" s="26">
        <v>70</v>
      </c>
      <c r="C630" s="29">
        <f t="shared" si="18"/>
        <v>1.4492753623188406E-2</v>
      </c>
      <c r="D630" s="26"/>
      <c r="F630" s="26">
        <v>47480.49</v>
      </c>
      <c r="G630" s="29">
        <f t="shared" si="19"/>
        <v>7.0415292152849478E-4</v>
      </c>
      <c r="H630" s="26"/>
    </row>
    <row r="631" spans="1:8" x14ac:dyDescent="0.3">
      <c r="A631" s="26" t="s">
        <v>679</v>
      </c>
      <c r="B631" s="26">
        <v>69.75</v>
      </c>
      <c r="C631" s="29">
        <f t="shared" si="18"/>
        <v>-3.5714285714285713E-3</v>
      </c>
      <c r="D631" s="26"/>
      <c r="F631" s="26">
        <v>47491.47</v>
      </c>
      <c r="G631" s="29">
        <f t="shared" si="19"/>
        <v>2.3125287881408136E-4</v>
      </c>
      <c r="H631" s="26"/>
    </row>
    <row r="632" spans="1:8" x14ac:dyDescent="0.3">
      <c r="A632" s="26" t="s">
        <v>678</v>
      </c>
      <c r="B632" s="26">
        <v>70</v>
      </c>
      <c r="C632" s="29">
        <f t="shared" si="18"/>
        <v>3.5842293906810036E-3</v>
      </c>
      <c r="D632" s="26"/>
      <c r="F632" s="26">
        <v>47628.26</v>
      </c>
      <c r="G632" s="29">
        <f t="shared" si="19"/>
        <v>2.8803067161324099E-3</v>
      </c>
      <c r="H632" s="26"/>
    </row>
    <row r="633" spans="1:8" x14ac:dyDescent="0.3">
      <c r="A633" s="26" t="s">
        <v>677</v>
      </c>
      <c r="B633" s="26">
        <v>70</v>
      </c>
      <c r="C633" s="29">
        <f t="shared" si="18"/>
        <v>0</v>
      </c>
      <c r="D633" s="26"/>
      <c r="F633" s="26">
        <v>47834.33</v>
      </c>
      <c r="G633" s="29">
        <f t="shared" si="19"/>
        <v>4.3266329695856977E-3</v>
      </c>
      <c r="H633" s="26"/>
    </row>
    <row r="634" spans="1:8" x14ac:dyDescent="0.3">
      <c r="A634" s="26" t="s">
        <v>676</v>
      </c>
      <c r="B634" s="26">
        <v>69.989999999999995</v>
      </c>
      <c r="C634" s="29">
        <f t="shared" si="18"/>
        <v>-1.4285714285721594E-4</v>
      </c>
      <c r="D634" s="26"/>
      <c r="F634" s="26">
        <v>47873.26</v>
      </c>
      <c r="G634" s="29">
        <f t="shared" si="19"/>
        <v>8.1385063823409445E-4</v>
      </c>
      <c r="H634" s="26"/>
    </row>
    <row r="635" spans="1:8" x14ac:dyDescent="0.3">
      <c r="A635" s="26" t="s">
        <v>675</v>
      </c>
      <c r="B635" s="26">
        <v>69.53</v>
      </c>
      <c r="C635" s="29">
        <f t="shared" si="18"/>
        <v>-6.5723674810686354E-3</v>
      </c>
      <c r="D635" s="26"/>
      <c r="F635" s="26">
        <v>47793.07</v>
      </c>
      <c r="G635" s="29">
        <f t="shared" si="19"/>
        <v>-1.6750478241925101E-3</v>
      </c>
      <c r="H635" s="26"/>
    </row>
    <row r="636" spans="1:8" x14ac:dyDescent="0.3">
      <c r="A636" s="26" t="s">
        <v>674</v>
      </c>
      <c r="B636" s="26">
        <v>69.56</v>
      </c>
      <c r="C636" s="29">
        <f t="shared" si="18"/>
        <v>4.3146843089315602E-4</v>
      </c>
      <c r="D636" s="26"/>
      <c r="F636" s="26">
        <v>47672.68</v>
      </c>
      <c r="G636" s="29">
        <f t="shared" si="19"/>
        <v>-2.5189844469082948E-3</v>
      </c>
      <c r="H636" s="26"/>
    </row>
    <row r="637" spans="1:8" x14ac:dyDescent="0.3">
      <c r="A637" s="26" t="s">
        <v>673</v>
      </c>
      <c r="B637" s="26">
        <v>70</v>
      </c>
      <c r="C637" s="29">
        <f t="shared" si="18"/>
        <v>6.3254744105807606E-3</v>
      </c>
      <c r="D637" s="26"/>
      <c r="F637" s="26">
        <v>47686.99</v>
      </c>
      <c r="G637" s="29">
        <f t="shared" si="19"/>
        <v>3.0017192236722737E-4</v>
      </c>
      <c r="H637" s="26"/>
    </row>
    <row r="638" spans="1:8" x14ac:dyDescent="0.3">
      <c r="A638" s="26" t="s">
        <v>672</v>
      </c>
      <c r="B638" s="26">
        <v>70.05</v>
      </c>
      <c r="C638" s="29">
        <f t="shared" si="18"/>
        <v>7.1428571428567374E-4</v>
      </c>
      <c r="D638" s="26"/>
      <c r="F638" s="26">
        <v>47318.03</v>
      </c>
      <c r="G638" s="29">
        <f t="shared" si="19"/>
        <v>-7.7371207534801239E-3</v>
      </c>
      <c r="H638" s="26"/>
    </row>
    <row r="639" spans="1:8" x14ac:dyDescent="0.3">
      <c r="A639" s="26" t="s">
        <v>671</v>
      </c>
      <c r="B639" s="26">
        <v>70.25</v>
      </c>
      <c r="C639" s="29">
        <f t="shared" si="18"/>
        <v>2.8551034975018252E-3</v>
      </c>
      <c r="D639" s="26"/>
      <c r="F639" s="26">
        <v>47312.33</v>
      </c>
      <c r="G639" s="29">
        <f t="shared" si="19"/>
        <v>-1.2046148159585447E-4</v>
      </c>
      <c r="H639" s="26"/>
    </row>
    <row r="640" spans="1:8" x14ac:dyDescent="0.3">
      <c r="A640" s="26" t="s">
        <v>670</v>
      </c>
      <c r="B640" s="26">
        <v>70</v>
      </c>
      <c r="C640" s="29">
        <f t="shared" si="18"/>
        <v>-3.5587188612099642E-3</v>
      </c>
      <c r="D640" s="26"/>
      <c r="F640" s="26">
        <v>47055.29</v>
      </c>
      <c r="G640" s="29">
        <f t="shared" si="19"/>
        <v>-5.4328332593216368E-3</v>
      </c>
      <c r="H640" s="26"/>
    </row>
    <row r="641" spans="1:8" x14ac:dyDescent="0.3">
      <c r="A641" s="27">
        <v>44235</v>
      </c>
      <c r="B641" s="26">
        <v>70.59</v>
      </c>
      <c r="C641" s="29">
        <f t="shared" si="18"/>
        <v>8.4285714285714779E-3</v>
      </c>
      <c r="D641" s="26"/>
      <c r="F641" s="26">
        <v>47453.25</v>
      </c>
      <c r="G641" s="29">
        <f t="shared" si="19"/>
        <v>8.4572850363901515E-3</v>
      </c>
      <c r="H641" s="26"/>
    </row>
    <row r="642" spans="1:8" x14ac:dyDescent="0.3">
      <c r="A642" s="27">
        <v>44263</v>
      </c>
      <c r="B642" s="26">
        <v>70.8</v>
      </c>
      <c r="C642" s="29">
        <f t="shared" si="18"/>
        <v>2.9749256268592397E-3</v>
      </c>
      <c r="D642" s="26"/>
      <c r="F642" s="26">
        <v>47758.32</v>
      </c>
      <c r="G642" s="29">
        <f t="shared" si="19"/>
        <v>6.428853661234999E-3</v>
      </c>
      <c r="H642" s="26"/>
    </row>
    <row r="643" spans="1:8" x14ac:dyDescent="0.3">
      <c r="A643" s="27">
        <v>44294</v>
      </c>
      <c r="B643" s="26">
        <v>70.5</v>
      </c>
      <c r="C643" s="29">
        <f t="shared" si="18"/>
        <v>-4.2372881355931804E-3</v>
      </c>
      <c r="D643" s="26"/>
      <c r="F643" s="26">
        <v>47789.88</v>
      </c>
      <c r="G643" s="29">
        <f t="shared" si="19"/>
        <v>6.6082726528063948E-4</v>
      </c>
      <c r="H643" s="26"/>
    </row>
    <row r="644" spans="1:8" x14ac:dyDescent="0.3">
      <c r="A644" s="27">
        <v>44324</v>
      </c>
      <c r="B644" s="26">
        <v>69.7</v>
      </c>
      <c r="C644" s="29">
        <f t="shared" si="18"/>
        <v>-1.1347517730496413E-2</v>
      </c>
      <c r="D644" s="26"/>
      <c r="F644" s="26">
        <v>47640.88</v>
      </c>
      <c r="G644" s="29">
        <f t="shared" si="19"/>
        <v>-3.1178149013975347E-3</v>
      </c>
      <c r="H644" s="26"/>
    </row>
    <row r="645" spans="1:8" x14ac:dyDescent="0.3">
      <c r="A645" s="27">
        <v>44355</v>
      </c>
      <c r="B645" s="26">
        <v>69.489999999999995</v>
      </c>
      <c r="C645" s="29">
        <f t="shared" ref="C645:C708" si="20">(B645-B644)/B644</f>
        <v>-3.0129124820661114E-3</v>
      </c>
      <c r="D645" s="26"/>
      <c r="F645" s="26">
        <v>47489.95</v>
      </c>
      <c r="G645" s="29">
        <f t="shared" ref="G645:G708" si="21">(F645-F644)/F644</f>
        <v>-3.1680774998278853E-3</v>
      </c>
      <c r="H645" s="26"/>
    </row>
    <row r="646" spans="1:8" x14ac:dyDescent="0.3">
      <c r="A646" s="27">
        <v>44447</v>
      </c>
      <c r="B646" s="26">
        <v>69.25</v>
      </c>
      <c r="C646" s="29">
        <f t="shared" si="20"/>
        <v>-3.453734350266152E-3</v>
      </c>
      <c r="D646" s="26"/>
      <c r="F646" s="26">
        <v>47123.62</v>
      </c>
      <c r="G646" s="29">
        <f t="shared" si="21"/>
        <v>-7.7138426130159013E-3</v>
      </c>
      <c r="H646" s="26"/>
    </row>
    <row r="647" spans="1:8" x14ac:dyDescent="0.3">
      <c r="A647" s="27">
        <v>44477</v>
      </c>
      <c r="B647" s="26">
        <v>69.48</v>
      </c>
      <c r="C647" s="29">
        <f t="shared" si="20"/>
        <v>3.3212996389892272E-3</v>
      </c>
      <c r="D647" s="26"/>
      <c r="F647" s="26">
        <v>47135.48</v>
      </c>
      <c r="G647" s="29">
        <f t="shared" si="21"/>
        <v>2.5167845763972676E-4</v>
      </c>
      <c r="H647" s="26"/>
    </row>
    <row r="648" spans="1:8" x14ac:dyDescent="0.3">
      <c r="A648" s="27">
        <v>44508</v>
      </c>
      <c r="B648" s="26">
        <v>69.5</v>
      </c>
      <c r="C648" s="29">
        <f t="shared" si="20"/>
        <v>2.878526194587798E-4</v>
      </c>
      <c r="D648" s="26"/>
      <c r="F648" s="26">
        <v>47377.38</v>
      </c>
      <c r="G648" s="29">
        <f t="shared" si="21"/>
        <v>5.1320152038335908E-3</v>
      </c>
      <c r="H648" s="26"/>
    </row>
    <row r="649" spans="1:8" x14ac:dyDescent="0.3">
      <c r="A649" s="27">
        <v>44538</v>
      </c>
      <c r="B649" s="26">
        <v>69.349999999999994</v>
      </c>
      <c r="C649" s="29">
        <f t="shared" si="20"/>
        <v>-2.1582733812950459E-3</v>
      </c>
      <c r="D649" s="26"/>
      <c r="F649" s="26">
        <v>47270.76</v>
      </c>
      <c r="G649" s="29">
        <f t="shared" si="21"/>
        <v>-2.2504410332524795E-3</v>
      </c>
      <c r="H649" s="26"/>
    </row>
    <row r="650" spans="1:8" x14ac:dyDescent="0.3">
      <c r="A650" s="26" t="s">
        <v>669</v>
      </c>
      <c r="B650" s="26">
        <v>69.239999999999995</v>
      </c>
      <c r="C650" s="29">
        <f t="shared" si="20"/>
        <v>-1.5861571737563005E-3</v>
      </c>
      <c r="D650" s="26"/>
      <c r="F650" s="26">
        <v>47169.84</v>
      </c>
      <c r="G650" s="29">
        <f t="shared" si="21"/>
        <v>-2.1349349999874243E-3</v>
      </c>
      <c r="H650" s="26"/>
    </row>
    <row r="651" spans="1:8" x14ac:dyDescent="0.3">
      <c r="A651" s="26" t="s">
        <v>668</v>
      </c>
      <c r="B651" s="26">
        <v>69.05</v>
      </c>
      <c r="C651" s="29">
        <f t="shared" si="20"/>
        <v>-2.7440785673021047E-3</v>
      </c>
      <c r="D651" s="26"/>
      <c r="F651" s="26">
        <v>46912.79</v>
      </c>
      <c r="G651" s="29">
        <f t="shared" si="21"/>
        <v>-5.4494566867302422E-3</v>
      </c>
      <c r="H651" s="26"/>
    </row>
    <row r="652" spans="1:8" x14ac:dyDescent="0.3">
      <c r="A652" s="26" t="s">
        <v>667</v>
      </c>
      <c r="B652" s="26">
        <v>69.150000000000006</v>
      </c>
      <c r="C652" s="29">
        <f t="shared" si="20"/>
        <v>1.4482259232441496E-3</v>
      </c>
      <c r="D652" s="26"/>
      <c r="F652" s="26">
        <v>47258.45</v>
      </c>
      <c r="G652" s="29">
        <f t="shared" si="21"/>
        <v>7.3681399038512995E-3</v>
      </c>
      <c r="H652" s="26"/>
    </row>
    <row r="653" spans="1:8" x14ac:dyDescent="0.3">
      <c r="A653" s="26" t="s">
        <v>666</v>
      </c>
      <c r="B653" s="26">
        <v>69.489999999999995</v>
      </c>
      <c r="C653" s="29">
        <f t="shared" si="20"/>
        <v>4.9168474331162566E-3</v>
      </c>
      <c r="D653" s="26"/>
      <c r="F653" s="26">
        <v>47599.82</v>
      </c>
      <c r="G653" s="29">
        <f t="shared" si="21"/>
        <v>7.2234700884181062E-3</v>
      </c>
      <c r="H653" s="26"/>
    </row>
    <row r="654" spans="1:8" x14ac:dyDescent="0.3">
      <c r="A654" s="26" t="s">
        <v>665</v>
      </c>
      <c r="B654" s="26">
        <v>69.77</v>
      </c>
      <c r="C654" s="29">
        <f t="shared" si="20"/>
        <v>4.0293567419772795E-3</v>
      </c>
      <c r="D654" s="26"/>
      <c r="F654" s="26">
        <v>48112.21</v>
      </c>
      <c r="G654" s="29">
        <f t="shared" si="21"/>
        <v>1.0764536504549794E-2</v>
      </c>
      <c r="H654" s="26"/>
    </row>
    <row r="655" spans="1:8" x14ac:dyDescent="0.3">
      <c r="A655" s="26" t="s">
        <v>664</v>
      </c>
      <c r="B655" s="26">
        <v>69.849999999999994</v>
      </c>
      <c r="C655" s="29">
        <f t="shared" si="20"/>
        <v>1.1466246237637711E-3</v>
      </c>
      <c r="D655" s="26"/>
      <c r="F655" s="26">
        <v>47828.71</v>
      </c>
      <c r="G655" s="29">
        <f t="shared" si="21"/>
        <v>-5.8924751118271225E-3</v>
      </c>
      <c r="H655" s="26"/>
    </row>
    <row r="656" spans="1:8" x14ac:dyDescent="0.3">
      <c r="A656" s="26" t="s">
        <v>663</v>
      </c>
      <c r="B656" s="26">
        <v>69.3</v>
      </c>
      <c r="C656" s="29">
        <f t="shared" si="20"/>
        <v>-7.8740157480314561E-3</v>
      </c>
      <c r="D656" s="26"/>
      <c r="F656" s="26">
        <v>47635.9</v>
      </c>
      <c r="G656" s="29">
        <f t="shared" si="21"/>
        <v>-4.0312607218550879E-3</v>
      </c>
      <c r="H656" s="26"/>
    </row>
    <row r="657" spans="1:8" x14ac:dyDescent="0.3">
      <c r="A657" s="26" t="s">
        <v>662</v>
      </c>
      <c r="B657" s="26">
        <v>69.650000000000006</v>
      </c>
      <c r="C657" s="29">
        <f t="shared" si="20"/>
        <v>5.0505050505051741E-3</v>
      </c>
      <c r="D657" s="26"/>
      <c r="F657" s="26">
        <v>47363.27</v>
      </c>
      <c r="G657" s="29">
        <f t="shared" si="21"/>
        <v>-5.7232045579070547E-3</v>
      </c>
      <c r="H657" s="26"/>
    </row>
    <row r="658" spans="1:8" x14ac:dyDescent="0.3">
      <c r="A658" s="26" t="s">
        <v>661</v>
      </c>
      <c r="B658" s="26">
        <v>69.010000000000005</v>
      </c>
      <c r="C658" s="29">
        <f t="shared" si="20"/>
        <v>-9.1888011486001512E-3</v>
      </c>
      <c r="D658" s="26"/>
      <c r="F658" s="26">
        <v>47136.53</v>
      </c>
      <c r="G658" s="29">
        <f t="shared" si="21"/>
        <v>-4.7872539206013009E-3</v>
      </c>
      <c r="H658" s="26"/>
    </row>
    <row r="659" spans="1:8" x14ac:dyDescent="0.3">
      <c r="A659" s="26" t="s">
        <v>660</v>
      </c>
      <c r="B659" s="26">
        <v>68.8</v>
      </c>
      <c r="C659" s="29">
        <f t="shared" si="20"/>
        <v>-3.0430372409796834E-3</v>
      </c>
      <c r="D659" s="26"/>
      <c r="F659" s="26">
        <v>47365.7</v>
      </c>
      <c r="G659" s="29">
        <f t="shared" si="21"/>
        <v>4.8618343352809009E-3</v>
      </c>
      <c r="H659" s="26"/>
    </row>
    <row r="660" spans="1:8" x14ac:dyDescent="0.3">
      <c r="A660" s="26" t="s">
        <v>659</v>
      </c>
      <c r="B660" s="26">
        <v>68</v>
      </c>
      <c r="C660" s="29">
        <f t="shared" si="20"/>
        <v>-1.1627906976744146E-2</v>
      </c>
      <c r="D660" s="26"/>
      <c r="F660" s="26">
        <v>47419.74</v>
      </c>
      <c r="G660" s="29">
        <f t="shared" si="21"/>
        <v>1.1409099833846197E-3</v>
      </c>
      <c r="H660" s="26"/>
    </row>
    <row r="661" spans="1:8" x14ac:dyDescent="0.3">
      <c r="A661" s="27">
        <v>44205</v>
      </c>
      <c r="B661" s="26">
        <v>68</v>
      </c>
      <c r="C661" s="29">
        <f t="shared" si="20"/>
        <v>0</v>
      </c>
      <c r="D661" s="26"/>
      <c r="F661" s="26">
        <v>47413.46</v>
      </c>
      <c r="G661" s="29">
        <f t="shared" si="21"/>
        <v>-1.3243429845880293E-4</v>
      </c>
      <c r="H661" s="26"/>
    </row>
    <row r="662" spans="1:8" x14ac:dyDescent="0.3">
      <c r="A662" s="27">
        <v>44236</v>
      </c>
      <c r="B662" s="26">
        <v>68</v>
      </c>
      <c r="C662" s="29">
        <f t="shared" si="20"/>
        <v>0</v>
      </c>
      <c r="D662" s="26"/>
      <c r="F662" s="26">
        <v>46903.06</v>
      </c>
      <c r="G662" s="29">
        <f t="shared" si="21"/>
        <v>-1.0764875628144445E-2</v>
      </c>
      <c r="H662" s="26"/>
    </row>
    <row r="663" spans="1:8" x14ac:dyDescent="0.3">
      <c r="A663" s="27">
        <v>44264</v>
      </c>
      <c r="B663" s="26">
        <v>67.87</v>
      </c>
      <c r="C663" s="29">
        <f t="shared" si="20"/>
        <v>-1.911764705882286E-3</v>
      </c>
      <c r="D663" s="26"/>
      <c r="F663" s="26">
        <v>46957.47</v>
      </c>
      <c r="G663" s="29">
        <f t="shared" si="21"/>
        <v>1.1600522439261637E-3</v>
      </c>
      <c r="H663" s="26"/>
    </row>
    <row r="664" spans="1:8" x14ac:dyDescent="0.3">
      <c r="A664" s="27">
        <v>44356</v>
      </c>
      <c r="B664" s="26">
        <v>68.53</v>
      </c>
      <c r="C664" s="29">
        <f t="shared" si="20"/>
        <v>9.7244732576984901E-3</v>
      </c>
      <c r="D664" s="26"/>
      <c r="F664" s="26">
        <v>46918.52</v>
      </c>
      <c r="G664" s="29">
        <f t="shared" si="21"/>
        <v>-8.2947398997442509E-4</v>
      </c>
      <c r="H664" s="26"/>
    </row>
    <row r="665" spans="1:8" x14ac:dyDescent="0.3">
      <c r="A665" s="27">
        <v>44386</v>
      </c>
      <c r="B665" s="26">
        <v>68.25</v>
      </c>
      <c r="C665" s="29">
        <f t="shared" si="20"/>
        <v>-4.085801838610844E-3</v>
      </c>
      <c r="D665" s="26"/>
      <c r="F665" s="26">
        <v>46729.96</v>
      </c>
      <c r="G665" s="29">
        <f t="shared" si="21"/>
        <v>-4.018882096025145E-3</v>
      </c>
      <c r="H665" s="26"/>
    </row>
    <row r="666" spans="1:8" x14ac:dyDescent="0.3">
      <c r="A666" s="27">
        <v>44417</v>
      </c>
      <c r="B666" s="26">
        <v>68</v>
      </c>
      <c r="C666" s="29">
        <f t="shared" si="20"/>
        <v>-3.663003663003663E-3</v>
      </c>
      <c r="D666" s="26"/>
      <c r="F666" s="26">
        <v>46396.71</v>
      </c>
      <c r="G666" s="29">
        <f t="shared" si="21"/>
        <v>-7.1313992136950262E-3</v>
      </c>
      <c r="H666" s="26"/>
    </row>
    <row r="667" spans="1:8" x14ac:dyDescent="0.3">
      <c r="A667" s="27">
        <v>44448</v>
      </c>
      <c r="B667" s="26">
        <v>68.8</v>
      </c>
      <c r="C667" s="29">
        <f t="shared" si="20"/>
        <v>1.1764705882352899E-2</v>
      </c>
      <c r="D667" s="26"/>
      <c r="F667" s="26">
        <v>46625.120000000003</v>
      </c>
      <c r="G667" s="29">
        <f t="shared" si="21"/>
        <v>4.9229783749753699E-3</v>
      </c>
      <c r="H667" s="26"/>
    </row>
    <row r="668" spans="1:8" x14ac:dyDescent="0.3">
      <c r="A668" s="27">
        <v>44478</v>
      </c>
      <c r="B668" s="26">
        <v>69</v>
      </c>
      <c r="C668" s="29">
        <f t="shared" si="20"/>
        <v>2.9069767441860881E-3</v>
      </c>
      <c r="D668" s="26"/>
      <c r="F668" s="26">
        <v>47198.29</v>
      </c>
      <c r="G668" s="29">
        <f t="shared" si="21"/>
        <v>1.2293158709296582E-2</v>
      </c>
      <c r="H668" s="26"/>
    </row>
    <row r="669" spans="1:8" x14ac:dyDescent="0.3">
      <c r="A669" s="26" t="s">
        <v>658</v>
      </c>
      <c r="B669" s="26">
        <v>68.150000000000006</v>
      </c>
      <c r="C669" s="29">
        <f t="shared" si="20"/>
        <v>-1.2318840579710062E-2</v>
      </c>
      <c r="D669" s="26"/>
      <c r="F669" s="26">
        <v>47270.46</v>
      </c>
      <c r="G669" s="29">
        <f t="shared" si="21"/>
        <v>1.5290808205127399E-3</v>
      </c>
      <c r="H669" s="26"/>
    </row>
    <row r="670" spans="1:8" x14ac:dyDescent="0.3">
      <c r="A670" s="26" t="s">
        <v>657</v>
      </c>
      <c r="B670" s="26">
        <v>68.11</v>
      </c>
      <c r="C670" s="29">
        <f t="shared" si="20"/>
        <v>-5.8694057226714967E-4</v>
      </c>
      <c r="D670" s="26"/>
      <c r="F670" s="26">
        <v>46891.34</v>
      </c>
      <c r="G670" s="29">
        <f t="shared" si="21"/>
        <v>-8.0202308164549832E-3</v>
      </c>
      <c r="H670" s="26"/>
    </row>
    <row r="671" spans="1:8" x14ac:dyDescent="0.3">
      <c r="A671" s="26" t="s">
        <v>656</v>
      </c>
      <c r="B671" s="26">
        <v>69.239999999999995</v>
      </c>
      <c r="C671" s="29">
        <f t="shared" si="20"/>
        <v>1.6590808985464622E-2</v>
      </c>
      <c r="D671" s="26"/>
      <c r="F671" s="26">
        <v>46716.72</v>
      </c>
      <c r="G671" s="29">
        <f t="shared" si="21"/>
        <v>-3.7239285548247365E-3</v>
      </c>
      <c r="H671" s="26"/>
    </row>
    <row r="672" spans="1:8" x14ac:dyDescent="0.3">
      <c r="A672" s="26" t="s">
        <v>655</v>
      </c>
      <c r="B672" s="26">
        <v>69.05</v>
      </c>
      <c r="C672" s="29">
        <f t="shared" si="20"/>
        <v>-2.7440785673021047E-3</v>
      </c>
      <c r="D672" s="26"/>
      <c r="F672" s="26">
        <v>46920.46</v>
      </c>
      <c r="G672" s="29">
        <f t="shared" si="21"/>
        <v>4.3611794663666022E-3</v>
      </c>
      <c r="H672" s="26"/>
    </row>
    <row r="673" spans="1:8" x14ac:dyDescent="0.3">
      <c r="A673" s="26" t="s">
        <v>654</v>
      </c>
      <c r="B673" s="26">
        <v>69.5</v>
      </c>
      <c r="C673" s="29">
        <f t="shared" si="20"/>
        <v>6.5170166545981591E-3</v>
      </c>
      <c r="D673" s="26"/>
      <c r="F673" s="26">
        <v>46636.08</v>
      </c>
      <c r="G673" s="29">
        <f t="shared" si="21"/>
        <v>-6.0608953961661374E-3</v>
      </c>
      <c r="H673" s="26"/>
    </row>
    <row r="674" spans="1:8" x14ac:dyDescent="0.3">
      <c r="A674" s="26" t="s">
        <v>653</v>
      </c>
      <c r="B674" s="26">
        <v>69.61</v>
      </c>
      <c r="C674" s="29">
        <f t="shared" si="20"/>
        <v>1.5827338129496321E-3</v>
      </c>
      <c r="D674" s="26"/>
      <c r="F674" s="26">
        <v>46528.21</v>
      </c>
      <c r="G674" s="29">
        <f t="shared" si="21"/>
        <v>-2.3130160167836281E-3</v>
      </c>
      <c r="H674" s="26"/>
    </row>
    <row r="675" spans="1:8" x14ac:dyDescent="0.3">
      <c r="A675" s="26" t="s">
        <v>652</v>
      </c>
      <c r="B675" s="26">
        <v>68.5</v>
      </c>
      <c r="C675" s="29">
        <f t="shared" si="20"/>
        <v>-1.5945984772302822E-2</v>
      </c>
      <c r="D675" s="26"/>
      <c r="F675" s="26">
        <v>46008.85</v>
      </c>
      <c r="G675" s="29">
        <f t="shared" si="21"/>
        <v>-1.1162260486702595E-2</v>
      </c>
      <c r="H675" s="26"/>
    </row>
    <row r="676" spans="1:8" x14ac:dyDescent="0.3">
      <c r="A676" s="26" t="s">
        <v>651</v>
      </c>
      <c r="B676" s="26">
        <v>69.650000000000006</v>
      </c>
      <c r="C676" s="29">
        <f t="shared" si="20"/>
        <v>1.6788321167883296E-2</v>
      </c>
      <c r="D676" s="26"/>
      <c r="F676" s="26">
        <v>45597.24</v>
      </c>
      <c r="G676" s="29">
        <f t="shared" si="21"/>
        <v>-8.9463222836476154E-3</v>
      </c>
      <c r="H676" s="26"/>
    </row>
    <row r="677" spans="1:8" x14ac:dyDescent="0.3">
      <c r="A677" s="26" t="s">
        <v>650</v>
      </c>
      <c r="B677" s="26">
        <v>69</v>
      </c>
      <c r="C677" s="29">
        <f t="shared" si="20"/>
        <v>-9.3323761665471024E-3</v>
      </c>
      <c r="D677" s="26"/>
      <c r="F677" s="26">
        <v>45296.88</v>
      </c>
      <c r="G677" s="29">
        <f t="shared" si="21"/>
        <v>-6.5872408066804172E-3</v>
      </c>
      <c r="H677" s="26"/>
    </row>
    <row r="678" spans="1:8" x14ac:dyDescent="0.3">
      <c r="A678" s="26" t="s">
        <v>649</v>
      </c>
      <c r="B678" s="26">
        <v>69.900000000000006</v>
      </c>
      <c r="C678" s="29">
        <f t="shared" si="20"/>
        <v>1.3043478260869648E-2</v>
      </c>
      <c r="D678" s="26"/>
      <c r="F678" s="26">
        <v>45073.52</v>
      </c>
      <c r="G678" s="29">
        <f t="shared" si="21"/>
        <v>-4.9310239469031996E-3</v>
      </c>
      <c r="H678" s="26"/>
    </row>
    <row r="679" spans="1:8" x14ac:dyDescent="0.3">
      <c r="A679" s="26" t="s">
        <v>648</v>
      </c>
      <c r="B679" s="26">
        <v>69</v>
      </c>
      <c r="C679" s="29">
        <f t="shared" si="20"/>
        <v>-1.2875536480686775E-2</v>
      </c>
      <c r="D679" s="26"/>
      <c r="F679" s="26">
        <v>44817.760000000002</v>
      </c>
      <c r="G679" s="29">
        <f t="shared" si="21"/>
        <v>-5.6742850347608698E-3</v>
      </c>
      <c r="H679" s="26"/>
    </row>
    <row r="680" spans="1:8" x14ac:dyDescent="0.3">
      <c r="A680" s="26" t="s">
        <v>647</v>
      </c>
      <c r="B680" s="26">
        <v>68.5</v>
      </c>
      <c r="C680" s="29">
        <f t="shared" si="20"/>
        <v>-7.246376811594203E-3</v>
      </c>
      <c r="D680" s="26"/>
      <c r="F680" s="26">
        <v>45274.93</v>
      </c>
      <c r="G680" s="29">
        <f t="shared" si="21"/>
        <v>1.0200643673400862E-2</v>
      </c>
      <c r="H680" s="26"/>
    </row>
    <row r="681" spans="1:8" x14ac:dyDescent="0.3">
      <c r="A681" s="26" t="s">
        <v>646</v>
      </c>
      <c r="B681" s="26">
        <v>67.5</v>
      </c>
      <c r="C681" s="29">
        <f t="shared" si="20"/>
        <v>-1.4598540145985401E-2</v>
      </c>
      <c r="D681" s="26"/>
      <c r="F681" s="26">
        <v>44366.74</v>
      </c>
      <c r="G681" s="29">
        <f t="shared" si="21"/>
        <v>-2.0059445702069606E-2</v>
      </c>
      <c r="H681" s="26"/>
    </row>
    <row r="682" spans="1:8" x14ac:dyDescent="0.3">
      <c r="A682" s="26" t="s">
        <v>645</v>
      </c>
      <c r="B682" s="26">
        <v>68.7</v>
      </c>
      <c r="C682" s="29">
        <f t="shared" si="20"/>
        <v>1.7777777777777819E-2</v>
      </c>
      <c r="D682" s="26"/>
      <c r="F682" s="26">
        <v>44899.6</v>
      </c>
      <c r="G682" s="29">
        <f t="shared" si="21"/>
        <v>1.2010348292437096E-2</v>
      </c>
      <c r="H682" s="26"/>
    </row>
    <row r="683" spans="1:8" x14ac:dyDescent="0.3">
      <c r="A683" s="27">
        <v>44206</v>
      </c>
      <c r="B683" s="26">
        <v>69.5</v>
      </c>
      <c r="C683" s="29">
        <f t="shared" si="20"/>
        <v>1.1644832605531254E-2</v>
      </c>
      <c r="D683" s="26"/>
      <c r="F683" s="26">
        <v>44871.7</v>
      </c>
      <c r="G683" s="29">
        <f t="shared" si="21"/>
        <v>-6.2138638206134255E-4</v>
      </c>
      <c r="H683" s="26"/>
    </row>
    <row r="684" spans="1:8" x14ac:dyDescent="0.3">
      <c r="A684" s="27">
        <v>44296</v>
      </c>
      <c r="B684" s="26">
        <v>69</v>
      </c>
      <c r="C684" s="29">
        <f t="shared" si="20"/>
        <v>-7.1942446043165471E-3</v>
      </c>
      <c r="D684" s="26"/>
      <c r="F684" s="26">
        <v>45044.5</v>
      </c>
      <c r="G684" s="29">
        <f t="shared" si="21"/>
        <v>3.8509795706425857E-3</v>
      </c>
      <c r="H684" s="26"/>
    </row>
    <row r="685" spans="1:8" x14ac:dyDescent="0.3">
      <c r="A685" s="27">
        <v>44326</v>
      </c>
      <c r="B685" s="26">
        <v>68</v>
      </c>
      <c r="C685" s="29">
        <f t="shared" si="20"/>
        <v>-1.4492753623188406E-2</v>
      </c>
      <c r="D685" s="26"/>
      <c r="F685" s="26">
        <v>44666.57</v>
      </c>
      <c r="G685" s="29">
        <f t="shared" si="21"/>
        <v>-8.3901475207850077E-3</v>
      </c>
      <c r="H685" s="26"/>
    </row>
    <row r="686" spans="1:8" x14ac:dyDescent="0.3">
      <c r="A686" s="27">
        <v>44357</v>
      </c>
      <c r="B686" s="26">
        <v>67.75</v>
      </c>
      <c r="C686" s="29">
        <f t="shared" si="20"/>
        <v>-3.6764705882352941E-3</v>
      </c>
      <c r="D686" s="26"/>
      <c r="F686" s="26">
        <v>44373.23</v>
      </c>
      <c r="G686" s="29">
        <f t="shared" si="21"/>
        <v>-6.5673276457090058E-3</v>
      </c>
      <c r="H686" s="26"/>
    </row>
    <row r="687" spans="1:8" x14ac:dyDescent="0.3">
      <c r="A687" s="27">
        <v>44387</v>
      </c>
      <c r="B687" s="26">
        <v>68.3</v>
      </c>
      <c r="C687" s="29">
        <f t="shared" si="20"/>
        <v>8.1180811808117658E-3</v>
      </c>
      <c r="D687" s="26"/>
      <c r="F687" s="26">
        <v>44586.04</v>
      </c>
      <c r="G687" s="29">
        <f t="shared" si="21"/>
        <v>4.7959096058591555E-3</v>
      </c>
      <c r="H687" s="26"/>
    </row>
    <row r="688" spans="1:8" x14ac:dyDescent="0.3">
      <c r="A688" s="27">
        <v>44418</v>
      </c>
      <c r="B688" s="26">
        <v>68.989999999999995</v>
      </c>
      <c r="C688" s="29">
        <f t="shared" si="20"/>
        <v>1.0102489019033642E-2</v>
      </c>
      <c r="D688" s="26"/>
      <c r="F688" s="26">
        <v>44477.23</v>
      </c>
      <c r="G688" s="29">
        <f t="shared" si="21"/>
        <v>-2.4404499704391257E-3</v>
      </c>
      <c r="H688" s="26"/>
    </row>
    <row r="689" spans="1:8" x14ac:dyDescent="0.3">
      <c r="A689" s="27">
        <v>44510</v>
      </c>
      <c r="B689" s="26">
        <v>68</v>
      </c>
      <c r="C689" s="29">
        <f t="shared" si="20"/>
        <v>-1.4349905783446804E-2</v>
      </c>
      <c r="D689" s="26"/>
      <c r="F689" s="26">
        <v>43829.35</v>
      </c>
      <c r="G689" s="29">
        <f t="shared" si="21"/>
        <v>-1.4566554616823138E-2</v>
      </c>
      <c r="H689" s="26"/>
    </row>
    <row r="690" spans="1:8" x14ac:dyDescent="0.3">
      <c r="A690" s="27">
        <v>44540</v>
      </c>
      <c r="B690" s="26">
        <v>69</v>
      </c>
      <c r="C690" s="29">
        <f t="shared" si="20"/>
        <v>1.4705882352941176E-2</v>
      </c>
      <c r="D690" s="26"/>
      <c r="F690" s="26">
        <v>43883.08</v>
      </c>
      <c r="G690" s="29">
        <f t="shared" si="21"/>
        <v>1.2258908699308386E-3</v>
      </c>
      <c r="H690" s="26"/>
    </row>
    <row r="691" spans="1:8" x14ac:dyDescent="0.3">
      <c r="A691" s="26" t="s">
        <v>644</v>
      </c>
      <c r="B691" s="26">
        <v>69.599999999999994</v>
      </c>
      <c r="C691" s="29">
        <f t="shared" si="20"/>
        <v>8.6956521739129603E-3</v>
      </c>
      <c r="D691" s="26"/>
      <c r="F691" s="26">
        <v>43221.78</v>
      </c>
      <c r="G691" s="29">
        <f t="shared" si="21"/>
        <v>-1.5069589463638443E-2</v>
      </c>
      <c r="H691" s="26"/>
    </row>
    <row r="692" spans="1:8" x14ac:dyDescent="0.3">
      <c r="A692" s="26" t="s">
        <v>643</v>
      </c>
      <c r="B692" s="26">
        <v>71</v>
      </c>
      <c r="C692" s="29">
        <f t="shared" si="20"/>
        <v>2.0114942528735715E-2</v>
      </c>
      <c r="D692" s="26"/>
      <c r="F692" s="26">
        <v>44333.68</v>
      </c>
      <c r="G692" s="29">
        <f t="shared" si="21"/>
        <v>2.5725456008521663E-2</v>
      </c>
      <c r="H692" s="26"/>
    </row>
    <row r="693" spans="1:8" x14ac:dyDescent="0.3">
      <c r="A693" s="26" t="s">
        <v>642</v>
      </c>
      <c r="B693" s="26">
        <v>70</v>
      </c>
      <c r="C693" s="29">
        <f t="shared" si="20"/>
        <v>-1.4084507042253521E-2</v>
      </c>
      <c r="D693" s="26"/>
      <c r="F693" s="26">
        <v>44821.53</v>
      </c>
      <c r="G693" s="29">
        <f t="shared" si="21"/>
        <v>1.1004049291644604E-2</v>
      </c>
      <c r="H693" s="26"/>
    </row>
    <row r="694" spans="1:8" x14ac:dyDescent="0.3">
      <c r="A694" s="26" t="s">
        <v>641</v>
      </c>
      <c r="B694" s="26">
        <v>68.010000000000005</v>
      </c>
      <c r="C694" s="29">
        <f t="shared" si="20"/>
        <v>-2.8428571428571355E-2</v>
      </c>
      <c r="D694" s="26"/>
      <c r="F694" s="26">
        <v>44629.45</v>
      </c>
      <c r="G694" s="29">
        <f t="shared" si="21"/>
        <v>-4.2854405014733261E-3</v>
      </c>
      <c r="H694" s="26"/>
    </row>
    <row r="695" spans="1:8" x14ac:dyDescent="0.3">
      <c r="A695" s="26" t="s">
        <v>640</v>
      </c>
      <c r="B695" s="26">
        <v>69</v>
      </c>
      <c r="C695" s="29">
        <f t="shared" si="20"/>
        <v>1.4556682840758636E-2</v>
      </c>
      <c r="D695" s="26"/>
      <c r="F695" s="26">
        <v>45499.46</v>
      </c>
      <c r="G695" s="29">
        <f t="shared" si="21"/>
        <v>1.9494078461643648E-2</v>
      </c>
      <c r="H695" s="26"/>
    </row>
    <row r="696" spans="1:8" x14ac:dyDescent="0.3">
      <c r="A696" s="26" t="s">
        <v>639</v>
      </c>
      <c r="B696" s="26">
        <v>71.5</v>
      </c>
      <c r="C696" s="29">
        <f t="shared" si="20"/>
        <v>3.6231884057971016E-2</v>
      </c>
      <c r="D696" s="26"/>
      <c r="F696" s="26">
        <v>45821.4</v>
      </c>
      <c r="G696" s="29">
        <f t="shared" si="21"/>
        <v>7.0756883708070891E-3</v>
      </c>
      <c r="H696" s="26"/>
    </row>
    <row r="697" spans="1:8" x14ac:dyDescent="0.3">
      <c r="A697" s="26" t="s">
        <v>638</v>
      </c>
      <c r="B697" s="26">
        <v>70.8</v>
      </c>
      <c r="C697" s="29">
        <f t="shared" si="20"/>
        <v>-9.7902097902098292E-3</v>
      </c>
      <c r="D697" s="26"/>
      <c r="F697" s="26">
        <v>45578.36</v>
      </c>
      <c r="G697" s="29">
        <f t="shared" si="21"/>
        <v>-5.3040718965374446E-3</v>
      </c>
      <c r="H697" s="26"/>
    </row>
    <row r="698" spans="1:8" x14ac:dyDescent="0.3">
      <c r="A698" s="26" t="s">
        <v>637</v>
      </c>
      <c r="B698" s="26">
        <v>70.5</v>
      </c>
      <c r="C698" s="29">
        <f t="shared" si="20"/>
        <v>-4.2372881355931804E-3</v>
      </c>
      <c r="D698" s="26"/>
      <c r="F698" s="26">
        <v>45429.22</v>
      </c>
      <c r="G698" s="29">
        <f t="shared" si="21"/>
        <v>-3.2721668791944121E-3</v>
      </c>
      <c r="H698" s="26"/>
    </row>
    <row r="699" spans="1:8" x14ac:dyDescent="0.3">
      <c r="A699" s="26" t="s">
        <v>636</v>
      </c>
      <c r="B699" s="26">
        <v>70.75</v>
      </c>
      <c r="C699" s="29">
        <f t="shared" si="20"/>
        <v>3.5460992907801418E-3</v>
      </c>
      <c r="D699" s="26"/>
      <c r="F699" s="26">
        <v>45255.98</v>
      </c>
      <c r="G699" s="29">
        <f t="shared" si="21"/>
        <v>-3.8134046765495415E-3</v>
      </c>
      <c r="H699" s="26"/>
    </row>
    <row r="700" spans="1:8" x14ac:dyDescent="0.3">
      <c r="A700" s="26" t="s">
        <v>635</v>
      </c>
      <c r="B700" s="26">
        <v>70.84</v>
      </c>
      <c r="C700" s="29">
        <f t="shared" si="20"/>
        <v>1.2720848056537585E-3</v>
      </c>
      <c r="D700" s="26"/>
      <c r="F700" s="26">
        <v>45851.040000000001</v>
      </c>
      <c r="G700" s="29">
        <f t="shared" si="21"/>
        <v>1.3148759567243878E-2</v>
      </c>
      <c r="H700" s="26"/>
    </row>
    <row r="701" spans="1:8" x14ac:dyDescent="0.3">
      <c r="A701" s="26" t="s">
        <v>634</v>
      </c>
      <c r="B701" s="26">
        <v>70</v>
      </c>
      <c r="C701" s="29">
        <f t="shared" si="20"/>
        <v>-1.1857707509881471E-2</v>
      </c>
      <c r="D701" s="26"/>
      <c r="F701" s="26">
        <v>45990.73</v>
      </c>
      <c r="G701" s="29">
        <f t="shared" si="21"/>
        <v>3.0466048316461812E-3</v>
      </c>
      <c r="H701" s="26"/>
    </row>
    <row r="702" spans="1:8" x14ac:dyDescent="0.3">
      <c r="A702" s="26" t="s">
        <v>633</v>
      </c>
      <c r="B702" s="26">
        <v>70.349999999999994</v>
      </c>
      <c r="C702" s="29">
        <f t="shared" si="20"/>
        <v>4.9999999999999186E-3</v>
      </c>
      <c r="D702" s="26"/>
      <c r="F702" s="26">
        <v>46218.93</v>
      </c>
      <c r="G702" s="29">
        <f t="shared" si="21"/>
        <v>4.9618694897862478E-3</v>
      </c>
      <c r="H702" s="26"/>
    </row>
    <row r="703" spans="1:8" x14ac:dyDescent="0.3">
      <c r="A703" s="27">
        <v>44207</v>
      </c>
      <c r="B703" s="26">
        <v>71</v>
      </c>
      <c r="C703" s="29">
        <f t="shared" si="20"/>
        <v>9.2395167022033507E-3</v>
      </c>
      <c r="D703" s="26"/>
      <c r="F703" s="26">
        <v>46946.21</v>
      </c>
      <c r="G703" s="29">
        <f t="shared" si="21"/>
        <v>1.5735543856164536E-2</v>
      </c>
      <c r="H703" s="26"/>
    </row>
    <row r="704" spans="1:8" x14ac:dyDescent="0.3">
      <c r="A704" s="27">
        <v>44238</v>
      </c>
      <c r="B704" s="26">
        <v>71.349999999999994</v>
      </c>
      <c r="C704" s="29">
        <f t="shared" si="20"/>
        <v>4.9295774647886521E-3</v>
      </c>
      <c r="D704" s="26"/>
      <c r="F704" s="26">
        <v>47112.92</v>
      </c>
      <c r="G704" s="29">
        <f t="shared" si="21"/>
        <v>3.5510853804811746E-3</v>
      </c>
      <c r="H704" s="26"/>
    </row>
    <row r="705" spans="1:8" x14ac:dyDescent="0.3">
      <c r="A705" s="27">
        <v>44266</v>
      </c>
      <c r="B705" s="26">
        <v>71.5</v>
      </c>
      <c r="C705" s="29">
        <f t="shared" si="20"/>
        <v>2.102312543798258E-3</v>
      </c>
      <c r="D705" s="26"/>
      <c r="F705" s="26">
        <v>47032.44</v>
      </c>
      <c r="G705" s="29">
        <f t="shared" si="21"/>
        <v>-1.7082362969647377E-3</v>
      </c>
      <c r="H705" s="26"/>
    </row>
    <row r="706" spans="1:8" x14ac:dyDescent="0.3">
      <c r="A706" s="27">
        <v>44297</v>
      </c>
      <c r="B706" s="26">
        <v>71.59</v>
      </c>
      <c r="C706" s="29">
        <f t="shared" si="20"/>
        <v>1.2587412587413064E-3</v>
      </c>
      <c r="D706" s="26"/>
      <c r="F706" s="26">
        <v>47219.18</v>
      </c>
      <c r="G706" s="29">
        <f t="shared" si="21"/>
        <v>3.9704510333718164E-3</v>
      </c>
      <c r="H706" s="26"/>
    </row>
    <row r="707" spans="1:8" x14ac:dyDescent="0.3">
      <c r="A707" s="27">
        <v>44327</v>
      </c>
      <c r="B707" s="26">
        <v>71.55</v>
      </c>
      <c r="C707" s="29">
        <f t="shared" si="20"/>
        <v>-5.5873725380648485E-4</v>
      </c>
      <c r="D707" s="26"/>
      <c r="F707" s="26">
        <v>47295.8</v>
      </c>
      <c r="G707" s="29">
        <f t="shared" si="21"/>
        <v>1.6226457130344622E-3</v>
      </c>
      <c r="H707" s="26"/>
    </row>
    <row r="708" spans="1:8" x14ac:dyDescent="0.3">
      <c r="A708" s="27">
        <v>44419</v>
      </c>
      <c r="B708" s="26">
        <v>71.25</v>
      </c>
      <c r="C708" s="29">
        <f t="shared" si="20"/>
        <v>-4.1928721174003796E-3</v>
      </c>
      <c r="D708" s="26"/>
      <c r="F708" s="26">
        <v>47115.040000000001</v>
      </c>
      <c r="G708" s="29">
        <f t="shared" si="21"/>
        <v>-3.8219038476989928E-3</v>
      </c>
      <c r="H708" s="26"/>
    </row>
    <row r="709" spans="1:8" x14ac:dyDescent="0.3">
      <c r="A709" s="27">
        <v>44450</v>
      </c>
      <c r="B709" s="26">
        <v>70.05</v>
      </c>
      <c r="C709" s="29">
        <f t="shared" ref="C709:C772" si="22">(B709-B708)/B708</f>
        <v>-1.6842105263157936E-2</v>
      </c>
      <c r="D709" s="26"/>
      <c r="F709" s="26">
        <v>46399.91</v>
      </c>
      <c r="G709" s="29">
        <f t="shared" ref="G709:G772" si="23">(F709-F708)/F708</f>
        <v>-1.5178380406766022E-2</v>
      </c>
      <c r="H709" s="26"/>
    </row>
    <row r="710" spans="1:8" x14ac:dyDescent="0.3">
      <c r="A710" s="27">
        <v>44480</v>
      </c>
      <c r="B710" s="26">
        <v>71</v>
      </c>
      <c r="C710" s="29">
        <f t="shared" si="22"/>
        <v>1.3561741613133517E-2</v>
      </c>
      <c r="D710" s="26"/>
      <c r="F710" s="26">
        <v>46629.88</v>
      </c>
      <c r="G710" s="29">
        <f t="shared" si="23"/>
        <v>4.9562596134344631E-3</v>
      </c>
      <c r="H710" s="26"/>
    </row>
    <row r="711" spans="1:8" x14ac:dyDescent="0.3">
      <c r="A711" s="27">
        <v>44511</v>
      </c>
      <c r="B711" s="26">
        <v>70.02</v>
      </c>
      <c r="C711" s="29">
        <f t="shared" si="22"/>
        <v>-1.3802816901408508E-2</v>
      </c>
      <c r="D711" s="26"/>
      <c r="F711" s="26">
        <v>46348.18</v>
      </c>
      <c r="G711" s="29">
        <f t="shared" si="23"/>
        <v>-6.0411907557985801E-3</v>
      </c>
      <c r="H711" s="26"/>
    </row>
    <row r="712" spans="1:8" x14ac:dyDescent="0.3">
      <c r="A712" s="27">
        <v>44541</v>
      </c>
      <c r="B712" s="26">
        <v>70.11</v>
      </c>
      <c r="C712" s="29">
        <f t="shared" si="22"/>
        <v>1.2853470437018482E-3</v>
      </c>
      <c r="D712" s="26"/>
      <c r="F712" s="26">
        <v>45749.15</v>
      </c>
      <c r="G712" s="29">
        <f t="shared" si="23"/>
        <v>-1.2924563596671948E-2</v>
      </c>
      <c r="H712" s="26"/>
    </row>
    <row r="713" spans="1:8" x14ac:dyDescent="0.3">
      <c r="A713" s="26" t="s">
        <v>632</v>
      </c>
      <c r="B713" s="26">
        <v>70.989999999999995</v>
      </c>
      <c r="C713" s="29">
        <f t="shared" si="22"/>
        <v>1.2551704464413E-2</v>
      </c>
      <c r="D713" s="26"/>
      <c r="F713" s="26">
        <v>45736.26</v>
      </c>
      <c r="G713" s="29">
        <f t="shared" si="23"/>
        <v>-2.8175386865109884E-4</v>
      </c>
      <c r="H713" s="26"/>
    </row>
    <row r="714" spans="1:8" x14ac:dyDescent="0.3">
      <c r="A714" s="26" t="s">
        <v>631</v>
      </c>
      <c r="B714" s="26">
        <v>70.5</v>
      </c>
      <c r="C714" s="29">
        <f t="shared" si="22"/>
        <v>-6.902380616988237E-3</v>
      </c>
      <c r="D714" s="26"/>
      <c r="F714" s="26">
        <v>46542.91</v>
      </c>
      <c r="G714" s="29">
        <f t="shared" si="23"/>
        <v>1.7636990868951711E-2</v>
      </c>
      <c r="H714" s="26"/>
    </row>
    <row r="715" spans="1:8" x14ac:dyDescent="0.3">
      <c r="A715" s="26" t="s">
        <v>630</v>
      </c>
      <c r="B715" s="26">
        <v>72.25</v>
      </c>
      <c r="C715" s="29">
        <f t="shared" si="22"/>
        <v>2.4822695035460994E-2</v>
      </c>
      <c r="D715" s="26"/>
      <c r="F715" s="26">
        <v>46194.42</v>
      </c>
      <c r="G715" s="29">
        <f t="shared" si="23"/>
        <v>-7.4874991701207594E-3</v>
      </c>
      <c r="H715" s="26"/>
    </row>
    <row r="716" spans="1:8" x14ac:dyDescent="0.3">
      <c r="A716" s="26" t="s">
        <v>629</v>
      </c>
      <c r="B716" s="26">
        <v>71.5</v>
      </c>
      <c r="C716" s="29">
        <f t="shared" si="22"/>
        <v>-1.0380622837370242E-2</v>
      </c>
      <c r="D716" s="26"/>
      <c r="F716" s="26">
        <v>46110.5</v>
      </c>
      <c r="G716" s="29">
        <f t="shared" si="23"/>
        <v>-1.8166696323927924E-3</v>
      </c>
      <c r="H716" s="26"/>
    </row>
    <row r="717" spans="1:8" x14ac:dyDescent="0.3">
      <c r="A717" s="26" t="s">
        <v>628</v>
      </c>
      <c r="B717" s="26">
        <v>73.34</v>
      </c>
      <c r="C717" s="29">
        <f t="shared" si="22"/>
        <v>2.5734265734265783E-2</v>
      </c>
      <c r="D717" s="26"/>
      <c r="F717" s="26">
        <v>46489.41</v>
      </c>
      <c r="G717" s="29">
        <f t="shared" si="23"/>
        <v>8.2174342069594453E-3</v>
      </c>
      <c r="H717" s="26"/>
    </row>
    <row r="718" spans="1:8" x14ac:dyDescent="0.3">
      <c r="A718" s="26" t="s">
        <v>627</v>
      </c>
      <c r="B718" s="26">
        <v>74</v>
      </c>
      <c r="C718" s="29">
        <f t="shared" si="22"/>
        <v>8.9991818925551758E-3</v>
      </c>
      <c r="D718" s="26"/>
      <c r="F718" s="26">
        <v>45745</v>
      </c>
      <c r="G718" s="29">
        <f t="shared" si="23"/>
        <v>-1.601246391382475E-2</v>
      </c>
      <c r="H718" s="26"/>
    </row>
    <row r="719" spans="1:8" x14ac:dyDescent="0.3">
      <c r="A719" s="26" t="s">
        <v>626</v>
      </c>
      <c r="B719" s="26">
        <v>74.5</v>
      </c>
      <c r="C719" s="29">
        <f t="shared" si="22"/>
        <v>6.7567567567567571E-3</v>
      </c>
      <c r="D719" s="26"/>
      <c r="F719" s="26">
        <v>44948.52</v>
      </c>
      <c r="G719" s="29">
        <f t="shared" si="23"/>
        <v>-1.7411301781615547E-2</v>
      </c>
      <c r="H719" s="26"/>
    </row>
    <row r="720" spans="1:8" x14ac:dyDescent="0.3">
      <c r="A720" s="26" t="s">
        <v>625</v>
      </c>
      <c r="B720" s="26">
        <v>73</v>
      </c>
      <c r="C720" s="29">
        <f t="shared" si="22"/>
        <v>-2.0134228187919462E-2</v>
      </c>
      <c r="D720" s="26"/>
      <c r="F720" s="26">
        <v>44363.7</v>
      </c>
      <c r="G720" s="29">
        <f t="shared" si="23"/>
        <v>-1.3010884451812869E-2</v>
      </c>
      <c r="H720" s="26"/>
    </row>
    <row r="721" spans="1:8" x14ac:dyDescent="0.3">
      <c r="A721" s="26" t="s">
        <v>624</v>
      </c>
      <c r="B721" s="26">
        <v>72.75</v>
      </c>
      <c r="C721" s="29">
        <f t="shared" si="22"/>
        <v>-3.4246575342465752E-3</v>
      </c>
      <c r="D721" s="26"/>
      <c r="F721" s="26">
        <v>43935.75</v>
      </c>
      <c r="G721" s="29">
        <f t="shared" si="23"/>
        <v>-9.6464000973768439E-3</v>
      </c>
      <c r="H721" s="26"/>
    </row>
    <row r="722" spans="1:8" x14ac:dyDescent="0.3">
      <c r="A722" s="26" t="s">
        <v>623</v>
      </c>
      <c r="B722" s="26">
        <v>72.989999999999995</v>
      </c>
      <c r="C722" s="29">
        <f t="shared" si="22"/>
        <v>3.2989690721648779E-3</v>
      </c>
      <c r="D722" s="26"/>
      <c r="F722" s="26">
        <v>44114.16</v>
      </c>
      <c r="G722" s="29">
        <f t="shared" si="23"/>
        <v>4.060702275481891E-3</v>
      </c>
      <c r="H722" s="26"/>
    </row>
    <row r="723" spans="1:8" x14ac:dyDescent="0.3">
      <c r="A723" s="26" t="s">
        <v>622</v>
      </c>
      <c r="B723" s="26">
        <v>73.099999999999994</v>
      </c>
      <c r="C723" s="29">
        <f t="shared" si="22"/>
        <v>1.5070557610631517E-3</v>
      </c>
      <c r="D723" s="26"/>
      <c r="F723" s="26">
        <v>45330.05</v>
      </c>
      <c r="G723" s="29">
        <f t="shared" si="23"/>
        <v>2.7562351861624462E-2</v>
      </c>
      <c r="H723" s="26"/>
    </row>
    <row r="724" spans="1:8" x14ac:dyDescent="0.3">
      <c r="A724" s="26" t="s">
        <v>621</v>
      </c>
      <c r="B724" s="26">
        <v>73.2</v>
      </c>
      <c r="C724" s="29">
        <f t="shared" si="22"/>
        <v>1.3679890560876679E-3</v>
      </c>
      <c r="D724" s="26"/>
      <c r="F724" s="26">
        <v>45072.38</v>
      </c>
      <c r="G724" s="29">
        <f t="shared" si="23"/>
        <v>-5.6843087532443826E-3</v>
      </c>
      <c r="H724" s="26"/>
    </row>
    <row r="725" spans="1:8" x14ac:dyDescent="0.3">
      <c r="A725" s="27">
        <v>44208</v>
      </c>
      <c r="B725" s="26">
        <v>73.11</v>
      </c>
      <c r="C725" s="29">
        <f t="shared" si="22"/>
        <v>-1.229508196721358E-3</v>
      </c>
      <c r="D725" s="26"/>
      <c r="F725" s="26">
        <v>45369.14</v>
      </c>
      <c r="G725" s="29">
        <f t="shared" si="23"/>
        <v>6.5840765453255862E-3</v>
      </c>
      <c r="H725" s="26"/>
    </row>
    <row r="726" spans="1:8" x14ac:dyDescent="0.3">
      <c r="A726" s="27">
        <v>44239</v>
      </c>
      <c r="B726" s="26">
        <v>71.099999999999994</v>
      </c>
      <c r="C726" s="29">
        <f t="shared" si="22"/>
        <v>-2.7492819039803107E-2</v>
      </c>
      <c r="D726" s="26"/>
      <c r="F726" s="26">
        <v>43234.15</v>
      </c>
      <c r="G726" s="29">
        <f t="shared" si="23"/>
        <v>-4.7058198590495613E-2</v>
      </c>
      <c r="H726" s="26"/>
    </row>
    <row r="727" spans="1:8" x14ac:dyDescent="0.3">
      <c r="A727" s="27">
        <v>44267</v>
      </c>
      <c r="B727" s="26">
        <v>71.900000000000006</v>
      </c>
      <c r="C727" s="29">
        <f t="shared" si="22"/>
        <v>1.1251758087201287E-2</v>
      </c>
      <c r="D727" s="26"/>
      <c r="F727" s="26">
        <v>43232.83</v>
      </c>
      <c r="G727" s="29">
        <f t="shared" si="23"/>
        <v>-3.0531420185194089E-5</v>
      </c>
      <c r="H727" s="26"/>
    </row>
    <row r="728" spans="1:8" x14ac:dyDescent="0.3">
      <c r="A728" s="27">
        <v>44359</v>
      </c>
      <c r="B728" s="26">
        <v>71.5</v>
      </c>
      <c r="C728" s="29">
        <f t="shared" si="22"/>
        <v>-5.56328233657866E-3</v>
      </c>
      <c r="D728" s="26"/>
      <c r="F728" s="26">
        <v>43280.77</v>
      </c>
      <c r="G728" s="29">
        <f t="shared" si="23"/>
        <v>1.1088795251200316E-3</v>
      </c>
      <c r="H728" s="26"/>
    </row>
    <row r="729" spans="1:8" x14ac:dyDescent="0.3">
      <c r="A729" s="27">
        <v>44389</v>
      </c>
      <c r="B729" s="26">
        <v>71.510000000000005</v>
      </c>
      <c r="C729" s="29">
        <f t="shared" si="22"/>
        <v>1.3986013986021142E-4</v>
      </c>
      <c r="D729" s="26"/>
      <c r="F729" s="26">
        <v>43853.49</v>
      </c>
      <c r="G729" s="29">
        <f t="shared" si="23"/>
        <v>1.3232666609212388E-2</v>
      </c>
      <c r="H729" s="26"/>
    </row>
    <row r="730" spans="1:8" x14ac:dyDescent="0.3">
      <c r="A730" s="27">
        <v>44420</v>
      </c>
      <c r="B730" s="26">
        <v>71.7</v>
      </c>
      <c r="C730" s="29">
        <f t="shared" si="22"/>
        <v>2.6569710529995485E-3</v>
      </c>
      <c r="D730" s="26"/>
      <c r="F730" s="26">
        <v>43846.87</v>
      </c>
      <c r="G730" s="29">
        <f t="shared" si="23"/>
        <v>-1.5095719861738129E-4</v>
      </c>
      <c r="H730" s="26"/>
    </row>
    <row r="731" spans="1:8" x14ac:dyDescent="0.3">
      <c r="A731" s="27">
        <v>44451</v>
      </c>
      <c r="B731" s="26">
        <v>71</v>
      </c>
      <c r="C731" s="29">
        <f t="shared" si="22"/>
        <v>-9.762900976290137E-3</v>
      </c>
      <c r="D731" s="26"/>
      <c r="F731" s="26">
        <v>43518.84</v>
      </c>
      <c r="G731" s="29">
        <f t="shared" si="23"/>
        <v>-7.4812637709374945E-3</v>
      </c>
      <c r="H731" s="26"/>
    </row>
    <row r="732" spans="1:8" x14ac:dyDescent="0.3">
      <c r="A732" s="27">
        <v>44481</v>
      </c>
      <c r="B732" s="26">
        <v>69.989999999999995</v>
      </c>
      <c r="C732" s="29">
        <f t="shared" si="22"/>
        <v>-1.4225352112676129E-2</v>
      </c>
      <c r="D732" s="26"/>
      <c r="F732" s="26">
        <v>43395.78</v>
      </c>
      <c r="G732" s="29">
        <f t="shared" si="23"/>
        <v>-2.8277408129444093E-3</v>
      </c>
      <c r="H732" s="26"/>
    </row>
    <row r="733" spans="1:8" x14ac:dyDescent="0.3">
      <c r="A733" s="26" t="s">
        <v>620</v>
      </c>
      <c r="B733" s="26">
        <v>70.61</v>
      </c>
      <c r="C733" s="29">
        <f t="shared" si="22"/>
        <v>8.8584083440492161E-3</v>
      </c>
      <c r="D733" s="26"/>
      <c r="F733" s="26">
        <v>42876.37</v>
      </c>
      <c r="G733" s="29">
        <f t="shared" si="23"/>
        <v>-1.1969136169461552E-2</v>
      </c>
      <c r="H733" s="26"/>
    </row>
    <row r="734" spans="1:8" x14ac:dyDescent="0.3">
      <c r="A734" s="26" t="s">
        <v>619</v>
      </c>
      <c r="B734" s="26">
        <v>70.55</v>
      </c>
      <c r="C734" s="29">
        <f t="shared" si="22"/>
        <v>-8.4973799745081827E-4</v>
      </c>
      <c r="D734" s="26"/>
      <c r="F734" s="26">
        <v>43246.71</v>
      </c>
      <c r="G734" s="29">
        <f t="shared" si="23"/>
        <v>8.6373916448616445E-3</v>
      </c>
      <c r="H734" s="26"/>
    </row>
    <row r="735" spans="1:8" x14ac:dyDescent="0.3">
      <c r="A735" s="26" t="s">
        <v>618</v>
      </c>
      <c r="B735" s="26">
        <v>69.64</v>
      </c>
      <c r="C735" s="29">
        <f t="shared" si="22"/>
        <v>-1.2898653437278479E-2</v>
      </c>
      <c r="D735" s="26"/>
      <c r="F735" s="26">
        <v>44366.86</v>
      </c>
      <c r="G735" s="29">
        <f t="shared" si="23"/>
        <v>2.5901392267758668E-2</v>
      </c>
      <c r="H735" s="26"/>
    </row>
    <row r="736" spans="1:8" x14ac:dyDescent="0.3">
      <c r="A736" s="26" t="s">
        <v>617</v>
      </c>
      <c r="B736" s="26">
        <v>68</v>
      </c>
      <c r="C736" s="29">
        <f t="shared" si="22"/>
        <v>-2.3549684089603683E-2</v>
      </c>
      <c r="D736" s="26"/>
      <c r="F736" s="26">
        <v>43731.199999999997</v>
      </c>
      <c r="G736" s="29">
        <f t="shared" si="23"/>
        <v>-1.4327360556956329E-2</v>
      </c>
      <c r="H736" s="26"/>
    </row>
    <row r="737" spans="1:8" x14ac:dyDescent="0.3">
      <c r="A737" s="26" t="s">
        <v>616</v>
      </c>
      <c r="B737" s="26">
        <v>69.48</v>
      </c>
      <c r="C737" s="29">
        <f t="shared" si="22"/>
        <v>2.1764705882352998E-2</v>
      </c>
      <c r="D737" s="26"/>
      <c r="F737" s="26">
        <v>43900.68</v>
      </c>
      <c r="G737" s="29">
        <f t="shared" si="23"/>
        <v>3.8754939265330749E-3</v>
      </c>
      <c r="H737" s="26"/>
    </row>
    <row r="738" spans="1:8" x14ac:dyDescent="0.3">
      <c r="A738" s="26" t="s">
        <v>615</v>
      </c>
      <c r="B738" s="26">
        <v>69.989999999999995</v>
      </c>
      <c r="C738" s="29">
        <f t="shared" si="22"/>
        <v>7.3402417962002142E-3</v>
      </c>
      <c r="D738" s="26"/>
      <c r="F738" s="26">
        <v>44339.95</v>
      </c>
      <c r="G738" s="29">
        <f t="shared" si="23"/>
        <v>1.0005995351324782E-2</v>
      </c>
      <c r="H738" s="26"/>
    </row>
    <row r="739" spans="1:8" x14ac:dyDescent="0.3">
      <c r="A739" s="26" t="s">
        <v>614</v>
      </c>
      <c r="B739" s="26">
        <v>69</v>
      </c>
      <c r="C739" s="29">
        <f t="shared" si="22"/>
        <v>-1.4144877839691313E-2</v>
      </c>
      <c r="D739" s="26"/>
      <c r="F739" s="26">
        <v>44177.07</v>
      </c>
      <c r="G739" s="29">
        <f t="shared" si="23"/>
        <v>-3.6734367088821118E-3</v>
      </c>
      <c r="H739" s="26"/>
    </row>
    <row r="740" spans="1:8" x14ac:dyDescent="0.3">
      <c r="A740" s="26" t="s">
        <v>613</v>
      </c>
      <c r="B740" s="26">
        <v>69</v>
      </c>
      <c r="C740" s="29">
        <f t="shared" si="22"/>
        <v>0</v>
      </c>
      <c r="D740" s="26"/>
      <c r="F740" s="26">
        <v>44174.97</v>
      </c>
      <c r="G740" s="29">
        <f t="shared" si="23"/>
        <v>-4.7535972847419367E-5</v>
      </c>
      <c r="H740" s="26"/>
    </row>
    <row r="741" spans="1:8" x14ac:dyDescent="0.3">
      <c r="A741" s="26" t="s">
        <v>612</v>
      </c>
      <c r="B741" s="26">
        <v>68.989999999999995</v>
      </c>
      <c r="C741" s="29">
        <f t="shared" si="22"/>
        <v>-1.4492753623195821E-4</v>
      </c>
      <c r="D741" s="26"/>
      <c r="F741" s="26">
        <v>44266.9</v>
      </c>
      <c r="G741" s="29">
        <f t="shared" si="23"/>
        <v>2.081042726231626E-3</v>
      </c>
      <c r="H741" s="26"/>
    </row>
    <row r="742" spans="1:8" x14ac:dyDescent="0.3">
      <c r="A742" s="26" t="s">
        <v>611</v>
      </c>
      <c r="B742" s="26">
        <v>69.010000000000005</v>
      </c>
      <c r="C742" s="29">
        <f t="shared" si="22"/>
        <v>2.8989708653442866E-4</v>
      </c>
      <c r="D742" s="26"/>
      <c r="F742" s="26">
        <v>44118.39</v>
      </c>
      <c r="G742" s="29">
        <f t="shared" si="23"/>
        <v>-3.3548768944742465E-3</v>
      </c>
      <c r="H742" s="26"/>
    </row>
    <row r="743" spans="1:8" x14ac:dyDescent="0.3">
      <c r="A743" s="26" t="s">
        <v>610</v>
      </c>
      <c r="B743" s="26">
        <v>68.989999999999995</v>
      </c>
      <c r="C743" s="29">
        <f t="shared" si="22"/>
        <v>-2.8981307056963091E-4</v>
      </c>
      <c r="D743" s="26"/>
      <c r="F743" s="26">
        <v>43913.440000000002</v>
      </c>
      <c r="G743" s="29">
        <f t="shared" si="23"/>
        <v>-4.6454551038693183E-3</v>
      </c>
      <c r="H743" s="26"/>
    </row>
    <row r="744" spans="1:8" x14ac:dyDescent="0.3">
      <c r="A744" s="26" t="s">
        <v>609</v>
      </c>
      <c r="B744" s="26">
        <v>68.989999999999995</v>
      </c>
      <c r="C744" s="29">
        <f t="shared" si="22"/>
        <v>0</v>
      </c>
      <c r="D744" s="26"/>
      <c r="F744" s="26">
        <v>44043.74</v>
      </c>
      <c r="G744" s="29">
        <f t="shared" si="23"/>
        <v>2.9672009298291283E-3</v>
      </c>
      <c r="H744" s="26"/>
    </row>
    <row r="745" spans="1:8" x14ac:dyDescent="0.3">
      <c r="A745" s="26" t="s">
        <v>608</v>
      </c>
      <c r="B745" s="26">
        <v>69.02</v>
      </c>
      <c r="C745" s="29">
        <f t="shared" si="22"/>
        <v>4.3484562980143702E-4</v>
      </c>
      <c r="D745" s="26"/>
      <c r="F745" s="26">
        <v>44260.11</v>
      </c>
      <c r="G745" s="29">
        <f t="shared" si="23"/>
        <v>4.9126164126843596E-3</v>
      </c>
      <c r="H745" s="26"/>
    </row>
    <row r="746" spans="1:8" x14ac:dyDescent="0.3">
      <c r="A746" s="26" t="s">
        <v>607</v>
      </c>
      <c r="B746" s="26">
        <v>68.989999999999995</v>
      </c>
      <c r="C746" s="29">
        <f t="shared" si="22"/>
        <v>-4.3465662126921382E-4</v>
      </c>
      <c r="D746" s="26"/>
      <c r="F746" s="26">
        <v>44416.2</v>
      </c>
      <c r="G746" s="29">
        <f t="shared" si="23"/>
        <v>3.5266518768253515E-3</v>
      </c>
      <c r="H746" s="26"/>
    </row>
    <row r="747" spans="1:8" x14ac:dyDescent="0.3">
      <c r="A747" s="26" t="s">
        <v>606</v>
      </c>
      <c r="B747" s="26">
        <v>68.650000000000006</v>
      </c>
      <c r="C747" s="29">
        <f t="shared" si="22"/>
        <v>-4.928250471082609E-3</v>
      </c>
      <c r="D747" s="26"/>
      <c r="F747" s="26">
        <v>44596.07</v>
      </c>
      <c r="G747" s="29">
        <f t="shared" si="23"/>
        <v>4.0496485516546355E-3</v>
      </c>
      <c r="H747" s="26"/>
    </row>
    <row r="748" spans="1:8" x14ac:dyDescent="0.3">
      <c r="A748" s="27">
        <v>44621</v>
      </c>
      <c r="B748" s="26">
        <v>69.150000000000006</v>
      </c>
      <c r="C748" s="29">
        <f t="shared" si="22"/>
        <v>7.283321194464675E-3</v>
      </c>
      <c r="D748" s="26"/>
      <c r="F748" s="26">
        <v>44886.89</v>
      </c>
      <c r="G748" s="29">
        <f t="shared" si="23"/>
        <v>6.5212024288238786E-3</v>
      </c>
      <c r="H748" s="26"/>
    </row>
    <row r="749" spans="1:8" x14ac:dyDescent="0.3">
      <c r="A749" s="27">
        <v>44652</v>
      </c>
      <c r="B749" s="26">
        <v>69.2</v>
      </c>
      <c r="C749" s="29">
        <f t="shared" si="22"/>
        <v>7.2306579898766667E-4</v>
      </c>
      <c r="D749" s="26"/>
      <c r="F749" s="26">
        <v>45390.84</v>
      </c>
      <c r="G749" s="29">
        <f t="shared" si="23"/>
        <v>1.1227108850713362E-2</v>
      </c>
      <c r="H749" s="26"/>
    </row>
    <row r="750" spans="1:8" x14ac:dyDescent="0.3">
      <c r="A750" s="27">
        <v>44682</v>
      </c>
      <c r="B750" s="26">
        <v>69</v>
      </c>
      <c r="C750" s="29">
        <f t="shared" si="22"/>
        <v>-2.8901734104046653E-3</v>
      </c>
      <c r="D750" s="26"/>
      <c r="F750" s="26">
        <v>45407.89</v>
      </c>
      <c r="G750" s="29">
        <f t="shared" si="23"/>
        <v>3.7562644797943621E-4</v>
      </c>
      <c r="H750" s="26"/>
    </row>
    <row r="751" spans="1:8" x14ac:dyDescent="0.3">
      <c r="A751" s="27">
        <v>44713</v>
      </c>
      <c r="B751" s="26">
        <v>68.819999999999993</v>
      </c>
      <c r="C751" s="29">
        <f t="shared" si="22"/>
        <v>-2.6086956521740117E-3</v>
      </c>
      <c r="D751" s="26"/>
      <c r="F751" s="26">
        <v>45082.3</v>
      </c>
      <c r="G751" s="29">
        <f t="shared" si="23"/>
        <v>-7.1703397801570722E-3</v>
      </c>
      <c r="H751" s="26"/>
    </row>
    <row r="752" spans="1:8" x14ac:dyDescent="0.3">
      <c r="A752" s="27">
        <v>44743</v>
      </c>
      <c r="B752" s="26">
        <v>69</v>
      </c>
      <c r="C752" s="29">
        <f t="shared" si="22"/>
        <v>2.615518744551102E-3</v>
      </c>
      <c r="D752" s="26"/>
      <c r="F752" s="26">
        <v>45345.65</v>
      </c>
      <c r="G752" s="29">
        <f t="shared" si="23"/>
        <v>5.8415386970052221E-3</v>
      </c>
      <c r="H752" s="26"/>
    </row>
    <row r="753" spans="1:8" x14ac:dyDescent="0.3">
      <c r="A753" s="27">
        <v>44835</v>
      </c>
      <c r="B753" s="26">
        <v>70.06</v>
      </c>
      <c r="C753" s="29">
        <f t="shared" si="22"/>
        <v>1.5362318840579743E-2</v>
      </c>
      <c r="D753" s="26"/>
      <c r="F753" s="26">
        <v>45887.63</v>
      </c>
      <c r="G753" s="29">
        <f t="shared" si="23"/>
        <v>1.1952193870856321E-2</v>
      </c>
      <c r="H753" s="26"/>
    </row>
    <row r="754" spans="1:8" x14ac:dyDescent="0.3">
      <c r="A754" s="27">
        <v>44866</v>
      </c>
      <c r="B754" s="26">
        <v>70</v>
      </c>
      <c r="C754" s="29">
        <f t="shared" si="22"/>
        <v>-8.564087924636351E-4</v>
      </c>
      <c r="D754" s="26"/>
      <c r="F754" s="26">
        <v>45881.13</v>
      </c>
      <c r="G754" s="29">
        <f t="shared" si="23"/>
        <v>-1.4165037505750461E-4</v>
      </c>
      <c r="H754" s="26"/>
    </row>
    <row r="755" spans="1:8" x14ac:dyDescent="0.3">
      <c r="A755" s="27">
        <v>44896</v>
      </c>
      <c r="B755" s="26">
        <v>70.25</v>
      </c>
      <c r="C755" s="29">
        <f t="shared" si="22"/>
        <v>3.5714285714285713E-3</v>
      </c>
      <c r="D755" s="26"/>
      <c r="F755" s="26">
        <v>45916.25</v>
      </c>
      <c r="G755" s="29">
        <f t="shared" si="23"/>
        <v>7.6545629979040666E-4</v>
      </c>
      <c r="H755" s="26"/>
    </row>
    <row r="756" spans="1:8" x14ac:dyDescent="0.3">
      <c r="A756" s="26" t="s">
        <v>605</v>
      </c>
      <c r="B756" s="26">
        <v>70.010000000000005</v>
      </c>
      <c r="C756" s="29">
        <f t="shared" si="22"/>
        <v>-3.416370106761493E-3</v>
      </c>
      <c r="D756" s="26"/>
      <c r="F756" s="26">
        <v>45763.199999999997</v>
      </c>
      <c r="G756" s="29">
        <f t="shared" si="23"/>
        <v>-3.3332425884083066E-3</v>
      </c>
      <c r="H756" s="26"/>
    </row>
    <row r="757" spans="1:8" x14ac:dyDescent="0.3">
      <c r="A757" s="26" t="s">
        <v>604</v>
      </c>
      <c r="B757" s="26">
        <v>70</v>
      </c>
      <c r="C757" s="29">
        <f t="shared" si="22"/>
        <v>-1.4283673760898607E-4</v>
      </c>
      <c r="D757" s="26"/>
      <c r="F757" s="26">
        <v>45763.45</v>
      </c>
      <c r="G757" s="29">
        <f t="shared" si="23"/>
        <v>5.4629046919795826E-6</v>
      </c>
      <c r="H757" s="26"/>
    </row>
    <row r="758" spans="1:8" x14ac:dyDescent="0.3">
      <c r="A758" s="26" t="s">
        <v>603</v>
      </c>
      <c r="B758" s="26">
        <v>70.48</v>
      </c>
      <c r="C758" s="29">
        <f t="shared" si="22"/>
        <v>6.857142857142914E-3</v>
      </c>
      <c r="D758" s="26"/>
      <c r="F758" s="26">
        <v>45612.2</v>
      </c>
      <c r="G758" s="29">
        <f t="shared" si="23"/>
        <v>-3.3050392835330378E-3</v>
      </c>
      <c r="H758" s="26"/>
    </row>
    <row r="759" spans="1:8" x14ac:dyDescent="0.3">
      <c r="A759" s="26" t="s">
        <v>602</v>
      </c>
      <c r="B759" s="26">
        <v>69.5</v>
      </c>
      <c r="C759" s="29">
        <f t="shared" si="22"/>
        <v>-1.3904653802497217E-2</v>
      </c>
      <c r="D759" s="26"/>
      <c r="F759" s="26">
        <v>45507.41</v>
      </c>
      <c r="G759" s="29">
        <f t="shared" si="23"/>
        <v>-2.2974116574073079E-3</v>
      </c>
      <c r="H759" s="26"/>
    </row>
    <row r="760" spans="1:8" x14ac:dyDescent="0.3">
      <c r="A760" s="26" t="s">
        <v>601</v>
      </c>
      <c r="B760" s="26">
        <v>69.25</v>
      </c>
      <c r="C760" s="29">
        <f t="shared" si="22"/>
        <v>-3.5971223021582736E-3</v>
      </c>
      <c r="D760" s="26"/>
      <c r="F760" s="26">
        <v>44833.43</v>
      </c>
      <c r="G760" s="29">
        <f t="shared" si="23"/>
        <v>-1.4810335283858236E-2</v>
      </c>
      <c r="H760" s="26"/>
    </row>
    <row r="761" spans="1:8" x14ac:dyDescent="0.3">
      <c r="A761" s="26" t="s">
        <v>600</v>
      </c>
      <c r="B761" s="26">
        <v>70.14</v>
      </c>
      <c r="C761" s="29">
        <f t="shared" si="22"/>
        <v>1.2851985559566795E-2</v>
      </c>
      <c r="D761" s="26"/>
      <c r="F761" s="26">
        <v>44825.97</v>
      </c>
      <c r="G761" s="29">
        <f t="shared" si="23"/>
        <v>-1.6639369327751919E-4</v>
      </c>
      <c r="H761" s="26"/>
    </row>
    <row r="762" spans="1:8" x14ac:dyDescent="0.3">
      <c r="A762" s="26" t="s">
        <v>599</v>
      </c>
      <c r="B762" s="26">
        <v>71.33</v>
      </c>
      <c r="C762" s="29">
        <f t="shared" si="22"/>
        <v>1.6966067864271423E-2</v>
      </c>
      <c r="D762" s="26"/>
      <c r="F762" s="26">
        <v>45018.28</v>
      </c>
      <c r="G762" s="29">
        <f t="shared" si="23"/>
        <v>4.2901469839915938E-3</v>
      </c>
      <c r="H762" s="26"/>
    </row>
    <row r="763" spans="1:8" x14ac:dyDescent="0.3">
      <c r="A763" s="26" t="s">
        <v>598</v>
      </c>
      <c r="B763" s="26">
        <v>72</v>
      </c>
      <c r="C763" s="29">
        <f t="shared" si="22"/>
        <v>9.3929622879574057E-3</v>
      </c>
      <c r="D763" s="26"/>
      <c r="F763" s="26">
        <v>44923.91</v>
      </c>
      <c r="G763" s="29">
        <f t="shared" si="23"/>
        <v>-2.0962595638926084E-3</v>
      </c>
      <c r="H763" s="26"/>
    </row>
    <row r="764" spans="1:8" x14ac:dyDescent="0.3">
      <c r="A764" s="26" t="s">
        <v>597</v>
      </c>
      <c r="B764" s="26">
        <v>71.33</v>
      </c>
      <c r="C764" s="29">
        <f t="shared" si="22"/>
        <v>-9.305555555555579E-3</v>
      </c>
      <c r="D764" s="26"/>
      <c r="F764" s="26">
        <v>44887.77</v>
      </c>
      <c r="G764" s="29">
        <f t="shared" si="23"/>
        <v>-8.0447138283392273E-4</v>
      </c>
      <c r="H764" s="26"/>
    </row>
    <row r="765" spans="1:8" x14ac:dyDescent="0.3">
      <c r="A765" s="26" t="s">
        <v>596</v>
      </c>
      <c r="B765" s="26">
        <v>72.08</v>
      </c>
      <c r="C765" s="29">
        <f t="shared" si="22"/>
        <v>1.051451002383289E-2</v>
      </c>
      <c r="D765" s="26"/>
      <c r="F765" s="26">
        <v>44955.05</v>
      </c>
      <c r="G765" s="29">
        <f t="shared" si="23"/>
        <v>1.4988492411185969E-3</v>
      </c>
      <c r="H765" s="26"/>
    </row>
    <row r="766" spans="1:8" x14ac:dyDescent="0.3">
      <c r="A766" s="26" t="s">
        <v>595</v>
      </c>
      <c r="B766" s="26">
        <v>72</v>
      </c>
      <c r="C766" s="29">
        <f t="shared" si="22"/>
        <v>-1.1098779134294991E-3</v>
      </c>
      <c r="D766" s="26"/>
      <c r="F766" s="26">
        <v>45083.040000000001</v>
      </c>
      <c r="G766" s="29">
        <f t="shared" si="23"/>
        <v>2.8470661249403117E-3</v>
      </c>
      <c r="H766" s="26"/>
    </row>
    <row r="767" spans="1:8" x14ac:dyDescent="0.3">
      <c r="A767" s="26" t="s">
        <v>594</v>
      </c>
      <c r="B767" s="26">
        <v>72.09</v>
      </c>
      <c r="C767" s="29">
        <f t="shared" si="22"/>
        <v>1.2500000000000473E-3</v>
      </c>
      <c r="D767" s="26"/>
      <c r="F767" s="26">
        <v>45077.91</v>
      </c>
      <c r="G767" s="29">
        <f t="shared" si="23"/>
        <v>-1.1379001948398733E-4</v>
      </c>
      <c r="H767" s="26"/>
    </row>
    <row r="768" spans="1:8" x14ac:dyDescent="0.3">
      <c r="A768" s="26" t="s">
        <v>593</v>
      </c>
      <c r="B768" s="26">
        <v>74.5</v>
      </c>
      <c r="C768" s="29">
        <f t="shared" si="22"/>
        <v>3.34304341794978E-2</v>
      </c>
      <c r="D768" s="26"/>
      <c r="F768" s="26">
        <v>45374.68</v>
      </c>
      <c r="G768" s="29">
        <f t="shared" si="23"/>
        <v>6.5834906720386279E-3</v>
      </c>
      <c r="H768" s="26"/>
    </row>
    <row r="769" spans="1:8" x14ac:dyDescent="0.3">
      <c r="A769" s="27">
        <v>44563</v>
      </c>
      <c r="B769" s="26">
        <v>74.5</v>
      </c>
      <c r="C769" s="29">
        <f t="shared" si="22"/>
        <v>0</v>
      </c>
      <c r="D769" s="26"/>
      <c r="F769" s="26">
        <v>45674.5</v>
      </c>
      <c r="G769" s="29">
        <f t="shared" si="23"/>
        <v>6.607649905189408E-3</v>
      </c>
      <c r="H769" s="26"/>
    </row>
    <row r="770" spans="1:8" x14ac:dyDescent="0.3">
      <c r="A770" s="27">
        <v>44594</v>
      </c>
      <c r="B770" s="26">
        <v>75.25</v>
      </c>
      <c r="C770" s="29">
        <f t="shared" si="22"/>
        <v>1.0067114093959731E-2</v>
      </c>
      <c r="D770" s="26"/>
      <c r="F770" s="26">
        <v>46119.15</v>
      </c>
      <c r="G770" s="29">
        <f t="shared" si="23"/>
        <v>9.7351914087729797E-3</v>
      </c>
      <c r="H770" s="26"/>
    </row>
    <row r="771" spans="1:8" x14ac:dyDescent="0.3">
      <c r="A771" s="27">
        <v>44622</v>
      </c>
      <c r="B771" s="26">
        <v>75</v>
      </c>
      <c r="C771" s="29">
        <f t="shared" si="22"/>
        <v>-3.3222591362126247E-3</v>
      </c>
      <c r="D771" s="26"/>
      <c r="F771" s="26">
        <v>45862.93</v>
      </c>
      <c r="G771" s="29">
        <f t="shared" si="23"/>
        <v>-5.5556097629726733E-3</v>
      </c>
      <c r="H771" s="26"/>
    </row>
    <row r="772" spans="1:8" x14ac:dyDescent="0.3">
      <c r="A772" s="27">
        <v>44653</v>
      </c>
      <c r="B772" s="26">
        <v>75</v>
      </c>
      <c r="C772" s="29">
        <f t="shared" si="22"/>
        <v>0</v>
      </c>
      <c r="D772" s="26"/>
      <c r="F772" s="26">
        <v>45909.65</v>
      </c>
      <c r="G772" s="29">
        <f t="shared" si="23"/>
        <v>1.0186876416312949E-3</v>
      </c>
      <c r="H772" s="26"/>
    </row>
    <row r="773" spans="1:8" x14ac:dyDescent="0.3">
      <c r="A773" s="27">
        <v>44744</v>
      </c>
      <c r="B773" s="26">
        <v>74.5</v>
      </c>
      <c r="C773" s="29">
        <f t="shared" ref="C773:C836" si="24">(B773-B772)/B772</f>
        <v>-6.6666666666666671E-3</v>
      </c>
      <c r="D773" s="26"/>
      <c r="F773" s="26">
        <v>45841.25</v>
      </c>
      <c r="G773" s="29">
        <f t="shared" ref="G773:G836" si="25">(F773-F772)/F772</f>
        <v>-1.4898828459812142E-3</v>
      </c>
      <c r="H773" s="26"/>
    </row>
    <row r="774" spans="1:8" x14ac:dyDescent="0.3">
      <c r="A774" s="27">
        <v>44775</v>
      </c>
      <c r="B774" s="26">
        <v>73.75</v>
      </c>
      <c r="C774" s="29">
        <f t="shared" si="24"/>
        <v>-1.0067114093959731E-2</v>
      </c>
      <c r="D774" s="26"/>
      <c r="F774" s="26">
        <v>45947.95</v>
      </c>
      <c r="G774" s="29">
        <f t="shared" si="25"/>
        <v>2.3275979603522394E-3</v>
      </c>
      <c r="H774" s="26"/>
    </row>
    <row r="775" spans="1:8" x14ac:dyDescent="0.3">
      <c r="A775" s="27">
        <v>44806</v>
      </c>
      <c r="B775" s="26">
        <v>77</v>
      </c>
      <c r="C775" s="29">
        <f t="shared" si="24"/>
        <v>4.4067796610169491E-2</v>
      </c>
      <c r="D775" s="26"/>
      <c r="F775" s="26">
        <v>46339.76</v>
      </c>
      <c r="G775" s="29">
        <f t="shared" si="25"/>
        <v>8.5272574728579836E-3</v>
      </c>
      <c r="H775" s="26"/>
    </row>
    <row r="776" spans="1:8" x14ac:dyDescent="0.3">
      <c r="A776" s="27">
        <v>44836</v>
      </c>
      <c r="B776" s="26">
        <v>75.900000000000006</v>
      </c>
      <c r="C776" s="29">
        <f t="shared" si="24"/>
        <v>-1.4285714285714212E-2</v>
      </c>
      <c r="D776" s="26"/>
      <c r="F776" s="26">
        <v>45940.04</v>
      </c>
      <c r="G776" s="29">
        <f t="shared" si="25"/>
        <v>-8.6258539103353394E-3</v>
      </c>
      <c r="H776" s="26"/>
    </row>
    <row r="777" spans="1:8" x14ac:dyDescent="0.3">
      <c r="A777" s="27">
        <v>44867</v>
      </c>
      <c r="B777" s="26">
        <v>76.19</v>
      </c>
      <c r="C777" s="29">
        <f t="shared" si="24"/>
        <v>3.82081686429502E-3</v>
      </c>
      <c r="D777" s="26"/>
      <c r="F777" s="26">
        <v>46079.37</v>
      </c>
      <c r="G777" s="29">
        <f t="shared" si="25"/>
        <v>3.032866318792969E-3</v>
      </c>
      <c r="H777" s="26"/>
    </row>
    <row r="778" spans="1:8" x14ac:dyDescent="0.3">
      <c r="A778" s="26" t="s">
        <v>592</v>
      </c>
      <c r="B778" s="26">
        <v>76.2</v>
      </c>
      <c r="C778" s="29">
        <f t="shared" si="24"/>
        <v>1.3125082031769414E-4</v>
      </c>
      <c r="D778" s="26"/>
      <c r="F778" s="26">
        <v>45644.09</v>
      </c>
      <c r="G778" s="29">
        <f t="shared" si="25"/>
        <v>-9.446309704321176E-3</v>
      </c>
      <c r="H778" s="26"/>
    </row>
    <row r="779" spans="1:8" x14ac:dyDescent="0.3">
      <c r="A779" s="26" t="s">
        <v>591</v>
      </c>
      <c r="B779" s="26">
        <v>76.19</v>
      </c>
      <c r="C779" s="29">
        <f t="shared" si="24"/>
        <v>-1.3123359580059207E-4</v>
      </c>
      <c r="D779" s="26"/>
      <c r="F779" s="26">
        <v>45731.7</v>
      </c>
      <c r="G779" s="29">
        <f t="shared" si="25"/>
        <v>1.9194160733624131E-3</v>
      </c>
      <c r="H779" s="26"/>
    </row>
    <row r="780" spans="1:8" x14ac:dyDescent="0.3">
      <c r="A780" s="26" t="s">
        <v>590</v>
      </c>
      <c r="B780" s="26">
        <v>75.989999999999995</v>
      </c>
      <c r="C780" s="29">
        <f t="shared" si="24"/>
        <v>-2.625016406352577E-3</v>
      </c>
      <c r="D780" s="26"/>
      <c r="F780" s="26">
        <v>45684.800000000003</v>
      </c>
      <c r="G780" s="29">
        <f t="shared" si="25"/>
        <v>-1.0255468307540324E-3</v>
      </c>
      <c r="H780" s="26"/>
    </row>
    <row r="781" spans="1:8" x14ac:dyDescent="0.3">
      <c r="A781" s="26" t="s">
        <v>589</v>
      </c>
      <c r="B781" s="26">
        <v>76</v>
      </c>
      <c r="C781" s="29">
        <f t="shared" si="24"/>
        <v>1.3159626266620762E-4</v>
      </c>
      <c r="D781" s="26"/>
      <c r="F781" s="26">
        <v>45441.1</v>
      </c>
      <c r="G781" s="29">
        <f t="shared" si="25"/>
        <v>-5.3343781739222749E-3</v>
      </c>
      <c r="H781" s="26"/>
    </row>
    <row r="782" spans="1:8" x14ac:dyDescent="0.3">
      <c r="A782" s="26" t="s">
        <v>588</v>
      </c>
      <c r="B782" s="26">
        <v>75.94</v>
      </c>
      <c r="C782" s="29">
        <f t="shared" si="24"/>
        <v>-7.8947368421055622E-4</v>
      </c>
      <c r="D782" s="26"/>
      <c r="F782" s="26">
        <v>45675.87</v>
      </c>
      <c r="G782" s="29">
        <f t="shared" si="25"/>
        <v>5.1664682413058681E-3</v>
      </c>
      <c r="H782" s="26"/>
    </row>
    <row r="783" spans="1:8" x14ac:dyDescent="0.3">
      <c r="A783" s="26" t="s">
        <v>587</v>
      </c>
      <c r="B783" s="26">
        <v>76.680000000000007</v>
      </c>
      <c r="C783" s="29">
        <f t="shared" si="24"/>
        <v>9.7445351593364385E-3</v>
      </c>
      <c r="D783" s="26"/>
      <c r="F783" s="26">
        <v>45362.85</v>
      </c>
      <c r="G783" s="29">
        <f t="shared" si="25"/>
        <v>-6.853071435749424E-3</v>
      </c>
      <c r="H783" s="26"/>
    </row>
    <row r="784" spans="1:8" x14ac:dyDescent="0.3">
      <c r="A784" s="26" t="s">
        <v>586</v>
      </c>
      <c r="B784" s="26">
        <v>76.5</v>
      </c>
      <c r="C784" s="29">
        <f t="shared" si="24"/>
        <v>-2.3474178403756758E-3</v>
      </c>
      <c r="D784" s="26"/>
      <c r="F784" s="26">
        <v>45012.18</v>
      </c>
      <c r="G784" s="29">
        <f t="shared" si="25"/>
        <v>-7.730334403592329E-3</v>
      </c>
      <c r="H784" s="26"/>
    </row>
    <row r="785" spans="1:8" x14ac:dyDescent="0.3">
      <c r="A785" s="26" t="s">
        <v>585</v>
      </c>
      <c r="B785" s="26">
        <v>76.7</v>
      </c>
      <c r="C785" s="29">
        <f t="shared" si="24"/>
        <v>2.6143790849673574E-3</v>
      </c>
      <c r="D785" s="26"/>
      <c r="F785" s="26">
        <v>45132.92</v>
      </c>
      <c r="G785" s="29">
        <f t="shared" si="25"/>
        <v>2.6823850788830483E-3</v>
      </c>
      <c r="H785" s="26"/>
    </row>
    <row r="786" spans="1:8" x14ac:dyDescent="0.3">
      <c r="A786" s="26" t="s">
        <v>584</v>
      </c>
      <c r="B786" s="26">
        <v>75.5</v>
      </c>
      <c r="C786" s="29">
        <f t="shared" si="24"/>
        <v>-1.5645371577575003E-2</v>
      </c>
      <c r="D786" s="26"/>
      <c r="F786" s="26">
        <v>43830.51</v>
      </c>
      <c r="G786" s="29">
        <f t="shared" si="25"/>
        <v>-2.885720666865774E-2</v>
      </c>
      <c r="H786" s="26"/>
    </row>
    <row r="787" spans="1:8" x14ac:dyDescent="0.3">
      <c r="A787" s="26" t="s">
        <v>583</v>
      </c>
      <c r="B787" s="26">
        <v>76</v>
      </c>
      <c r="C787" s="29">
        <f t="shared" si="24"/>
        <v>6.6225165562913907E-3</v>
      </c>
      <c r="D787" s="26"/>
      <c r="F787" s="26">
        <v>43984.24</v>
      </c>
      <c r="G787" s="29">
        <f t="shared" si="25"/>
        <v>3.5073742012127151E-3</v>
      </c>
      <c r="H787" s="26"/>
    </row>
    <row r="788" spans="1:8" x14ac:dyDescent="0.3">
      <c r="A788" s="26" t="s">
        <v>582</v>
      </c>
      <c r="B788" s="26">
        <v>76</v>
      </c>
      <c r="C788" s="29">
        <f t="shared" si="24"/>
        <v>0</v>
      </c>
      <c r="D788" s="26"/>
      <c r="F788" s="26">
        <v>44461.01</v>
      </c>
      <c r="G788" s="29">
        <f t="shared" si="25"/>
        <v>1.0839564353050186E-2</v>
      </c>
      <c r="H788" s="26"/>
    </row>
    <row r="789" spans="1:8" x14ac:dyDescent="0.3">
      <c r="A789" s="27">
        <v>44564</v>
      </c>
      <c r="B789" s="26">
        <v>76</v>
      </c>
      <c r="C789" s="29">
        <f t="shared" si="24"/>
        <v>0</v>
      </c>
      <c r="D789" s="26"/>
      <c r="F789" s="26">
        <v>44803.58</v>
      </c>
      <c r="G789" s="29">
        <f t="shared" si="25"/>
        <v>7.7049531713292091E-3</v>
      </c>
      <c r="H789" s="26"/>
    </row>
    <row r="790" spans="1:8" x14ac:dyDescent="0.3">
      <c r="A790" s="27">
        <v>44595</v>
      </c>
      <c r="B790" s="26">
        <v>76</v>
      </c>
      <c r="C790" s="29">
        <f t="shared" si="24"/>
        <v>0</v>
      </c>
      <c r="D790" s="26"/>
      <c r="F790" s="26">
        <v>44514.12</v>
      </c>
      <c r="G790" s="29">
        <f t="shared" si="25"/>
        <v>-6.4606444395737825E-3</v>
      </c>
      <c r="H790" s="26"/>
    </row>
    <row r="791" spans="1:8" x14ac:dyDescent="0.3">
      <c r="A791" s="27">
        <v>44623</v>
      </c>
      <c r="B791" s="26">
        <v>76.040000000000006</v>
      </c>
      <c r="C791" s="29">
        <f t="shared" si="24"/>
        <v>5.2631578947376649E-4</v>
      </c>
      <c r="D791" s="26"/>
      <c r="F791" s="26">
        <v>44525.72</v>
      </c>
      <c r="G791" s="29">
        <f t="shared" si="25"/>
        <v>2.605914707512705E-4</v>
      </c>
      <c r="H791" s="26"/>
    </row>
    <row r="792" spans="1:8" x14ac:dyDescent="0.3">
      <c r="A792" s="27">
        <v>44654</v>
      </c>
      <c r="B792" s="26">
        <v>76.099999999999994</v>
      </c>
      <c r="C792" s="29">
        <f t="shared" si="24"/>
        <v>7.8905839032072673E-4</v>
      </c>
      <c r="D792" s="26"/>
      <c r="F792" s="26">
        <v>44551.35</v>
      </c>
      <c r="G792" s="29">
        <f t="shared" si="25"/>
        <v>5.7562235939132218E-4</v>
      </c>
      <c r="H792" s="26"/>
    </row>
    <row r="793" spans="1:8" x14ac:dyDescent="0.3">
      <c r="A793" s="27">
        <v>44745</v>
      </c>
      <c r="B793" s="26">
        <v>75.5</v>
      </c>
      <c r="C793" s="29">
        <f t="shared" si="24"/>
        <v>-7.8843626806832379E-3</v>
      </c>
      <c r="D793" s="26"/>
      <c r="F793" s="26">
        <v>43266.97</v>
      </c>
      <c r="G793" s="29">
        <f t="shared" si="25"/>
        <v>-2.8829204951140591E-2</v>
      </c>
      <c r="H793" s="26"/>
    </row>
    <row r="794" spans="1:8" x14ac:dyDescent="0.3">
      <c r="A794" s="27">
        <v>44776</v>
      </c>
      <c r="B794" s="26">
        <v>74.900000000000006</v>
      </c>
      <c r="C794" s="29">
        <f t="shared" si="24"/>
        <v>-7.9470198675495943E-3</v>
      </c>
      <c r="D794" s="26"/>
      <c r="F794" s="26">
        <v>42878.35</v>
      </c>
      <c r="G794" s="29">
        <f t="shared" si="25"/>
        <v>-8.9819092947808141E-3</v>
      </c>
      <c r="H794" s="26"/>
    </row>
    <row r="795" spans="1:8" x14ac:dyDescent="0.3">
      <c r="A795" s="27">
        <v>44807</v>
      </c>
      <c r="B795" s="26">
        <v>74.94</v>
      </c>
      <c r="C795" s="29">
        <f t="shared" si="24"/>
        <v>5.3404539385837173E-4</v>
      </c>
      <c r="D795" s="26"/>
      <c r="F795" s="26">
        <v>43042.96</v>
      </c>
      <c r="G795" s="29">
        <f t="shared" si="25"/>
        <v>3.8390003346677423E-3</v>
      </c>
      <c r="H795" s="26"/>
    </row>
    <row r="796" spans="1:8" x14ac:dyDescent="0.3">
      <c r="A796" s="27">
        <v>44837</v>
      </c>
      <c r="B796" s="26">
        <v>75.3</v>
      </c>
      <c r="C796" s="29">
        <f t="shared" si="24"/>
        <v>4.8038430744595604E-3</v>
      </c>
      <c r="D796" s="26"/>
      <c r="F796" s="26">
        <v>43853.62</v>
      </c>
      <c r="G796" s="29">
        <f t="shared" si="25"/>
        <v>1.8833741917377512E-2</v>
      </c>
      <c r="H796" s="26"/>
    </row>
    <row r="797" spans="1:8" x14ac:dyDescent="0.3">
      <c r="A797" s="27">
        <v>44868</v>
      </c>
      <c r="B797" s="26">
        <v>74.680000000000007</v>
      </c>
      <c r="C797" s="29">
        <f t="shared" si="24"/>
        <v>-8.2337317397077076E-3</v>
      </c>
      <c r="D797" s="26"/>
      <c r="F797" s="26">
        <v>43653.33</v>
      </c>
      <c r="G797" s="29">
        <f t="shared" si="25"/>
        <v>-4.567239831056156E-3</v>
      </c>
      <c r="H797" s="26"/>
    </row>
    <row r="798" spans="1:8" x14ac:dyDescent="0.3">
      <c r="A798" s="26" t="s">
        <v>581</v>
      </c>
      <c r="B798" s="26">
        <v>74.099999999999994</v>
      </c>
      <c r="C798" s="29">
        <f t="shared" si="24"/>
        <v>-7.7664702731656725E-3</v>
      </c>
      <c r="D798" s="26"/>
      <c r="F798" s="26">
        <v>43366.89</v>
      </c>
      <c r="G798" s="29">
        <f t="shared" si="25"/>
        <v>-6.5616987295127847E-3</v>
      </c>
      <c r="H798" s="26"/>
    </row>
    <row r="799" spans="1:8" x14ac:dyDescent="0.3">
      <c r="A799" s="26" t="s">
        <v>580</v>
      </c>
      <c r="B799" s="26">
        <v>75.5</v>
      </c>
      <c r="C799" s="29">
        <f t="shared" si="24"/>
        <v>1.8893387314440024E-2</v>
      </c>
      <c r="D799" s="26"/>
      <c r="F799" s="26">
        <v>43719.82</v>
      </c>
      <c r="G799" s="29">
        <f t="shared" si="25"/>
        <v>8.1382363365231011E-3</v>
      </c>
      <c r="H799" s="26"/>
    </row>
    <row r="800" spans="1:8" x14ac:dyDescent="0.3">
      <c r="A800" s="26" t="s">
        <v>579</v>
      </c>
      <c r="B800" s="26">
        <v>75.849999999999994</v>
      </c>
      <c r="C800" s="29">
        <f t="shared" si="24"/>
        <v>4.6357615894038985E-3</v>
      </c>
      <c r="D800" s="26"/>
      <c r="F800" s="26">
        <v>43975.69</v>
      </c>
      <c r="G800" s="29">
        <f t="shared" si="25"/>
        <v>5.8524943606813257E-3</v>
      </c>
      <c r="H800" s="26"/>
    </row>
    <row r="801" spans="1:8" x14ac:dyDescent="0.3">
      <c r="A801" s="26" t="s">
        <v>578</v>
      </c>
      <c r="B801" s="26">
        <v>68.98</v>
      </c>
      <c r="C801" s="29">
        <f t="shared" si="24"/>
        <v>-9.0573500329597767E-2</v>
      </c>
      <c r="D801" s="26"/>
      <c r="F801" s="26">
        <v>43807.23</v>
      </c>
      <c r="G801" s="29">
        <f t="shared" si="25"/>
        <v>-3.8307528545885039E-3</v>
      </c>
      <c r="H801" s="26"/>
    </row>
    <row r="802" spans="1:8" x14ac:dyDescent="0.3">
      <c r="A802" s="26" t="s">
        <v>577</v>
      </c>
      <c r="B802" s="26">
        <v>69.489999999999995</v>
      </c>
      <c r="C802" s="29">
        <f t="shared" si="24"/>
        <v>7.3934473760508971E-3</v>
      </c>
      <c r="D802" s="26"/>
      <c r="F802" s="26">
        <v>43029.97</v>
      </c>
      <c r="G802" s="29">
        <f t="shared" si="25"/>
        <v>-1.7742733334200816E-2</v>
      </c>
      <c r="H802" s="26"/>
    </row>
    <row r="803" spans="1:8" x14ac:dyDescent="0.3">
      <c r="A803" s="26" t="s">
        <v>576</v>
      </c>
      <c r="B803" s="26">
        <v>68.8</v>
      </c>
      <c r="C803" s="29">
        <f t="shared" si="24"/>
        <v>-9.9294862570153651E-3</v>
      </c>
      <c r="D803" s="26"/>
      <c r="F803" s="26">
        <v>43230.22</v>
      </c>
      <c r="G803" s="29">
        <f t="shared" si="25"/>
        <v>4.6537332003717411E-3</v>
      </c>
      <c r="H803" s="26"/>
    </row>
    <row r="804" spans="1:8" x14ac:dyDescent="0.3">
      <c r="A804" s="26" t="s">
        <v>575</v>
      </c>
      <c r="B804" s="26">
        <v>67.900000000000006</v>
      </c>
      <c r="C804" s="29">
        <f t="shared" si="24"/>
        <v>-1.3081395348837085E-2</v>
      </c>
      <c r="D804" s="26"/>
      <c r="F804" s="26">
        <v>43203.79</v>
      </c>
      <c r="G804" s="29">
        <f t="shared" si="25"/>
        <v>-6.1137787408901208E-4</v>
      </c>
      <c r="H804" s="26"/>
    </row>
    <row r="805" spans="1:8" x14ac:dyDescent="0.3">
      <c r="A805" s="26" t="s">
        <v>574</v>
      </c>
      <c r="B805" s="26">
        <v>67.849999999999994</v>
      </c>
      <c r="C805" s="29">
        <f t="shared" si="24"/>
        <v>-7.3637702503698624E-4</v>
      </c>
      <c r="D805" s="26"/>
      <c r="F805" s="26">
        <v>43522.55</v>
      </c>
      <c r="G805" s="29">
        <f t="shared" si="25"/>
        <v>7.3780564158839315E-3</v>
      </c>
      <c r="H805" s="26"/>
    </row>
    <row r="806" spans="1:8" x14ac:dyDescent="0.3">
      <c r="A806" s="26" t="s">
        <v>573</v>
      </c>
      <c r="B806" s="26">
        <v>68</v>
      </c>
      <c r="C806" s="29">
        <f t="shared" si="24"/>
        <v>2.2107590272661118E-3</v>
      </c>
      <c r="D806" s="26"/>
      <c r="F806" s="26">
        <v>43551.14</v>
      </c>
      <c r="G806" s="29">
        <f t="shared" si="25"/>
        <v>6.5690084795115415E-4</v>
      </c>
      <c r="H806" s="26"/>
    </row>
    <row r="807" spans="1:8" x14ac:dyDescent="0.3">
      <c r="A807" s="26" t="s">
        <v>572</v>
      </c>
      <c r="B807" s="26">
        <v>67.7</v>
      </c>
      <c r="C807" s="29">
        <f t="shared" si="24"/>
        <v>-4.4117647058823112E-3</v>
      </c>
      <c r="D807" s="26"/>
      <c r="F807" s="26">
        <v>43933.56</v>
      </c>
      <c r="G807" s="29">
        <f t="shared" si="25"/>
        <v>8.7809412107237202E-3</v>
      </c>
      <c r="H807" s="26"/>
    </row>
    <row r="808" spans="1:8" x14ac:dyDescent="0.3">
      <c r="A808" s="26" t="s">
        <v>571</v>
      </c>
      <c r="B808" s="26">
        <v>67.2</v>
      </c>
      <c r="C808" s="29">
        <f t="shared" si="24"/>
        <v>-7.385524372230428E-3</v>
      </c>
      <c r="D808" s="26"/>
      <c r="F808" s="26">
        <v>44438.7</v>
      </c>
      <c r="G808" s="29">
        <f t="shared" si="25"/>
        <v>1.1497816247988997E-2</v>
      </c>
      <c r="H808" s="26"/>
    </row>
    <row r="809" spans="1:8" x14ac:dyDescent="0.3">
      <c r="A809" s="26" t="s">
        <v>570</v>
      </c>
      <c r="B809" s="26">
        <v>67.260000000000005</v>
      </c>
      <c r="C809" s="29">
        <f t="shared" si="24"/>
        <v>8.9285714285717666E-4</v>
      </c>
      <c r="D809" s="26"/>
      <c r="F809" s="26">
        <v>44337.56</v>
      </c>
      <c r="G809" s="29">
        <f t="shared" si="25"/>
        <v>-2.2759441657834146E-3</v>
      </c>
      <c r="H809" s="26"/>
    </row>
    <row r="810" spans="1:8" x14ac:dyDescent="0.3">
      <c r="A810" s="26" t="s">
        <v>569</v>
      </c>
      <c r="B810" s="26">
        <v>68</v>
      </c>
      <c r="C810" s="29">
        <f t="shared" si="24"/>
        <v>1.1002081474873547E-2</v>
      </c>
      <c r="D810" s="26"/>
      <c r="F810" s="26">
        <v>44928.83</v>
      </c>
      <c r="G810" s="29">
        <f t="shared" si="25"/>
        <v>1.3335645894812526E-2</v>
      </c>
      <c r="H810" s="26"/>
    </row>
    <row r="811" spans="1:8" x14ac:dyDescent="0.3">
      <c r="A811" s="27">
        <v>44565</v>
      </c>
      <c r="B811" s="26">
        <v>67.5</v>
      </c>
      <c r="C811" s="29">
        <f t="shared" si="24"/>
        <v>-7.3529411764705881E-3</v>
      </c>
      <c r="D811" s="26"/>
      <c r="F811" s="26">
        <v>45152.11</v>
      </c>
      <c r="G811" s="29">
        <f t="shared" si="25"/>
        <v>4.9696375356313265E-3</v>
      </c>
      <c r="H811" s="26"/>
    </row>
    <row r="812" spans="1:8" x14ac:dyDescent="0.3">
      <c r="A812" s="27">
        <v>44655</v>
      </c>
      <c r="B812" s="26">
        <v>67.2</v>
      </c>
      <c r="C812" s="29">
        <f t="shared" si="24"/>
        <v>-4.4444444444444019E-3</v>
      </c>
      <c r="D812" s="26"/>
      <c r="F812" s="26">
        <v>43902.04</v>
      </c>
      <c r="G812" s="29">
        <f t="shared" si="25"/>
        <v>-2.7685749348147843E-2</v>
      </c>
      <c r="H812" s="26"/>
    </row>
    <row r="813" spans="1:8" x14ac:dyDescent="0.3">
      <c r="A813" s="27">
        <v>44685</v>
      </c>
      <c r="B813" s="26">
        <v>67</v>
      </c>
      <c r="C813" s="29">
        <f t="shared" si="24"/>
        <v>-2.9761904761905185E-3</v>
      </c>
      <c r="D813" s="26"/>
      <c r="F813" s="26">
        <v>43928.08</v>
      </c>
      <c r="G813" s="29">
        <f t="shared" si="25"/>
        <v>5.9313872430531408E-4</v>
      </c>
      <c r="H813" s="26"/>
    </row>
    <row r="814" spans="1:8" x14ac:dyDescent="0.3">
      <c r="A814" s="27">
        <v>44716</v>
      </c>
      <c r="B814" s="26">
        <v>67</v>
      </c>
      <c r="C814" s="29">
        <f t="shared" si="24"/>
        <v>0</v>
      </c>
      <c r="D814" s="26"/>
      <c r="F814" s="26">
        <v>44111.1</v>
      </c>
      <c r="G814" s="29">
        <f t="shared" si="25"/>
        <v>4.1663555520750463E-3</v>
      </c>
      <c r="H814" s="26"/>
    </row>
    <row r="815" spans="1:8" x14ac:dyDescent="0.3">
      <c r="A815" s="27">
        <v>44746</v>
      </c>
      <c r="B815" s="26">
        <v>67</v>
      </c>
      <c r="C815" s="29">
        <f t="shared" si="24"/>
        <v>0</v>
      </c>
      <c r="D815" s="26"/>
      <c r="F815" s="26">
        <v>43786.83</v>
      </c>
      <c r="G815" s="29">
        <f t="shared" si="25"/>
        <v>-7.3512109197004108E-3</v>
      </c>
      <c r="H815" s="26"/>
    </row>
    <row r="816" spans="1:8" x14ac:dyDescent="0.3">
      <c r="A816" s="27">
        <v>44777</v>
      </c>
      <c r="B816" s="26">
        <v>68</v>
      </c>
      <c r="C816" s="29">
        <f t="shared" si="24"/>
        <v>1.4925373134328358E-2</v>
      </c>
      <c r="D816" s="26"/>
      <c r="F816" s="26">
        <v>44444.58</v>
      </c>
      <c r="G816" s="29">
        <f t="shared" si="25"/>
        <v>1.5021640068486346E-2</v>
      </c>
      <c r="H816" s="26"/>
    </row>
    <row r="817" spans="1:8" x14ac:dyDescent="0.3">
      <c r="A817" s="27">
        <v>44869</v>
      </c>
      <c r="B817" s="26">
        <v>71.63</v>
      </c>
      <c r="C817" s="29">
        <f t="shared" si="24"/>
        <v>5.3382352941176402E-2</v>
      </c>
      <c r="D817" s="26"/>
      <c r="F817" s="26">
        <v>46144.959999999999</v>
      </c>
      <c r="G817" s="29">
        <f t="shared" si="25"/>
        <v>3.8258433311778341E-2</v>
      </c>
      <c r="H817" s="26"/>
    </row>
    <row r="818" spans="1:8" x14ac:dyDescent="0.3">
      <c r="A818" s="27">
        <v>44899</v>
      </c>
      <c r="B818" s="26">
        <v>73.5</v>
      </c>
      <c r="C818" s="29">
        <f t="shared" si="24"/>
        <v>2.6106380008376444E-2</v>
      </c>
      <c r="D818" s="26"/>
      <c r="F818" s="26">
        <v>46407.26</v>
      </c>
      <c r="G818" s="29">
        <f t="shared" si="25"/>
        <v>5.6842610763993056E-3</v>
      </c>
      <c r="H818" s="26"/>
    </row>
    <row r="819" spans="1:8" x14ac:dyDescent="0.3">
      <c r="A819" s="26" t="s">
        <v>568</v>
      </c>
      <c r="B819" s="26">
        <v>72</v>
      </c>
      <c r="C819" s="29">
        <f t="shared" si="24"/>
        <v>-2.0408163265306121E-2</v>
      </c>
      <c r="D819" s="26"/>
      <c r="F819" s="26">
        <v>46165.5</v>
      </c>
      <c r="G819" s="29">
        <f t="shared" si="25"/>
        <v>-5.20952971582468E-3</v>
      </c>
      <c r="H819" s="26"/>
    </row>
    <row r="820" spans="1:8" x14ac:dyDescent="0.3">
      <c r="A820" s="26" t="s">
        <v>567</v>
      </c>
      <c r="B820" s="26">
        <v>72.400000000000006</v>
      </c>
      <c r="C820" s="29">
        <f t="shared" si="24"/>
        <v>5.5555555555556347E-3</v>
      </c>
      <c r="D820" s="26"/>
      <c r="F820" s="26">
        <v>46484.43</v>
      </c>
      <c r="G820" s="29">
        <f t="shared" si="25"/>
        <v>6.9084056275790428E-3</v>
      </c>
      <c r="H820" s="26"/>
    </row>
    <row r="821" spans="1:8" x14ac:dyDescent="0.3">
      <c r="A821" s="26" t="s">
        <v>566</v>
      </c>
      <c r="B821" s="26">
        <v>71.5</v>
      </c>
      <c r="C821" s="29">
        <f t="shared" si="24"/>
        <v>-1.2430939226519415E-2</v>
      </c>
      <c r="D821" s="26"/>
      <c r="F821" s="26">
        <v>46601.54</v>
      </c>
      <c r="G821" s="29">
        <f t="shared" si="25"/>
        <v>2.5193381956065846E-3</v>
      </c>
      <c r="H821" s="26"/>
    </row>
    <row r="822" spans="1:8" x14ac:dyDescent="0.3">
      <c r="A822" s="26" t="s">
        <v>565</v>
      </c>
      <c r="B822" s="26">
        <v>71</v>
      </c>
      <c r="C822" s="29">
        <f t="shared" si="24"/>
        <v>-6.993006993006993E-3</v>
      </c>
      <c r="D822" s="26"/>
      <c r="F822" s="26">
        <v>46539.59</v>
      </c>
      <c r="G822" s="29">
        <f t="shared" si="25"/>
        <v>-1.3293552101498012E-3</v>
      </c>
      <c r="H822" s="26"/>
    </row>
    <row r="823" spans="1:8" x14ac:dyDescent="0.3">
      <c r="A823" s="26" t="s">
        <v>564</v>
      </c>
      <c r="B823" s="26">
        <v>69.5</v>
      </c>
      <c r="C823" s="29">
        <f t="shared" si="24"/>
        <v>-2.1126760563380281E-2</v>
      </c>
      <c r="D823" s="26"/>
      <c r="F823" s="26">
        <v>46333.36</v>
      </c>
      <c r="G823" s="29">
        <f t="shared" si="25"/>
        <v>-4.4312809803437447E-3</v>
      </c>
      <c r="H823" s="26"/>
    </row>
    <row r="824" spans="1:8" x14ac:dyDescent="0.3">
      <c r="A824" s="26" t="s">
        <v>563</v>
      </c>
      <c r="B824" s="26">
        <v>69</v>
      </c>
      <c r="C824" s="29">
        <f t="shared" si="24"/>
        <v>-7.1942446043165471E-3</v>
      </c>
      <c r="D824" s="26"/>
      <c r="F824" s="26">
        <v>45943.16</v>
      </c>
      <c r="G824" s="29">
        <f t="shared" si="25"/>
        <v>-8.4215778868615854E-3</v>
      </c>
      <c r="H824" s="26"/>
    </row>
    <row r="825" spans="1:8" x14ac:dyDescent="0.3">
      <c r="A825" s="26" t="s">
        <v>562</v>
      </c>
      <c r="B825" s="26">
        <v>67.05</v>
      </c>
      <c r="C825" s="29">
        <f t="shared" si="24"/>
        <v>-2.8260869565217433E-2</v>
      </c>
      <c r="D825" s="26"/>
      <c r="F825" s="26">
        <v>45652.62</v>
      </c>
      <c r="G825" s="29">
        <f t="shared" si="25"/>
        <v>-6.32390109866193E-3</v>
      </c>
      <c r="H825" s="26"/>
    </row>
    <row r="826" spans="1:8" x14ac:dyDescent="0.3">
      <c r="A826" s="26" t="s">
        <v>561</v>
      </c>
      <c r="B826" s="26">
        <v>66.599999999999994</v>
      </c>
      <c r="C826" s="29">
        <f t="shared" si="24"/>
        <v>-6.7114093959731967E-3</v>
      </c>
      <c r="D826" s="26"/>
      <c r="F826" s="26">
        <v>45553.02</v>
      </c>
      <c r="G826" s="29">
        <f t="shared" si="25"/>
        <v>-2.181692967457417E-3</v>
      </c>
      <c r="H826" s="26"/>
    </row>
    <row r="827" spans="1:8" x14ac:dyDescent="0.3">
      <c r="A827" s="26" t="s">
        <v>560</v>
      </c>
      <c r="B827" s="26">
        <v>68</v>
      </c>
      <c r="C827" s="29">
        <f t="shared" si="24"/>
        <v>2.1021021021021109E-2</v>
      </c>
      <c r="D827" s="26"/>
      <c r="F827" s="26">
        <v>46073.25</v>
      </c>
      <c r="G827" s="29">
        <f t="shared" si="25"/>
        <v>1.1420318565048009E-2</v>
      </c>
      <c r="H827" s="26"/>
    </row>
    <row r="828" spans="1:8" x14ac:dyDescent="0.3">
      <c r="A828" s="26" t="s">
        <v>559</v>
      </c>
      <c r="B828" s="26">
        <v>67.75</v>
      </c>
      <c r="C828" s="29">
        <f t="shared" si="24"/>
        <v>-3.6764705882352941E-3</v>
      </c>
      <c r="D828" s="26"/>
      <c r="F828" s="26">
        <v>45817.67</v>
      </c>
      <c r="G828" s="29">
        <f t="shared" si="25"/>
        <v>-5.5472535581926989E-3</v>
      </c>
      <c r="H828" s="26"/>
    </row>
    <row r="829" spans="1:8" x14ac:dyDescent="0.3">
      <c r="A829" s="26" t="s">
        <v>558</v>
      </c>
      <c r="B829" s="26">
        <v>67.3</v>
      </c>
      <c r="C829" s="29">
        <f t="shared" si="24"/>
        <v>-6.6420664206642485E-3</v>
      </c>
      <c r="D829" s="26"/>
      <c r="F829" s="26">
        <v>45533.3</v>
      </c>
      <c r="G829" s="29">
        <f t="shared" si="25"/>
        <v>-6.206557426425118E-3</v>
      </c>
      <c r="H829" s="26"/>
    </row>
    <row r="830" spans="1:8" x14ac:dyDescent="0.3">
      <c r="A830" s="26" t="s">
        <v>557</v>
      </c>
      <c r="B830" s="26">
        <v>68.25</v>
      </c>
      <c r="C830" s="29">
        <f t="shared" si="24"/>
        <v>1.4115898959881173E-2</v>
      </c>
      <c r="D830" s="26"/>
      <c r="F830" s="26">
        <v>45249.41</v>
      </c>
      <c r="G830" s="29">
        <f t="shared" si="25"/>
        <v>-6.234777624288145E-3</v>
      </c>
      <c r="H830" s="26"/>
    </row>
    <row r="831" spans="1:8" x14ac:dyDescent="0.3">
      <c r="A831" s="27">
        <v>44717</v>
      </c>
      <c r="B831" s="26">
        <v>67.98</v>
      </c>
      <c r="C831" s="29">
        <f t="shared" si="24"/>
        <v>-3.9560439560438979E-3</v>
      </c>
      <c r="D831" s="26"/>
      <c r="F831" s="26">
        <v>44840.81</v>
      </c>
      <c r="G831" s="29">
        <f t="shared" si="25"/>
        <v>-9.0299519927443429E-3</v>
      </c>
      <c r="H831" s="26"/>
    </row>
    <row r="832" spans="1:8" x14ac:dyDescent="0.3">
      <c r="A832" s="27">
        <v>44809</v>
      </c>
      <c r="B832" s="26">
        <v>66</v>
      </c>
      <c r="C832" s="29">
        <f t="shared" si="24"/>
        <v>-2.9126213592233066E-2</v>
      </c>
      <c r="D832" s="26"/>
      <c r="F832" s="26">
        <v>43393.14</v>
      </c>
      <c r="G832" s="29">
        <f t="shared" si="25"/>
        <v>-3.2284653198726747E-2</v>
      </c>
      <c r="H832" s="26"/>
    </row>
    <row r="833" spans="1:8" x14ac:dyDescent="0.3">
      <c r="A833" s="27">
        <v>44839</v>
      </c>
      <c r="B833" s="26">
        <v>66.25</v>
      </c>
      <c r="C833" s="29">
        <f t="shared" si="24"/>
        <v>3.787878787878788E-3</v>
      </c>
      <c r="D833" s="26"/>
      <c r="F833" s="26">
        <v>43504.36</v>
      </c>
      <c r="G833" s="29">
        <f t="shared" si="25"/>
        <v>2.563077942734754E-3</v>
      </c>
      <c r="H833" s="26"/>
    </row>
    <row r="834" spans="1:8" x14ac:dyDescent="0.3">
      <c r="A834" s="27">
        <v>44870</v>
      </c>
      <c r="B834" s="26">
        <v>66</v>
      </c>
      <c r="C834" s="29">
        <f t="shared" si="24"/>
        <v>-3.7735849056603774E-3</v>
      </c>
      <c r="D834" s="26"/>
      <c r="F834" s="26">
        <v>42863.15</v>
      </c>
      <c r="G834" s="29">
        <f t="shared" si="25"/>
        <v>-1.4738982483594728E-2</v>
      </c>
      <c r="H834" s="26"/>
    </row>
    <row r="835" spans="1:8" x14ac:dyDescent="0.3">
      <c r="A835" s="27">
        <v>44900</v>
      </c>
      <c r="B835" s="26">
        <v>65.98</v>
      </c>
      <c r="C835" s="29">
        <f t="shared" si="24"/>
        <v>-3.0303030303024275E-4</v>
      </c>
      <c r="D835" s="26"/>
      <c r="F835" s="26">
        <v>42898.44</v>
      </c>
      <c r="G835" s="29">
        <f t="shared" si="25"/>
        <v>8.2331793160327397E-4</v>
      </c>
      <c r="H835" s="26"/>
    </row>
    <row r="836" spans="1:8" x14ac:dyDescent="0.3">
      <c r="A836" s="26" t="s">
        <v>556</v>
      </c>
      <c r="B836" s="26">
        <v>66.89</v>
      </c>
      <c r="C836" s="29">
        <f t="shared" si="24"/>
        <v>1.3792058199454327E-2</v>
      </c>
      <c r="D836" s="26"/>
      <c r="F836" s="26">
        <v>43486.46</v>
      </c>
      <c r="G836" s="29">
        <f t="shared" si="25"/>
        <v>1.3707258352518105E-2</v>
      </c>
      <c r="H836" s="26"/>
    </row>
    <row r="837" spans="1:8" x14ac:dyDescent="0.3">
      <c r="A837" s="26" t="s">
        <v>555</v>
      </c>
      <c r="B837" s="26">
        <v>67</v>
      </c>
      <c r="C837" s="29">
        <f t="shared" ref="C837:C900" si="26">(B837-B836)/B836</f>
        <v>1.6444909552997373E-3</v>
      </c>
      <c r="D837" s="26"/>
      <c r="F837" s="26">
        <v>42667.32</v>
      </c>
      <c r="G837" s="29">
        <f t="shared" ref="G837:G900" si="27">(F837-F836)/F836</f>
        <v>-1.8836667781189809E-2</v>
      </c>
      <c r="H837" s="26"/>
    </row>
    <row r="838" spans="1:8" x14ac:dyDescent="0.3">
      <c r="A838" s="26" t="s">
        <v>554</v>
      </c>
      <c r="B838" s="26">
        <v>65.989999999999995</v>
      </c>
      <c r="C838" s="29">
        <f t="shared" si="26"/>
        <v>-1.5074626865671717E-2</v>
      </c>
      <c r="D838" s="26"/>
      <c r="F838" s="26">
        <v>42726.06</v>
      </c>
      <c r="G838" s="29">
        <f t="shared" si="27"/>
        <v>1.3766976693168908E-3</v>
      </c>
      <c r="H838" s="26"/>
    </row>
    <row r="839" spans="1:8" x14ac:dyDescent="0.3">
      <c r="A839" s="26" t="s">
        <v>553</v>
      </c>
      <c r="B839" s="26">
        <v>66.36</v>
      </c>
      <c r="C839" s="29">
        <f t="shared" si="26"/>
        <v>5.6069101378997512E-3</v>
      </c>
      <c r="D839" s="26"/>
      <c r="F839" s="26">
        <v>43026.879999999997</v>
      </c>
      <c r="G839" s="29">
        <f t="shared" si="27"/>
        <v>7.040667920234155E-3</v>
      </c>
      <c r="H839" s="26"/>
    </row>
    <row r="840" spans="1:8" x14ac:dyDescent="0.3">
      <c r="A840" s="26" t="s">
        <v>552</v>
      </c>
      <c r="B840" s="26">
        <v>66.55</v>
      </c>
      <c r="C840" s="29">
        <f t="shared" si="26"/>
        <v>2.8631705846895376E-3</v>
      </c>
      <c r="D840" s="26"/>
      <c r="F840" s="26">
        <v>42983.45</v>
      </c>
      <c r="G840" s="29">
        <f t="shared" si="27"/>
        <v>-1.0093690269896468E-3</v>
      </c>
      <c r="H840" s="26"/>
    </row>
    <row r="841" spans="1:8" x14ac:dyDescent="0.3">
      <c r="A841" s="26" t="s">
        <v>551</v>
      </c>
      <c r="B841" s="26">
        <v>66.42</v>
      </c>
      <c r="C841" s="29">
        <f t="shared" si="26"/>
        <v>-1.9534184823440338E-3</v>
      </c>
      <c r="D841" s="26"/>
      <c r="F841" s="26">
        <v>43100.7</v>
      </c>
      <c r="G841" s="29">
        <f t="shared" si="27"/>
        <v>2.7277940695779423E-3</v>
      </c>
      <c r="H841" s="26"/>
    </row>
    <row r="842" spans="1:8" x14ac:dyDescent="0.3">
      <c r="A842" s="26" t="s">
        <v>550</v>
      </c>
      <c r="B842" s="26">
        <v>66.260000000000005</v>
      </c>
      <c r="C842" s="29">
        <f t="shared" si="26"/>
        <v>-2.4089129780186175E-3</v>
      </c>
      <c r="D842" s="26"/>
      <c r="F842" s="26">
        <v>42440.25</v>
      </c>
      <c r="G842" s="29">
        <f t="shared" si="27"/>
        <v>-1.5323417021069197E-2</v>
      </c>
      <c r="H842" s="26"/>
    </row>
    <row r="843" spans="1:8" x14ac:dyDescent="0.3">
      <c r="A843" s="26" t="s">
        <v>549</v>
      </c>
      <c r="B843" s="26">
        <v>66</v>
      </c>
      <c r="C843" s="29">
        <f t="shared" si="26"/>
        <v>-3.9239360096589961E-3</v>
      </c>
      <c r="D843" s="26"/>
      <c r="F843" s="26">
        <v>41950.32</v>
      </c>
      <c r="G843" s="29">
        <f t="shared" si="27"/>
        <v>-1.1543994203615678E-2</v>
      </c>
      <c r="H843" s="26"/>
    </row>
    <row r="844" spans="1:8" x14ac:dyDescent="0.3">
      <c r="A844" s="26" t="s">
        <v>548</v>
      </c>
      <c r="B844" s="26">
        <v>66.5</v>
      </c>
      <c r="C844" s="29">
        <f t="shared" si="26"/>
        <v>7.575757575757576E-3</v>
      </c>
      <c r="D844" s="26"/>
      <c r="F844" s="26">
        <v>42012.66</v>
      </c>
      <c r="G844" s="29">
        <f t="shared" si="27"/>
        <v>1.4860434914442556E-3</v>
      </c>
      <c r="H844" s="26"/>
    </row>
    <row r="845" spans="1:8" x14ac:dyDescent="0.3">
      <c r="A845" s="26" t="s">
        <v>547</v>
      </c>
      <c r="B845" s="26">
        <v>65.94</v>
      </c>
      <c r="C845" s="29">
        <f t="shared" si="26"/>
        <v>-8.4210526315789819E-3</v>
      </c>
      <c r="D845" s="26"/>
      <c r="F845" s="26">
        <v>42541.71</v>
      </c>
      <c r="G845" s="29">
        <f t="shared" si="27"/>
        <v>1.2592632792115414E-2</v>
      </c>
      <c r="H845" s="26"/>
    </row>
    <row r="846" spans="1:8" x14ac:dyDescent="0.3">
      <c r="A846" s="26" t="s">
        <v>546</v>
      </c>
      <c r="B846" s="26">
        <v>65.98</v>
      </c>
      <c r="C846" s="29">
        <f t="shared" si="26"/>
        <v>6.0661207158031933E-4</v>
      </c>
      <c r="D846" s="26"/>
      <c r="F846" s="26">
        <v>42861.45</v>
      </c>
      <c r="G846" s="29">
        <f t="shared" si="27"/>
        <v>7.5159179073901348E-3</v>
      </c>
      <c r="H846" s="26"/>
    </row>
    <row r="847" spans="1:8" x14ac:dyDescent="0.3">
      <c r="A847" s="26" t="s">
        <v>545</v>
      </c>
      <c r="B847" s="26">
        <v>65.58</v>
      </c>
      <c r="C847" s="29">
        <f t="shared" si="26"/>
        <v>-6.0624431645954178E-3</v>
      </c>
      <c r="D847" s="26"/>
      <c r="F847" s="26">
        <v>43040.14</v>
      </c>
      <c r="G847" s="29">
        <f t="shared" si="27"/>
        <v>4.1690143473914754E-3</v>
      </c>
      <c r="H847" s="26"/>
    </row>
    <row r="848" spans="1:8" x14ac:dyDescent="0.3">
      <c r="A848" s="26" t="s">
        <v>544</v>
      </c>
      <c r="B848" s="26">
        <v>65.25</v>
      </c>
      <c r="C848" s="29">
        <f t="shared" si="26"/>
        <v>-5.0320219579139723E-3</v>
      </c>
      <c r="D848" s="26"/>
      <c r="F848" s="26">
        <v>43078.14</v>
      </c>
      <c r="G848" s="29">
        <f t="shared" si="27"/>
        <v>8.8289675637672187E-4</v>
      </c>
      <c r="H848" s="26"/>
    </row>
    <row r="849" spans="1:8" x14ac:dyDescent="0.3">
      <c r="A849" s="27">
        <v>44567</v>
      </c>
      <c r="B849" s="26">
        <v>65</v>
      </c>
      <c r="C849" s="29">
        <f t="shared" si="26"/>
        <v>-3.8314176245210726E-3</v>
      </c>
      <c r="D849" s="26"/>
      <c r="F849" s="26">
        <v>42756.04</v>
      </c>
      <c r="G849" s="29">
        <f t="shared" si="27"/>
        <v>-7.4771102002082392E-3</v>
      </c>
      <c r="H849" s="26"/>
    </row>
    <row r="850" spans="1:8" x14ac:dyDescent="0.3">
      <c r="A850" s="27">
        <v>44598</v>
      </c>
      <c r="B850" s="26">
        <v>64.989999999999995</v>
      </c>
      <c r="C850" s="29">
        <f t="shared" si="26"/>
        <v>-1.5384615384623256E-4</v>
      </c>
      <c r="D850" s="26"/>
      <c r="F850" s="26">
        <v>42237.91</v>
      </c>
      <c r="G850" s="29">
        <f t="shared" si="27"/>
        <v>-1.21182878489214E-2</v>
      </c>
      <c r="H850" s="26"/>
    </row>
    <row r="851" spans="1:8" x14ac:dyDescent="0.3">
      <c r="A851" s="27">
        <v>44626</v>
      </c>
      <c r="B851" s="26">
        <v>63.96</v>
      </c>
      <c r="C851" s="29">
        <f t="shared" si="26"/>
        <v>-1.5848592091090845E-2</v>
      </c>
      <c r="D851" s="26"/>
      <c r="F851" s="26">
        <v>41314.879999999997</v>
      </c>
      <c r="G851" s="29">
        <f t="shared" si="27"/>
        <v>-2.1853117258879666E-2</v>
      </c>
      <c r="H851" s="26"/>
    </row>
    <row r="852" spans="1:8" x14ac:dyDescent="0.3">
      <c r="A852" s="27">
        <v>44718</v>
      </c>
      <c r="B852" s="26">
        <v>63.99</v>
      </c>
      <c r="C852" s="29">
        <f t="shared" si="26"/>
        <v>4.6904315196999902E-4</v>
      </c>
      <c r="D852" s="26"/>
      <c r="F852" s="26">
        <v>41577.21</v>
      </c>
      <c r="G852" s="29">
        <f t="shared" si="27"/>
        <v>6.3495283055403223E-3</v>
      </c>
      <c r="H852" s="26"/>
    </row>
    <row r="853" spans="1:8" x14ac:dyDescent="0.3">
      <c r="A853" s="27">
        <v>44748</v>
      </c>
      <c r="B853" s="26">
        <v>63.8</v>
      </c>
      <c r="C853" s="29">
        <f t="shared" si="26"/>
        <v>-2.96921393967815E-3</v>
      </c>
      <c r="D853" s="26"/>
      <c r="F853" s="26">
        <v>41568.410000000003</v>
      </c>
      <c r="G853" s="29">
        <f t="shared" si="27"/>
        <v>-2.1165441355963121E-4</v>
      </c>
      <c r="H853" s="26"/>
    </row>
    <row r="854" spans="1:8" x14ac:dyDescent="0.3">
      <c r="A854" s="27">
        <v>44779</v>
      </c>
      <c r="B854" s="26">
        <v>64</v>
      </c>
      <c r="C854" s="29">
        <f t="shared" si="26"/>
        <v>3.1347962382445587E-3</v>
      </c>
      <c r="D854" s="26"/>
      <c r="F854" s="26">
        <v>41553.160000000003</v>
      </c>
      <c r="G854" s="29">
        <f t="shared" si="27"/>
        <v>-3.6686512666710125E-4</v>
      </c>
      <c r="H854" s="26"/>
    </row>
    <row r="855" spans="1:8" x14ac:dyDescent="0.3">
      <c r="A855" s="27">
        <v>44810</v>
      </c>
      <c r="B855" s="26">
        <v>63.5</v>
      </c>
      <c r="C855" s="29">
        <f t="shared" si="26"/>
        <v>-7.8125E-3</v>
      </c>
      <c r="D855" s="26"/>
      <c r="F855" s="26">
        <v>41735.96</v>
      </c>
      <c r="G855" s="29">
        <f t="shared" si="27"/>
        <v>4.399184081306828E-3</v>
      </c>
      <c r="H855" s="26"/>
    </row>
    <row r="856" spans="1:8" x14ac:dyDescent="0.3">
      <c r="A856" s="27">
        <v>44840</v>
      </c>
      <c r="B856" s="26">
        <v>62.5</v>
      </c>
      <c r="C856" s="29">
        <f t="shared" si="26"/>
        <v>-1.5748031496062992E-2</v>
      </c>
      <c r="D856" s="26"/>
      <c r="F856" s="26">
        <v>42014.73</v>
      </c>
      <c r="G856" s="29">
        <f t="shared" si="27"/>
        <v>6.6793719372935014E-3</v>
      </c>
      <c r="H856" s="26"/>
    </row>
    <row r="857" spans="1:8" x14ac:dyDescent="0.3">
      <c r="A857" s="26" t="s">
        <v>543</v>
      </c>
      <c r="B857" s="26">
        <v>58.1</v>
      </c>
      <c r="C857" s="29">
        <f t="shared" si="26"/>
        <v>-7.0399999999999976E-2</v>
      </c>
      <c r="D857" s="26"/>
      <c r="F857" s="26">
        <v>40879.93</v>
      </c>
      <c r="G857" s="29">
        <f t="shared" si="27"/>
        <v>-2.7009574975252793E-2</v>
      </c>
      <c r="H857" s="26"/>
    </row>
    <row r="858" spans="1:8" x14ac:dyDescent="0.3">
      <c r="A858" s="26" t="s">
        <v>542</v>
      </c>
      <c r="B858" s="26">
        <v>58.89</v>
      </c>
      <c r="C858" s="29">
        <f t="shared" si="26"/>
        <v>1.3597246127366595E-2</v>
      </c>
      <c r="D858" s="26"/>
      <c r="F858" s="26">
        <v>41054.68</v>
      </c>
      <c r="G858" s="29">
        <f t="shared" si="27"/>
        <v>4.2747137776410083E-3</v>
      </c>
      <c r="H858" s="26"/>
    </row>
    <row r="859" spans="1:8" x14ac:dyDescent="0.3">
      <c r="A859" s="26" t="s">
        <v>541</v>
      </c>
      <c r="B859" s="26">
        <v>58.15</v>
      </c>
      <c r="C859" s="29">
        <f t="shared" si="26"/>
        <v>-1.2565800645270877E-2</v>
      </c>
      <c r="D859" s="26"/>
      <c r="F859" s="26">
        <v>41438.79</v>
      </c>
      <c r="G859" s="29">
        <f t="shared" si="27"/>
        <v>9.3560587976815445E-3</v>
      </c>
      <c r="H859" s="26"/>
    </row>
    <row r="860" spans="1:8" x14ac:dyDescent="0.3">
      <c r="A860" s="26" t="s">
        <v>540</v>
      </c>
      <c r="B860" s="26">
        <v>59</v>
      </c>
      <c r="C860" s="29">
        <f t="shared" si="26"/>
        <v>1.4617368873602776E-2</v>
      </c>
      <c r="D860" s="26"/>
      <c r="F860" s="26">
        <v>41730.160000000003</v>
      </c>
      <c r="G860" s="29">
        <f t="shared" si="27"/>
        <v>7.0313346504567971E-3</v>
      </c>
      <c r="H860" s="26"/>
    </row>
    <row r="861" spans="1:8" x14ac:dyDescent="0.3">
      <c r="A861" s="26" t="s">
        <v>539</v>
      </c>
      <c r="B861" s="26">
        <v>59.5</v>
      </c>
      <c r="C861" s="29">
        <f t="shared" si="26"/>
        <v>8.4745762711864406E-3</v>
      </c>
      <c r="D861" s="26"/>
      <c r="F861" s="26">
        <v>42140.76</v>
      </c>
      <c r="G861" s="29">
        <f t="shared" si="27"/>
        <v>9.8394063190747061E-3</v>
      </c>
      <c r="H861" s="26"/>
    </row>
    <row r="862" spans="1:8" x14ac:dyDescent="0.3">
      <c r="A862" s="26" t="s">
        <v>538</v>
      </c>
      <c r="B862" s="26">
        <v>59.75</v>
      </c>
      <c r="C862" s="29">
        <f t="shared" si="26"/>
        <v>4.2016806722689074E-3</v>
      </c>
      <c r="D862" s="26"/>
      <c r="F862" s="26">
        <v>41776.980000000003</v>
      </c>
      <c r="G862" s="29">
        <f t="shared" si="27"/>
        <v>-8.6324973730895881E-3</v>
      </c>
      <c r="H862" s="26"/>
    </row>
    <row r="863" spans="1:8" x14ac:dyDescent="0.3">
      <c r="A863" s="26" t="s">
        <v>537</v>
      </c>
      <c r="B863" s="26">
        <v>59.5</v>
      </c>
      <c r="C863" s="29">
        <f t="shared" si="26"/>
        <v>-4.1841004184100415E-3</v>
      </c>
      <c r="D863" s="26"/>
      <c r="F863" s="26">
        <v>42525.95</v>
      </c>
      <c r="G863" s="29">
        <f t="shared" si="27"/>
        <v>1.7927815749247403E-2</v>
      </c>
      <c r="H863" s="26"/>
    </row>
    <row r="864" spans="1:8" x14ac:dyDescent="0.3">
      <c r="A864" s="26" t="s">
        <v>536</v>
      </c>
      <c r="B864" s="26">
        <v>60.99</v>
      </c>
      <c r="C864" s="29">
        <f t="shared" si="26"/>
        <v>2.5042016806722724E-2</v>
      </c>
      <c r="D864" s="26"/>
      <c r="F864" s="26">
        <v>42458.14</v>
      </c>
      <c r="G864" s="29">
        <f t="shared" si="27"/>
        <v>-1.5945557947558532E-3</v>
      </c>
      <c r="H864" s="26"/>
    </row>
    <row r="865" spans="1:8" x14ac:dyDescent="0.3">
      <c r="A865" s="26" t="s">
        <v>535</v>
      </c>
      <c r="B865" s="26">
        <v>62.99</v>
      </c>
      <c r="C865" s="29">
        <f t="shared" si="26"/>
        <v>3.2792261026397769E-2</v>
      </c>
      <c r="D865" s="26"/>
      <c r="F865" s="26">
        <v>42716.97</v>
      </c>
      <c r="G865" s="29">
        <f t="shared" si="27"/>
        <v>6.0961219686025284E-3</v>
      </c>
      <c r="H865" s="26"/>
    </row>
    <row r="866" spans="1:8" x14ac:dyDescent="0.3">
      <c r="A866" s="26" t="s">
        <v>534</v>
      </c>
      <c r="B866" s="26">
        <v>59.94</v>
      </c>
      <c r="C866" s="29">
        <f t="shared" si="26"/>
        <v>-4.842038418796641E-2</v>
      </c>
      <c r="D866" s="26"/>
      <c r="F866" s="26">
        <v>41051.79</v>
      </c>
      <c r="G866" s="29">
        <f t="shared" si="27"/>
        <v>-3.8981697437809854E-2</v>
      </c>
      <c r="H866" s="26"/>
    </row>
    <row r="867" spans="1:8" x14ac:dyDescent="0.3">
      <c r="A867" s="26" t="s">
        <v>533</v>
      </c>
      <c r="B867" s="26">
        <v>61</v>
      </c>
      <c r="C867" s="29">
        <f t="shared" si="26"/>
        <v>1.768435101768439E-2</v>
      </c>
      <c r="D867" s="26"/>
      <c r="F867" s="26">
        <v>41878.57</v>
      </c>
      <c r="G867" s="29">
        <f t="shared" si="27"/>
        <v>2.0139925688989417E-2</v>
      </c>
      <c r="H867" s="26"/>
    </row>
    <row r="868" spans="1:8" x14ac:dyDescent="0.3">
      <c r="A868" s="26" t="s">
        <v>532</v>
      </c>
      <c r="B868" s="26">
        <v>59.16</v>
      </c>
      <c r="C868" s="29">
        <f t="shared" si="26"/>
        <v>-3.0163934426229565E-2</v>
      </c>
      <c r="D868" s="26"/>
      <c r="F868" s="26">
        <v>41765.620000000003</v>
      </c>
      <c r="G868" s="29">
        <f t="shared" si="27"/>
        <v>-2.6970834964039386E-3</v>
      </c>
      <c r="H868" s="26"/>
    </row>
    <row r="869" spans="1:8" x14ac:dyDescent="0.3">
      <c r="A869" s="26" t="s">
        <v>531</v>
      </c>
      <c r="B869" s="26">
        <v>57.01</v>
      </c>
      <c r="C869" s="29">
        <f t="shared" si="26"/>
        <v>-3.6342123056118975E-2</v>
      </c>
      <c r="D869" s="26"/>
      <c r="F869" s="26">
        <v>41297.730000000003</v>
      </c>
      <c r="G869" s="29">
        <f t="shared" si="27"/>
        <v>-1.120275480167658E-2</v>
      </c>
      <c r="H869" s="26"/>
    </row>
    <row r="870" spans="1:8" x14ac:dyDescent="0.3">
      <c r="A870" s="26" t="s">
        <v>530</v>
      </c>
      <c r="B870" s="26">
        <v>58.57</v>
      </c>
      <c r="C870" s="29">
        <f t="shared" si="26"/>
        <v>2.736362041747066E-2</v>
      </c>
      <c r="D870" s="26"/>
      <c r="F870" s="26">
        <v>41540.83</v>
      </c>
      <c r="G870" s="29">
        <f t="shared" si="27"/>
        <v>5.8865220921343261E-3</v>
      </c>
      <c r="H870" s="26"/>
    </row>
    <row r="871" spans="1:8" x14ac:dyDescent="0.3">
      <c r="A871" s="27">
        <v>44568</v>
      </c>
      <c r="B871" s="26">
        <v>59.9</v>
      </c>
      <c r="C871" s="29">
        <f t="shared" si="26"/>
        <v>2.2707870923681036E-2</v>
      </c>
      <c r="D871" s="26"/>
      <c r="F871" s="26">
        <v>41630.35</v>
      </c>
      <c r="G871" s="29">
        <f t="shared" si="27"/>
        <v>2.1549882368743427E-3</v>
      </c>
      <c r="H871" s="26"/>
    </row>
    <row r="872" spans="1:8" x14ac:dyDescent="0.3">
      <c r="A872" s="27">
        <v>44658</v>
      </c>
      <c r="B872" s="26">
        <v>58.9</v>
      </c>
      <c r="C872" s="29">
        <f t="shared" si="26"/>
        <v>-1.6694490818030049E-2</v>
      </c>
      <c r="D872" s="26"/>
      <c r="F872" s="26">
        <v>41348.19</v>
      </c>
      <c r="G872" s="29">
        <f t="shared" si="27"/>
        <v>-6.7777474847075803E-3</v>
      </c>
      <c r="H872" s="26"/>
    </row>
    <row r="873" spans="1:8" x14ac:dyDescent="0.3">
      <c r="A873" s="27">
        <v>44688</v>
      </c>
      <c r="B873" s="26">
        <v>58</v>
      </c>
      <c r="C873" s="29">
        <f t="shared" si="26"/>
        <v>-1.5280135823429518E-2</v>
      </c>
      <c r="D873" s="26"/>
      <c r="F873" s="26">
        <v>41102.57</v>
      </c>
      <c r="G873" s="29">
        <f t="shared" si="27"/>
        <v>-5.9402842059108904E-3</v>
      </c>
      <c r="H873" s="26"/>
    </row>
    <row r="874" spans="1:8" x14ac:dyDescent="0.3">
      <c r="A874" s="27">
        <v>44719</v>
      </c>
      <c r="B874" s="26">
        <v>58.2</v>
      </c>
      <c r="C874" s="29">
        <f t="shared" si="26"/>
        <v>3.4482758620690145E-3</v>
      </c>
      <c r="D874" s="26"/>
      <c r="F874" s="26">
        <v>41159.79</v>
      </c>
      <c r="G874" s="29">
        <f t="shared" si="27"/>
        <v>1.392127061641186E-3</v>
      </c>
      <c r="H874" s="26"/>
    </row>
    <row r="875" spans="1:8" x14ac:dyDescent="0.3">
      <c r="A875" s="27">
        <v>44749</v>
      </c>
      <c r="B875" s="26">
        <v>58</v>
      </c>
      <c r="C875" s="29">
        <f t="shared" si="26"/>
        <v>-3.4364261168385365E-3</v>
      </c>
      <c r="D875" s="26"/>
      <c r="F875" s="26">
        <v>41344.01</v>
      </c>
      <c r="G875" s="29">
        <f t="shared" si="27"/>
        <v>4.4757274028852231E-3</v>
      </c>
      <c r="H875" s="26"/>
    </row>
    <row r="876" spans="1:8" x14ac:dyDescent="0.3">
      <c r="A876" s="26" t="s">
        <v>529</v>
      </c>
      <c r="B876" s="26">
        <v>59</v>
      </c>
      <c r="C876" s="29">
        <f t="shared" si="26"/>
        <v>1.7241379310344827E-2</v>
      </c>
      <c r="D876" s="26"/>
      <c r="F876" s="26">
        <v>41862.769999999997</v>
      </c>
      <c r="G876" s="29">
        <f t="shared" si="27"/>
        <v>1.2547404085863823E-2</v>
      </c>
      <c r="H876" s="26"/>
    </row>
    <row r="877" spans="1:8" x14ac:dyDescent="0.3">
      <c r="A877" s="26" t="s">
        <v>528</v>
      </c>
      <c r="B877" s="26">
        <v>60</v>
      </c>
      <c r="C877" s="29">
        <f t="shared" si="26"/>
        <v>1.6949152542372881E-2</v>
      </c>
      <c r="D877" s="26"/>
      <c r="F877" s="26">
        <v>42348.91</v>
      </c>
      <c r="G877" s="29">
        <f t="shared" si="27"/>
        <v>1.1612705036002317E-2</v>
      </c>
      <c r="H877" s="26"/>
    </row>
    <row r="878" spans="1:8" x14ac:dyDescent="0.3">
      <c r="A878" s="26" t="s">
        <v>527</v>
      </c>
      <c r="B878" s="26">
        <v>59.3</v>
      </c>
      <c r="C878" s="29">
        <f t="shared" si="26"/>
        <v>-1.1666666666666714E-2</v>
      </c>
      <c r="D878" s="26"/>
      <c r="F878" s="26">
        <v>42074.91</v>
      </c>
      <c r="G878" s="29">
        <f t="shared" si="27"/>
        <v>-6.4700602683752662E-3</v>
      </c>
      <c r="H878" s="26"/>
    </row>
    <row r="879" spans="1:8" x14ac:dyDescent="0.3">
      <c r="A879" s="26" t="s">
        <v>526</v>
      </c>
      <c r="B879" s="26">
        <v>57.5</v>
      </c>
      <c r="C879" s="29">
        <f t="shared" si="26"/>
        <v>-3.0354131534569936E-2</v>
      </c>
      <c r="D879" s="26"/>
      <c r="F879" s="26">
        <v>41367.11</v>
      </c>
      <c r="G879" s="29">
        <f t="shared" si="27"/>
        <v>-1.682237704132945E-2</v>
      </c>
      <c r="H879" s="26"/>
    </row>
    <row r="880" spans="1:8" x14ac:dyDescent="0.3">
      <c r="A880" s="26" t="s">
        <v>525</v>
      </c>
      <c r="B880" s="26">
        <v>56.5</v>
      </c>
      <c r="C880" s="29">
        <f t="shared" si="26"/>
        <v>-1.7391304347826087E-2</v>
      </c>
      <c r="D880" s="26"/>
      <c r="F880" s="26">
        <v>40389.07</v>
      </c>
      <c r="G880" s="29">
        <f t="shared" si="27"/>
        <v>-2.3642937589790556E-2</v>
      </c>
      <c r="H880" s="26"/>
    </row>
    <row r="881" spans="1:8" x14ac:dyDescent="0.3">
      <c r="A881" s="26" t="s">
        <v>524</v>
      </c>
      <c r="B881" s="26">
        <v>57.56</v>
      </c>
      <c r="C881" s="29">
        <f t="shared" si="26"/>
        <v>1.8761061946902694E-2</v>
      </c>
      <c r="D881" s="26"/>
      <c r="F881" s="26">
        <v>40459.699999999997</v>
      </c>
      <c r="G881" s="29">
        <f t="shared" si="27"/>
        <v>1.7487404389355185E-3</v>
      </c>
      <c r="H881" s="26"/>
    </row>
    <row r="882" spans="1:8" x14ac:dyDescent="0.3">
      <c r="A882" s="26" t="s">
        <v>523</v>
      </c>
      <c r="B882" s="26">
        <v>58.01</v>
      </c>
      <c r="C882" s="29">
        <f t="shared" si="26"/>
        <v>7.8179291174425933E-3</v>
      </c>
      <c r="D882" s="26"/>
      <c r="F882" s="26">
        <v>39831.75</v>
      </c>
      <c r="G882" s="29">
        <f t="shared" si="27"/>
        <v>-1.5520382009752844E-2</v>
      </c>
      <c r="H882" s="26"/>
    </row>
    <row r="883" spans="1:8" x14ac:dyDescent="0.3">
      <c r="A883" s="26" t="s">
        <v>522</v>
      </c>
      <c r="B883" s="26">
        <v>57.58</v>
      </c>
      <c r="C883" s="29">
        <f t="shared" si="26"/>
        <v>-7.4125150836062701E-3</v>
      </c>
      <c r="D883" s="26"/>
      <c r="F883" s="26">
        <v>40077.300000000003</v>
      </c>
      <c r="G883" s="29">
        <f t="shared" si="27"/>
        <v>6.1646801860325727E-3</v>
      </c>
      <c r="H883" s="26"/>
    </row>
    <row r="884" spans="1:8" x14ac:dyDescent="0.3">
      <c r="A884" s="26" t="s">
        <v>521</v>
      </c>
      <c r="B884" s="26">
        <v>56.99</v>
      </c>
      <c r="C884" s="29">
        <f t="shared" si="26"/>
        <v>-1.0246613407433073E-2</v>
      </c>
      <c r="D884" s="26"/>
      <c r="F884" s="26">
        <v>39844.019999999997</v>
      </c>
      <c r="G884" s="29">
        <f t="shared" si="27"/>
        <v>-5.8207513979236652E-3</v>
      </c>
      <c r="H884" s="26"/>
    </row>
    <row r="885" spans="1:8" x14ac:dyDescent="0.3">
      <c r="A885" s="26" t="s">
        <v>520</v>
      </c>
      <c r="B885" s="26">
        <v>56</v>
      </c>
      <c r="C885" s="29">
        <f t="shared" si="26"/>
        <v>-1.7371468678715599E-2</v>
      </c>
      <c r="D885" s="26"/>
      <c r="F885" s="26">
        <v>39894.050000000003</v>
      </c>
      <c r="G885" s="29">
        <f t="shared" si="27"/>
        <v>1.2556463931100857E-3</v>
      </c>
      <c r="H885" s="26"/>
    </row>
    <row r="886" spans="1:8" x14ac:dyDescent="0.3">
      <c r="A886" s="26" t="s">
        <v>519</v>
      </c>
      <c r="B886" s="26">
        <v>56.5</v>
      </c>
      <c r="C886" s="29">
        <f t="shared" si="26"/>
        <v>8.9285714285714281E-3</v>
      </c>
      <c r="D886" s="26"/>
      <c r="F886" s="26">
        <v>39972.639999999999</v>
      </c>
      <c r="G886" s="29">
        <f t="shared" si="27"/>
        <v>1.9699679526144001E-3</v>
      </c>
      <c r="H886" s="26"/>
    </row>
    <row r="887" spans="1:8" x14ac:dyDescent="0.3">
      <c r="A887" s="26" t="s">
        <v>518</v>
      </c>
      <c r="B887" s="26">
        <v>58.5</v>
      </c>
      <c r="C887" s="29">
        <f t="shared" si="26"/>
        <v>3.5398230088495575E-2</v>
      </c>
      <c r="D887" s="26"/>
      <c r="F887" s="26">
        <v>40276.639999999999</v>
      </c>
      <c r="G887" s="29">
        <f t="shared" si="27"/>
        <v>7.6052019581393671E-3</v>
      </c>
      <c r="H887" s="26"/>
    </row>
    <row r="888" spans="1:8" x14ac:dyDescent="0.3">
      <c r="A888" s="26" t="s">
        <v>517</v>
      </c>
      <c r="B888" s="26">
        <v>57.55</v>
      </c>
      <c r="C888" s="29">
        <f t="shared" si="26"/>
        <v>-1.6239316239316289E-2</v>
      </c>
      <c r="D888" s="26"/>
      <c r="F888" s="26">
        <v>40150.36</v>
      </c>
      <c r="G888" s="29">
        <f t="shared" si="27"/>
        <v>-3.1353161534824862E-3</v>
      </c>
      <c r="H888" s="26"/>
    </row>
    <row r="889" spans="1:8" x14ac:dyDescent="0.3">
      <c r="A889" s="27">
        <v>44569</v>
      </c>
      <c r="B889" s="26">
        <v>57</v>
      </c>
      <c r="C889" s="29">
        <f t="shared" si="26"/>
        <v>-9.5569070373587688E-3</v>
      </c>
      <c r="D889" s="26"/>
      <c r="F889" s="26">
        <v>40075.96</v>
      </c>
      <c r="G889" s="29">
        <f t="shared" si="27"/>
        <v>-1.8530344435268189E-3</v>
      </c>
      <c r="H889" s="26"/>
    </row>
    <row r="890" spans="1:8" x14ac:dyDescent="0.3">
      <c r="A890" s="27">
        <v>44600</v>
      </c>
      <c r="B890" s="26">
        <v>57.2</v>
      </c>
      <c r="C890" s="29">
        <f t="shared" si="26"/>
        <v>3.5087719298246113E-3</v>
      </c>
      <c r="D890" s="26"/>
      <c r="F890" s="26">
        <v>40191.61</v>
      </c>
      <c r="G890" s="29">
        <f t="shared" si="27"/>
        <v>2.885769922916418E-3</v>
      </c>
      <c r="H890" s="26"/>
    </row>
    <row r="891" spans="1:8" x14ac:dyDescent="0.3">
      <c r="A891" s="27">
        <v>44628</v>
      </c>
      <c r="B891" s="26">
        <v>57.35</v>
      </c>
      <c r="C891" s="29">
        <f t="shared" si="26"/>
        <v>2.6223776223775973E-3</v>
      </c>
      <c r="D891" s="26"/>
      <c r="F891" s="26">
        <v>41068.870000000003</v>
      </c>
      <c r="G891" s="29">
        <f t="shared" si="27"/>
        <v>2.1826943483975934E-2</v>
      </c>
      <c r="H891" s="26"/>
    </row>
    <row r="892" spans="1:8" x14ac:dyDescent="0.3">
      <c r="A892" s="27">
        <v>44659</v>
      </c>
      <c r="B892" s="26">
        <v>57.05</v>
      </c>
      <c r="C892" s="29">
        <f t="shared" si="26"/>
        <v>-5.2310374891020792E-3</v>
      </c>
      <c r="D892" s="26"/>
      <c r="F892" s="26">
        <v>41425.370000000003</v>
      </c>
      <c r="G892" s="29">
        <f t="shared" si="27"/>
        <v>8.6805407599478621E-3</v>
      </c>
      <c r="H892" s="26"/>
    </row>
    <row r="893" spans="1:8" x14ac:dyDescent="0.3">
      <c r="A893" s="27">
        <v>44689</v>
      </c>
      <c r="B893" s="26">
        <v>58.5</v>
      </c>
      <c r="C893" s="29">
        <f t="shared" si="26"/>
        <v>2.5416301489921172E-2</v>
      </c>
      <c r="D893" s="26"/>
      <c r="F893" s="26">
        <v>42096.24</v>
      </c>
      <c r="G893" s="29">
        <f t="shared" si="27"/>
        <v>1.6194665249821435E-2</v>
      </c>
      <c r="H893" s="26"/>
    </row>
    <row r="894" spans="1:8" x14ac:dyDescent="0.3">
      <c r="A894" s="27">
        <v>44842</v>
      </c>
      <c r="B894" s="26">
        <v>58.01</v>
      </c>
      <c r="C894" s="29">
        <f t="shared" si="26"/>
        <v>-8.3760683760684095E-3</v>
      </c>
      <c r="D894" s="26"/>
      <c r="F894" s="26">
        <v>42494.85</v>
      </c>
      <c r="G894" s="29">
        <f t="shared" si="27"/>
        <v>9.4690167102810269E-3</v>
      </c>
      <c r="H894" s="26"/>
    </row>
    <row r="895" spans="1:8" x14ac:dyDescent="0.3">
      <c r="A895" s="27">
        <v>44873</v>
      </c>
      <c r="B895" s="26">
        <v>57.8</v>
      </c>
      <c r="C895" s="29">
        <f t="shared" si="26"/>
        <v>-3.6200655059472654E-3</v>
      </c>
      <c r="D895" s="26"/>
      <c r="F895" s="26">
        <v>42243.33</v>
      </c>
      <c r="G895" s="29">
        <f t="shared" si="27"/>
        <v>-5.9188348705783598E-3</v>
      </c>
      <c r="H895" s="26"/>
    </row>
    <row r="896" spans="1:8" x14ac:dyDescent="0.3">
      <c r="A896" s="27">
        <v>44903</v>
      </c>
      <c r="B896" s="26">
        <v>58.01</v>
      </c>
      <c r="C896" s="29">
        <f t="shared" si="26"/>
        <v>3.6332179930795997E-3</v>
      </c>
      <c r="D896" s="26"/>
      <c r="F896" s="26">
        <v>42857.57</v>
      </c>
      <c r="G896" s="29">
        <f t="shared" si="27"/>
        <v>1.454052036143926E-2</v>
      </c>
      <c r="H896" s="26"/>
    </row>
    <row r="897" spans="1:8" x14ac:dyDescent="0.3">
      <c r="A897" s="26" t="s">
        <v>516</v>
      </c>
      <c r="B897" s="26">
        <v>60</v>
      </c>
      <c r="C897" s="29">
        <f t="shared" si="26"/>
        <v>3.4304430270643026E-2</v>
      </c>
      <c r="D897" s="26"/>
      <c r="F897" s="26">
        <v>43621.82</v>
      </c>
      <c r="G897" s="29">
        <f t="shared" si="27"/>
        <v>1.7832322271188032E-2</v>
      </c>
      <c r="H897" s="26"/>
    </row>
    <row r="898" spans="1:8" x14ac:dyDescent="0.3">
      <c r="A898" s="26" t="s">
        <v>515</v>
      </c>
      <c r="B898" s="26">
        <v>60</v>
      </c>
      <c r="C898" s="29">
        <f t="shared" si="26"/>
        <v>0</v>
      </c>
      <c r="D898" s="26"/>
      <c r="F898" s="26">
        <v>43436.480000000003</v>
      </c>
      <c r="G898" s="29">
        <f t="shared" si="27"/>
        <v>-4.2487910866625123E-3</v>
      </c>
      <c r="H898" s="26"/>
    </row>
    <row r="899" spans="1:8" x14ac:dyDescent="0.3">
      <c r="A899" s="26" t="s">
        <v>514</v>
      </c>
      <c r="B899" s="26">
        <v>60.4</v>
      </c>
      <c r="C899" s="29">
        <f t="shared" si="26"/>
        <v>6.6666666666666428E-3</v>
      </c>
      <c r="D899" s="26"/>
      <c r="F899" s="26">
        <v>43676.56</v>
      </c>
      <c r="G899" s="29">
        <f t="shared" si="27"/>
        <v>5.5271513713817154E-3</v>
      </c>
      <c r="H899" s="26"/>
    </row>
    <row r="900" spans="1:8" x14ac:dyDescent="0.3">
      <c r="A900" s="26" t="s">
        <v>513</v>
      </c>
      <c r="B900" s="26">
        <v>60.47</v>
      </c>
      <c r="C900" s="29">
        <f t="shared" si="26"/>
        <v>1.158940397350998E-3</v>
      </c>
      <c r="D900" s="26"/>
      <c r="F900" s="26">
        <v>43481.5</v>
      </c>
      <c r="G900" s="29">
        <f t="shared" si="27"/>
        <v>-4.4660110594789901E-3</v>
      </c>
      <c r="H900" s="26"/>
    </row>
    <row r="901" spans="1:8" x14ac:dyDescent="0.3">
      <c r="A901" s="26" t="s">
        <v>512</v>
      </c>
      <c r="B901" s="26">
        <v>60.4</v>
      </c>
      <c r="C901" s="29">
        <f t="shared" ref="C901:C964" si="28">(B901-B900)/B900</f>
        <v>-1.1575988093269437E-3</v>
      </c>
      <c r="D901" s="26"/>
      <c r="F901" s="26">
        <v>43270.65</v>
      </c>
      <c r="G901" s="29">
        <f t="shared" ref="G901:G964" si="29">(F901-F900)/F900</f>
        <v>-4.8491887354391765E-3</v>
      </c>
      <c r="H901" s="26"/>
    </row>
    <row r="902" spans="1:8" x14ac:dyDescent="0.3">
      <c r="A902" s="26" t="s">
        <v>511</v>
      </c>
      <c r="B902" s="26">
        <v>59.88</v>
      </c>
      <c r="C902" s="29">
        <f t="shared" si="28"/>
        <v>-8.6092715231787416E-3</v>
      </c>
      <c r="D902" s="26"/>
      <c r="F902" s="26">
        <v>42826.66</v>
      </c>
      <c r="G902" s="29">
        <f t="shared" si="29"/>
        <v>-1.0260765669108229E-2</v>
      </c>
      <c r="H902" s="26"/>
    </row>
    <row r="903" spans="1:8" x14ac:dyDescent="0.3">
      <c r="A903" s="26" t="s">
        <v>510</v>
      </c>
      <c r="B903" s="26">
        <v>59.6</v>
      </c>
      <c r="C903" s="29">
        <f t="shared" si="28"/>
        <v>-4.6760187040748354E-3</v>
      </c>
      <c r="D903" s="26"/>
      <c r="F903" s="26">
        <v>43366.78</v>
      </c>
      <c r="G903" s="29">
        <f t="shared" si="29"/>
        <v>1.2611770331844588E-2</v>
      </c>
      <c r="H903" s="26"/>
    </row>
    <row r="904" spans="1:8" x14ac:dyDescent="0.3">
      <c r="A904" s="26" t="s">
        <v>509</v>
      </c>
      <c r="B904" s="26">
        <v>59.57</v>
      </c>
      <c r="C904" s="29">
        <f t="shared" si="28"/>
        <v>-5.033557046980056E-4</v>
      </c>
      <c r="D904" s="26"/>
      <c r="F904" s="26">
        <v>43337.97</v>
      </c>
      <c r="G904" s="29">
        <f t="shared" si="29"/>
        <v>-6.6433339067363713E-4</v>
      </c>
      <c r="H904" s="26"/>
    </row>
    <row r="905" spans="1:8" x14ac:dyDescent="0.3">
      <c r="A905" s="26" t="s">
        <v>508</v>
      </c>
      <c r="B905" s="26">
        <v>58.72</v>
      </c>
      <c r="C905" s="29">
        <f t="shared" si="28"/>
        <v>-1.4268927312405597E-2</v>
      </c>
      <c r="D905" s="26"/>
      <c r="F905" s="26">
        <v>43032.57</v>
      </c>
      <c r="G905" s="29">
        <f t="shared" si="29"/>
        <v>-7.0469382852958147E-3</v>
      </c>
      <c r="H905" s="26"/>
    </row>
    <row r="906" spans="1:8" x14ac:dyDescent="0.3">
      <c r="A906" s="26" t="s">
        <v>507</v>
      </c>
      <c r="B906" s="26">
        <v>58.85</v>
      </c>
      <c r="C906" s="29">
        <f t="shared" si="28"/>
        <v>2.2138964577657111E-3</v>
      </c>
      <c r="D906" s="26"/>
      <c r="F906" s="26">
        <v>42591.51</v>
      </c>
      <c r="G906" s="29">
        <f t="shared" si="29"/>
        <v>-1.0249445942921783E-2</v>
      </c>
      <c r="H906" s="26"/>
    </row>
    <row r="907" spans="1:8" x14ac:dyDescent="0.3">
      <c r="A907" s="26" t="s">
        <v>506</v>
      </c>
      <c r="B907" s="26">
        <v>58.9</v>
      </c>
      <c r="C907" s="29">
        <f t="shared" si="28"/>
        <v>8.4961767204753025E-4</v>
      </c>
      <c r="D907" s="26"/>
      <c r="F907" s="26">
        <v>42504.34</v>
      </c>
      <c r="G907" s="29">
        <f t="shared" si="29"/>
        <v>-2.0466520205554002E-3</v>
      </c>
      <c r="H907" s="26"/>
    </row>
    <row r="908" spans="1:8" x14ac:dyDescent="0.3">
      <c r="A908" s="26" t="s">
        <v>505</v>
      </c>
      <c r="B908" s="26">
        <v>57.2</v>
      </c>
      <c r="C908" s="29">
        <f t="shared" si="28"/>
        <v>-2.8862478777589063E-2</v>
      </c>
      <c r="D908" s="26"/>
      <c r="F908" s="26">
        <v>42195.25</v>
      </c>
      <c r="G908" s="29">
        <f t="shared" si="29"/>
        <v>-7.2719632865725367E-3</v>
      </c>
      <c r="H908" s="26"/>
    </row>
    <row r="909" spans="1:8" x14ac:dyDescent="0.3">
      <c r="A909" s="26" t="s">
        <v>504</v>
      </c>
      <c r="B909" s="26">
        <v>56.2</v>
      </c>
      <c r="C909" s="29">
        <f t="shared" si="28"/>
        <v>-1.748251748251748E-2</v>
      </c>
      <c r="D909" s="26"/>
      <c r="F909" s="26">
        <v>42351.15</v>
      </c>
      <c r="G909" s="29">
        <f t="shared" si="29"/>
        <v>3.694728672066203E-3</v>
      </c>
      <c r="H909" s="26"/>
    </row>
    <row r="910" spans="1:8" x14ac:dyDescent="0.3">
      <c r="A910" s="27">
        <v>44570</v>
      </c>
      <c r="B910" s="26">
        <v>56</v>
      </c>
      <c r="C910" s="29">
        <f t="shared" si="28"/>
        <v>-3.558718861210015E-3</v>
      </c>
      <c r="D910" s="26"/>
      <c r="F910" s="26">
        <v>42460.08</v>
      </c>
      <c r="G910" s="29">
        <f t="shared" si="29"/>
        <v>2.5720671103382146E-3</v>
      </c>
      <c r="H910" s="26"/>
    </row>
    <row r="911" spans="1:8" x14ac:dyDescent="0.3">
      <c r="A911" s="27">
        <v>44601</v>
      </c>
      <c r="B911" s="26">
        <v>56.3</v>
      </c>
      <c r="C911" s="29">
        <f t="shared" si="28"/>
        <v>5.357142857142806E-3</v>
      </c>
      <c r="D911" s="26"/>
      <c r="F911" s="26">
        <v>42309.11</v>
      </c>
      <c r="G911" s="29">
        <f t="shared" si="29"/>
        <v>-3.5555750248233435E-3</v>
      </c>
      <c r="H911" s="26"/>
    </row>
    <row r="912" spans="1:8" x14ac:dyDescent="0.3">
      <c r="A912" s="27">
        <v>44690</v>
      </c>
      <c r="B912" s="26">
        <v>56</v>
      </c>
      <c r="C912" s="29">
        <f t="shared" si="28"/>
        <v>-5.3285968028418682E-3</v>
      </c>
      <c r="D912" s="26"/>
      <c r="F912" s="26">
        <v>41859.300000000003</v>
      </c>
      <c r="G912" s="29">
        <f t="shared" si="29"/>
        <v>-1.0631516474820616E-2</v>
      </c>
      <c r="H912" s="26"/>
    </row>
    <row r="913" spans="1:8" x14ac:dyDescent="0.3">
      <c r="A913" s="27">
        <v>44721</v>
      </c>
      <c r="B913" s="26">
        <v>56.7</v>
      </c>
      <c r="C913" s="29">
        <f t="shared" si="28"/>
        <v>1.2500000000000051E-2</v>
      </c>
      <c r="D913" s="26"/>
      <c r="F913" s="26">
        <v>41860.36</v>
      </c>
      <c r="G913" s="29">
        <f t="shared" si="29"/>
        <v>2.5322927043635981E-5</v>
      </c>
      <c r="H913" s="26"/>
    </row>
    <row r="914" spans="1:8" x14ac:dyDescent="0.3">
      <c r="A914" s="27">
        <v>44751</v>
      </c>
      <c r="B914" s="26">
        <v>56.74</v>
      </c>
      <c r="C914" s="29">
        <f t="shared" si="28"/>
        <v>7.0546737213402378E-4</v>
      </c>
      <c r="D914" s="26"/>
      <c r="F914" s="26">
        <v>41766.050000000003</v>
      </c>
      <c r="G914" s="29">
        <f t="shared" si="29"/>
        <v>-2.2529667685609409E-3</v>
      </c>
      <c r="H914" s="26"/>
    </row>
    <row r="915" spans="1:8" x14ac:dyDescent="0.3">
      <c r="A915" s="27">
        <v>44782</v>
      </c>
      <c r="B915" s="26">
        <v>56.39</v>
      </c>
      <c r="C915" s="29">
        <f t="shared" si="28"/>
        <v>-6.1684878392668559E-3</v>
      </c>
      <c r="D915" s="26"/>
      <c r="F915" s="26">
        <v>41824.79</v>
      </c>
      <c r="G915" s="29">
        <f t="shared" si="29"/>
        <v>1.406405441740312E-3</v>
      </c>
      <c r="H915" s="26"/>
    </row>
    <row r="916" spans="1:8" x14ac:dyDescent="0.3">
      <c r="A916" s="27">
        <v>44813</v>
      </c>
      <c r="B916" s="26">
        <v>56.5</v>
      </c>
      <c r="C916" s="29">
        <f t="shared" si="28"/>
        <v>1.9507004788082893E-3</v>
      </c>
      <c r="D916" s="26"/>
      <c r="F916" s="26">
        <v>41948.160000000003</v>
      </c>
      <c r="G916" s="29">
        <f t="shared" si="29"/>
        <v>2.9496860593921123E-3</v>
      </c>
      <c r="H916" s="26"/>
    </row>
    <row r="917" spans="1:8" x14ac:dyDescent="0.3">
      <c r="A917" s="27">
        <v>44904</v>
      </c>
      <c r="B917" s="26">
        <v>56.25</v>
      </c>
      <c r="C917" s="29">
        <f t="shared" si="28"/>
        <v>-4.4247787610619468E-3</v>
      </c>
      <c r="D917" s="26"/>
      <c r="F917" s="26">
        <v>41862.29</v>
      </c>
      <c r="G917" s="29">
        <f t="shared" si="29"/>
        <v>-2.0470504546564764E-3</v>
      </c>
      <c r="H917" s="26"/>
    </row>
    <row r="918" spans="1:8" x14ac:dyDescent="0.3">
      <c r="A918" s="26" t="s">
        <v>503</v>
      </c>
      <c r="B918" s="26">
        <v>56</v>
      </c>
      <c r="C918" s="29">
        <f t="shared" si="28"/>
        <v>-4.4444444444444444E-3</v>
      </c>
      <c r="D918" s="26"/>
      <c r="F918" s="26">
        <v>42001.34</v>
      </c>
      <c r="G918" s="29">
        <f t="shared" si="29"/>
        <v>3.3216051964666919E-3</v>
      </c>
      <c r="H918" s="26"/>
    </row>
    <row r="919" spans="1:8" x14ac:dyDescent="0.3">
      <c r="A919" s="26" t="s">
        <v>502</v>
      </c>
      <c r="B919" s="26">
        <v>56.03</v>
      </c>
      <c r="C919" s="29">
        <f t="shared" si="28"/>
        <v>5.3571428571430602E-4</v>
      </c>
      <c r="D919" s="26"/>
      <c r="F919" s="26">
        <v>41937.620000000003</v>
      </c>
      <c r="G919" s="29">
        <f t="shared" si="29"/>
        <v>-1.5170944546053506E-3</v>
      </c>
      <c r="H919" s="26"/>
    </row>
    <row r="920" spans="1:8" x14ac:dyDescent="0.3">
      <c r="A920" s="26" t="s">
        <v>501</v>
      </c>
      <c r="B920" s="26">
        <v>56.1</v>
      </c>
      <c r="C920" s="29">
        <f t="shared" si="28"/>
        <v>1.2493307156880293E-3</v>
      </c>
      <c r="D920" s="26"/>
      <c r="F920" s="26">
        <v>41772.089999999997</v>
      </c>
      <c r="G920" s="29">
        <f t="shared" si="29"/>
        <v>-3.9470527893572908E-3</v>
      </c>
      <c r="H920" s="26"/>
    </row>
    <row r="921" spans="1:8" x14ac:dyDescent="0.3">
      <c r="A921" s="26" t="s">
        <v>500</v>
      </c>
      <c r="B921" s="26">
        <v>55.02</v>
      </c>
      <c r="C921" s="29">
        <f t="shared" si="28"/>
        <v>-1.9251336898395692E-2</v>
      </c>
      <c r="D921" s="26"/>
      <c r="F921" s="26">
        <v>41679.49</v>
      </c>
      <c r="G921" s="29">
        <f t="shared" si="29"/>
        <v>-2.2167911636692956E-3</v>
      </c>
      <c r="H921" s="26"/>
    </row>
    <row r="922" spans="1:8" x14ac:dyDescent="0.3">
      <c r="A922" s="26" t="s">
        <v>499</v>
      </c>
      <c r="B922" s="26">
        <v>55.85</v>
      </c>
      <c r="C922" s="29">
        <f t="shared" si="28"/>
        <v>1.5085423482370016E-2</v>
      </c>
      <c r="D922" s="26"/>
      <c r="F922" s="26">
        <v>41520.589999999997</v>
      </c>
      <c r="G922" s="29">
        <f t="shared" si="29"/>
        <v>-3.8124266875626707E-3</v>
      </c>
      <c r="H922" s="26"/>
    </row>
    <row r="923" spans="1:8" x14ac:dyDescent="0.3">
      <c r="A923" s="26" t="s">
        <v>498</v>
      </c>
      <c r="B923" s="26">
        <v>56.15</v>
      </c>
      <c r="C923" s="29">
        <f t="shared" si="28"/>
        <v>5.3715308863025455E-3</v>
      </c>
      <c r="D923" s="26"/>
      <c r="F923" s="26">
        <v>41220.910000000003</v>
      </c>
      <c r="G923" s="29">
        <f t="shared" si="29"/>
        <v>-7.2176238343432267E-3</v>
      </c>
      <c r="H923" s="26"/>
    </row>
    <row r="924" spans="1:8" x14ac:dyDescent="0.3">
      <c r="A924" s="26" t="s">
        <v>497</v>
      </c>
      <c r="B924" s="26">
        <v>55.7</v>
      </c>
      <c r="C924" s="29">
        <f t="shared" si="28"/>
        <v>-8.0142475512020618E-3</v>
      </c>
      <c r="D924" s="26"/>
      <c r="F924" s="26">
        <v>40965.58</v>
      </c>
      <c r="G924" s="29">
        <f t="shared" si="29"/>
        <v>-6.1941863971465387E-3</v>
      </c>
      <c r="H924" s="26"/>
    </row>
    <row r="925" spans="1:8" x14ac:dyDescent="0.3">
      <c r="A925" s="26" t="s">
        <v>496</v>
      </c>
      <c r="B925" s="26">
        <v>55.7</v>
      </c>
      <c r="C925" s="29">
        <f t="shared" si="28"/>
        <v>0</v>
      </c>
      <c r="D925" s="26"/>
      <c r="F925" s="26">
        <v>40927.949999999997</v>
      </c>
      <c r="G925" s="29">
        <f t="shared" si="29"/>
        <v>-9.1857603383144225E-4</v>
      </c>
      <c r="H925" s="26"/>
    </row>
    <row r="926" spans="1:8" x14ac:dyDescent="0.3">
      <c r="A926" s="26" t="s">
        <v>495</v>
      </c>
      <c r="B926" s="26">
        <v>54.64</v>
      </c>
      <c r="C926" s="29">
        <f t="shared" si="28"/>
        <v>-1.9030520646319608E-2</v>
      </c>
      <c r="D926" s="26"/>
      <c r="F926" s="26">
        <v>40620.21</v>
      </c>
      <c r="G926" s="29">
        <f t="shared" si="29"/>
        <v>-7.5190670434262643E-3</v>
      </c>
      <c r="H926" s="26"/>
    </row>
    <row r="927" spans="1:8" x14ac:dyDescent="0.3">
      <c r="A927" s="26" t="s">
        <v>494</v>
      </c>
      <c r="B927" s="26">
        <v>54.5</v>
      </c>
      <c r="C927" s="29">
        <f t="shared" si="28"/>
        <v>-2.5622254758418846E-3</v>
      </c>
      <c r="D927" s="26"/>
      <c r="F927" s="26">
        <v>41151.54</v>
      </c>
      <c r="G927" s="29">
        <f t="shared" si="29"/>
        <v>1.3080434591549422E-2</v>
      </c>
      <c r="H927" s="26"/>
    </row>
    <row r="928" spans="1:8" x14ac:dyDescent="0.3">
      <c r="A928" s="26" t="s">
        <v>493</v>
      </c>
      <c r="B928" s="26">
        <v>54.7</v>
      </c>
      <c r="C928" s="29">
        <f t="shared" si="28"/>
        <v>3.6697247706422541E-3</v>
      </c>
      <c r="D928" s="26"/>
      <c r="F928" s="26">
        <v>41518.230000000003</v>
      </c>
      <c r="G928" s="29">
        <f t="shared" si="29"/>
        <v>8.9107236327000718E-3</v>
      </c>
      <c r="H928" s="26"/>
    </row>
    <row r="929" spans="1:8" x14ac:dyDescent="0.3">
      <c r="A929" s="26" t="s">
        <v>492</v>
      </c>
      <c r="B929" s="26">
        <v>55</v>
      </c>
      <c r="C929" s="29">
        <f t="shared" si="28"/>
        <v>5.4844606946983024E-3</v>
      </c>
      <c r="D929" s="26"/>
      <c r="F929" s="26">
        <v>41435.129999999997</v>
      </c>
      <c r="G929" s="29">
        <f t="shared" si="29"/>
        <v>-2.001530412062504E-3</v>
      </c>
      <c r="H929" s="26"/>
    </row>
    <row r="930" spans="1:8" x14ac:dyDescent="0.3">
      <c r="A930" s="26" t="s">
        <v>491</v>
      </c>
      <c r="B930" s="26">
        <v>53.8</v>
      </c>
      <c r="C930" s="29">
        <f t="shared" si="28"/>
        <v>-2.1818181818181868E-2</v>
      </c>
      <c r="D930" s="26"/>
      <c r="F930" s="26">
        <v>41013.86</v>
      </c>
      <c r="G930" s="29">
        <f t="shared" si="29"/>
        <v>-1.0166976669314102E-2</v>
      </c>
      <c r="H930" s="26"/>
    </row>
    <row r="931" spans="1:8" x14ac:dyDescent="0.3">
      <c r="A931" s="26" t="s">
        <v>490</v>
      </c>
      <c r="B931" s="26">
        <v>53.99</v>
      </c>
      <c r="C931" s="29">
        <f t="shared" si="28"/>
        <v>3.5315985130112424E-3</v>
      </c>
      <c r="D931" s="26"/>
      <c r="F931" s="26">
        <v>41128.67</v>
      </c>
      <c r="G931" s="29">
        <f t="shared" si="29"/>
        <v>2.7992976032979503E-3</v>
      </c>
      <c r="H931" s="26"/>
    </row>
    <row r="932" spans="1:8" x14ac:dyDescent="0.3">
      <c r="A932" s="27">
        <v>44630</v>
      </c>
      <c r="B932" s="26">
        <v>55.1</v>
      </c>
      <c r="C932" s="29">
        <f t="shared" si="28"/>
        <v>2.0559362844971278E-2</v>
      </c>
      <c r="D932" s="26"/>
      <c r="F932" s="26">
        <v>41211.699999999997</v>
      </c>
      <c r="G932" s="29">
        <f t="shared" si="29"/>
        <v>2.018786408604967E-3</v>
      </c>
      <c r="H932" s="26"/>
    </row>
    <row r="933" spans="1:8" x14ac:dyDescent="0.3">
      <c r="A933" s="27">
        <v>44661</v>
      </c>
      <c r="B933" s="26">
        <v>54.45</v>
      </c>
      <c r="C933" s="29">
        <f t="shared" si="28"/>
        <v>-1.1796733212341171E-2</v>
      </c>
      <c r="D933" s="26"/>
      <c r="F933" s="26">
        <v>41350.43</v>
      </c>
      <c r="G933" s="29">
        <f t="shared" si="29"/>
        <v>3.3662770523905398E-3</v>
      </c>
      <c r="H933" s="26"/>
    </row>
    <row r="934" spans="1:8" x14ac:dyDescent="0.3">
      <c r="A934" s="27">
        <v>44691</v>
      </c>
      <c r="B934" s="26">
        <v>54.45</v>
      </c>
      <c r="C934" s="29">
        <f t="shared" si="28"/>
        <v>0</v>
      </c>
      <c r="D934" s="26"/>
      <c r="F934" s="26">
        <v>41611.42</v>
      </c>
      <c r="G934" s="29">
        <f t="shared" si="29"/>
        <v>6.3116635062802967E-3</v>
      </c>
      <c r="H934" s="26"/>
    </row>
    <row r="935" spans="1:8" x14ac:dyDescent="0.3">
      <c r="A935" s="27">
        <v>44722</v>
      </c>
      <c r="B935" s="26">
        <v>54.3</v>
      </c>
      <c r="C935" s="29">
        <f t="shared" si="28"/>
        <v>-2.7548209366392226E-3</v>
      </c>
      <c r="D935" s="26"/>
      <c r="F935" s="26">
        <v>42160.57</v>
      </c>
      <c r="G935" s="29">
        <f t="shared" si="29"/>
        <v>1.3197098296573428E-2</v>
      </c>
      <c r="H935" s="26"/>
    </row>
    <row r="936" spans="1:8" x14ac:dyDescent="0.3">
      <c r="A936" s="27">
        <v>44752</v>
      </c>
      <c r="B936" s="26">
        <v>54</v>
      </c>
      <c r="C936" s="29">
        <f t="shared" si="28"/>
        <v>-5.5248618784529864E-3</v>
      </c>
      <c r="D936" s="26"/>
      <c r="F936" s="26">
        <v>42085.25</v>
      </c>
      <c r="G936" s="29">
        <f t="shared" si="29"/>
        <v>-1.7865033608416515E-3</v>
      </c>
      <c r="H936" s="26"/>
    </row>
    <row r="937" spans="1:8" x14ac:dyDescent="0.3">
      <c r="A937" s="27">
        <v>44844</v>
      </c>
      <c r="B937" s="26">
        <v>53.51</v>
      </c>
      <c r="C937" s="29">
        <f t="shared" si="28"/>
        <v>-9.0740740740741111E-3</v>
      </c>
      <c r="D937" s="26"/>
      <c r="F937" s="26">
        <v>42211.64</v>
      </c>
      <c r="G937" s="29">
        <f t="shared" si="29"/>
        <v>3.0031899537248659E-3</v>
      </c>
      <c r="H937" s="26"/>
    </row>
    <row r="938" spans="1:8" x14ac:dyDescent="0.3">
      <c r="A938" s="27">
        <v>44875</v>
      </c>
      <c r="B938" s="26">
        <v>54.55</v>
      </c>
      <c r="C938" s="29">
        <f t="shared" si="28"/>
        <v>1.9435619510371878E-2</v>
      </c>
      <c r="D938" s="26"/>
      <c r="F938" s="26">
        <v>42155.48</v>
      </c>
      <c r="G938" s="29">
        <f t="shared" si="29"/>
        <v>-1.3304387131131655E-3</v>
      </c>
      <c r="H938" s="26"/>
    </row>
    <row r="939" spans="1:8" x14ac:dyDescent="0.3">
      <c r="A939" s="27">
        <v>44905</v>
      </c>
      <c r="B939" s="26">
        <v>54.5</v>
      </c>
      <c r="C939" s="29">
        <f t="shared" si="28"/>
        <v>-9.1659028414293607E-4</v>
      </c>
      <c r="D939" s="26"/>
      <c r="F939" s="26">
        <v>42007.14</v>
      </c>
      <c r="G939" s="29">
        <f t="shared" si="29"/>
        <v>-3.5188782099030485E-3</v>
      </c>
      <c r="H939" s="26"/>
    </row>
    <row r="940" spans="1:8" x14ac:dyDescent="0.3">
      <c r="A940" s="26" t="s">
        <v>489</v>
      </c>
      <c r="B940" s="26">
        <v>54.5</v>
      </c>
      <c r="C940" s="29">
        <f t="shared" si="28"/>
        <v>0</v>
      </c>
      <c r="D940" s="26"/>
      <c r="F940" s="26">
        <v>42085.72</v>
      </c>
      <c r="G940" s="29">
        <f t="shared" si="29"/>
        <v>1.8706343731089939E-3</v>
      </c>
      <c r="H940" s="26"/>
    </row>
    <row r="941" spans="1:8" x14ac:dyDescent="0.3">
      <c r="A941" s="26" t="s">
        <v>488</v>
      </c>
      <c r="B941" s="26">
        <v>54.2</v>
      </c>
      <c r="C941" s="29">
        <f t="shared" si="28"/>
        <v>-5.504587155963251E-3</v>
      </c>
      <c r="D941" s="26"/>
      <c r="F941" s="26">
        <v>41948.5</v>
      </c>
      <c r="G941" s="29">
        <f t="shared" si="29"/>
        <v>-3.260488355670312E-3</v>
      </c>
      <c r="H941" s="26"/>
    </row>
    <row r="942" spans="1:8" x14ac:dyDescent="0.3">
      <c r="A942" s="26" t="s">
        <v>487</v>
      </c>
      <c r="B942" s="26">
        <v>53.8</v>
      </c>
      <c r="C942" s="29">
        <f t="shared" si="28"/>
        <v>-7.3800738007381121E-3</v>
      </c>
      <c r="D942" s="26"/>
      <c r="F942" s="26">
        <v>41755.449999999997</v>
      </c>
      <c r="G942" s="29">
        <f t="shared" si="29"/>
        <v>-4.6020715877803237E-3</v>
      </c>
      <c r="H942" s="26"/>
    </row>
    <row r="943" spans="1:8" x14ac:dyDescent="0.3">
      <c r="A943" s="26" t="s">
        <v>486</v>
      </c>
      <c r="B943" s="26">
        <v>53.45</v>
      </c>
      <c r="C943" s="29">
        <f t="shared" si="28"/>
        <v>-6.505576208178333E-3</v>
      </c>
      <c r="D943" s="26"/>
      <c r="F943" s="26">
        <v>41839.26</v>
      </c>
      <c r="G943" s="29">
        <f t="shared" si="29"/>
        <v>2.0071631367882506E-3</v>
      </c>
      <c r="H943" s="26"/>
    </row>
    <row r="944" spans="1:8" x14ac:dyDescent="0.3">
      <c r="A944" s="26" t="s">
        <v>485</v>
      </c>
      <c r="B944" s="26">
        <v>53.85</v>
      </c>
      <c r="C944" s="29">
        <f t="shared" si="28"/>
        <v>7.4836295603367365E-3</v>
      </c>
      <c r="D944" s="26"/>
      <c r="F944" s="26">
        <v>42226.05</v>
      </c>
      <c r="G944" s="29">
        <f t="shared" si="29"/>
        <v>9.2446663731624527E-3</v>
      </c>
      <c r="H944" s="26"/>
    </row>
    <row r="945" spans="1:8" x14ac:dyDescent="0.3">
      <c r="A945" s="26" t="s">
        <v>484</v>
      </c>
      <c r="B945" s="26">
        <v>53.7</v>
      </c>
      <c r="C945" s="29">
        <f t="shared" si="28"/>
        <v>-2.7855153203342354E-3</v>
      </c>
      <c r="D945" s="26"/>
      <c r="F945" s="26">
        <v>42137.04</v>
      </c>
      <c r="G945" s="29">
        <f t="shared" si="29"/>
        <v>-2.1079404775014958E-3</v>
      </c>
      <c r="H945" s="26"/>
    </row>
    <row r="946" spans="1:8" x14ac:dyDescent="0.3">
      <c r="A946" s="26" t="s">
        <v>483</v>
      </c>
      <c r="B946" s="26">
        <v>53.4</v>
      </c>
      <c r="C946" s="29">
        <f t="shared" si="28"/>
        <v>-5.5865921787710288E-3</v>
      </c>
      <c r="D946" s="26"/>
      <c r="F946" s="26">
        <v>42213.48</v>
      </c>
      <c r="G946" s="29">
        <f t="shared" si="29"/>
        <v>1.8140809131349123E-3</v>
      </c>
      <c r="H946" s="26"/>
    </row>
    <row r="947" spans="1:8" x14ac:dyDescent="0.3">
      <c r="A947" s="26" t="s">
        <v>482</v>
      </c>
      <c r="B947" s="26">
        <v>53.25</v>
      </c>
      <c r="C947" s="29">
        <f t="shared" si="28"/>
        <v>-2.8089887640449173E-3</v>
      </c>
      <c r="D947" s="26"/>
      <c r="F947" s="26">
        <v>42347.23</v>
      </c>
      <c r="G947" s="29">
        <f t="shared" si="29"/>
        <v>3.1684191874254385E-3</v>
      </c>
      <c r="H947" s="26"/>
    </row>
    <row r="948" spans="1:8" x14ac:dyDescent="0.3">
      <c r="A948" s="26" t="s">
        <v>481</v>
      </c>
      <c r="B948" s="26">
        <v>53.46</v>
      </c>
      <c r="C948" s="29">
        <f t="shared" si="28"/>
        <v>3.9436619718310022E-3</v>
      </c>
      <c r="D948" s="26"/>
      <c r="F948" s="26">
        <v>42190.02</v>
      </c>
      <c r="G948" s="29">
        <f t="shared" si="29"/>
        <v>-3.7124033850621727E-3</v>
      </c>
      <c r="H948" s="26"/>
    </row>
    <row r="949" spans="1:8" x14ac:dyDescent="0.3">
      <c r="A949" s="26" t="s">
        <v>480</v>
      </c>
      <c r="B949" s="26">
        <v>53</v>
      </c>
      <c r="C949" s="29">
        <f t="shared" si="28"/>
        <v>-8.604564160119732E-3</v>
      </c>
      <c r="D949" s="26"/>
      <c r="F949" s="26">
        <v>41540.03</v>
      </c>
      <c r="G949" s="29">
        <f t="shared" si="29"/>
        <v>-1.5406250103697462E-2</v>
      </c>
      <c r="H949" s="26"/>
    </row>
    <row r="950" spans="1:8" x14ac:dyDescent="0.3">
      <c r="A950" s="26" t="s">
        <v>479</v>
      </c>
      <c r="B950" s="26">
        <v>53.02</v>
      </c>
      <c r="C950" s="29">
        <f t="shared" si="28"/>
        <v>3.773584905660967E-4</v>
      </c>
      <c r="D950" s="26"/>
      <c r="F950" s="26">
        <v>41602.85</v>
      </c>
      <c r="G950" s="29">
        <f t="shared" si="29"/>
        <v>1.512276230903052E-3</v>
      </c>
      <c r="H950" s="26"/>
    </row>
    <row r="951" spans="1:8" x14ac:dyDescent="0.3">
      <c r="A951" s="26" t="s">
        <v>478</v>
      </c>
      <c r="B951" s="26">
        <v>53.8</v>
      </c>
      <c r="C951" s="29">
        <f t="shared" si="28"/>
        <v>1.4711429649188873E-2</v>
      </c>
      <c r="D951" s="26"/>
      <c r="F951" s="26">
        <v>41140.33</v>
      </c>
      <c r="G951" s="29">
        <f t="shared" si="29"/>
        <v>-1.1117507574601183E-2</v>
      </c>
      <c r="H951" s="26"/>
    </row>
    <row r="952" spans="1:8" x14ac:dyDescent="0.3">
      <c r="A952" s="26" t="s">
        <v>477</v>
      </c>
      <c r="B952" s="26">
        <v>53</v>
      </c>
      <c r="C952" s="29">
        <f t="shared" si="28"/>
        <v>-1.4869888475836378E-2</v>
      </c>
      <c r="D952" s="26"/>
      <c r="F952" s="26">
        <v>41264.660000000003</v>
      </c>
      <c r="G952" s="29">
        <f t="shared" si="29"/>
        <v>3.0220953502317978E-3</v>
      </c>
      <c r="H952" s="26"/>
    </row>
    <row r="953" spans="1:8" x14ac:dyDescent="0.3">
      <c r="A953" s="27">
        <v>44572</v>
      </c>
      <c r="B953" s="26">
        <v>53.5</v>
      </c>
      <c r="C953" s="29">
        <f t="shared" si="28"/>
        <v>9.433962264150943E-3</v>
      </c>
      <c r="D953" s="26"/>
      <c r="F953" s="26">
        <v>41808.69</v>
      </c>
      <c r="G953" s="29">
        <f t="shared" si="29"/>
        <v>1.3183920575136177E-2</v>
      </c>
      <c r="H953" s="26"/>
    </row>
    <row r="954" spans="1:8" x14ac:dyDescent="0.3">
      <c r="A954" s="27">
        <v>44603</v>
      </c>
      <c r="B954" s="26">
        <v>53.4</v>
      </c>
      <c r="C954" s="29">
        <f t="shared" si="28"/>
        <v>-1.8691588785046994E-3</v>
      </c>
      <c r="D954" s="26"/>
      <c r="F954" s="26">
        <v>41944.59</v>
      </c>
      <c r="G954" s="29">
        <f t="shared" si="29"/>
        <v>3.2505204061642249E-3</v>
      </c>
      <c r="H954" s="26"/>
    </row>
    <row r="955" spans="1:8" x14ac:dyDescent="0.3">
      <c r="A955" s="27">
        <v>44631</v>
      </c>
      <c r="B955" s="26">
        <v>53.5</v>
      </c>
      <c r="C955" s="29">
        <f t="shared" si="28"/>
        <v>1.8726591760299892E-3</v>
      </c>
      <c r="D955" s="26"/>
      <c r="F955" s="26">
        <v>42090.71</v>
      </c>
      <c r="G955" s="29">
        <f t="shared" si="29"/>
        <v>3.4836435402039365E-3</v>
      </c>
      <c r="H955" s="26"/>
    </row>
    <row r="956" spans="1:8" x14ac:dyDescent="0.3">
      <c r="A956" s="27">
        <v>44662</v>
      </c>
      <c r="B956" s="26">
        <v>53.32</v>
      </c>
      <c r="C956" s="29">
        <f t="shared" si="28"/>
        <v>-3.364485981308406E-3</v>
      </c>
      <c r="D956" s="26"/>
      <c r="F956" s="26">
        <v>41856.31</v>
      </c>
      <c r="G956" s="29">
        <f t="shared" si="29"/>
        <v>-5.5689248292557069E-3</v>
      </c>
      <c r="H956" s="26"/>
    </row>
    <row r="957" spans="1:8" x14ac:dyDescent="0.3">
      <c r="A957" s="27">
        <v>44753</v>
      </c>
      <c r="B957" s="26">
        <v>53.56</v>
      </c>
      <c r="C957" s="29">
        <f t="shared" si="28"/>
        <v>4.5011252813203671E-3</v>
      </c>
      <c r="D957" s="26"/>
      <c r="F957" s="26">
        <v>42047.360000000001</v>
      </c>
      <c r="G957" s="29">
        <f t="shared" si="29"/>
        <v>4.5644252921483745E-3</v>
      </c>
      <c r="H957" s="26"/>
    </row>
    <row r="958" spans="1:8" x14ac:dyDescent="0.3">
      <c r="A958" s="27">
        <v>44784</v>
      </c>
      <c r="B958" s="26">
        <v>54.46</v>
      </c>
      <c r="C958" s="29">
        <f t="shared" si="28"/>
        <v>1.6803584764749788E-2</v>
      </c>
      <c r="D958" s="26"/>
      <c r="F958" s="26">
        <v>42265.36</v>
      </c>
      <c r="G958" s="29">
        <f t="shared" si="29"/>
        <v>5.1846299030426646E-3</v>
      </c>
      <c r="H958" s="26"/>
    </row>
    <row r="959" spans="1:8" x14ac:dyDescent="0.3">
      <c r="A959" s="27">
        <v>44845</v>
      </c>
      <c r="B959" s="26">
        <v>55.56</v>
      </c>
      <c r="C959" s="29">
        <f t="shared" si="28"/>
        <v>2.019831068674259E-2</v>
      </c>
      <c r="D959" s="26"/>
      <c r="F959" s="26">
        <v>42901.27</v>
      </c>
      <c r="G959" s="29">
        <f t="shared" si="29"/>
        <v>1.5045654408243446E-2</v>
      </c>
      <c r="H959" s="26"/>
    </row>
    <row r="960" spans="1:8" x14ac:dyDescent="0.3">
      <c r="A960" s="27">
        <v>44876</v>
      </c>
      <c r="B960" s="26">
        <v>55.5</v>
      </c>
      <c r="C960" s="29">
        <f t="shared" si="28"/>
        <v>-1.0799136069114879E-3</v>
      </c>
      <c r="D960" s="26"/>
      <c r="F960" s="26">
        <v>43092.95</v>
      </c>
      <c r="G960" s="29">
        <f t="shared" si="29"/>
        <v>4.4679330005848381E-3</v>
      </c>
      <c r="H960" s="26"/>
    </row>
    <row r="961" spans="1:8" x14ac:dyDescent="0.3">
      <c r="A961" s="26" t="s">
        <v>476</v>
      </c>
      <c r="B961" s="26">
        <v>55</v>
      </c>
      <c r="C961" s="29">
        <f t="shared" si="28"/>
        <v>-9.0090090090090089E-3</v>
      </c>
      <c r="D961" s="26"/>
      <c r="F961" s="26">
        <v>42850.83</v>
      </c>
      <c r="G961" s="29">
        <f t="shared" si="29"/>
        <v>-5.6185524546357437E-3</v>
      </c>
      <c r="H961" s="26"/>
    </row>
    <row r="962" spans="1:8" x14ac:dyDescent="0.3">
      <c r="A962" s="26" t="s">
        <v>475</v>
      </c>
      <c r="B962" s="26">
        <v>54.99</v>
      </c>
      <c r="C962" s="29">
        <f t="shared" si="28"/>
        <v>-1.8181818181814565E-4</v>
      </c>
      <c r="D962" s="26"/>
      <c r="F962" s="26">
        <v>42796.85</v>
      </c>
      <c r="G962" s="29">
        <f t="shared" si="29"/>
        <v>-1.259718889925894E-3</v>
      </c>
      <c r="H962" s="26"/>
    </row>
    <row r="963" spans="1:8" x14ac:dyDescent="0.3">
      <c r="A963" s="26" t="s">
        <v>474</v>
      </c>
      <c r="B963" s="26">
        <v>54.6</v>
      </c>
      <c r="C963" s="29">
        <f t="shared" si="28"/>
        <v>-7.0921985815602939E-3</v>
      </c>
      <c r="D963" s="26"/>
      <c r="F963" s="26">
        <v>42983.75</v>
      </c>
      <c r="G963" s="29">
        <f t="shared" si="29"/>
        <v>4.3671438435305748E-3</v>
      </c>
      <c r="H963" s="26"/>
    </row>
    <row r="964" spans="1:8" x14ac:dyDescent="0.3">
      <c r="A964" s="26" t="s">
        <v>473</v>
      </c>
      <c r="B964" s="26">
        <v>55.15</v>
      </c>
      <c r="C964" s="29">
        <f t="shared" si="28"/>
        <v>1.007326007326002E-2</v>
      </c>
      <c r="D964" s="26"/>
      <c r="F964" s="26">
        <v>42819.72</v>
      </c>
      <c r="G964" s="29">
        <f t="shared" si="29"/>
        <v>-3.8160932910692724E-3</v>
      </c>
      <c r="H964" s="26"/>
    </row>
    <row r="965" spans="1:8" x14ac:dyDescent="0.3">
      <c r="A965" s="26" t="s">
        <v>472</v>
      </c>
      <c r="B965" s="26">
        <v>55</v>
      </c>
      <c r="C965" s="29">
        <f t="shared" ref="C965:C1028" si="30">(B965-B964)/B964</f>
        <v>-2.719854941069784E-3</v>
      </c>
      <c r="D965" s="26"/>
      <c r="F965" s="26">
        <v>42730.239999999998</v>
      </c>
      <c r="G965" s="29">
        <f t="shared" ref="G965:G1028" si="31">(F965-F964)/F964</f>
        <v>-2.0896913851842841E-3</v>
      </c>
      <c r="H965" s="26"/>
    </row>
    <row r="966" spans="1:8" x14ac:dyDescent="0.3">
      <c r="A966" s="26" t="s">
        <v>471</v>
      </c>
      <c r="B966" s="26">
        <v>55.3</v>
      </c>
      <c r="C966" s="29">
        <f t="shared" si="30"/>
        <v>5.4545454545454029E-3</v>
      </c>
      <c r="D966" s="26"/>
      <c r="F966" s="26">
        <v>42761.19</v>
      </c>
      <c r="G966" s="29">
        <f t="shared" si="31"/>
        <v>7.2431140101259363E-4</v>
      </c>
      <c r="H966" s="26"/>
    </row>
    <row r="967" spans="1:8" x14ac:dyDescent="0.3">
      <c r="A967" s="26" t="s">
        <v>470</v>
      </c>
      <c r="B967" s="26">
        <v>55.65</v>
      </c>
      <c r="C967" s="29">
        <f t="shared" si="30"/>
        <v>6.3291139240506588E-3</v>
      </c>
      <c r="D967" s="26"/>
      <c r="F967" s="26">
        <v>42928.62</v>
      </c>
      <c r="G967" s="29">
        <f t="shared" si="31"/>
        <v>3.9154663375832221E-3</v>
      </c>
      <c r="H967" s="26"/>
    </row>
    <row r="968" spans="1:8" x14ac:dyDescent="0.3">
      <c r="A968" s="26" t="s">
        <v>469</v>
      </c>
      <c r="B968" s="26">
        <v>55.75</v>
      </c>
      <c r="C968" s="29">
        <f t="shared" si="30"/>
        <v>1.7969451931716339E-3</v>
      </c>
      <c r="D968" s="26"/>
      <c r="F968" s="26">
        <v>42880.31</v>
      </c>
      <c r="G968" s="29">
        <f t="shared" si="31"/>
        <v>-1.1253564638230846E-3</v>
      </c>
      <c r="H968" s="26"/>
    </row>
    <row r="969" spans="1:8" x14ac:dyDescent="0.3">
      <c r="A969" s="26" t="s">
        <v>468</v>
      </c>
      <c r="B969" s="26">
        <v>55.53</v>
      </c>
      <c r="C969" s="29">
        <f t="shared" si="30"/>
        <v>-3.9461883408071548E-3</v>
      </c>
      <c r="D969" s="26"/>
      <c r="F969" s="26">
        <v>42903.65</v>
      </c>
      <c r="G969" s="29">
        <f t="shared" si="31"/>
        <v>5.4430576644627301E-4</v>
      </c>
      <c r="H969" s="26"/>
    </row>
    <row r="970" spans="1:8" x14ac:dyDescent="0.3">
      <c r="A970" s="26" t="s">
        <v>467</v>
      </c>
      <c r="B970" s="26">
        <v>56.1</v>
      </c>
      <c r="C970" s="29">
        <f t="shared" si="30"/>
        <v>1.0264721772015132E-2</v>
      </c>
      <c r="D970" s="26"/>
      <c r="F970" s="26">
        <v>42936.73</v>
      </c>
      <c r="G970" s="29">
        <f t="shared" si="31"/>
        <v>7.7102997064356401E-4</v>
      </c>
      <c r="H970" s="26"/>
    </row>
    <row r="971" spans="1:8" x14ac:dyDescent="0.3">
      <c r="A971" s="26" t="s">
        <v>466</v>
      </c>
      <c r="B971" s="26">
        <v>55.24</v>
      </c>
      <c r="C971" s="29">
        <f t="shared" si="30"/>
        <v>-1.5329768270944731E-2</v>
      </c>
      <c r="D971" s="26"/>
      <c r="F971" s="26">
        <v>42071.34</v>
      </c>
      <c r="G971" s="29">
        <f t="shared" si="31"/>
        <v>-2.0155004817553796E-2</v>
      </c>
      <c r="H971" s="26"/>
    </row>
    <row r="972" spans="1:8" x14ac:dyDescent="0.3">
      <c r="A972" s="26" t="s">
        <v>465</v>
      </c>
      <c r="B972" s="26">
        <v>55.8</v>
      </c>
      <c r="C972" s="29">
        <f t="shared" si="30"/>
        <v>1.0137581462708095E-2</v>
      </c>
      <c r="D972" s="26"/>
      <c r="F972" s="26">
        <v>42373.59</v>
      </c>
      <c r="G972" s="29">
        <f t="shared" si="31"/>
        <v>7.1842256510013715E-3</v>
      </c>
      <c r="H972" s="26"/>
    </row>
    <row r="973" spans="1:8" x14ac:dyDescent="0.3">
      <c r="A973" s="26" t="s">
        <v>464</v>
      </c>
      <c r="B973" s="26">
        <v>55.7</v>
      </c>
      <c r="C973" s="29">
        <f t="shared" si="30"/>
        <v>-1.7921146953404001E-3</v>
      </c>
      <c r="D973" s="26"/>
      <c r="F973" s="26">
        <v>42348.63</v>
      </c>
      <c r="G973" s="29">
        <f t="shared" si="31"/>
        <v>-5.8904614879218709E-4</v>
      </c>
      <c r="H973" s="26"/>
    </row>
    <row r="974" spans="1:8" x14ac:dyDescent="0.3">
      <c r="A974" s="27">
        <v>44573</v>
      </c>
      <c r="B974" s="26">
        <v>56.25</v>
      </c>
      <c r="C974" s="29">
        <f t="shared" si="30"/>
        <v>9.8743267504487822E-3</v>
      </c>
      <c r="D974" s="26"/>
      <c r="F974" s="26">
        <v>42393.52</v>
      </c>
      <c r="G974" s="29">
        <f t="shared" si="31"/>
        <v>1.0600106780313653E-3</v>
      </c>
      <c r="H974" s="26"/>
    </row>
    <row r="975" spans="1:8" x14ac:dyDescent="0.3">
      <c r="A975" s="27">
        <v>44604</v>
      </c>
      <c r="B975" s="26">
        <v>56.37</v>
      </c>
      <c r="C975" s="29">
        <f t="shared" si="30"/>
        <v>2.1333333333332879E-3</v>
      </c>
      <c r="D975" s="26"/>
      <c r="F975" s="26">
        <v>42150.1</v>
      </c>
      <c r="G975" s="29">
        <f t="shared" si="31"/>
        <v>-5.7419152738436979E-3</v>
      </c>
      <c r="H975" s="26"/>
    </row>
    <row r="976" spans="1:8" x14ac:dyDescent="0.3">
      <c r="A976" s="27">
        <v>44693</v>
      </c>
      <c r="B976" s="26">
        <v>56</v>
      </c>
      <c r="C976" s="29">
        <f t="shared" si="30"/>
        <v>-6.563775057654736E-3</v>
      </c>
      <c r="D976" s="26"/>
      <c r="F976" s="26">
        <v>41612.67</v>
      </c>
      <c r="G976" s="29">
        <f t="shared" si="31"/>
        <v>-1.2750384933843581E-2</v>
      </c>
      <c r="H976" s="26"/>
    </row>
    <row r="977" spans="1:8" x14ac:dyDescent="0.3">
      <c r="A977" s="27">
        <v>44724</v>
      </c>
      <c r="B977" s="26">
        <v>55.9</v>
      </c>
      <c r="C977" s="29">
        <f t="shared" si="30"/>
        <v>-1.785714285714311E-3</v>
      </c>
      <c r="D977" s="26"/>
      <c r="F977" s="26">
        <v>41539.94</v>
      </c>
      <c r="G977" s="29">
        <f t="shared" si="31"/>
        <v>-1.7477849895235257E-3</v>
      </c>
      <c r="H977" s="26"/>
    </row>
    <row r="978" spans="1:8" x14ac:dyDescent="0.3">
      <c r="A978" s="27">
        <v>44754</v>
      </c>
      <c r="B978" s="26">
        <v>58.6</v>
      </c>
      <c r="C978" s="29">
        <f t="shared" si="30"/>
        <v>4.8300536672629749E-2</v>
      </c>
      <c r="D978" s="26"/>
      <c r="F978" s="26">
        <v>41819.29</v>
      </c>
      <c r="G978" s="29">
        <f t="shared" si="31"/>
        <v>6.7248532376310254E-3</v>
      </c>
      <c r="H978" s="26"/>
    </row>
    <row r="979" spans="1:8" x14ac:dyDescent="0.3">
      <c r="A979" s="27">
        <v>44785</v>
      </c>
      <c r="B979" s="26">
        <v>57.5</v>
      </c>
      <c r="C979" s="29">
        <f t="shared" si="30"/>
        <v>-1.87713310580205E-2</v>
      </c>
      <c r="D979" s="26"/>
      <c r="F979" s="26">
        <v>41651.61</v>
      </c>
      <c r="G979" s="29">
        <f t="shared" si="31"/>
        <v>-4.0096328751635978E-3</v>
      </c>
      <c r="H979" s="26"/>
    </row>
    <row r="980" spans="1:8" x14ac:dyDescent="0.3">
      <c r="A980" s="27">
        <v>44816</v>
      </c>
      <c r="B980" s="26">
        <v>58</v>
      </c>
      <c r="C980" s="29">
        <f t="shared" si="30"/>
        <v>8.6956521739130436E-3</v>
      </c>
      <c r="D980" s="26"/>
      <c r="F980" s="26">
        <v>41698.28</v>
      </c>
      <c r="G980" s="29">
        <f t="shared" si="31"/>
        <v>1.1204848984228521E-3</v>
      </c>
      <c r="H980" s="26"/>
    </row>
    <row r="981" spans="1:8" x14ac:dyDescent="0.3">
      <c r="A981" s="27">
        <v>44907</v>
      </c>
      <c r="B981" s="26">
        <v>58.1</v>
      </c>
      <c r="C981" s="29">
        <f t="shared" si="30"/>
        <v>1.7241379310345072E-3</v>
      </c>
      <c r="D981" s="26"/>
      <c r="F981" s="26">
        <v>41540.550000000003</v>
      </c>
      <c r="G981" s="29">
        <f t="shared" si="31"/>
        <v>-3.7826500277708319E-3</v>
      </c>
      <c r="H981" s="26"/>
    </row>
    <row r="982" spans="1:8" x14ac:dyDescent="0.3">
      <c r="A982" s="26" t="s">
        <v>463</v>
      </c>
      <c r="B982" s="26">
        <v>57.97</v>
      </c>
      <c r="C982" s="29">
        <f t="shared" si="30"/>
        <v>-2.2375215146299924E-3</v>
      </c>
      <c r="D982" s="26"/>
      <c r="F982" s="26">
        <v>41714.300000000003</v>
      </c>
      <c r="G982" s="29">
        <f t="shared" si="31"/>
        <v>4.1826600755165734E-3</v>
      </c>
      <c r="H982" s="26"/>
    </row>
    <row r="983" spans="1:8" x14ac:dyDescent="0.3">
      <c r="A983" s="26" t="s">
        <v>462</v>
      </c>
      <c r="B983" s="26">
        <v>57.2</v>
      </c>
      <c r="C983" s="29">
        <f t="shared" si="30"/>
        <v>-1.3282732447817769E-2</v>
      </c>
      <c r="D983" s="26"/>
      <c r="F983" s="26">
        <v>41737.620000000003</v>
      </c>
      <c r="G983" s="29">
        <f t="shared" si="31"/>
        <v>5.5904090443803945E-4</v>
      </c>
      <c r="H983" s="26"/>
    </row>
    <row r="984" spans="1:8" x14ac:dyDescent="0.3">
      <c r="A984" s="26" t="s">
        <v>461</v>
      </c>
      <c r="B984" s="26">
        <v>55.5</v>
      </c>
      <c r="C984" s="29">
        <f t="shared" si="30"/>
        <v>-2.9720279720279769E-2</v>
      </c>
      <c r="D984" s="26"/>
      <c r="F984" s="26">
        <v>41179.760000000002</v>
      </c>
      <c r="G984" s="29">
        <f t="shared" si="31"/>
        <v>-1.3365879511098154E-2</v>
      </c>
      <c r="H984" s="26"/>
    </row>
    <row r="985" spans="1:8" x14ac:dyDescent="0.3">
      <c r="A985" s="26" t="s">
        <v>460</v>
      </c>
      <c r="B985" s="26">
        <v>54.85</v>
      </c>
      <c r="C985" s="29">
        <f t="shared" si="30"/>
        <v>-1.1711711711711686E-2</v>
      </c>
      <c r="D985" s="26"/>
      <c r="F985" s="26">
        <v>41301.480000000003</v>
      </c>
      <c r="G985" s="29">
        <f t="shared" si="31"/>
        <v>2.9558210149840882E-3</v>
      </c>
      <c r="H985" s="26"/>
    </row>
    <row r="986" spans="1:8" x14ac:dyDescent="0.3">
      <c r="A986" s="26" t="s">
        <v>459</v>
      </c>
      <c r="B986" s="26">
        <v>54.7</v>
      </c>
      <c r="C986" s="29">
        <f t="shared" si="30"/>
        <v>-2.7347310847766378E-3</v>
      </c>
      <c r="D986" s="26"/>
      <c r="F986" s="26">
        <v>40970.82</v>
      </c>
      <c r="G986" s="29">
        <f t="shared" si="31"/>
        <v>-8.0060085013903496E-3</v>
      </c>
      <c r="H986" s="26"/>
    </row>
    <row r="987" spans="1:8" x14ac:dyDescent="0.3">
      <c r="A987" s="26" t="s">
        <v>458</v>
      </c>
      <c r="B987" s="26">
        <v>54</v>
      </c>
      <c r="C987" s="29">
        <f t="shared" si="30"/>
        <v>-1.2797074954296212E-2</v>
      </c>
      <c r="D987" s="26"/>
      <c r="F987" s="26">
        <v>39832.449999999997</v>
      </c>
      <c r="G987" s="29">
        <f t="shared" si="31"/>
        <v>-2.7784896665480521E-2</v>
      </c>
      <c r="H987" s="26"/>
    </row>
    <row r="988" spans="1:8" x14ac:dyDescent="0.3">
      <c r="A988" s="26" t="s">
        <v>457</v>
      </c>
      <c r="B988" s="26">
        <v>52.99</v>
      </c>
      <c r="C988" s="29">
        <f t="shared" si="30"/>
        <v>-1.8703703703703667E-2</v>
      </c>
      <c r="D988" s="26"/>
      <c r="F988" s="26">
        <v>39342.89</v>
      </c>
      <c r="G988" s="29">
        <f t="shared" si="31"/>
        <v>-1.2290481755453097E-2</v>
      </c>
      <c r="H988" s="26"/>
    </row>
    <row r="989" spans="1:8" x14ac:dyDescent="0.3">
      <c r="A989" s="26" t="s">
        <v>456</v>
      </c>
      <c r="B989" s="26">
        <v>53.3</v>
      </c>
      <c r="C989" s="29">
        <f t="shared" si="30"/>
        <v>5.8501604076239885E-3</v>
      </c>
      <c r="D989" s="26"/>
      <c r="F989" s="26">
        <v>39838.33</v>
      </c>
      <c r="G989" s="29">
        <f t="shared" si="31"/>
        <v>1.2592872562234302E-2</v>
      </c>
      <c r="H989" s="26"/>
    </row>
    <row r="990" spans="1:8" x14ac:dyDescent="0.3">
      <c r="A990" s="26" t="s">
        <v>455</v>
      </c>
      <c r="B990" s="26">
        <v>53.5</v>
      </c>
      <c r="C990" s="29">
        <f t="shared" si="30"/>
        <v>3.7523452157599032E-3</v>
      </c>
      <c r="D990" s="26"/>
      <c r="F990" s="26">
        <v>39669.199999999997</v>
      </c>
      <c r="G990" s="29">
        <f t="shared" si="31"/>
        <v>-4.245408881346298E-3</v>
      </c>
      <c r="H990" s="26"/>
    </row>
    <row r="991" spans="1:8" x14ac:dyDescent="0.3">
      <c r="A991" s="26" t="s">
        <v>454</v>
      </c>
      <c r="B991" s="26">
        <v>54</v>
      </c>
      <c r="C991" s="29">
        <f t="shared" si="30"/>
        <v>9.3457943925233638E-3</v>
      </c>
      <c r="D991" s="26"/>
      <c r="F991" s="26">
        <v>40155.160000000003</v>
      </c>
      <c r="G991" s="29">
        <f t="shared" si="31"/>
        <v>1.2250310064231355E-2</v>
      </c>
      <c r="H991" s="26"/>
    </row>
    <row r="992" spans="1:8" x14ac:dyDescent="0.3">
      <c r="A992" s="26" t="s">
        <v>453</v>
      </c>
      <c r="B992" s="26">
        <v>54.5</v>
      </c>
      <c r="C992" s="29">
        <f t="shared" si="30"/>
        <v>9.2592592592592587E-3</v>
      </c>
      <c r="D992" s="26"/>
      <c r="F992" s="26">
        <v>39802.910000000003</v>
      </c>
      <c r="G992" s="29">
        <f t="shared" si="31"/>
        <v>-8.7722225487334628E-3</v>
      </c>
      <c r="H992" s="26"/>
    </row>
    <row r="993" spans="1:8" x14ac:dyDescent="0.3">
      <c r="A993" s="26" t="s">
        <v>452</v>
      </c>
      <c r="B993" s="26">
        <v>54.4</v>
      </c>
      <c r="C993" s="29">
        <f t="shared" si="30"/>
        <v>-1.834862385321127E-3</v>
      </c>
      <c r="D993" s="26"/>
      <c r="F993" s="26">
        <v>39279.43</v>
      </c>
      <c r="G993" s="29">
        <f t="shared" si="31"/>
        <v>-1.3151802217476138E-2</v>
      </c>
      <c r="H993" s="26"/>
    </row>
    <row r="994" spans="1:8" x14ac:dyDescent="0.3">
      <c r="A994" s="26" t="s">
        <v>451</v>
      </c>
      <c r="B994" s="26">
        <v>53.25</v>
      </c>
      <c r="C994" s="29">
        <f t="shared" si="30"/>
        <v>-2.1139705882352915E-2</v>
      </c>
      <c r="D994" s="26"/>
      <c r="F994" s="26">
        <v>39747.35</v>
      </c>
      <c r="G994" s="29">
        <f t="shared" si="31"/>
        <v>1.1912596491344152E-2</v>
      </c>
      <c r="H994" s="26"/>
    </row>
    <row r="995" spans="1:8" x14ac:dyDescent="0.3">
      <c r="A995" s="26" t="s">
        <v>450</v>
      </c>
      <c r="B995" s="26">
        <v>55</v>
      </c>
      <c r="C995" s="29">
        <f t="shared" si="30"/>
        <v>3.2863849765258218E-2</v>
      </c>
      <c r="D995" s="26"/>
      <c r="F995" s="26">
        <v>40420.449999999997</v>
      </c>
      <c r="G995" s="29">
        <f t="shared" si="31"/>
        <v>1.6934462297486463E-2</v>
      </c>
      <c r="H995" s="26"/>
    </row>
    <row r="996" spans="1:8" x14ac:dyDescent="0.3">
      <c r="A996" s="27">
        <v>44958</v>
      </c>
      <c r="B996" s="26">
        <v>55.75</v>
      </c>
      <c r="C996" s="29">
        <f t="shared" si="30"/>
        <v>1.3636363636363636E-2</v>
      </c>
      <c r="D996" s="26"/>
      <c r="F996" s="26">
        <v>40815.9</v>
      </c>
      <c r="G996" s="29">
        <f t="shared" si="31"/>
        <v>9.783414088660675E-3</v>
      </c>
      <c r="H996" s="26"/>
    </row>
    <row r="997" spans="1:8" x14ac:dyDescent="0.3">
      <c r="A997" s="27">
        <v>44986</v>
      </c>
      <c r="B997" s="26">
        <v>55.51</v>
      </c>
      <c r="C997" s="29">
        <f t="shared" si="30"/>
        <v>-4.3049327354260447E-3</v>
      </c>
      <c r="D997" s="26"/>
      <c r="F997" s="26">
        <v>40630.639999999999</v>
      </c>
      <c r="G997" s="29">
        <f t="shared" si="31"/>
        <v>-4.5389174316872111E-3</v>
      </c>
      <c r="H997" s="26"/>
    </row>
    <row r="998" spans="1:8" x14ac:dyDescent="0.3">
      <c r="A998" s="27">
        <v>45017</v>
      </c>
      <c r="B998" s="26">
        <v>55.5</v>
      </c>
      <c r="C998" s="29">
        <f t="shared" si="30"/>
        <v>-1.8014772113129186E-4</v>
      </c>
      <c r="D998" s="26"/>
      <c r="F998" s="26">
        <v>40539.300000000003</v>
      </c>
      <c r="G998" s="29">
        <f t="shared" si="31"/>
        <v>-2.248057131268336E-3</v>
      </c>
      <c r="H998" s="26"/>
    </row>
    <row r="999" spans="1:8" x14ac:dyDescent="0.3">
      <c r="A999" s="27">
        <v>45047</v>
      </c>
      <c r="B999" s="26">
        <v>56.5</v>
      </c>
      <c r="C999" s="29">
        <f t="shared" si="30"/>
        <v>1.8018018018018018E-2</v>
      </c>
      <c r="D999" s="26"/>
      <c r="F999" s="26">
        <v>40716.74</v>
      </c>
      <c r="G999" s="29">
        <f t="shared" si="31"/>
        <v>4.3769872691436472E-3</v>
      </c>
      <c r="H999" s="26"/>
    </row>
    <row r="1000" spans="1:8" x14ac:dyDescent="0.3">
      <c r="A1000" s="27">
        <v>45078</v>
      </c>
      <c r="B1000" s="26">
        <v>55.5</v>
      </c>
      <c r="C1000" s="29">
        <f t="shared" si="30"/>
        <v>-1.7699115044247787E-2</v>
      </c>
      <c r="D1000" s="26"/>
      <c r="F1000" s="26">
        <v>41007.519999999997</v>
      </c>
      <c r="G1000" s="29">
        <f t="shared" si="31"/>
        <v>7.1415344155744999E-3</v>
      </c>
      <c r="H1000" s="26"/>
    </row>
    <row r="1001" spans="1:8" x14ac:dyDescent="0.3">
      <c r="A1001" s="27">
        <v>45170</v>
      </c>
      <c r="B1001" s="26">
        <v>53.79</v>
      </c>
      <c r="C1001" s="29">
        <f t="shared" si="30"/>
        <v>-3.0810810810810826E-2</v>
      </c>
      <c r="D1001" s="26"/>
      <c r="F1001" s="26">
        <v>40504.76</v>
      </c>
      <c r="G1001" s="29">
        <f t="shared" si="31"/>
        <v>-1.2260190326066896E-2</v>
      </c>
      <c r="H1001" s="26"/>
    </row>
    <row r="1002" spans="1:8" x14ac:dyDescent="0.3">
      <c r="A1002" s="27">
        <v>45200</v>
      </c>
      <c r="B1002" s="26">
        <v>53.38</v>
      </c>
      <c r="C1002" s="29">
        <f t="shared" si="30"/>
        <v>-7.6222346160995831E-3</v>
      </c>
      <c r="D1002" s="26"/>
      <c r="F1002" s="26">
        <v>40801.5</v>
      </c>
      <c r="G1002" s="29">
        <f t="shared" si="31"/>
        <v>7.3260525429603325E-3</v>
      </c>
      <c r="H1002" s="26"/>
    </row>
    <row r="1003" spans="1:8" x14ac:dyDescent="0.3">
      <c r="A1003" s="27">
        <v>45231</v>
      </c>
      <c r="B1003" s="26">
        <v>53.74</v>
      </c>
      <c r="C1003" s="29">
        <f t="shared" si="30"/>
        <v>6.74409891345072E-3</v>
      </c>
      <c r="D1003" s="26"/>
      <c r="F1003" s="26">
        <v>40758.199999999997</v>
      </c>
      <c r="G1003" s="29">
        <f t="shared" si="31"/>
        <v>-1.0612354937931917E-3</v>
      </c>
      <c r="H1003" s="26"/>
    </row>
    <row r="1004" spans="1:8" x14ac:dyDescent="0.3">
      <c r="A1004" s="27">
        <v>45261</v>
      </c>
      <c r="B1004" s="26">
        <v>52.88</v>
      </c>
      <c r="C1004" s="29">
        <f t="shared" si="30"/>
        <v>-1.6002977298101961E-2</v>
      </c>
      <c r="D1004" s="26"/>
      <c r="F1004" s="26">
        <v>40803.89</v>
      </c>
      <c r="G1004" s="29">
        <f t="shared" si="31"/>
        <v>1.1210014181196012E-3</v>
      </c>
      <c r="H1004" s="26"/>
    </row>
    <row r="1005" spans="1:8" x14ac:dyDescent="0.3">
      <c r="A1005" s="26" t="s">
        <v>449</v>
      </c>
      <c r="B1005" s="26">
        <v>52.25</v>
      </c>
      <c r="C1005" s="29">
        <f t="shared" si="30"/>
        <v>-1.1913767019667218E-2</v>
      </c>
      <c r="D1005" s="26"/>
      <c r="F1005" s="26">
        <v>40323.449999999997</v>
      </c>
      <c r="G1005" s="29">
        <f t="shared" si="31"/>
        <v>-1.1774367590933177E-2</v>
      </c>
      <c r="H1005" s="26"/>
    </row>
    <row r="1006" spans="1:8" x14ac:dyDescent="0.3">
      <c r="A1006" s="26" t="s">
        <v>448</v>
      </c>
      <c r="B1006" s="26">
        <v>52.5</v>
      </c>
      <c r="C1006" s="29">
        <f t="shared" si="30"/>
        <v>4.7846889952153108E-3</v>
      </c>
      <c r="D1006" s="26"/>
      <c r="F1006" s="26">
        <v>39720.75</v>
      </c>
      <c r="G1006" s="29">
        <f t="shared" si="31"/>
        <v>-1.4946637750490028E-2</v>
      </c>
      <c r="H1006" s="26"/>
    </row>
    <row r="1007" spans="1:8" x14ac:dyDescent="0.3">
      <c r="A1007" s="26" t="s">
        <v>447</v>
      </c>
      <c r="B1007" s="26">
        <v>51.5</v>
      </c>
      <c r="C1007" s="29">
        <f t="shared" si="30"/>
        <v>-1.9047619047619049E-2</v>
      </c>
      <c r="D1007" s="26"/>
      <c r="F1007" s="26">
        <v>38342.21</v>
      </c>
      <c r="G1007" s="29">
        <f t="shared" si="31"/>
        <v>-3.4705789795006409E-2</v>
      </c>
      <c r="H1007" s="26"/>
    </row>
    <row r="1008" spans="1:8" x14ac:dyDescent="0.3">
      <c r="A1008" s="26" t="s">
        <v>446</v>
      </c>
      <c r="B1008" s="26">
        <v>50.94</v>
      </c>
      <c r="C1008" s="29">
        <f t="shared" si="30"/>
        <v>-1.0873786407767035E-2</v>
      </c>
      <c r="D1008" s="26"/>
      <c r="F1008" s="26">
        <v>38791.089999999997</v>
      </c>
      <c r="G1008" s="29">
        <f t="shared" si="31"/>
        <v>1.1707202062687503E-2</v>
      </c>
      <c r="H1008" s="26"/>
    </row>
    <row r="1009" spans="1:8" x14ac:dyDescent="0.3">
      <c r="A1009" s="26" t="s">
        <v>445</v>
      </c>
      <c r="B1009" s="26">
        <v>50</v>
      </c>
      <c r="C1009" s="29">
        <f t="shared" si="30"/>
        <v>-1.8453082057322295E-2</v>
      </c>
      <c r="D1009" s="26"/>
      <c r="F1009" s="26">
        <v>38831.58</v>
      </c>
      <c r="G1009" s="29">
        <f t="shared" si="31"/>
        <v>1.0437963975749389E-3</v>
      </c>
      <c r="H1009" s="26"/>
    </row>
    <row r="1010" spans="1:8" x14ac:dyDescent="0.3">
      <c r="A1010" s="26" t="s">
        <v>444</v>
      </c>
      <c r="B1010" s="26">
        <v>48.63</v>
      </c>
      <c r="C1010" s="29">
        <f t="shared" si="30"/>
        <v>-2.7399999999999949E-2</v>
      </c>
      <c r="D1010" s="26"/>
      <c r="F1010" s="26">
        <v>38407.980000000003</v>
      </c>
      <c r="G1010" s="29">
        <f t="shared" si="31"/>
        <v>-1.0908647034192235E-2</v>
      </c>
      <c r="H1010" s="26"/>
    </row>
    <row r="1011" spans="1:8" x14ac:dyDescent="0.3">
      <c r="A1011" s="26" t="s">
        <v>443</v>
      </c>
      <c r="B1011" s="26">
        <v>48.5</v>
      </c>
      <c r="C1011" s="29">
        <f t="shared" si="30"/>
        <v>-2.6732469668929171E-3</v>
      </c>
      <c r="D1011" s="26"/>
      <c r="F1011" s="26">
        <v>38443.589999999997</v>
      </c>
      <c r="G1011" s="29">
        <f t="shared" si="31"/>
        <v>9.2715107641675777E-4</v>
      </c>
      <c r="H1011" s="26"/>
    </row>
    <row r="1012" spans="1:8" x14ac:dyDescent="0.3">
      <c r="A1012" s="26" t="s">
        <v>442</v>
      </c>
      <c r="B1012" s="26">
        <v>49.74</v>
      </c>
      <c r="C1012" s="29">
        <f t="shared" si="30"/>
        <v>2.5567010309278392E-2</v>
      </c>
      <c r="D1012" s="26"/>
      <c r="F1012" s="26">
        <v>39055.65</v>
      </c>
      <c r="G1012" s="29">
        <f t="shared" si="31"/>
        <v>1.5920989689048422E-2</v>
      </c>
      <c r="H1012" s="26"/>
    </row>
    <row r="1013" spans="1:8" x14ac:dyDescent="0.3">
      <c r="A1013" s="26" t="s">
        <v>441</v>
      </c>
      <c r="B1013" s="26">
        <v>51.01</v>
      </c>
      <c r="C1013" s="29">
        <f t="shared" si="30"/>
        <v>2.55327704061117E-2</v>
      </c>
      <c r="D1013" s="26"/>
      <c r="F1013" s="26">
        <v>39784.9</v>
      </c>
      <c r="G1013" s="29">
        <f t="shared" si="31"/>
        <v>1.8672074334955376E-2</v>
      </c>
      <c r="H1013" s="26"/>
    </row>
    <row r="1014" spans="1:8" x14ac:dyDescent="0.3">
      <c r="A1014" s="26" t="s">
        <v>440</v>
      </c>
      <c r="B1014" s="26">
        <v>53.3</v>
      </c>
      <c r="C1014" s="29">
        <f t="shared" si="30"/>
        <v>4.4893158204273656E-2</v>
      </c>
      <c r="D1014" s="26"/>
      <c r="F1014" s="26">
        <v>40846.53</v>
      </c>
      <c r="G1014" s="29">
        <f t="shared" si="31"/>
        <v>2.668424452493276E-2</v>
      </c>
      <c r="H1014" s="26"/>
    </row>
    <row r="1015" spans="1:8" x14ac:dyDescent="0.3">
      <c r="A1015" s="26" t="s">
        <v>439</v>
      </c>
      <c r="B1015" s="26">
        <v>52.99</v>
      </c>
      <c r="C1015" s="29">
        <f t="shared" si="30"/>
        <v>-5.8161350844276767E-3</v>
      </c>
      <c r="D1015" s="26"/>
      <c r="F1015" s="26">
        <v>40450.53</v>
      </c>
      <c r="G1015" s="29">
        <f t="shared" si="31"/>
        <v>-9.6948259742014806E-3</v>
      </c>
      <c r="H1015" s="26"/>
    </row>
    <row r="1016" spans="1:8" x14ac:dyDescent="0.3">
      <c r="A1016" s="26" t="s">
        <v>438</v>
      </c>
      <c r="B1016" s="26">
        <v>53</v>
      </c>
      <c r="C1016" s="29">
        <f t="shared" si="30"/>
        <v>1.8871485185880375E-4</v>
      </c>
      <c r="D1016" s="26"/>
      <c r="F1016" s="26">
        <v>39871.269999999997</v>
      </c>
      <c r="G1016" s="29">
        <f t="shared" si="31"/>
        <v>-1.4320207918165771E-2</v>
      </c>
      <c r="H1016" s="26"/>
    </row>
    <row r="1017" spans="1:8" x14ac:dyDescent="0.3">
      <c r="A1017" s="26" t="s">
        <v>437</v>
      </c>
      <c r="B1017" s="26">
        <v>54.5</v>
      </c>
      <c r="C1017" s="29">
        <f t="shared" si="30"/>
        <v>2.8301886792452831E-2</v>
      </c>
      <c r="D1017" s="26"/>
      <c r="F1017" s="26">
        <v>40673.06</v>
      </c>
      <c r="G1017" s="29">
        <f t="shared" si="31"/>
        <v>2.0109467293116093E-2</v>
      </c>
      <c r="H1017" s="26"/>
    </row>
    <row r="1018" spans="1:8" x14ac:dyDescent="0.3">
      <c r="A1018" s="27">
        <v>44928</v>
      </c>
      <c r="B1018" s="26">
        <v>54.7</v>
      </c>
      <c r="C1018" s="29">
        <f t="shared" si="30"/>
        <v>3.6697247706422541E-3</v>
      </c>
      <c r="D1018" s="26"/>
      <c r="F1018" s="26">
        <v>40619.94</v>
      </c>
      <c r="G1018" s="29">
        <f t="shared" si="31"/>
        <v>-1.3060241840666855E-3</v>
      </c>
      <c r="H1018" s="26"/>
    </row>
    <row r="1019" spans="1:8" x14ac:dyDescent="0.3">
      <c r="A1019" s="27">
        <v>44959</v>
      </c>
      <c r="B1019" s="26">
        <v>53.9</v>
      </c>
      <c r="C1019" s="29">
        <f t="shared" si="30"/>
        <v>-1.462522851919569E-2</v>
      </c>
      <c r="D1019" s="26"/>
      <c r="F1019" s="26">
        <v>40733.51</v>
      </c>
      <c r="G1019" s="29">
        <f t="shared" si="31"/>
        <v>2.7959174730440199E-3</v>
      </c>
      <c r="H1019" s="26"/>
    </row>
    <row r="1020" spans="1:8" x14ac:dyDescent="0.3">
      <c r="A1020" s="27">
        <v>44987</v>
      </c>
      <c r="B1020" s="26">
        <v>53.49</v>
      </c>
      <c r="C1020" s="29">
        <f t="shared" si="30"/>
        <v>-7.6066790352504006E-3</v>
      </c>
      <c r="D1020" s="26"/>
      <c r="F1020" s="26">
        <v>40471.160000000003</v>
      </c>
      <c r="G1020" s="29">
        <f t="shared" si="31"/>
        <v>-6.4406430970470885E-3</v>
      </c>
      <c r="H1020" s="26"/>
    </row>
    <row r="1021" spans="1:8" x14ac:dyDescent="0.3">
      <c r="A1021" s="27">
        <v>45079</v>
      </c>
      <c r="B1021" s="26">
        <v>53.63</v>
      </c>
      <c r="C1021" s="29">
        <f t="shared" si="30"/>
        <v>2.6173116470368397E-3</v>
      </c>
      <c r="D1021" s="26"/>
      <c r="F1021" s="26">
        <v>41190.769999999997</v>
      </c>
      <c r="G1021" s="29">
        <f t="shared" si="31"/>
        <v>1.7780809840884058E-2</v>
      </c>
      <c r="H1021" s="26"/>
    </row>
    <row r="1022" spans="1:8" x14ac:dyDescent="0.3">
      <c r="A1022" s="27">
        <v>45109</v>
      </c>
      <c r="B1022" s="26">
        <v>53.6</v>
      </c>
      <c r="C1022" s="29">
        <f t="shared" si="30"/>
        <v>-5.5938840201381944E-4</v>
      </c>
      <c r="D1022" s="26"/>
      <c r="F1022" s="26">
        <v>41522.76</v>
      </c>
      <c r="G1022" s="29">
        <f t="shared" si="31"/>
        <v>8.0598153421265317E-3</v>
      </c>
      <c r="H1022" s="26"/>
    </row>
    <row r="1023" spans="1:8" x14ac:dyDescent="0.3">
      <c r="A1023" s="27">
        <v>45140</v>
      </c>
      <c r="B1023" s="26">
        <v>54.1</v>
      </c>
      <c r="C1023" s="29">
        <f t="shared" si="30"/>
        <v>9.3283582089552231E-3</v>
      </c>
      <c r="D1023" s="26"/>
      <c r="F1023" s="26">
        <v>41723.32</v>
      </c>
      <c r="G1023" s="29">
        <f t="shared" si="31"/>
        <v>4.8301220824434037E-3</v>
      </c>
      <c r="H1023" s="26"/>
    </row>
    <row r="1024" spans="1:8" x14ac:dyDescent="0.3">
      <c r="A1024" s="27">
        <v>45171</v>
      </c>
      <c r="B1024" s="26">
        <v>55.25</v>
      </c>
      <c r="C1024" s="29">
        <f t="shared" si="30"/>
        <v>2.1256931608133061E-2</v>
      </c>
      <c r="D1024" s="26"/>
      <c r="F1024" s="26">
        <v>42466.59</v>
      </c>
      <c r="G1024" s="29">
        <f t="shared" si="31"/>
        <v>1.7814258309261987E-2</v>
      </c>
      <c r="H1024" s="26"/>
    </row>
    <row r="1025" spans="1:8" x14ac:dyDescent="0.3">
      <c r="A1025" s="27">
        <v>45201</v>
      </c>
      <c r="B1025" s="26">
        <v>54.36</v>
      </c>
      <c r="C1025" s="29">
        <f t="shared" si="30"/>
        <v>-1.6108597285067885E-2</v>
      </c>
      <c r="D1025" s="26"/>
      <c r="F1025" s="26">
        <v>41741.78</v>
      </c>
      <c r="G1025" s="29">
        <f t="shared" si="31"/>
        <v>-1.7067770216539584E-2</v>
      </c>
      <c r="H1025" s="26"/>
    </row>
    <row r="1026" spans="1:8" x14ac:dyDescent="0.3">
      <c r="A1026" s="26" t="s">
        <v>436</v>
      </c>
      <c r="B1026" s="26">
        <v>55.35</v>
      </c>
      <c r="C1026" s="29">
        <f t="shared" si="30"/>
        <v>1.8211920529801362E-2</v>
      </c>
      <c r="D1026" s="26"/>
      <c r="F1026" s="26">
        <v>41716.949999999997</v>
      </c>
      <c r="G1026" s="29">
        <f t="shared" si="31"/>
        <v>-5.9484765623319725E-4</v>
      </c>
      <c r="H1026" s="26"/>
    </row>
    <row r="1027" spans="1:8" x14ac:dyDescent="0.3">
      <c r="A1027" s="26" t="s">
        <v>435</v>
      </c>
      <c r="B1027" s="26">
        <v>54.9</v>
      </c>
      <c r="C1027" s="29">
        <f t="shared" si="30"/>
        <v>-8.1300813008130593E-3</v>
      </c>
      <c r="D1027" s="26"/>
      <c r="F1027" s="26">
        <v>41150.160000000003</v>
      </c>
      <c r="G1027" s="29">
        <f t="shared" si="31"/>
        <v>-1.3586563734884588E-2</v>
      </c>
      <c r="H1027" s="26"/>
    </row>
    <row r="1028" spans="1:8" x14ac:dyDescent="0.3">
      <c r="A1028" s="26" t="s">
        <v>434</v>
      </c>
      <c r="B1028" s="26">
        <v>52.84</v>
      </c>
      <c r="C1028" s="29">
        <f t="shared" si="30"/>
        <v>-3.752276867030957E-2</v>
      </c>
      <c r="D1028" s="26"/>
      <c r="F1028" s="26">
        <v>41326.85</v>
      </c>
      <c r="G1028" s="29">
        <f t="shared" si="31"/>
        <v>4.2937864640136278E-3</v>
      </c>
      <c r="H1028" s="26"/>
    </row>
    <row r="1029" spans="1:8" x14ac:dyDescent="0.3">
      <c r="A1029" s="26" t="s">
        <v>433</v>
      </c>
      <c r="B1029" s="26">
        <v>52.99</v>
      </c>
      <c r="C1029" s="29">
        <f t="shared" ref="C1029:C1092" si="32">(B1029-B1028)/B1028</f>
        <v>2.8387585162755217E-3</v>
      </c>
      <c r="D1029" s="26"/>
      <c r="F1029" s="26">
        <v>41078.65</v>
      </c>
      <c r="G1029" s="29">
        <f t="shared" ref="G1029:G1092" si="33">(F1029-F1028)/F1028</f>
        <v>-6.005780745447502E-3</v>
      </c>
      <c r="H1029" s="26"/>
    </row>
    <row r="1030" spans="1:8" x14ac:dyDescent="0.3">
      <c r="A1030" s="26" t="s">
        <v>432</v>
      </c>
      <c r="B1030" s="26">
        <v>52.99</v>
      </c>
      <c r="C1030" s="29">
        <f t="shared" si="32"/>
        <v>0</v>
      </c>
      <c r="D1030" s="26"/>
      <c r="F1030" s="26">
        <v>41118.61</v>
      </c>
      <c r="G1030" s="29">
        <f t="shared" si="33"/>
        <v>9.7276809242755361E-4</v>
      </c>
      <c r="H1030" s="26"/>
    </row>
    <row r="1031" spans="1:8" x14ac:dyDescent="0.3">
      <c r="A1031" s="26" t="s">
        <v>431</v>
      </c>
      <c r="B1031" s="26">
        <v>52.9</v>
      </c>
      <c r="C1031" s="29">
        <f t="shared" si="32"/>
        <v>-1.698433666729636E-3</v>
      </c>
      <c r="D1031" s="26"/>
      <c r="F1031" s="26">
        <v>40673.64</v>
      </c>
      <c r="G1031" s="29">
        <f t="shared" si="33"/>
        <v>-1.0821620672488715E-2</v>
      </c>
      <c r="H1031" s="26"/>
    </row>
    <row r="1032" spans="1:8" x14ac:dyDescent="0.3">
      <c r="A1032" s="26" t="s">
        <v>430</v>
      </c>
      <c r="B1032" s="26">
        <v>52.65</v>
      </c>
      <c r="C1032" s="29">
        <f t="shared" si="32"/>
        <v>-4.725897920604915E-3</v>
      </c>
      <c r="D1032" s="26"/>
      <c r="F1032" s="26">
        <v>40949.839999999997</v>
      </c>
      <c r="G1032" s="29">
        <f t="shared" si="33"/>
        <v>6.7906388511084102E-3</v>
      </c>
      <c r="H1032" s="26"/>
    </row>
    <row r="1033" spans="1:8" x14ac:dyDescent="0.3">
      <c r="A1033" s="26" t="s">
        <v>429</v>
      </c>
      <c r="B1033" s="26">
        <v>52.89</v>
      </c>
      <c r="C1033" s="29">
        <f t="shared" si="32"/>
        <v>4.5584045584045963E-3</v>
      </c>
      <c r="D1033" s="26"/>
      <c r="F1033" s="26">
        <v>41167.599999999999</v>
      </c>
      <c r="G1033" s="29">
        <f t="shared" si="33"/>
        <v>5.3177252951416183E-3</v>
      </c>
      <c r="H1033" s="26"/>
    </row>
    <row r="1034" spans="1:8" x14ac:dyDescent="0.3">
      <c r="A1034" s="26" t="s">
        <v>428</v>
      </c>
      <c r="B1034" s="26">
        <v>52.65</v>
      </c>
      <c r="C1034" s="29">
        <f t="shared" si="32"/>
        <v>-4.5377197958026468E-3</v>
      </c>
      <c r="D1034" s="26"/>
      <c r="F1034" s="26">
        <v>40838.51</v>
      </c>
      <c r="G1034" s="29">
        <f t="shared" si="33"/>
        <v>-7.993907830429671E-3</v>
      </c>
      <c r="H1034" s="26"/>
    </row>
    <row r="1035" spans="1:8" x14ac:dyDescent="0.3">
      <c r="A1035" s="26" t="s">
        <v>427</v>
      </c>
      <c r="B1035" s="26">
        <v>52.94</v>
      </c>
      <c r="C1035" s="29">
        <f t="shared" si="32"/>
        <v>5.5080721747388251E-3</v>
      </c>
      <c r="D1035" s="26"/>
      <c r="F1035" s="26">
        <v>40707.760000000002</v>
      </c>
      <c r="G1035" s="29">
        <f t="shared" si="33"/>
        <v>-3.201634927425119E-3</v>
      </c>
      <c r="H1035" s="26"/>
    </row>
    <row r="1036" spans="1:8" x14ac:dyDescent="0.3">
      <c r="A1036" s="26" t="s">
        <v>426</v>
      </c>
      <c r="B1036" s="26">
        <v>52.64</v>
      </c>
      <c r="C1036" s="29">
        <f t="shared" si="32"/>
        <v>-5.6667925953909556E-3</v>
      </c>
      <c r="D1036" s="26"/>
      <c r="F1036" s="26">
        <v>40784.129999999997</v>
      </c>
      <c r="G1036" s="29">
        <f t="shared" si="33"/>
        <v>1.8760550813897729E-3</v>
      </c>
      <c r="H1036" s="26"/>
    </row>
    <row r="1037" spans="1:8" x14ac:dyDescent="0.3">
      <c r="A1037" s="26" t="s">
        <v>425</v>
      </c>
      <c r="B1037" s="26">
        <v>52.5</v>
      </c>
      <c r="C1037" s="29">
        <f t="shared" si="32"/>
        <v>-2.6595744680851172E-3</v>
      </c>
      <c r="D1037" s="26"/>
      <c r="F1037" s="26">
        <v>40510.370000000003</v>
      </c>
      <c r="G1037" s="29">
        <f t="shared" si="33"/>
        <v>-6.7124148535225537E-3</v>
      </c>
      <c r="H1037" s="26"/>
    </row>
    <row r="1038" spans="1:8" x14ac:dyDescent="0.3">
      <c r="A1038" s="27">
        <v>44929</v>
      </c>
      <c r="B1038" s="26">
        <v>52.2</v>
      </c>
      <c r="C1038" s="29">
        <f t="shared" si="32"/>
        <v>-5.7142857142856605E-3</v>
      </c>
      <c r="D1038" s="26"/>
      <c r="F1038" s="26">
        <v>40412.769999999997</v>
      </c>
      <c r="G1038" s="29">
        <f t="shared" si="33"/>
        <v>-2.4092596537628715E-3</v>
      </c>
      <c r="H1038" s="26"/>
    </row>
    <row r="1039" spans="1:8" x14ac:dyDescent="0.3">
      <c r="A1039" s="27">
        <v>44960</v>
      </c>
      <c r="B1039" s="26">
        <v>53.2</v>
      </c>
      <c r="C1039" s="29">
        <f t="shared" si="32"/>
        <v>1.9157088122605363E-2</v>
      </c>
      <c r="D1039" s="26"/>
      <c r="F1039" s="26">
        <v>40670.879999999997</v>
      </c>
      <c r="G1039" s="29">
        <f t="shared" si="33"/>
        <v>6.3868425747604183E-3</v>
      </c>
      <c r="H1039" s="26"/>
    </row>
    <row r="1040" spans="1:8" x14ac:dyDescent="0.3">
      <c r="A1040" s="27">
        <v>44988</v>
      </c>
      <c r="B1040" s="26">
        <v>53</v>
      </c>
      <c r="C1040" s="29">
        <f t="shared" si="32"/>
        <v>-3.7593984962406546E-3</v>
      </c>
      <c r="D1040" s="26"/>
      <c r="F1040" s="26">
        <v>41337</v>
      </c>
      <c r="G1040" s="29">
        <f t="shared" si="33"/>
        <v>1.6378303100400154E-2</v>
      </c>
      <c r="H1040" s="26"/>
    </row>
    <row r="1041" spans="1:8" x14ac:dyDescent="0.3">
      <c r="A1041" s="27">
        <v>45080</v>
      </c>
      <c r="B1041" s="26">
        <v>52.96</v>
      </c>
      <c r="C1041" s="29">
        <f t="shared" si="32"/>
        <v>-7.5471698113205939E-4</v>
      </c>
      <c r="D1041" s="26"/>
      <c r="F1041" s="26">
        <v>41434.33</v>
      </c>
      <c r="G1041" s="29">
        <f t="shared" si="33"/>
        <v>2.3545491932167729E-3</v>
      </c>
      <c r="H1041" s="26"/>
    </row>
    <row r="1042" spans="1:8" x14ac:dyDescent="0.3">
      <c r="A1042" s="27">
        <v>45110</v>
      </c>
      <c r="B1042" s="26">
        <v>52.99</v>
      </c>
      <c r="C1042" s="29">
        <f t="shared" si="32"/>
        <v>5.6646525679760449E-4</v>
      </c>
      <c r="D1042" s="26"/>
      <c r="F1042" s="26">
        <v>41334.69</v>
      </c>
      <c r="G1042" s="29">
        <f t="shared" si="33"/>
        <v>-2.4047691853590829E-3</v>
      </c>
      <c r="H1042" s="26"/>
    </row>
    <row r="1043" spans="1:8" x14ac:dyDescent="0.3">
      <c r="A1043" s="27">
        <v>45141</v>
      </c>
      <c r="B1043" s="26">
        <v>53.55</v>
      </c>
      <c r="C1043" s="29">
        <f t="shared" si="32"/>
        <v>1.056803170409502E-2</v>
      </c>
      <c r="D1043" s="26"/>
      <c r="F1043" s="26">
        <v>41358.93</v>
      </c>
      <c r="G1043" s="29">
        <f t="shared" si="33"/>
        <v>5.8643236467959383E-4</v>
      </c>
      <c r="H1043" s="26"/>
    </row>
    <row r="1044" spans="1:8" x14ac:dyDescent="0.3">
      <c r="A1044" s="27">
        <v>45172</v>
      </c>
      <c r="B1044" s="26">
        <v>53.9</v>
      </c>
      <c r="C1044" s="29">
        <f t="shared" si="32"/>
        <v>6.5359477124183277E-3</v>
      </c>
      <c r="D1044" s="26"/>
      <c r="F1044" s="26">
        <v>41585.54</v>
      </c>
      <c r="G1044" s="29">
        <f t="shared" si="33"/>
        <v>5.4791069304742793E-3</v>
      </c>
      <c r="H1044" s="26"/>
    </row>
    <row r="1045" spans="1:8" x14ac:dyDescent="0.3">
      <c r="A1045" s="27">
        <v>45202</v>
      </c>
      <c r="B1045" s="26">
        <v>46.58</v>
      </c>
      <c r="C1045" s="29">
        <f t="shared" si="32"/>
        <v>-0.13580705009276439</v>
      </c>
      <c r="D1045" s="26"/>
      <c r="F1045" s="26">
        <v>41793.870000000003</v>
      </c>
      <c r="G1045" s="29">
        <f t="shared" si="33"/>
        <v>5.009674035734578E-3</v>
      </c>
      <c r="H1045" s="26"/>
    </row>
    <row r="1046" spans="1:8" x14ac:dyDescent="0.3">
      <c r="A1046" s="26" t="s">
        <v>424</v>
      </c>
      <c r="B1046" s="26">
        <v>45.65</v>
      </c>
      <c r="C1046" s="29">
        <f t="shared" si="32"/>
        <v>-1.9965650493774148E-2</v>
      </c>
      <c r="D1046" s="26"/>
      <c r="F1046" s="26">
        <v>41856.85</v>
      </c>
      <c r="G1046" s="29">
        <f t="shared" si="33"/>
        <v>1.5069195554275284E-3</v>
      </c>
      <c r="H1046" s="26"/>
    </row>
    <row r="1047" spans="1:8" x14ac:dyDescent="0.3">
      <c r="A1047" s="26" t="s">
        <v>423</v>
      </c>
      <c r="B1047" s="26">
        <v>45.18</v>
      </c>
      <c r="C1047" s="29">
        <f t="shared" si="32"/>
        <v>-1.0295728368017501E-2</v>
      </c>
      <c r="D1047" s="26"/>
      <c r="F1047" s="26">
        <v>41816.43</v>
      </c>
      <c r="G1047" s="29">
        <f t="shared" si="33"/>
        <v>-9.6567228542038534E-4</v>
      </c>
      <c r="H1047" s="26"/>
    </row>
    <row r="1048" spans="1:8" x14ac:dyDescent="0.3">
      <c r="A1048" s="26" t="s">
        <v>422</v>
      </c>
      <c r="B1048" s="26">
        <v>44.52</v>
      </c>
      <c r="C1048" s="29">
        <f t="shared" si="32"/>
        <v>-1.4608233731739632E-2</v>
      </c>
      <c r="D1048" s="26"/>
      <c r="F1048" s="26">
        <v>41874.04</v>
      </c>
      <c r="G1048" s="29">
        <f t="shared" si="33"/>
        <v>1.3776881479361242E-3</v>
      </c>
      <c r="H1048" s="26"/>
    </row>
    <row r="1049" spans="1:8" x14ac:dyDescent="0.3">
      <c r="A1049" s="26" t="s">
        <v>421</v>
      </c>
      <c r="B1049" s="26">
        <v>44.36</v>
      </c>
      <c r="C1049" s="29">
        <f t="shared" si="32"/>
        <v>-3.5938903863432991E-3</v>
      </c>
      <c r="D1049" s="26"/>
      <c r="F1049" s="26">
        <v>41694.089999999997</v>
      </c>
      <c r="G1049" s="29">
        <f t="shared" si="33"/>
        <v>-4.2974119526084506E-3</v>
      </c>
      <c r="H1049" s="26"/>
    </row>
    <row r="1050" spans="1:8" x14ac:dyDescent="0.3">
      <c r="A1050" s="26" t="s">
        <v>420</v>
      </c>
      <c r="B1050" s="26">
        <v>43.97</v>
      </c>
      <c r="C1050" s="29">
        <f t="shared" si="32"/>
        <v>-8.7917042380523131E-3</v>
      </c>
      <c r="D1050" s="26"/>
      <c r="F1050" s="26">
        <v>41329.949999999997</v>
      </c>
      <c r="G1050" s="29">
        <f t="shared" si="33"/>
        <v>-8.7336118860010959E-3</v>
      </c>
      <c r="H1050" s="26"/>
    </row>
    <row r="1051" spans="1:8" x14ac:dyDescent="0.3">
      <c r="A1051" s="26" t="s">
        <v>419</v>
      </c>
      <c r="B1051" s="26">
        <v>43.5</v>
      </c>
      <c r="C1051" s="29">
        <f t="shared" si="32"/>
        <v>-1.0689106208778687E-2</v>
      </c>
      <c r="D1051" s="26"/>
      <c r="F1051" s="26">
        <v>40918.449999999997</v>
      </c>
      <c r="G1051" s="29">
        <f t="shared" si="33"/>
        <v>-9.9564601457296717E-3</v>
      </c>
      <c r="H1051" s="26"/>
    </row>
    <row r="1052" spans="1:8" x14ac:dyDescent="0.3">
      <c r="A1052" s="26" t="s">
        <v>418</v>
      </c>
      <c r="B1052" s="26">
        <v>43.3</v>
      </c>
      <c r="C1052" s="29">
        <f t="shared" si="32"/>
        <v>-4.5977011494253523E-3</v>
      </c>
      <c r="D1052" s="26"/>
      <c r="F1052" s="26">
        <v>40877.980000000003</v>
      </c>
      <c r="G1052" s="29">
        <f t="shared" si="33"/>
        <v>-9.8904039620254175E-4</v>
      </c>
      <c r="H1052" s="26"/>
    </row>
    <row r="1053" spans="1:8" x14ac:dyDescent="0.3">
      <c r="A1053" s="26" t="s">
        <v>417</v>
      </c>
      <c r="B1053" s="26">
        <v>42.55</v>
      </c>
      <c r="C1053" s="29">
        <f t="shared" si="32"/>
        <v>-1.7321016166281757E-2</v>
      </c>
      <c r="D1053" s="26"/>
      <c r="F1053" s="26">
        <v>40376.1</v>
      </c>
      <c r="G1053" s="29">
        <f t="shared" si="33"/>
        <v>-1.2277514691283782E-2</v>
      </c>
      <c r="H1053" s="26"/>
    </row>
    <row r="1054" spans="1:8" x14ac:dyDescent="0.3">
      <c r="A1054" s="26" t="s">
        <v>416</v>
      </c>
      <c r="B1054" s="26">
        <v>42.34</v>
      </c>
      <c r="C1054" s="29">
        <f t="shared" si="32"/>
        <v>-4.9353701527613102E-3</v>
      </c>
      <c r="D1054" s="26"/>
      <c r="F1054" s="26">
        <v>39942.050000000003</v>
      </c>
      <c r="G1054" s="29">
        <f t="shared" si="33"/>
        <v>-1.0750171512354974E-2</v>
      </c>
      <c r="H1054" s="26"/>
    </row>
    <row r="1055" spans="1:8" x14ac:dyDescent="0.3">
      <c r="A1055" s="26" t="s">
        <v>415</v>
      </c>
      <c r="B1055" s="26">
        <v>42.15</v>
      </c>
      <c r="C1055" s="29">
        <f t="shared" si="32"/>
        <v>-4.487482286254247E-3</v>
      </c>
      <c r="D1055" s="26"/>
      <c r="F1055" s="26">
        <v>40000.370000000003</v>
      </c>
      <c r="G1055" s="29">
        <f t="shared" si="33"/>
        <v>1.4601153421018628E-3</v>
      </c>
      <c r="H1055" s="26"/>
    </row>
    <row r="1056" spans="1:8" x14ac:dyDescent="0.3">
      <c r="A1056" s="26" t="s">
        <v>414</v>
      </c>
      <c r="B1056" s="26">
        <v>41.69</v>
      </c>
      <c r="C1056" s="29">
        <f t="shared" si="32"/>
        <v>-1.0913404507710578E-2</v>
      </c>
      <c r="D1056" s="26"/>
      <c r="F1056" s="26">
        <v>40082.370000000003</v>
      </c>
      <c r="G1056" s="29">
        <f t="shared" si="33"/>
        <v>2.0499810376754012E-3</v>
      </c>
      <c r="H1056" s="26"/>
    </row>
    <row r="1057" spans="1:8" x14ac:dyDescent="0.3">
      <c r="A1057" s="26" t="s">
        <v>413</v>
      </c>
      <c r="B1057" s="26">
        <v>41.25</v>
      </c>
      <c r="C1057" s="29">
        <f t="shared" si="32"/>
        <v>-1.0554089709762479E-2</v>
      </c>
      <c r="D1057" s="26"/>
      <c r="F1057" s="26">
        <v>39879.89</v>
      </c>
      <c r="G1057" s="29">
        <f t="shared" si="33"/>
        <v>-5.0515974978526269E-3</v>
      </c>
      <c r="H1057" s="26"/>
    </row>
    <row r="1058" spans="1:8" x14ac:dyDescent="0.3">
      <c r="A1058" s="26" t="s">
        <v>412</v>
      </c>
      <c r="B1058" s="26">
        <v>41</v>
      </c>
      <c r="C1058" s="29">
        <f t="shared" si="32"/>
        <v>-6.0606060606060606E-3</v>
      </c>
      <c r="D1058" s="26"/>
      <c r="F1058" s="26">
        <v>39848.35</v>
      </c>
      <c r="G1058" s="29">
        <f t="shared" si="33"/>
        <v>-7.9087479930363077E-4</v>
      </c>
      <c r="H1058" s="26"/>
    </row>
    <row r="1059" spans="1:8" x14ac:dyDescent="0.3">
      <c r="A1059" s="26" t="s">
        <v>411</v>
      </c>
      <c r="B1059" s="26">
        <v>43</v>
      </c>
      <c r="C1059" s="29">
        <f t="shared" si="32"/>
        <v>4.878048780487805E-2</v>
      </c>
      <c r="D1059" s="26"/>
      <c r="F1059" s="26">
        <v>40000.83</v>
      </c>
      <c r="G1059" s="29">
        <f t="shared" si="33"/>
        <v>3.8265072455949422E-3</v>
      </c>
      <c r="H1059" s="26"/>
    </row>
    <row r="1060" spans="1:8" x14ac:dyDescent="0.3">
      <c r="A1060" s="27">
        <v>44989</v>
      </c>
      <c r="B1060" s="26">
        <v>41.65</v>
      </c>
      <c r="C1060" s="29">
        <f t="shared" si="32"/>
        <v>-3.1395348837209333E-2</v>
      </c>
      <c r="D1060" s="26"/>
      <c r="F1060" s="26">
        <v>39889.9</v>
      </c>
      <c r="G1060" s="29">
        <f t="shared" si="33"/>
        <v>-2.7731924562565398E-3</v>
      </c>
      <c r="H1060" s="26"/>
    </row>
    <row r="1061" spans="1:8" x14ac:dyDescent="0.3">
      <c r="A1061" s="27">
        <v>45020</v>
      </c>
      <c r="B1061" s="26">
        <v>40.9</v>
      </c>
      <c r="C1061" s="29">
        <f t="shared" si="32"/>
        <v>-1.800720288115246E-2</v>
      </c>
      <c r="D1061" s="26"/>
      <c r="F1061" s="26">
        <v>39687.26</v>
      </c>
      <c r="G1061" s="29">
        <f t="shared" si="33"/>
        <v>-5.0799826522503044E-3</v>
      </c>
      <c r="H1061" s="26"/>
    </row>
    <row r="1062" spans="1:8" x14ac:dyDescent="0.3">
      <c r="A1062" s="27">
        <v>45050</v>
      </c>
      <c r="B1062" s="26">
        <v>40.5</v>
      </c>
      <c r="C1062" s="29">
        <f t="shared" si="32"/>
        <v>-9.779951100244464E-3</v>
      </c>
      <c r="D1062" s="26"/>
      <c r="F1062" s="26">
        <v>39717.15</v>
      </c>
      <c r="G1062" s="29">
        <f t="shared" si="33"/>
        <v>7.5313841267952021E-4</v>
      </c>
      <c r="H1062" s="26"/>
    </row>
    <row r="1063" spans="1:8" x14ac:dyDescent="0.3">
      <c r="A1063" s="27">
        <v>45081</v>
      </c>
      <c r="B1063" s="26">
        <v>40.549999999999997</v>
      </c>
      <c r="C1063" s="29">
        <f t="shared" si="32"/>
        <v>1.2345679012344976E-3</v>
      </c>
      <c r="D1063" s="26"/>
      <c r="F1063" s="26">
        <v>40350.89</v>
      </c>
      <c r="G1063" s="29">
        <f t="shared" si="33"/>
        <v>1.5956331207047786E-2</v>
      </c>
      <c r="H1063" s="26"/>
    </row>
    <row r="1064" spans="1:8" x14ac:dyDescent="0.3">
      <c r="A1064" s="27">
        <v>45111</v>
      </c>
      <c r="B1064" s="26">
        <v>40.5</v>
      </c>
      <c r="C1064" s="29">
        <f t="shared" si="32"/>
        <v>-1.2330456226879694E-3</v>
      </c>
      <c r="D1064" s="26"/>
      <c r="F1064" s="26">
        <v>40049.65</v>
      </c>
      <c r="G1064" s="29">
        <f t="shared" si="33"/>
        <v>-7.4655106739900398E-3</v>
      </c>
      <c r="H1064" s="26"/>
    </row>
    <row r="1065" spans="1:8" x14ac:dyDescent="0.3">
      <c r="A1065" s="27">
        <v>45203</v>
      </c>
      <c r="B1065" s="26">
        <v>40.86</v>
      </c>
      <c r="C1065" s="29">
        <f t="shared" si="32"/>
        <v>8.888888888888875E-3</v>
      </c>
      <c r="D1065" s="26"/>
      <c r="F1065" s="26">
        <v>39835.9</v>
      </c>
      <c r="G1065" s="29">
        <f t="shared" si="33"/>
        <v>-5.337125293229778E-3</v>
      </c>
      <c r="H1065" s="26"/>
    </row>
    <row r="1066" spans="1:8" x14ac:dyDescent="0.3">
      <c r="A1066" s="27">
        <v>45234</v>
      </c>
      <c r="B1066" s="26">
        <v>40.65</v>
      </c>
      <c r="C1066" s="29">
        <f t="shared" si="32"/>
        <v>-5.1395007342144115E-3</v>
      </c>
      <c r="D1066" s="26"/>
      <c r="F1066" s="26">
        <v>39804.71</v>
      </c>
      <c r="G1066" s="29">
        <f t="shared" si="33"/>
        <v>-7.8296210202361005E-4</v>
      </c>
      <c r="H1066" s="26"/>
    </row>
    <row r="1067" spans="1:8" x14ac:dyDescent="0.3">
      <c r="A1067" s="27">
        <v>45264</v>
      </c>
      <c r="B1067" s="26">
        <v>40.9</v>
      </c>
      <c r="C1067" s="29">
        <f t="shared" si="32"/>
        <v>6.1500615006150061E-3</v>
      </c>
      <c r="D1067" s="26"/>
      <c r="F1067" s="26">
        <v>40126.050000000003</v>
      </c>
      <c r="G1067" s="29">
        <f t="shared" si="33"/>
        <v>8.0729139842999429E-3</v>
      </c>
      <c r="H1067" s="26"/>
    </row>
    <row r="1068" spans="1:8" x14ac:dyDescent="0.3">
      <c r="A1068" s="26" t="s">
        <v>410</v>
      </c>
      <c r="B1068" s="26">
        <v>41.19</v>
      </c>
      <c r="C1068" s="29">
        <f t="shared" si="32"/>
        <v>7.0904645476772407E-3</v>
      </c>
      <c r="D1068" s="26"/>
      <c r="F1068" s="26">
        <v>40205.54</v>
      </c>
      <c r="G1068" s="29">
        <f t="shared" si="33"/>
        <v>1.9810073505864135E-3</v>
      </c>
      <c r="H1068" s="26"/>
    </row>
    <row r="1069" spans="1:8" x14ac:dyDescent="0.3">
      <c r="A1069" s="26" t="s">
        <v>409</v>
      </c>
      <c r="B1069" s="26">
        <v>41</v>
      </c>
      <c r="C1069" s="29">
        <f t="shared" si="32"/>
        <v>-4.6127700898275729E-3</v>
      </c>
      <c r="D1069" s="26"/>
      <c r="F1069" s="26">
        <v>40246.660000000003</v>
      </c>
      <c r="G1069" s="29">
        <f t="shared" si="33"/>
        <v>1.0227446267355846E-3</v>
      </c>
      <c r="H1069" s="26"/>
    </row>
    <row r="1070" spans="1:8" x14ac:dyDescent="0.3">
      <c r="A1070" s="26" t="s">
        <v>408</v>
      </c>
      <c r="B1070" s="26">
        <v>42</v>
      </c>
      <c r="C1070" s="29">
        <f t="shared" si="32"/>
        <v>2.4390243902439025E-2</v>
      </c>
      <c r="D1070" s="26"/>
      <c r="F1070" s="26">
        <v>40448.050000000003</v>
      </c>
      <c r="G1070" s="29">
        <f t="shared" si="33"/>
        <v>5.0038934907890341E-3</v>
      </c>
      <c r="H1070" s="26"/>
    </row>
    <row r="1071" spans="1:8" x14ac:dyDescent="0.3">
      <c r="A1071" s="26" t="s">
        <v>407</v>
      </c>
      <c r="B1071" s="26">
        <v>42.1</v>
      </c>
      <c r="C1071" s="29">
        <f t="shared" si="32"/>
        <v>2.380952380952415E-3</v>
      </c>
      <c r="D1071" s="26"/>
      <c r="F1071" s="26">
        <v>40499.339999999997</v>
      </c>
      <c r="G1071" s="29">
        <f t="shared" si="33"/>
        <v>1.2680462964220424E-3</v>
      </c>
      <c r="H1071" s="26"/>
    </row>
    <row r="1072" spans="1:8" x14ac:dyDescent="0.3">
      <c r="A1072" s="26" t="s">
        <v>406</v>
      </c>
      <c r="B1072" s="26">
        <v>45.15</v>
      </c>
      <c r="C1072" s="29">
        <f t="shared" si="32"/>
        <v>7.2446555819477371E-2</v>
      </c>
      <c r="D1072" s="26"/>
      <c r="F1072" s="26">
        <v>41007.82</v>
      </c>
      <c r="G1072" s="29">
        <f t="shared" si="33"/>
        <v>1.255526633273538E-2</v>
      </c>
      <c r="H1072" s="26"/>
    </row>
    <row r="1073" spans="1:8" x14ac:dyDescent="0.3">
      <c r="A1073" s="26" t="s">
        <v>405</v>
      </c>
      <c r="B1073" s="26">
        <v>46.6</v>
      </c>
      <c r="C1073" s="29">
        <f t="shared" si="32"/>
        <v>3.2115171650055438E-2</v>
      </c>
      <c r="D1073" s="26"/>
      <c r="F1073" s="26">
        <v>41099.58</v>
      </c>
      <c r="G1073" s="29">
        <f t="shared" si="33"/>
        <v>2.2376219950244135E-3</v>
      </c>
      <c r="H1073" s="26"/>
    </row>
    <row r="1074" spans="1:8" x14ac:dyDescent="0.3">
      <c r="A1074" s="26" t="s">
        <v>404</v>
      </c>
      <c r="B1074" s="26">
        <v>45.84</v>
      </c>
      <c r="C1074" s="29">
        <f t="shared" si="32"/>
        <v>-1.6309012875536436E-2</v>
      </c>
      <c r="D1074" s="26"/>
      <c r="F1074" s="26">
        <v>41463.910000000003</v>
      </c>
      <c r="G1074" s="29">
        <f t="shared" si="33"/>
        <v>8.8645674724656971E-3</v>
      </c>
      <c r="H1074" s="26"/>
    </row>
    <row r="1075" spans="1:8" x14ac:dyDescent="0.3">
      <c r="A1075" s="26" t="s">
        <v>403</v>
      </c>
      <c r="B1075" s="26">
        <v>46.39</v>
      </c>
      <c r="C1075" s="29">
        <f t="shared" si="32"/>
        <v>1.1998254799301857E-2</v>
      </c>
      <c r="D1075" s="26"/>
      <c r="F1075" s="26">
        <v>41580.85</v>
      </c>
      <c r="G1075" s="29">
        <f t="shared" si="33"/>
        <v>2.8202839529604187E-3</v>
      </c>
      <c r="H1075" s="26"/>
    </row>
    <row r="1076" spans="1:8" x14ac:dyDescent="0.3">
      <c r="A1076" s="27">
        <v>44962</v>
      </c>
      <c r="B1076" s="26">
        <v>46.5</v>
      </c>
      <c r="C1076" s="29">
        <f t="shared" si="32"/>
        <v>2.3712006898038247E-3</v>
      </c>
      <c r="D1076" s="26"/>
      <c r="F1076" s="26">
        <v>41927.64</v>
      </c>
      <c r="G1076" s="29">
        <f t="shared" si="33"/>
        <v>8.3401373468796544E-3</v>
      </c>
      <c r="H1076" s="26"/>
    </row>
    <row r="1077" spans="1:8" x14ac:dyDescent="0.3">
      <c r="A1077" s="27">
        <v>44990</v>
      </c>
      <c r="B1077" s="26">
        <v>46.1</v>
      </c>
      <c r="C1077" s="29">
        <f t="shared" si="32"/>
        <v>-8.6021505376343774E-3</v>
      </c>
      <c r="D1077" s="26"/>
      <c r="F1077" s="26">
        <v>42087.93</v>
      </c>
      <c r="G1077" s="29">
        <f t="shared" si="33"/>
        <v>3.8230150802668807E-3</v>
      </c>
      <c r="H1077" s="26"/>
    </row>
    <row r="1078" spans="1:8" x14ac:dyDescent="0.3">
      <c r="A1078" s="27">
        <v>45021</v>
      </c>
      <c r="B1078" s="26">
        <v>47.02</v>
      </c>
      <c r="C1078" s="29">
        <f t="shared" si="32"/>
        <v>1.9956616052060772E-2</v>
      </c>
      <c r="D1078" s="26"/>
      <c r="F1078" s="26">
        <v>42093.8</v>
      </c>
      <c r="G1078" s="29">
        <f t="shared" si="33"/>
        <v>1.3946991453375396E-4</v>
      </c>
      <c r="H1078" s="26"/>
    </row>
    <row r="1079" spans="1:8" x14ac:dyDescent="0.3">
      <c r="A1079" s="27">
        <v>45051</v>
      </c>
      <c r="B1079" s="26">
        <v>47.34</v>
      </c>
      <c r="C1079" s="29">
        <f t="shared" si="32"/>
        <v>6.8056146320714644E-3</v>
      </c>
      <c r="D1079" s="26"/>
      <c r="F1079" s="26">
        <v>42241.98</v>
      </c>
      <c r="G1079" s="29">
        <f t="shared" si="33"/>
        <v>3.520233383538675E-3</v>
      </c>
      <c r="H1079" s="26"/>
    </row>
    <row r="1080" spans="1:8" x14ac:dyDescent="0.3">
      <c r="A1080" s="27">
        <v>45143</v>
      </c>
      <c r="B1080" s="26">
        <v>47.94</v>
      </c>
      <c r="C1080" s="29">
        <f t="shared" si="32"/>
        <v>1.2674271229404187E-2</v>
      </c>
      <c r="D1080" s="26"/>
      <c r="F1080" s="26">
        <v>41829.49</v>
      </c>
      <c r="G1080" s="29">
        <f t="shared" si="33"/>
        <v>-9.7649305264574538E-3</v>
      </c>
      <c r="H1080" s="26"/>
    </row>
    <row r="1081" spans="1:8" x14ac:dyDescent="0.3">
      <c r="A1081" s="27">
        <v>45174</v>
      </c>
      <c r="B1081" s="26">
        <v>46.89</v>
      </c>
      <c r="C1081" s="29">
        <f t="shared" si="32"/>
        <v>-2.1902377972465525E-2</v>
      </c>
      <c r="D1081" s="26"/>
      <c r="F1081" s="26">
        <v>41373.81</v>
      </c>
      <c r="G1081" s="29">
        <f t="shared" si="33"/>
        <v>-1.0893749840124761E-2</v>
      </c>
      <c r="H1081" s="26"/>
    </row>
    <row r="1082" spans="1:8" x14ac:dyDescent="0.3">
      <c r="A1082" s="27">
        <v>45204</v>
      </c>
      <c r="B1082" s="26">
        <v>46.5</v>
      </c>
      <c r="C1082" s="29">
        <f t="shared" si="32"/>
        <v>-8.3173384516954697E-3</v>
      </c>
      <c r="D1082" s="26"/>
      <c r="F1082" s="26">
        <v>41074.949999999997</v>
      </c>
      <c r="G1082" s="29">
        <f t="shared" si="33"/>
        <v>-7.2234101717971004E-3</v>
      </c>
      <c r="H1082" s="26"/>
    </row>
    <row r="1083" spans="1:8" x14ac:dyDescent="0.3">
      <c r="A1083" s="27">
        <v>45235</v>
      </c>
      <c r="B1083" s="26">
        <v>46.35</v>
      </c>
      <c r="C1083" s="29">
        <f t="shared" si="32"/>
        <v>-3.2258064516128729E-3</v>
      </c>
      <c r="D1083" s="26"/>
      <c r="F1083" s="26">
        <v>41325.629999999997</v>
      </c>
      <c r="G1083" s="29">
        <f t="shared" si="33"/>
        <v>6.102989778441612E-3</v>
      </c>
      <c r="H1083" s="26"/>
    </row>
    <row r="1084" spans="1:8" x14ac:dyDescent="0.3">
      <c r="A1084" s="27">
        <v>45265</v>
      </c>
      <c r="B1084" s="26">
        <v>46.07</v>
      </c>
      <c r="C1084" s="29">
        <f t="shared" si="32"/>
        <v>-6.040992448759463E-3</v>
      </c>
      <c r="D1084" s="26"/>
      <c r="F1084" s="26">
        <v>41487.58</v>
      </c>
      <c r="G1084" s="29">
        <f t="shared" si="33"/>
        <v>3.9188755259146535E-3</v>
      </c>
      <c r="H1084" s="26"/>
    </row>
    <row r="1085" spans="1:8" x14ac:dyDescent="0.3">
      <c r="A1085" s="26" t="s">
        <v>402</v>
      </c>
      <c r="B1085" s="26">
        <v>45.81</v>
      </c>
      <c r="C1085" s="29">
        <f t="shared" si="32"/>
        <v>-5.6435858476231388E-3</v>
      </c>
      <c r="D1085" s="26"/>
      <c r="F1085" s="26">
        <v>41716.26</v>
      </c>
      <c r="G1085" s="29">
        <f t="shared" si="33"/>
        <v>5.5120110645161821E-3</v>
      </c>
      <c r="H1085" s="26"/>
    </row>
    <row r="1086" spans="1:8" x14ac:dyDescent="0.3">
      <c r="A1086" s="26" t="s">
        <v>401</v>
      </c>
      <c r="B1086" s="26">
        <v>45.9</v>
      </c>
      <c r="C1086" s="29">
        <f t="shared" si="32"/>
        <v>1.9646365422396049E-3</v>
      </c>
      <c r="D1086" s="26"/>
      <c r="F1086" s="26">
        <v>41980.13</v>
      </c>
      <c r="G1086" s="29">
        <f t="shared" si="33"/>
        <v>6.3253513138520883E-3</v>
      </c>
      <c r="H1086" s="26"/>
    </row>
    <row r="1087" spans="1:8" x14ac:dyDescent="0.3">
      <c r="A1087" s="26" t="s">
        <v>400</v>
      </c>
      <c r="B1087" s="26">
        <v>45.49</v>
      </c>
      <c r="C1087" s="29">
        <f t="shared" si="32"/>
        <v>-8.9324618736382703E-3</v>
      </c>
      <c r="D1087" s="26"/>
      <c r="F1087" s="26">
        <v>41835.57</v>
      </c>
      <c r="G1087" s="29">
        <f t="shared" si="33"/>
        <v>-3.44353388138621E-3</v>
      </c>
      <c r="H1087" s="26"/>
    </row>
    <row r="1088" spans="1:8" x14ac:dyDescent="0.3">
      <c r="A1088" s="26" t="s">
        <v>399</v>
      </c>
      <c r="B1088" s="26">
        <v>44.4</v>
      </c>
      <c r="C1088" s="29">
        <f t="shared" si="32"/>
        <v>-2.3961310178061187E-2</v>
      </c>
      <c r="D1088" s="26"/>
      <c r="F1088" s="26">
        <v>41472.199999999997</v>
      </c>
      <c r="G1088" s="29">
        <f t="shared" si="33"/>
        <v>-8.685671068901479E-3</v>
      </c>
      <c r="H1088" s="26"/>
    </row>
    <row r="1089" spans="1:8" x14ac:dyDescent="0.3">
      <c r="A1089" s="26" t="s">
        <v>398</v>
      </c>
      <c r="B1089" s="26">
        <v>44.1</v>
      </c>
      <c r="C1089" s="29">
        <f t="shared" si="32"/>
        <v>-6.7567567567566929E-3</v>
      </c>
      <c r="D1089" s="26"/>
      <c r="F1089" s="26">
        <v>41614.870000000003</v>
      </c>
      <c r="G1089" s="29">
        <f t="shared" si="33"/>
        <v>3.440135801814361E-3</v>
      </c>
      <c r="H1089" s="26"/>
    </row>
    <row r="1090" spans="1:8" x14ac:dyDescent="0.3">
      <c r="A1090" s="26" t="s">
        <v>397</v>
      </c>
      <c r="B1090" s="26">
        <v>43.75</v>
      </c>
      <c r="C1090" s="29">
        <f t="shared" si="32"/>
        <v>-7.936507936507969E-3</v>
      </c>
      <c r="D1090" s="26"/>
      <c r="F1090" s="26">
        <v>41203.5</v>
      </c>
      <c r="G1090" s="29">
        <f t="shared" si="33"/>
        <v>-9.8851684506043782E-3</v>
      </c>
      <c r="H1090" s="26"/>
    </row>
    <row r="1091" spans="1:8" x14ac:dyDescent="0.3">
      <c r="A1091" s="26" t="s">
        <v>396</v>
      </c>
      <c r="B1091" s="26">
        <v>43.31</v>
      </c>
      <c r="C1091" s="29">
        <f t="shared" si="32"/>
        <v>-1.0057142857142804E-2</v>
      </c>
      <c r="D1091" s="26"/>
      <c r="F1091" s="26">
        <v>41116.629999999997</v>
      </c>
      <c r="G1091" s="29">
        <f t="shared" si="33"/>
        <v>-2.1083160411130759E-3</v>
      </c>
      <c r="H1091" s="26"/>
    </row>
    <row r="1092" spans="1:8" x14ac:dyDescent="0.3">
      <c r="A1092" s="26" t="s">
        <v>395</v>
      </c>
      <c r="B1092" s="26">
        <v>42.76</v>
      </c>
      <c r="C1092" s="29">
        <f t="shared" si="32"/>
        <v>-1.2699145693835239E-2</v>
      </c>
      <c r="D1092" s="26"/>
      <c r="F1092" s="26">
        <v>41098.480000000003</v>
      </c>
      <c r="G1092" s="29">
        <f t="shared" si="33"/>
        <v>-4.4142722786362065E-4</v>
      </c>
      <c r="H1092" s="26"/>
    </row>
    <row r="1093" spans="1:8" x14ac:dyDescent="0.3">
      <c r="A1093" s="26" t="s">
        <v>394</v>
      </c>
      <c r="B1093" s="26">
        <v>43</v>
      </c>
      <c r="C1093" s="29">
        <f t="shared" ref="C1093:C1156" si="34">(B1093-B1092)/B1092</f>
        <v>5.612722170252619E-3</v>
      </c>
      <c r="D1093" s="26"/>
      <c r="F1093" s="26">
        <v>41070.300000000003</v>
      </c>
      <c r="G1093" s="29">
        <f t="shared" ref="G1093:G1156" si="35">(F1093-F1092)/F1092</f>
        <v>-6.8567012697307267E-4</v>
      </c>
      <c r="H1093" s="26"/>
    </row>
    <row r="1094" spans="1:8" x14ac:dyDescent="0.3">
      <c r="A1094" s="26" t="s">
        <v>393</v>
      </c>
      <c r="B1094" s="26">
        <v>42.51</v>
      </c>
      <c r="C1094" s="29">
        <f t="shared" si="34"/>
        <v>-1.1395348837209348E-2</v>
      </c>
      <c r="D1094" s="26"/>
      <c r="F1094" s="26">
        <v>41002.6</v>
      </c>
      <c r="G1094" s="29">
        <f t="shared" si="35"/>
        <v>-1.648393121063259E-3</v>
      </c>
      <c r="H1094" s="26"/>
    </row>
    <row r="1095" spans="1:8" x14ac:dyDescent="0.3">
      <c r="A1095" s="26" t="s">
        <v>392</v>
      </c>
      <c r="B1095" s="26">
        <v>42.26</v>
      </c>
      <c r="C1095" s="29">
        <f t="shared" si="34"/>
        <v>-5.8809691837214779E-3</v>
      </c>
      <c r="D1095" s="26"/>
      <c r="F1095" s="26">
        <v>41350.25</v>
      </c>
      <c r="G1095" s="29">
        <f t="shared" si="35"/>
        <v>8.4787306170828556E-3</v>
      </c>
      <c r="H1095" s="26"/>
    </row>
    <row r="1096" spans="1:8" x14ac:dyDescent="0.3">
      <c r="A1096" s="26" t="s">
        <v>391</v>
      </c>
      <c r="B1096" s="26">
        <v>42.27</v>
      </c>
      <c r="C1096" s="29">
        <f t="shared" si="34"/>
        <v>2.3663038334134208E-4</v>
      </c>
      <c r="D1096" s="26"/>
      <c r="F1096" s="26">
        <v>41665.85</v>
      </c>
      <c r="G1096" s="29">
        <f t="shared" si="35"/>
        <v>7.6323601429253403E-3</v>
      </c>
      <c r="H1096" s="26"/>
    </row>
    <row r="1097" spans="1:8" x14ac:dyDescent="0.3">
      <c r="A1097" s="26" t="s">
        <v>390</v>
      </c>
      <c r="B1097" s="26">
        <v>42.15</v>
      </c>
      <c r="C1097" s="29">
        <f t="shared" si="34"/>
        <v>-2.8388928317957069E-3</v>
      </c>
      <c r="D1097" s="26"/>
      <c r="F1097" s="26">
        <v>41337.82</v>
      </c>
      <c r="G1097" s="29">
        <f t="shared" si="35"/>
        <v>-7.8728743083364156E-3</v>
      </c>
      <c r="H1097" s="26"/>
    </row>
    <row r="1098" spans="1:8" x14ac:dyDescent="0.3">
      <c r="A1098" s="27">
        <v>44932</v>
      </c>
      <c r="B1098" s="26">
        <v>42</v>
      </c>
      <c r="C1098" s="29">
        <f t="shared" si="34"/>
        <v>-3.5587188612099308E-3</v>
      </c>
      <c r="D1098" s="26"/>
      <c r="F1098" s="26">
        <v>41273.72</v>
      </c>
      <c r="G1098" s="29">
        <f t="shared" si="35"/>
        <v>-1.5506381323446314E-3</v>
      </c>
      <c r="H1098" s="26"/>
    </row>
    <row r="1099" spans="1:8" x14ac:dyDescent="0.3">
      <c r="A1099" s="27">
        <v>44963</v>
      </c>
      <c r="B1099" s="26">
        <v>42.4</v>
      </c>
      <c r="C1099" s="29">
        <f t="shared" si="34"/>
        <v>9.52380952380949E-3</v>
      </c>
      <c r="D1099" s="26"/>
      <c r="F1099" s="26">
        <v>41356.239999999998</v>
      </c>
      <c r="G1099" s="29">
        <f t="shared" si="35"/>
        <v>1.9993351701760053E-3</v>
      </c>
      <c r="H1099" s="26"/>
    </row>
    <row r="1100" spans="1:8" x14ac:dyDescent="0.3">
      <c r="A1100" s="27">
        <v>45052</v>
      </c>
      <c r="B1100" s="26">
        <v>42</v>
      </c>
      <c r="C1100" s="29">
        <f t="shared" si="34"/>
        <v>-9.4339622641509101E-3</v>
      </c>
      <c r="D1100" s="26"/>
      <c r="F1100" s="26">
        <v>41638.53</v>
      </c>
      <c r="G1100" s="29">
        <f t="shared" si="35"/>
        <v>6.8258139521388036E-3</v>
      </c>
      <c r="H1100" s="26"/>
    </row>
    <row r="1101" spans="1:8" x14ac:dyDescent="0.3">
      <c r="A1101" s="27">
        <v>45083</v>
      </c>
      <c r="B1101" s="26">
        <v>43.15</v>
      </c>
      <c r="C1101" s="29">
        <f t="shared" si="34"/>
        <v>2.7380952380952346E-2</v>
      </c>
      <c r="D1101" s="26"/>
      <c r="F1101" s="26">
        <v>41912.879999999997</v>
      </c>
      <c r="G1101" s="29">
        <f t="shared" si="35"/>
        <v>6.5888493181675374E-3</v>
      </c>
      <c r="H1101" s="26"/>
    </row>
    <row r="1102" spans="1:8" x14ac:dyDescent="0.3">
      <c r="A1102" s="27">
        <v>45113</v>
      </c>
      <c r="B1102" s="26">
        <v>43.49</v>
      </c>
      <c r="C1102" s="29">
        <f t="shared" si="34"/>
        <v>7.8794901506373909E-3</v>
      </c>
      <c r="D1102" s="26"/>
      <c r="F1102" s="26">
        <v>42119.22</v>
      </c>
      <c r="G1102" s="29">
        <f t="shared" si="35"/>
        <v>4.9230689945430565E-3</v>
      </c>
      <c r="H1102" s="26"/>
    </row>
    <row r="1103" spans="1:8" x14ac:dyDescent="0.3">
      <c r="A1103" s="27">
        <v>45144</v>
      </c>
      <c r="B1103" s="26">
        <v>42.25</v>
      </c>
      <c r="C1103" s="29">
        <f t="shared" si="34"/>
        <v>-2.8512301678546837E-2</v>
      </c>
      <c r="D1103" s="26"/>
      <c r="F1103" s="26">
        <v>41668.07</v>
      </c>
      <c r="G1103" s="29">
        <f t="shared" si="35"/>
        <v>-1.0711261984433744E-2</v>
      </c>
      <c r="H1103" s="26"/>
    </row>
    <row r="1104" spans="1:8" x14ac:dyDescent="0.3">
      <c r="A1104" s="27">
        <v>45175</v>
      </c>
      <c r="B1104" s="26">
        <v>42</v>
      </c>
      <c r="C1104" s="29">
        <f t="shared" si="34"/>
        <v>-5.9171597633136093E-3</v>
      </c>
      <c r="D1104" s="26"/>
      <c r="F1104" s="26">
        <v>41904.86</v>
      </c>
      <c r="G1104" s="29">
        <f t="shared" si="35"/>
        <v>5.6827686043534262E-3</v>
      </c>
      <c r="H1104" s="26"/>
    </row>
    <row r="1105" spans="1:8" x14ac:dyDescent="0.3">
      <c r="A1105" s="27">
        <v>45266</v>
      </c>
      <c r="B1105" s="26">
        <v>41.6</v>
      </c>
      <c r="C1105" s="29">
        <f t="shared" si="34"/>
        <v>-9.52380952380949E-3</v>
      </c>
      <c r="D1105" s="26"/>
      <c r="F1105" s="26">
        <v>41772.33</v>
      </c>
      <c r="G1105" s="29">
        <f t="shared" si="35"/>
        <v>-3.162640323819214E-3</v>
      </c>
      <c r="H1105" s="26"/>
    </row>
    <row r="1106" spans="1:8" x14ac:dyDescent="0.3">
      <c r="A1106" s="26" t="s">
        <v>389</v>
      </c>
      <c r="B1106" s="26">
        <v>40.89</v>
      </c>
      <c r="C1106" s="29">
        <f t="shared" si="34"/>
        <v>-1.7067307692307711E-2</v>
      </c>
      <c r="D1106" s="26"/>
      <c r="F1106" s="26">
        <v>41536.160000000003</v>
      </c>
      <c r="G1106" s="29">
        <f t="shared" si="35"/>
        <v>-5.6537425611642503E-3</v>
      </c>
      <c r="H1106" s="26"/>
    </row>
    <row r="1107" spans="1:8" x14ac:dyDescent="0.3">
      <c r="A1107" s="26" t="s">
        <v>388</v>
      </c>
      <c r="B1107" s="26">
        <v>40.299999999999997</v>
      </c>
      <c r="C1107" s="29">
        <f t="shared" si="34"/>
        <v>-1.4428955734898592E-2</v>
      </c>
      <c r="D1107" s="26"/>
      <c r="F1107" s="26">
        <v>41536.870000000003</v>
      </c>
      <c r="G1107" s="29">
        <f t="shared" si="35"/>
        <v>1.7093539701289834E-5</v>
      </c>
      <c r="H1107" s="26"/>
    </row>
    <row r="1108" spans="1:8" x14ac:dyDescent="0.3">
      <c r="A1108" s="26" t="s">
        <v>387</v>
      </c>
      <c r="B1108" s="26">
        <v>40.75</v>
      </c>
      <c r="C1108" s="29">
        <f t="shared" si="34"/>
        <v>1.1166253101737043E-2</v>
      </c>
      <c r="D1108" s="26"/>
      <c r="F1108" s="26">
        <v>41404.5</v>
      </c>
      <c r="G1108" s="29">
        <f t="shared" si="35"/>
        <v>-3.1868072871163045E-3</v>
      </c>
      <c r="H1108" s="26"/>
    </row>
    <row r="1109" spans="1:8" x14ac:dyDescent="0.3">
      <c r="A1109" s="26" t="s">
        <v>386</v>
      </c>
      <c r="B1109" s="26">
        <v>40.26</v>
      </c>
      <c r="C1109" s="29">
        <f t="shared" si="34"/>
        <v>-1.2024539877300662E-2</v>
      </c>
      <c r="D1109" s="26"/>
      <c r="F1109" s="26">
        <v>41335.53</v>
      </c>
      <c r="G1109" s="29">
        <f t="shared" si="35"/>
        <v>-1.6657609680107515E-3</v>
      </c>
      <c r="H1109" s="26"/>
    </row>
    <row r="1110" spans="1:8" x14ac:dyDescent="0.3">
      <c r="A1110" s="26" t="s">
        <v>385</v>
      </c>
      <c r="B1110" s="26">
        <v>40.46</v>
      </c>
      <c r="C1110" s="29">
        <f t="shared" si="34"/>
        <v>4.9677098857427437E-3</v>
      </c>
      <c r="D1110" s="26"/>
      <c r="F1110" s="26">
        <v>40650.449999999997</v>
      </c>
      <c r="G1110" s="29">
        <f t="shared" si="35"/>
        <v>-1.6573635320510025E-2</v>
      </c>
      <c r="H1110" s="26"/>
    </row>
    <row r="1111" spans="1:8" x14ac:dyDescent="0.3">
      <c r="A1111" s="26" t="s">
        <v>384</v>
      </c>
      <c r="B1111" s="26">
        <v>40.65</v>
      </c>
      <c r="C1111" s="29">
        <f t="shared" si="34"/>
        <v>4.6959960454769582E-3</v>
      </c>
      <c r="D1111" s="26"/>
      <c r="F1111" s="26">
        <v>40647.480000000003</v>
      </c>
      <c r="G1111" s="29">
        <f t="shared" si="35"/>
        <v>-7.3061921823593299E-5</v>
      </c>
      <c r="H1111" s="26"/>
    </row>
    <row r="1112" spans="1:8" x14ac:dyDescent="0.3">
      <c r="A1112" s="26" t="s">
        <v>383</v>
      </c>
      <c r="B1112" s="26">
        <v>55</v>
      </c>
      <c r="C1112" s="29">
        <f t="shared" si="34"/>
        <v>0.3530135301353014</v>
      </c>
      <c r="D1112" s="26"/>
      <c r="F1112" s="26">
        <v>40229.760000000002</v>
      </c>
      <c r="G1112" s="29">
        <f t="shared" si="35"/>
        <v>-1.0276651836719056E-2</v>
      </c>
      <c r="H1112" s="26"/>
    </row>
    <row r="1113" spans="1:8" x14ac:dyDescent="0.3">
      <c r="A1113" s="26" t="s">
        <v>382</v>
      </c>
      <c r="B1113" s="26">
        <v>40.450000000000003</v>
      </c>
      <c r="C1113" s="29">
        <f t="shared" si="34"/>
        <v>-0.26454545454545447</v>
      </c>
      <c r="D1113" s="26"/>
      <c r="F1113" s="26">
        <v>40181.839999999997</v>
      </c>
      <c r="G1113" s="29">
        <f t="shared" si="35"/>
        <v>-1.1911579885141132E-3</v>
      </c>
      <c r="H1113" s="26"/>
    </row>
    <row r="1114" spans="1:8" x14ac:dyDescent="0.3">
      <c r="A1114" s="26" t="s">
        <v>381</v>
      </c>
      <c r="B1114" s="26">
        <v>40.21</v>
      </c>
      <c r="C1114" s="29">
        <f t="shared" si="34"/>
        <v>-5.9332509270705065E-3</v>
      </c>
      <c r="D1114" s="26"/>
      <c r="F1114" s="26">
        <v>40090.36</v>
      </c>
      <c r="G1114" s="29">
        <f t="shared" si="35"/>
        <v>-2.276650347520072E-3</v>
      </c>
      <c r="H1114" s="26"/>
    </row>
    <row r="1115" spans="1:8" x14ac:dyDescent="0.3">
      <c r="A1115" s="26" t="s">
        <v>380</v>
      </c>
      <c r="B1115" s="26">
        <v>41.55</v>
      </c>
      <c r="C1115" s="29">
        <f t="shared" si="34"/>
        <v>3.3325043521511971E-2</v>
      </c>
      <c r="D1115" s="26"/>
      <c r="F1115" s="26">
        <v>41386.57</v>
      </c>
      <c r="G1115" s="29">
        <f t="shared" si="35"/>
        <v>3.2332211534144346E-2</v>
      </c>
      <c r="H1115" s="26"/>
    </row>
    <row r="1116" spans="1:8" x14ac:dyDescent="0.3">
      <c r="A1116" s="26" t="s">
        <v>379</v>
      </c>
      <c r="B1116" s="26">
        <v>42.75</v>
      </c>
      <c r="C1116" s="29">
        <f t="shared" si="34"/>
        <v>2.888086642599285E-2</v>
      </c>
      <c r="D1116" s="26"/>
      <c r="F1116" s="26">
        <v>41452.68</v>
      </c>
      <c r="G1116" s="29">
        <f t="shared" si="35"/>
        <v>1.597378086659527E-3</v>
      </c>
      <c r="H1116" s="26"/>
    </row>
    <row r="1117" spans="1:8" x14ac:dyDescent="0.3">
      <c r="A1117" s="27">
        <v>44992</v>
      </c>
      <c r="B1117" s="26">
        <v>45.25</v>
      </c>
      <c r="C1117" s="29">
        <f t="shared" si="34"/>
        <v>5.8479532163742687E-2</v>
      </c>
      <c r="D1117" s="26"/>
      <c r="F1117" s="26">
        <v>43903.29</v>
      </c>
      <c r="G1117" s="29">
        <f t="shared" si="35"/>
        <v>5.9118252426622372E-2</v>
      </c>
      <c r="H1117" s="26"/>
    </row>
    <row r="1118" spans="1:8" x14ac:dyDescent="0.3">
      <c r="A1118" s="27">
        <v>45023</v>
      </c>
      <c r="B1118" s="26">
        <v>44</v>
      </c>
      <c r="C1118" s="29">
        <f t="shared" si="34"/>
        <v>-2.7624309392265192E-2</v>
      </c>
      <c r="D1118" s="26"/>
      <c r="F1118" s="26">
        <v>43502.89</v>
      </c>
      <c r="G1118" s="29">
        <f t="shared" si="35"/>
        <v>-9.1200454453413734E-3</v>
      </c>
      <c r="H1118" s="26"/>
    </row>
    <row r="1119" spans="1:8" x14ac:dyDescent="0.3">
      <c r="A1119" s="27">
        <v>45053</v>
      </c>
      <c r="B1119" s="26">
        <v>43.5</v>
      </c>
      <c r="C1119" s="29">
        <f t="shared" si="34"/>
        <v>-1.1363636363636364E-2</v>
      </c>
      <c r="D1119" s="26"/>
      <c r="F1119" s="26">
        <v>43553.81</v>
      </c>
      <c r="G1119" s="29">
        <f t="shared" si="35"/>
        <v>1.17049694859349E-3</v>
      </c>
      <c r="H1119" s="26"/>
    </row>
    <row r="1120" spans="1:8" x14ac:dyDescent="0.3">
      <c r="A1120" s="27">
        <v>45084</v>
      </c>
      <c r="B1120" s="26">
        <v>43.8</v>
      </c>
      <c r="C1120" s="29">
        <f t="shared" si="34"/>
        <v>6.8965517241378659E-3</v>
      </c>
      <c r="D1120" s="26"/>
      <c r="F1120" s="26">
        <v>44211.72</v>
      </c>
      <c r="G1120" s="29">
        <f t="shared" si="35"/>
        <v>1.5105681913935968E-2</v>
      </c>
      <c r="H1120" s="26"/>
    </row>
    <row r="1121" spans="1:8" x14ac:dyDescent="0.3">
      <c r="A1121" s="27">
        <v>45114</v>
      </c>
      <c r="B1121" s="26">
        <v>44.37</v>
      </c>
      <c r="C1121" s="29">
        <f t="shared" si="34"/>
        <v>1.3013698630136994E-2</v>
      </c>
      <c r="D1121" s="26"/>
      <c r="F1121" s="26">
        <v>44284.92</v>
      </c>
      <c r="G1121" s="29">
        <f t="shared" si="35"/>
        <v>1.6556695826354887E-3</v>
      </c>
      <c r="H1121" s="26"/>
    </row>
    <row r="1122" spans="1:8" x14ac:dyDescent="0.3">
      <c r="A1122" s="27">
        <v>45206</v>
      </c>
      <c r="B1122" s="26">
        <v>44.66</v>
      </c>
      <c r="C1122" s="29">
        <f t="shared" si="34"/>
        <v>6.5359477124182818E-3</v>
      </c>
      <c r="D1122" s="26"/>
      <c r="F1122" s="26">
        <v>44561.82</v>
      </c>
      <c r="G1122" s="29">
        <f t="shared" si="35"/>
        <v>6.2526927902320124E-3</v>
      </c>
      <c r="H1122" s="26"/>
    </row>
    <row r="1123" spans="1:8" x14ac:dyDescent="0.3">
      <c r="A1123" s="27">
        <v>45237</v>
      </c>
      <c r="B1123" s="26">
        <v>47.5</v>
      </c>
      <c r="C1123" s="29">
        <f t="shared" si="34"/>
        <v>6.3591580832960223E-2</v>
      </c>
      <c r="D1123" s="26"/>
      <c r="F1123" s="26">
        <v>45179.23</v>
      </c>
      <c r="G1123" s="29">
        <f t="shared" si="35"/>
        <v>1.3855134283115085E-2</v>
      </c>
      <c r="H1123" s="26"/>
    </row>
    <row r="1124" spans="1:8" x14ac:dyDescent="0.3">
      <c r="A1124" s="27">
        <v>45267</v>
      </c>
      <c r="B1124" s="26">
        <v>48.51</v>
      </c>
      <c r="C1124" s="29">
        <f t="shared" si="34"/>
        <v>2.12631578947368E-2</v>
      </c>
      <c r="D1124" s="26"/>
      <c r="F1124" s="26">
        <v>45581.13</v>
      </c>
      <c r="G1124" s="29">
        <f t="shared" si="35"/>
        <v>8.895680603675498E-3</v>
      </c>
      <c r="H1124" s="26"/>
    </row>
    <row r="1125" spans="1:8" x14ac:dyDescent="0.3">
      <c r="A1125" s="26" t="s">
        <v>378</v>
      </c>
      <c r="B1125" s="26">
        <v>48.03</v>
      </c>
      <c r="C1125" s="29">
        <f t="shared" si="34"/>
        <v>-9.8948670377241171E-3</v>
      </c>
      <c r="D1125" s="26"/>
      <c r="F1125" s="26">
        <v>45296.52</v>
      </c>
      <c r="G1125" s="29">
        <f t="shared" si="35"/>
        <v>-6.2440312471410998E-3</v>
      </c>
      <c r="H1125" s="26"/>
    </row>
    <row r="1126" spans="1:8" x14ac:dyDescent="0.3">
      <c r="A1126" s="26" t="s">
        <v>377</v>
      </c>
      <c r="B1126" s="26">
        <v>47.99</v>
      </c>
      <c r="C1126" s="29">
        <f t="shared" si="34"/>
        <v>-8.3281282531749213E-4</v>
      </c>
      <c r="D1126" s="26"/>
      <c r="F1126" s="26">
        <v>45071.94</v>
      </c>
      <c r="G1126" s="29">
        <f t="shared" si="35"/>
        <v>-4.9579967732619303E-3</v>
      </c>
      <c r="H1126" s="26"/>
    </row>
    <row r="1127" spans="1:8" x14ac:dyDescent="0.3">
      <c r="A1127" s="26" t="s">
        <v>376</v>
      </c>
      <c r="B1127" s="26">
        <v>47.8</v>
      </c>
      <c r="C1127" s="29">
        <f t="shared" si="34"/>
        <v>-3.9591581579496733E-3</v>
      </c>
      <c r="D1127" s="26"/>
      <c r="F1127" s="26">
        <v>45047.35</v>
      </c>
      <c r="G1127" s="29">
        <f t="shared" si="35"/>
        <v>-5.455722562641808E-4</v>
      </c>
      <c r="H1127" s="26"/>
    </row>
    <row r="1128" spans="1:8" x14ac:dyDescent="0.3">
      <c r="A1128" s="26" t="s">
        <v>375</v>
      </c>
      <c r="B1128" s="26">
        <v>46.9</v>
      </c>
      <c r="C1128" s="29">
        <f t="shared" si="34"/>
        <v>-1.8828451882845161E-2</v>
      </c>
      <c r="D1128" s="26"/>
      <c r="F1128" s="26">
        <v>45019.59</v>
      </c>
      <c r="G1128" s="29">
        <f t="shared" si="35"/>
        <v>-6.1624046697535009E-4</v>
      </c>
      <c r="H1128" s="26"/>
    </row>
    <row r="1129" spans="1:8" x14ac:dyDescent="0.3">
      <c r="A1129" s="26" t="s">
        <v>374</v>
      </c>
      <c r="B1129" s="26">
        <v>50</v>
      </c>
      <c r="C1129" s="29">
        <f t="shared" si="34"/>
        <v>6.6098081023454186E-2</v>
      </c>
      <c r="D1129" s="26"/>
      <c r="F1129" s="26">
        <v>45086.33</v>
      </c>
      <c r="G1129" s="29">
        <f t="shared" si="35"/>
        <v>1.482465744357184E-3</v>
      </c>
      <c r="H1129" s="26"/>
    </row>
    <row r="1130" spans="1:8" x14ac:dyDescent="0.3">
      <c r="A1130" s="26" t="s">
        <v>373</v>
      </c>
      <c r="B1130" s="26">
        <v>50.2</v>
      </c>
      <c r="C1130" s="29">
        <f t="shared" si="34"/>
        <v>4.0000000000000565E-3</v>
      </c>
      <c r="D1130" s="26"/>
      <c r="F1130" s="26">
        <v>45426.58</v>
      </c>
      <c r="G1130" s="29">
        <f t="shared" si="35"/>
        <v>7.5466333143549271E-3</v>
      </c>
      <c r="H1130" s="26"/>
    </row>
    <row r="1131" spans="1:8" x14ac:dyDescent="0.3">
      <c r="A1131" s="26" t="s">
        <v>372</v>
      </c>
      <c r="B1131" s="26">
        <v>51.5</v>
      </c>
      <c r="C1131" s="29">
        <f t="shared" si="34"/>
        <v>2.5896414342629424E-2</v>
      </c>
      <c r="D1131" s="26"/>
      <c r="F1131" s="26">
        <v>45888.26</v>
      </c>
      <c r="G1131" s="29">
        <f t="shared" si="35"/>
        <v>1.0163212815052339E-2</v>
      </c>
      <c r="H1131" s="26"/>
    </row>
    <row r="1132" spans="1:8" x14ac:dyDescent="0.3">
      <c r="A1132" s="26" t="s">
        <v>371</v>
      </c>
      <c r="B1132" s="26">
        <v>52.37</v>
      </c>
      <c r="C1132" s="29">
        <f t="shared" si="34"/>
        <v>1.6893203883495096E-2</v>
      </c>
      <c r="D1132" s="26"/>
      <c r="F1132" s="26">
        <v>46065.55</v>
      </c>
      <c r="G1132" s="29">
        <f t="shared" si="35"/>
        <v>3.863515417668939E-3</v>
      </c>
      <c r="H1132" s="26"/>
    </row>
    <row r="1133" spans="1:8" x14ac:dyDescent="0.3">
      <c r="A1133" s="26" t="s">
        <v>370</v>
      </c>
      <c r="B1133" s="26">
        <v>52.75</v>
      </c>
      <c r="C1133" s="29">
        <f t="shared" si="34"/>
        <v>7.2560626312774979E-3</v>
      </c>
      <c r="D1133" s="26"/>
      <c r="F1133" s="26">
        <v>46399.22</v>
      </c>
      <c r="G1133" s="29">
        <f t="shared" si="35"/>
        <v>7.2433738444455395E-3</v>
      </c>
      <c r="H1133" s="26"/>
    </row>
    <row r="1134" spans="1:8" x14ac:dyDescent="0.3">
      <c r="A1134" s="26" t="s">
        <v>369</v>
      </c>
      <c r="B1134" s="26">
        <v>53.3</v>
      </c>
      <c r="C1134" s="29">
        <f t="shared" si="34"/>
        <v>1.0426540284360136E-2</v>
      </c>
      <c r="D1134" s="26"/>
      <c r="F1134" s="26">
        <v>46724.58</v>
      </c>
      <c r="G1134" s="29">
        <f t="shared" si="35"/>
        <v>7.012186842796077E-3</v>
      </c>
      <c r="H1134" s="26"/>
    </row>
    <row r="1135" spans="1:8" x14ac:dyDescent="0.3">
      <c r="A1135" s="26" t="s">
        <v>368</v>
      </c>
      <c r="B1135" s="26">
        <v>53.12</v>
      </c>
      <c r="C1135" s="29">
        <f t="shared" si="34"/>
        <v>-3.3771106941838597E-3</v>
      </c>
      <c r="D1135" s="26"/>
      <c r="F1135" s="26">
        <v>47139.06</v>
      </c>
      <c r="G1135" s="29">
        <f t="shared" si="35"/>
        <v>8.8707057398909935E-3</v>
      </c>
      <c r="H1135" s="26"/>
    </row>
    <row r="1136" spans="1:8" x14ac:dyDescent="0.3">
      <c r="A1136" s="26" t="s">
        <v>367</v>
      </c>
      <c r="B1136" s="26">
        <v>56.2</v>
      </c>
      <c r="C1136" s="29">
        <f t="shared" si="34"/>
        <v>5.7981927710843477E-2</v>
      </c>
      <c r="D1136" s="26"/>
      <c r="F1136" s="26">
        <v>48034.59</v>
      </c>
      <c r="G1136" s="29">
        <f t="shared" si="35"/>
        <v>1.8997621081116148E-2</v>
      </c>
      <c r="H1136" s="26"/>
    </row>
    <row r="1137" spans="1:8" x14ac:dyDescent="0.3">
      <c r="A1137" s="27">
        <v>44934</v>
      </c>
      <c r="B1137" s="26">
        <v>56.21</v>
      </c>
      <c r="C1137" s="29">
        <f t="shared" si="34"/>
        <v>1.7793594306046281E-4</v>
      </c>
      <c r="D1137" s="26"/>
      <c r="F1137" s="26">
        <v>48230.5</v>
      </c>
      <c r="G1137" s="29">
        <f t="shared" si="35"/>
        <v>4.0785192503985882E-3</v>
      </c>
      <c r="H1137" s="26"/>
    </row>
    <row r="1138" spans="1:8" x14ac:dyDescent="0.3">
      <c r="A1138" s="27">
        <v>44965</v>
      </c>
      <c r="B1138" s="26">
        <v>57</v>
      </c>
      <c r="C1138" s="29">
        <f t="shared" si="34"/>
        <v>1.4054438711972943E-2</v>
      </c>
      <c r="D1138" s="26"/>
      <c r="F1138" s="26">
        <v>48764.55</v>
      </c>
      <c r="G1138" s="29">
        <f t="shared" si="35"/>
        <v>1.1072868827816483E-2</v>
      </c>
      <c r="H1138" s="26"/>
    </row>
    <row r="1139" spans="1:8" x14ac:dyDescent="0.3">
      <c r="A1139" s="27">
        <v>44993</v>
      </c>
      <c r="B1139" s="26">
        <v>56.01</v>
      </c>
      <c r="C1139" s="29">
        <f t="shared" si="34"/>
        <v>-1.7368421052631613E-2</v>
      </c>
      <c r="D1139" s="26"/>
      <c r="F1139" s="26">
        <v>48611.18</v>
      </c>
      <c r="G1139" s="29">
        <f t="shared" si="35"/>
        <v>-3.1451125869100117E-3</v>
      </c>
      <c r="H1139" s="26"/>
    </row>
    <row r="1140" spans="1:8" x14ac:dyDescent="0.3">
      <c r="A1140" s="27">
        <v>45024</v>
      </c>
      <c r="B1140" s="26">
        <v>55.5</v>
      </c>
      <c r="C1140" s="29">
        <f t="shared" si="34"/>
        <v>-9.1055168719871103E-3</v>
      </c>
      <c r="D1140" s="26"/>
      <c r="F1140" s="26">
        <v>48585.71</v>
      </c>
      <c r="G1140" s="29">
        <f t="shared" si="35"/>
        <v>-5.2395354319728844E-4</v>
      </c>
      <c r="H1140" s="26"/>
    </row>
    <row r="1141" spans="1:8" x14ac:dyDescent="0.3">
      <c r="A1141" s="27">
        <v>45115</v>
      </c>
      <c r="B1141" s="26">
        <v>55.51</v>
      </c>
      <c r="C1141" s="29">
        <f t="shared" si="34"/>
        <v>1.8018018018014432E-4</v>
      </c>
      <c r="D1141" s="26"/>
      <c r="F1141" s="26">
        <v>48386.25</v>
      </c>
      <c r="G1141" s="29">
        <f t="shared" si="35"/>
        <v>-4.1053223262559942E-3</v>
      </c>
      <c r="H1141" s="26"/>
    </row>
    <row r="1142" spans="1:8" x14ac:dyDescent="0.3">
      <c r="A1142" s="27">
        <v>45146</v>
      </c>
      <c r="B1142" s="26">
        <v>53.83</v>
      </c>
      <c r="C1142" s="29">
        <f t="shared" si="34"/>
        <v>-3.0264817150063048E-2</v>
      </c>
      <c r="D1142" s="26"/>
      <c r="F1142" s="26">
        <v>47429.82</v>
      </c>
      <c r="G1142" s="29">
        <f t="shared" si="35"/>
        <v>-1.9766565914903517E-2</v>
      </c>
      <c r="H1142" s="26"/>
    </row>
    <row r="1143" spans="1:8" x14ac:dyDescent="0.3">
      <c r="A1143" s="27">
        <v>45177</v>
      </c>
      <c r="B1143" s="26">
        <v>53.8</v>
      </c>
      <c r="C1143" s="29">
        <f t="shared" si="34"/>
        <v>-5.5731005015792565E-4</v>
      </c>
      <c r="D1143" s="26"/>
      <c r="F1143" s="26">
        <v>48227.6</v>
      </c>
      <c r="G1143" s="29">
        <f t="shared" si="35"/>
        <v>1.6820219853248417E-2</v>
      </c>
      <c r="H1143" s="26"/>
    </row>
    <row r="1144" spans="1:8" x14ac:dyDescent="0.3">
      <c r="A1144" s="27">
        <v>45207</v>
      </c>
      <c r="B1144" s="26">
        <v>53.4</v>
      </c>
      <c r="C1144" s="29">
        <f t="shared" si="34"/>
        <v>-7.4349442379181892E-3</v>
      </c>
      <c r="D1144" s="26"/>
      <c r="F1144" s="26">
        <v>47808.34</v>
      </c>
      <c r="G1144" s="29">
        <f t="shared" si="35"/>
        <v>-8.6933623070607289E-3</v>
      </c>
      <c r="H1144" s="26"/>
    </row>
    <row r="1145" spans="1:8" x14ac:dyDescent="0.3">
      <c r="A1145" s="27">
        <v>45238</v>
      </c>
      <c r="B1145" s="26">
        <v>55</v>
      </c>
      <c r="C1145" s="29">
        <f t="shared" si="34"/>
        <v>2.9962546816479429E-2</v>
      </c>
      <c r="D1145" s="26"/>
      <c r="F1145" s="26">
        <v>48424.4</v>
      </c>
      <c r="G1145" s="29">
        <f t="shared" si="35"/>
        <v>1.288603620205188E-2</v>
      </c>
      <c r="H1145" s="26"/>
    </row>
    <row r="1146" spans="1:8" x14ac:dyDescent="0.3">
      <c r="A1146" s="26" t="s">
        <v>366</v>
      </c>
      <c r="B1146" s="26">
        <v>55.8</v>
      </c>
      <c r="C1146" s="29">
        <f t="shared" si="34"/>
        <v>1.4545454545454493E-2</v>
      </c>
      <c r="D1146" s="26"/>
      <c r="F1146" s="26">
        <v>48565.75</v>
      </c>
      <c r="G1146" s="29">
        <f t="shared" si="35"/>
        <v>2.9189829920453023E-3</v>
      </c>
      <c r="H1146" s="26"/>
    </row>
    <row r="1147" spans="1:8" x14ac:dyDescent="0.3">
      <c r="A1147" s="26" t="s">
        <v>365</v>
      </c>
      <c r="B1147" s="26">
        <v>55</v>
      </c>
      <c r="C1147" s="29">
        <f t="shared" si="34"/>
        <v>-1.4336917562723964E-2</v>
      </c>
      <c r="D1147" s="26"/>
      <c r="F1147" s="26">
        <v>48146.43</v>
      </c>
      <c r="G1147" s="29">
        <f t="shared" si="35"/>
        <v>-8.6340682476848344E-3</v>
      </c>
      <c r="H1147" s="26"/>
    </row>
    <row r="1148" spans="1:8" x14ac:dyDescent="0.3">
      <c r="A1148" s="26" t="s">
        <v>364</v>
      </c>
      <c r="B1148" s="26">
        <v>55</v>
      </c>
      <c r="C1148" s="29">
        <f t="shared" si="34"/>
        <v>0</v>
      </c>
      <c r="D1148" s="26"/>
      <c r="F1148" s="26">
        <v>48325.84</v>
      </c>
      <c r="G1148" s="29">
        <f t="shared" si="35"/>
        <v>3.7263406653410486E-3</v>
      </c>
      <c r="H1148" s="26"/>
    </row>
    <row r="1149" spans="1:8" x14ac:dyDescent="0.3">
      <c r="A1149" s="26" t="s">
        <v>363</v>
      </c>
      <c r="B1149" s="26">
        <v>54.65</v>
      </c>
      <c r="C1149" s="29">
        <f t="shared" si="34"/>
        <v>-6.3636363636363899E-3</v>
      </c>
      <c r="D1149" s="26"/>
      <c r="F1149" s="26">
        <v>48218.49</v>
      </c>
      <c r="G1149" s="29">
        <f t="shared" si="35"/>
        <v>-2.2213788730831899E-3</v>
      </c>
      <c r="H1149" s="26"/>
    </row>
    <row r="1150" spans="1:8" x14ac:dyDescent="0.3">
      <c r="A1150" s="26" t="s">
        <v>362</v>
      </c>
      <c r="B1150" s="26">
        <v>53</v>
      </c>
      <c r="C1150" s="29">
        <f t="shared" si="34"/>
        <v>-3.0192131747483964E-2</v>
      </c>
      <c r="D1150" s="26"/>
      <c r="F1150" s="26">
        <v>47447.95</v>
      </c>
      <c r="G1150" s="29">
        <f t="shared" si="35"/>
        <v>-1.5980176898944803E-2</v>
      </c>
      <c r="H1150" s="26"/>
    </row>
    <row r="1151" spans="1:8" x14ac:dyDescent="0.3">
      <c r="A1151" s="26" t="s">
        <v>361</v>
      </c>
      <c r="B1151" s="26">
        <v>52.43</v>
      </c>
      <c r="C1151" s="29">
        <f t="shared" si="34"/>
        <v>-1.0754716981132081E-2</v>
      </c>
      <c r="D1151" s="26"/>
      <c r="F1151" s="26">
        <v>47417.9</v>
      </c>
      <c r="G1151" s="29">
        <f t="shared" si="35"/>
        <v>-6.3332557044078056E-4</v>
      </c>
      <c r="H1151" s="26"/>
    </row>
    <row r="1152" spans="1:8" x14ac:dyDescent="0.3">
      <c r="A1152" s="26" t="s">
        <v>360</v>
      </c>
      <c r="B1152" s="26">
        <v>55.6</v>
      </c>
      <c r="C1152" s="29">
        <f t="shared" si="34"/>
        <v>6.0461567804692001E-2</v>
      </c>
      <c r="D1152" s="26"/>
      <c r="F1152" s="26">
        <v>47418.63</v>
      </c>
      <c r="G1152" s="29">
        <f t="shared" si="35"/>
        <v>1.5395030146757352E-5</v>
      </c>
      <c r="H1152" s="26"/>
    </row>
    <row r="1153" spans="1:8" x14ac:dyDescent="0.3">
      <c r="A1153" s="26" t="s">
        <v>359</v>
      </c>
      <c r="B1153" s="26">
        <v>55.55</v>
      </c>
      <c r="C1153" s="29">
        <f t="shared" si="34"/>
        <v>-8.9928057553964505E-4</v>
      </c>
      <c r="D1153" s="26"/>
      <c r="F1153" s="26">
        <v>47750.76</v>
      </c>
      <c r="G1153" s="29">
        <f t="shared" si="35"/>
        <v>7.0042091051556038E-3</v>
      </c>
      <c r="H1153" s="26"/>
    </row>
    <row r="1154" spans="1:8" x14ac:dyDescent="0.3">
      <c r="A1154" s="26" t="s">
        <v>358</v>
      </c>
      <c r="B1154" s="26">
        <v>55</v>
      </c>
      <c r="C1154" s="29">
        <f t="shared" si="34"/>
        <v>-9.9009900990098508E-3</v>
      </c>
      <c r="D1154" s="26"/>
      <c r="F1154" s="26">
        <v>47671.21</v>
      </c>
      <c r="G1154" s="29">
        <f t="shared" si="35"/>
        <v>-1.6659420708697182E-3</v>
      </c>
      <c r="H1154" s="26"/>
    </row>
    <row r="1155" spans="1:8" x14ac:dyDescent="0.3">
      <c r="A1155" s="26" t="s">
        <v>357</v>
      </c>
      <c r="B1155" s="26">
        <v>55.4</v>
      </c>
      <c r="C1155" s="29">
        <f t="shared" si="34"/>
        <v>7.2727272727272467E-3</v>
      </c>
      <c r="D1155" s="26"/>
      <c r="F1155" s="26">
        <v>47478.61</v>
      </c>
      <c r="G1155" s="29">
        <f t="shared" si="35"/>
        <v>-4.0401743526123747E-3</v>
      </c>
      <c r="H1155" s="26"/>
    </row>
    <row r="1156" spans="1:8" x14ac:dyDescent="0.3">
      <c r="A1156" s="26" t="s">
        <v>356</v>
      </c>
      <c r="B1156" s="26">
        <v>54.52</v>
      </c>
      <c r="C1156" s="29">
        <f t="shared" si="34"/>
        <v>-1.5884476534295946E-2</v>
      </c>
      <c r="D1156" s="26"/>
      <c r="F1156" s="26">
        <v>46770.41</v>
      </c>
      <c r="G1156" s="29">
        <f t="shared" si="35"/>
        <v>-1.4916190680392646E-2</v>
      </c>
      <c r="H1156" s="26"/>
    </row>
    <row r="1157" spans="1:8" x14ac:dyDescent="0.3">
      <c r="A1157" s="26" t="s">
        <v>355</v>
      </c>
      <c r="B1157" s="26">
        <v>53.7</v>
      </c>
      <c r="C1157" s="29">
        <f t="shared" ref="C1157:C1220" si="36">(B1157-B1156)/B1156</f>
        <v>-1.5040352164343365E-2</v>
      </c>
      <c r="D1157" s="26"/>
      <c r="F1157" s="26">
        <v>46244.55</v>
      </c>
      <c r="G1157" s="29">
        <f t="shared" ref="G1157:G1220" si="37">(F1157-F1156)/F1156</f>
        <v>-1.1243433615399149E-2</v>
      </c>
      <c r="H1157" s="26"/>
    </row>
    <row r="1158" spans="1:8" x14ac:dyDescent="0.3">
      <c r="A1158" s="26" t="s">
        <v>354</v>
      </c>
      <c r="B1158" s="26">
        <v>51</v>
      </c>
      <c r="C1158" s="29">
        <f t="shared" si="36"/>
        <v>-5.0279329608938599E-2</v>
      </c>
      <c r="D1158" s="26"/>
      <c r="F1158" s="26">
        <v>45002.41</v>
      </c>
      <c r="G1158" s="29">
        <f t="shared" si="37"/>
        <v>-2.6860246234421122E-2</v>
      </c>
      <c r="H1158" s="26"/>
    </row>
    <row r="1159" spans="1:8" x14ac:dyDescent="0.3">
      <c r="A1159" s="27">
        <v>44935</v>
      </c>
      <c r="B1159" s="26">
        <v>52.2</v>
      </c>
      <c r="C1159" s="29">
        <f t="shared" si="36"/>
        <v>2.3529411764705938E-2</v>
      </c>
      <c r="D1159" s="26"/>
      <c r="F1159" s="26">
        <v>45312.65</v>
      </c>
      <c r="G1159" s="29">
        <f t="shared" si="37"/>
        <v>6.8938530180938738E-3</v>
      </c>
      <c r="H1159" s="26"/>
    </row>
    <row r="1160" spans="1:8" x14ac:dyDescent="0.3">
      <c r="A1160" s="27">
        <v>45025</v>
      </c>
      <c r="B1160" s="26">
        <v>52.81</v>
      </c>
      <c r="C1160" s="29">
        <f t="shared" si="36"/>
        <v>1.168582375478926E-2</v>
      </c>
      <c r="D1160" s="26"/>
      <c r="F1160" s="26">
        <v>45707.42</v>
      </c>
      <c r="G1160" s="29">
        <f t="shared" si="37"/>
        <v>8.7121366770647225E-3</v>
      </c>
      <c r="H1160" s="26"/>
    </row>
    <row r="1161" spans="1:8" x14ac:dyDescent="0.3">
      <c r="A1161" s="27">
        <v>45055</v>
      </c>
      <c r="B1161" s="26">
        <v>46.6</v>
      </c>
      <c r="C1161" s="29">
        <f t="shared" si="36"/>
        <v>-0.11759136527172885</v>
      </c>
      <c r="D1161" s="26"/>
      <c r="F1161" s="26">
        <v>45491.48</v>
      </c>
      <c r="G1161" s="29">
        <f t="shared" si="37"/>
        <v>-4.724397045381145E-3</v>
      </c>
      <c r="H1161" s="26"/>
    </row>
    <row r="1162" spans="1:8" x14ac:dyDescent="0.3">
      <c r="A1162" s="27">
        <v>45086</v>
      </c>
      <c r="B1162" s="26">
        <v>46.75</v>
      </c>
      <c r="C1162" s="29">
        <f t="shared" si="36"/>
        <v>3.218884120171643E-3</v>
      </c>
      <c r="D1162" s="26"/>
      <c r="F1162" s="26">
        <v>45807.57</v>
      </c>
      <c r="G1162" s="29">
        <f t="shared" si="37"/>
        <v>6.9483340616747682E-3</v>
      </c>
      <c r="H1162" s="26"/>
    </row>
    <row r="1163" spans="1:8" x14ac:dyDescent="0.3">
      <c r="A1163" s="27">
        <v>45116</v>
      </c>
      <c r="B1163" s="26">
        <v>45.8</v>
      </c>
      <c r="C1163" s="29">
        <f t="shared" si="36"/>
        <v>-2.0320855614973325E-2</v>
      </c>
      <c r="D1163" s="26"/>
      <c r="F1163" s="26">
        <v>45757.23</v>
      </c>
      <c r="G1163" s="29">
        <f t="shared" si="37"/>
        <v>-1.0989449997019381E-3</v>
      </c>
      <c r="H1163" s="26"/>
    </row>
    <row r="1164" spans="1:8" x14ac:dyDescent="0.3">
      <c r="A1164" s="27">
        <v>45147</v>
      </c>
      <c r="B1164" s="26">
        <v>45.7</v>
      </c>
      <c r="C1164" s="29">
        <f t="shared" si="36"/>
        <v>-2.1834061135369938E-3</v>
      </c>
      <c r="D1164" s="26"/>
      <c r="F1164" s="26">
        <v>46013.48</v>
      </c>
      <c r="G1164" s="29">
        <f t="shared" si="37"/>
        <v>5.6002078797164944E-3</v>
      </c>
      <c r="H1164" s="26"/>
    </row>
    <row r="1165" spans="1:8" x14ac:dyDescent="0.3">
      <c r="A1165" s="27">
        <v>45239</v>
      </c>
      <c r="B1165" s="26">
        <v>45.6</v>
      </c>
      <c r="C1165" s="29">
        <f t="shared" si="36"/>
        <v>-2.1881838074398561E-3</v>
      </c>
      <c r="D1165" s="26"/>
      <c r="F1165" s="26">
        <v>45865.73</v>
      </c>
      <c r="G1165" s="29">
        <f t="shared" si="37"/>
        <v>-3.2110155545722685E-3</v>
      </c>
      <c r="H1165" s="26"/>
    </row>
    <row r="1166" spans="1:8" x14ac:dyDescent="0.3">
      <c r="A1166" s="27">
        <v>45269</v>
      </c>
      <c r="B1166" s="26">
        <v>44.08</v>
      </c>
      <c r="C1166" s="29">
        <f t="shared" si="36"/>
        <v>-3.3333333333333402E-2</v>
      </c>
      <c r="D1166" s="26"/>
      <c r="F1166" s="26">
        <v>45508.39</v>
      </c>
      <c r="G1166" s="29">
        <f t="shared" si="37"/>
        <v>-7.7910021272964312E-3</v>
      </c>
      <c r="H1166" s="26"/>
    </row>
    <row r="1167" spans="1:8" x14ac:dyDescent="0.3">
      <c r="A1167" s="26" t="s">
        <v>353</v>
      </c>
      <c r="B1167" s="26">
        <v>44.47</v>
      </c>
      <c r="C1167" s="29">
        <f t="shared" si="36"/>
        <v>8.8475499092559116E-3</v>
      </c>
      <c r="D1167" s="26"/>
      <c r="F1167" s="26">
        <v>45590.92</v>
      </c>
      <c r="G1167" s="29">
        <f t="shared" si="37"/>
        <v>1.8135117502508622E-3</v>
      </c>
      <c r="H1167" s="26"/>
    </row>
    <row r="1168" spans="1:8" x14ac:dyDescent="0.3">
      <c r="A1168" s="26" t="s">
        <v>352</v>
      </c>
      <c r="B1168" s="26">
        <v>44.9</v>
      </c>
      <c r="C1168" s="29">
        <f t="shared" si="36"/>
        <v>9.6694400719586175E-3</v>
      </c>
      <c r="D1168" s="26"/>
      <c r="F1168" s="26">
        <v>45650.05</v>
      </c>
      <c r="G1168" s="29">
        <f t="shared" si="37"/>
        <v>1.2969687823804533E-3</v>
      </c>
      <c r="H1168" s="26"/>
    </row>
    <row r="1169" spans="1:8" x14ac:dyDescent="0.3">
      <c r="A1169" s="26" t="s">
        <v>351</v>
      </c>
      <c r="B1169" s="26">
        <v>44.65</v>
      </c>
      <c r="C1169" s="29">
        <f t="shared" si="36"/>
        <v>-5.5679287305122494E-3</v>
      </c>
      <c r="D1169" s="26"/>
      <c r="F1169" s="26">
        <v>45753.51</v>
      </c>
      <c r="G1169" s="29">
        <f t="shared" si="37"/>
        <v>2.2663721069308604E-3</v>
      </c>
      <c r="H1169" s="26"/>
    </row>
    <row r="1170" spans="1:8" x14ac:dyDescent="0.3">
      <c r="A1170" s="26" t="s">
        <v>350</v>
      </c>
      <c r="B1170" s="26">
        <v>44.8</v>
      </c>
      <c r="C1170" s="29">
        <f t="shared" si="36"/>
        <v>3.3594624860022078E-3</v>
      </c>
      <c r="D1170" s="26"/>
      <c r="F1170" s="26">
        <v>45837.42</v>
      </c>
      <c r="G1170" s="29">
        <f t="shared" si="37"/>
        <v>1.833957657019018E-3</v>
      </c>
      <c r="H1170" s="26"/>
    </row>
    <row r="1171" spans="1:8" x14ac:dyDescent="0.3">
      <c r="A1171" s="26" t="s">
        <v>349</v>
      </c>
      <c r="B1171" s="26">
        <v>44.82</v>
      </c>
      <c r="C1171" s="29">
        <f t="shared" si="36"/>
        <v>4.4642857142864124E-4</v>
      </c>
      <c r="D1171" s="26"/>
      <c r="F1171" s="26">
        <v>45914.18</v>
      </c>
      <c r="G1171" s="29">
        <f t="shared" si="37"/>
        <v>1.674614321661255E-3</v>
      </c>
      <c r="H1171" s="26"/>
    </row>
    <row r="1172" spans="1:8" x14ac:dyDescent="0.3">
      <c r="A1172" s="26" t="s">
        <v>348</v>
      </c>
      <c r="B1172" s="26">
        <v>44.65</v>
      </c>
      <c r="C1172" s="29">
        <f t="shared" si="36"/>
        <v>-3.7929495760821441E-3</v>
      </c>
      <c r="D1172" s="26"/>
      <c r="F1172" s="26">
        <v>45932.52</v>
      </c>
      <c r="G1172" s="29">
        <f t="shared" si="37"/>
        <v>3.9944086990111787E-4</v>
      </c>
      <c r="H1172" s="26"/>
    </row>
    <row r="1173" spans="1:8" x14ac:dyDescent="0.3">
      <c r="A1173" s="26" t="s">
        <v>347</v>
      </c>
      <c r="B1173" s="26">
        <v>44.8</v>
      </c>
      <c r="C1173" s="29">
        <f t="shared" si="36"/>
        <v>3.3594624860022078E-3</v>
      </c>
      <c r="D1173" s="26"/>
      <c r="F1173" s="26">
        <v>46304.73</v>
      </c>
      <c r="G1173" s="29">
        <f t="shared" si="37"/>
        <v>8.103409087940449E-3</v>
      </c>
      <c r="H1173" s="26"/>
    </row>
    <row r="1174" spans="1:8" x14ac:dyDescent="0.3">
      <c r="A1174" s="26" t="s">
        <v>346</v>
      </c>
      <c r="B1174" s="26">
        <v>44.9</v>
      </c>
      <c r="C1174" s="29">
        <f t="shared" si="36"/>
        <v>2.2321428571428891E-3</v>
      </c>
      <c r="D1174" s="26"/>
      <c r="F1174" s="26">
        <v>46436.41</v>
      </c>
      <c r="G1174" s="29">
        <f t="shared" si="37"/>
        <v>2.8437699561146405E-3</v>
      </c>
      <c r="H1174" s="26"/>
    </row>
    <row r="1175" spans="1:8" x14ac:dyDescent="0.3">
      <c r="A1175" s="26" t="s">
        <v>345</v>
      </c>
      <c r="B1175" s="26">
        <v>45</v>
      </c>
      <c r="C1175" s="29">
        <f t="shared" si="36"/>
        <v>2.2271714922049313E-3</v>
      </c>
      <c r="D1175" s="26"/>
      <c r="F1175" s="26">
        <v>46394.32</v>
      </c>
      <c r="G1175" s="29">
        <f t="shared" si="37"/>
        <v>-9.0640081780662594E-4</v>
      </c>
      <c r="H1175" s="26"/>
    </row>
    <row r="1176" spans="1:8" x14ac:dyDescent="0.3">
      <c r="A1176" s="26" t="s">
        <v>344</v>
      </c>
      <c r="B1176" s="26">
        <v>45.1</v>
      </c>
      <c r="C1176" s="29">
        <f t="shared" si="36"/>
        <v>2.2222222222222539E-3</v>
      </c>
      <c r="D1176" s="26"/>
      <c r="F1176" s="26">
        <v>46308.54</v>
      </c>
      <c r="G1176" s="29">
        <f t="shared" si="37"/>
        <v>-1.8489332314817598E-3</v>
      </c>
      <c r="H1176" s="26"/>
    </row>
    <row r="1177" spans="1:8" x14ac:dyDescent="0.3">
      <c r="A1177" s="26" t="s">
        <v>343</v>
      </c>
      <c r="B1177" s="26">
        <v>45.17</v>
      </c>
      <c r="C1177" s="29">
        <f t="shared" si="36"/>
        <v>1.5521064301552169E-3</v>
      </c>
      <c r="D1177" s="26"/>
      <c r="F1177" s="26">
        <v>46408.02</v>
      </c>
      <c r="G1177" s="29">
        <f t="shared" si="37"/>
        <v>2.1481998784672529E-3</v>
      </c>
      <c r="H1177" s="26"/>
    </row>
    <row r="1178" spans="1:8" x14ac:dyDescent="0.3">
      <c r="A1178" s="26" t="s">
        <v>342</v>
      </c>
      <c r="B1178" s="26">
        <v>44.95</v>
      </c>
      <c r="C1178" s="29">
        <f t="shared" si="36"/>
        <v>-4.8704892627850086E-3</v>
      </c>
      <c r="D1178" s="26"/>
      <c r="F1178" s="26">
        <v>46232.59</v>
      </c>
      <c r="G1178" s="29">
        <f t="shared" si="37"/>
        <v>-3.7801655834487293E-3</v>
      </c>
      <c r="H1178" s="26"/>
    </row>
    <row r="1179" spans="1:8" x14ac:dyDescent="0.3">
      <c r="A1179" s="27">
        <v>44967</v>
      </c>
      <c r="B1179" s="26">
        <v>45.35</v>
      </c>
      <c r="C1179" s="29">
        <f t="shared" si="36"/>
        <v>8.8987764182424586E-3</v>
      </c>
      <c r="D1179" s="26"/>
      <c r="F1179" s="26">
        <v>46627.08</v>
      </c>
      <c r="G1179" s="29">
        <f t="shared" si="37"/>
        <v>8.532725508131932E-3</v>
      </c>
      <c r="H1179" s="26"/>
    </row>
    <row r="1180" spans="1:8" x14ac:dyDescent="0.3">
      <c r="A1180" s="27">
        <v>44995</v>
      </c>
      <c r="B1180" s="26">
        <v>46.1</v>
      </c>
      <c r="C1180" s="29">
        <f t="shared" si="36"/>
        <v>1.65380374862183E-2</v>
      </c>
      <c r="D1180" s="26"/>
      <c r="F1180" s="26">
        <v>46756.800000000003</v>
      </c>
      <c r="G1180" s="29">
        <f t="shared" si="37"/>
        <v>2.7820742795817617E-3</v>
      </c>
      <c r="H1180" s="26"/>
    </row>
    <row r="1181" spans="1:8" x14ac:dyDescent="0.3">
      <c r="A1181" s="27">
        <v>45026</v>
      </c>
      <c r="B1181" s="26">
        <v>46.56</v>
      </c>
      <c r="C1181" s="29">
        <f t="shared" si="36"/>
        <v>9.9783080260303861E-3</v>
      </c>
      <c r="D1181" s="26"/>
      <c r="F1181" s="26">
        <v>47079.83</v>
      </c>
      <c r="G1181" s="29">
        <f t="shared" si="37"/>
        <v>6.9087277144714524E-3</v>
      </c>
      <c r="H1181" s="26"/>
    </row>
    <row r="1182" spans="1:8" x14ac:dyDescent="0.3">
      <c r="A1182" s="27">
        <v>45056</v>
      </c>
      <c r="B1182" s="26">
        <v>47.84</v>
      </c>
      <c r="C1182" s="29">
        <f t="shared" si="36"/>
        <v>2.7491408934707928E-2</v>
      </c>
      <c r="D1182" s="26"/>
      <c r="F1182" s="26">
        <v>47484.56</v>
      </c>
      <c r="G1182" s="29">
        <f t="shared" si="37"/>
        <v>8.5966750517152656E-3</v>
      </c>
      <c r="H1182" s="26"/>
    </row>
    <row r="1183" spans="1:8" x14ac:dyDescent="0.3">
      <c r="A1183" s="27">
        <v>45087</v>
      </c>
      <c r="B1183" s="26">
        <v>47.5</v>
      </c>
      <c r="C1183" s="29">
        <f t="shared" si="36"/>
        <v>-7.1070234113713082E-3</v>
      </c>
      <c r="D1183" s="26"/>
      <c r="F1183" s="26">
        <v>47508.67</v>
      </c>
      <c r="G1183" s="29">
        <f t="shared" si="37"/>
        <v>5.0774399088884012E-4</v>
      </c>
      <c r="H1183" s="26"/>
    </row>
    <row r="1184" spans="1:8" x14ac:dyDescent="0.3">
      <c r="A1184" s="27">
        <v>45179</v>
      </c>
      <c r="B1184" s="26">
        <v>49.5</v>
      </c>
      <c r="C1184" s="29">
        <f t="shared" si="36"/>
        <v>4.2105263157894736E-2</v>
      </c>
      <c r="D1184" s="26"/>
      <c r="F1184" s="26">
        <v>47736.61</v>
      </c>
      <c r="G1184" s="29">
        <f t="shared" si="37"/>
        <v>4.7978611061939291E-3</v>
      </c>
      <c r="H1184" s="26"/>
    </row>
    <row r="1185" spans="1:8" x14ac:dyDescent="0.3">
      <c r="A1185" s="27">
        <v>45209</v>
      </c>
      <c r="B1185" s="26">
        <v>50.55</v>
      </c>
      <c r="C1185" s="29">
        <f t="shared" si="36"/>
        <v>2.1212121212121154E-2</v>
      </c>
      <c r="D1185" s="26"/>
      <c r="F1185" s="26">
        <v>48143.5</v>
      </c>
      <c r="G1185" s="29">
        <f t="shared" si="37"/>
        <v>8.5236467357024184E-3</v>
      </c>
      <c r="H1185" s="26"/>
    </row>
    <row r="1186" spans="1:8" x14ac:dyDescent="0.3">
      <c r="A1186" s="27">
        <v>45240</v>
      </c>
      <c r="B1186" s="26">
        <v>50.04</v>
      </c>
      <c r="C1186" s="29">
        <f t="shared" si="36"/>
        <v>-1.0089020771513314E-2</v>
      </c>
      <c r="D1186" s="26"/>
      <c r="F1186" s="26">
        <v>48501.8</v>
      </c>
      <c r="G1186" s="29">
        <f t="shared" si="37"/>
        <v>7.4423338560761663E-3</v>
      </c>
      <c r="H1186" s="26"/>
    </row>
    <row r="1187" spans="1:8" x14ac:dyDescent="0.3">
      <c r="A1187" s="27">
        <v>45270</v>
      </c>
      <c r="B1187" s="26">
        <v>50.4</v>
      </c>
      <c r="C1187" s="29">
        <f t="shared" si="36"/>
        <v>7.1942446043165359E-3</v>
      </c>
      <c r="D1187" s="26"/>
      <c r="F1187" s="26">
        <v>48771.71</v>
      </c>
      <c r="G1187" s="29">
        <f t="shared" si="37"/>
        <v>5.5649481050187048E-3</v>
      </c>
      <c r="H1187" s="26"/>
    </row>
    <row r="1188" spans="1:8" x14ac:dyDescent="0.3">
      <c r="A1188" s="26" t="s">
        <v>341</v>
      </c>
      <c r="B1188" s="26">
        <v>51.5</v>
      </c>
      <c r="C1188" s="29">
        <f t="shared" si="36"/>
        <v>2.1825396825396855E-2</v>
      </c>
      <c r="D1188" s="26"/>
      <c r="F1188" s="26">
        <v>49493.47</v>
      </c>
      <c r="G1188" s="29">
        <f t="shared" si="37"/>
        <v>1.4798742959801943E-2</v>
      </c>
      <c r="H1188" s="26"/>
    </row>
    <row r="1189" spans="1:8" x14ac:dyDescent="0.3">
      <c r="A1189" s="26" t="s">
        <v>340</v>
      </c>
      <c r="B1189" s="26">
        <v>51.05</v>
      </c>
      <c r="C1189" s="29">
        <f t="shared" si="36"/>
        <v>-8.7378640776699587E-3</v>
      </c>
      <c r="D1189" s="26"/>
      <c r="F1189" s="26">
        <v>49719.87</v>
      </c>
      <c r="G1189" s="29">
        <f t="shared" si="37"/>
        <v>4.5743408170815557E-3</v>
      </c>
      <c r="H1189" s="26"/>
    </row>
    <row r="1190" spans="1:8" x14ac:dyDescent="0.3">
      <c r="A1190" s="26" t="s">
        <v>339</v>
      </c>
      <c r="B1190" s="26">
        <v>51.05</v>
      </c>
      <c r="C1190" s="29">
        <f t="shared" si="36"/>
        <v>0</v>
      </c>
      <c r="D1190" s="26"/>
      <c r="F1190" s="26">
        <v>49527.88</v>
      </c>
      <c r="G1190" s="29">
        <f t="shared" si="37"/>
        <v>-3.8614340705236203E-3</v>
      </c>
      <c r="H1190" s="26"/>
    </row>
    <row r="1191" spans="1:8" x14ac:dyDescent="0.3">
      <c r="A1191" s="26" t="s">
        <v>338</v>
      </c>
      <c r="B1191" s="26">
        <v>51.11</v>
      </c>
      <c r="C1191" s="29">
        <f t="shared" si="36"/>
        <v>1.175318315377126E-3</v>
      </c>
      <c r="D1191" s="26"/>
      <c r="F1191" s="26">
        <v>49406.19</v>
      </c>
      <c r="G1191" s="29">
        <f t="shared" si="37"/>
        <v>-2.4569999765787485E-3</v>
      </c>
      <c r="H1191" s="26"/>
    </row>
    <row r="1192" spans="1:8" x14ac:dyDescent="0.3">
      <c r="A1192" s="26" t="s">
        <v>337</v>
      </c>
      <c r="B1192" s="26">
        <v>52.01</v>
      </c>
      <c r="C1192" s="29">
        <f t="shared" si="36"/>
        <v>1.7609078458227324E-2</v>
      </c>
      <c r="D1192" s="26"/>
      <c r="F1192" s="26">
        <v>50323.97</v>
      </c>
      <c r="G1192" s="29">
        <f t="shared" si="37"/>
        <v>1.8576214842715027E-2</v>
      </c>
      <c r="H1192" s="26"/>
    </row>
    <row r="1193" spans="1:8" x14ac:dyDescent="0.3">
      <c r="A1193" s="26" t="s">
        <v>336</v>
      </c>
      <c r="B1193" s="26">
        <v>53.51</v>
      </c>
      <c r="C1193" s="29">
        <f t="shared" si="36"/>
        <v>2.8840607575466259E-2</v>
      </c>
      <c r="D1193" s="26"/>
      <c r="F1193" s="26">
        <v>50674.52</v>
      </c>
      <c r="G1193" s="29">
        <f t="shared" si="37"/>
        <v>6.965865371909164E-3</v>
      </c>
      <c r="H1193" s="26"/>
    </row>
    <row r="1194" spans="1:8" x14ac:dyDescent="0.3">
      <c r="A1194" s="26" t="s">
        <v>335</v>
      </c>
      <c r="B1194" s="26">
        <v>53.7</v>
      </c>
      <c r="C1194" s="29">
        <f t="shared" si="36"/>
        <v>3.5507381797795709E-3</v>
      </c>
      <c r="D1194" s="26"/>
      <c r="F1194" s="26">
        <v>51072.73</v>
      </c>
      <c r="G1194" s="29">
        <f t="shared" si="37"/>
        <v>7.858189875306296E-3</v>
      </c>
      <c r="H1194" s="26"/>
    </row>
    <row r="1195" spans="1:8" x14ac:dyDescent="0.3">
      <c r="A1195" s="26" t="s">
        <v>334</v>
      </c>
      <c r="B1195" s="26">
        <v>54.25</v>
      </c>
      <c r="C1195" s="29">
        <f t="shared" si="36"/>
        <v>1.024208566108002E-2</v>
      </c>
      <c r="D1195" s="26"/>
      <c r="F1195" s="26">
        <v>51068.15</v>
      </c>
      <c r="G1195" s="29">
        <f t="shared" si="37"/>
        <v>-8.9676036507187803E-5</v>
      </c>
      <c r="H1195" s="26"/>
    </row>
    <row r="1196" spans="1:8" x14ac:dyDescent="0.3">
      <c r="A1196" s="26" t="s">
        <v>333</v>
      </c>
      <c r="B1196" s="26">
        <v>58.51</v>
      </c>
      <c r="C1196" s="29">
        <f t="shared" si="36"/>
        <v>7.8525345622119783E-2</v>
      </c>
      <c r="D1196" s="26"/>
      <c r="F1196" s="26">
        <v>51125.32</v>
      </c>
      <c r="G1196" s="29">
        <f t="shared" si="37"/>
        <v>1.1194844536173379E-3</v>
      </c>
      <c r="H1196" s="26"/>
    </row>
    <row r="1197" spans="1:8" x14ac:dyDescent="0.3">
      <c r="A1197" s="26" t="s">
        <v>332</v>
      </c>
      <c r="B1197" s="26">
        <v>62.9</v>
      </c>
      <c r="C1197" s="29">
        <f t="shared" si="36"/>
        <v>7.502990941719366E-2</v>
      </c>
      <c r="D1197" s="26"/>
      <c r="F1197" s="26">
        <v>51158.400000000001</v>
      </c>
      <c r="G1197" s="29">
        <f t="shared" si="37"/>
        <v>6.4703751487524665E-4</v>
      </c>
      <c r="H1197" s="26"/>
    </row>
    <row r="1198" spans="1:8" x14ac:dyDescent="0.3">
      <c r="A1198" s="26" t="s">
        <v>331</v>
      </c>
      <c r="B1198" s="26">
        <v>67.599999999999994</v>
      </c>
      <c r="C1198" s="29">
        <f t="shared" si="36"/>
        <v>7.4721780604133481E-2</v>
      </c>
      <c r="D1198" s="26"/>
      <c r="F1198" s="26">
        <v>50958.45</v>
      </c>
      <c r="G1198" s="29">
        <f t="shared" si="37"/>
        <v>-3.9084490523551233E-3</v>
      </c>
      <c r="H1198" s="26"/>
    </row>
    <row r="1199" spans="1:8" x14ac:dyDescent="0.3">
      <c r="A1199" s="26" t="s">
        <v>330</v>
      </c>
      <c r="B1199" s="26">
        <v>68.099999999999994</v>
      </c>
      <c r="C1199" s="29">
        <f t="shared" si="36"/>
        <v>7.3964497041420123E-3</v>
      </c>
      <c r="D1199" s="26"/>
      <c r="F1199" s="26">
        <v>51482.93</v>
      </c>
      <c r="G1199" s="29">
        <f t="shared" si="37"/>
        <v>1.0292306771497233E-2</v>
      </c>
      <c r="H1199" s="26"/>
    </row>
    <row r="1200" spans="1:8" x14ac:dyDescent="0.3">
      <c r="A1200" s="26" t="s">
        <v>329</v>
      </c>
      <c r="B1200" s="26">
        <v>68.5</v>
      </c>
      <c r="C1200" s="29">
        <f t="shared" si="36"/>
        <v>5.8737151248165302E-3</v>
      </c>
      <c r="D1200" s="26"/>
      <c r="F1200" s="26">
        <v>51976.31</v>
      </c>
      <c r="G1200" s="29">
        <f t="shared" si="37"/>
        <v>9.583370643434579E-3</v>
      </c>
      <c r="H1200" s="26"/>
    </row>
    <row r="1201" spans="1:8" x14ac:dyDescent="0.3">
      <c r="A1201" s="27">
        <v>44937</v>
      </c>
      <c r="B1201" s="26">
        <v>68.7</v>
      </c>
      <c r="C1201" s="29">
        <f t="shared" si="36"/>
        <v>2.9197080291971217E-3</v>
      </c>
      <c r="D1201" s="26"/>
      <c r="F1201" s="26">
        <v>52357.05</v>
      </c>
      <c r="G1201" s="29">
        <f t="shared" si="37"/>
        <v>7.3252602964697811E-3</v>
      </c>
      <c r="H1201" s="26"/>
    </row>
    <row r="1202" spans="1:8" x14ac:dyDescent="0.3">
      <c r="A1202" s="27">
        <v>44968</v>
      </c>
      <c r="B1202" s="26">
        <v>64.400000000000006</v>
      </c>
      <c r="C1202" s="29">
        <f t="shared" si="36"/>
        <v>-6.2590975254730674E-2</v>
      </c>
      <c r="D1202" s="26"/>
      <c r="F1202" s="26">
        <v>52701.43</v>
      </c>
      <c r="G1202" s="29">
        <f t="shared" si="37"/>
        <v>6.577528718672984E-3</v>
      </c>
      <c r="H1202" s="26"/>
    </row>
    <row r="1203" spans="1:8" x14ac:dyDescent="0.3">
      <c r="A1203" s="27">
        <v>44996</v>
      </c>
      <c r="B1203" s="26">
        <v>64.400000000000006</v>
      </c>
      <c r="C1203" s="29">
        <f t="shared" si="36"/>
        <v>0</v>
      </c>
      <c r="D1203" s="26"/>
      <c r="F1203" s="26">
        <v>53175.72</v>
      </c>
      <c r="G1203" s="29">
        <f t="shared" si="37"/>
        <v>8.9995660459308378E-3</v>
      </c>
      <c r="H1203" s="26"/>
    </row>
    <row r="1204" spans="1:8" x14ac:dyDescent="0.3">
      <c r="A1204" s="27">
        <v>45088</v>
      </c>
      <c r="B1204" s="26">
        <v>66.3</v>
      </c>
      <c r="C1204" s="29">
        <f t="shared" si="36"/>
        <v>2.9503105590061977E-2</v>
      </c>
      <c r="D1204" s="26"/>
      <c r="F1204" s="26">
        <v>53941.04</v>
      </c>
      <c r="G1204" s="29">
        <f t="shared" si="37"/>
        <v>1.4392282793726154E-2</v>
      </c>
      <c r="H1204" s="26"/>
    </row>
    <row r="1205" spans="1:8" x14ac:dyDescent="0.3">
      <c r="A1205" s="27">
        <v>45118</v>
      </c>
      <c r="B1205" s="26">
        <v>63.99</v>
      </c>
      <c r="C1205" s="29">
        <f t="shared" si="36"/>
        <v>-3.484162895927595E-2</v>
      </c>
      <c r="D1205" s="26"/>
      <c r="F1205" s="26">
        <v>53810.82</v>
      </c>
      <c r="G1205" s="29">
        <f t="shared" si="37"/>
        <v>-2.4141173399697367E-3</v>
      </c>
      <c r="H1205" s="26"/>
    </row>
    <row r="1206" spans="1:8" x14ac:dyDescent="0.3">
      <c r="A1206" s="27">
        <v>45149</v>
      </c>
      <c r="B1206" s="26">
        <v>64.38</v>
      </c>
      <c r="C1206" s="29">
        <f t="shared" si="36"/>
        <v>6.0947022972338404E-3</v>
      </c>
      <c r="D1206" s="26"/>
      <c r="F1206" s="26">
        <v>54307.37</v>
      </c>
      <c r="G1206" s="29">
        <f t="shared" si="37"/>
        <v>9.2276980726181627E-3</v>
      </c>
      <c r="H1206" s="26"/>
    </row>
    <row r="1207" spans="1:8" x14ac:dyDescent="0.3">
      <c r="A1207" s="27">
        <v>45210</v>
      </c>
      <c r="B1207" s="26">
        <v>65.150000000000006</v>
      </c>
      <c r="C1207" s="29">
        <f t="shared" si="36"/>
        <v>1.1960236098167293E-2</v>
      </c>
      <c r="D1207" s="26"/>
      <c r="F1207" s="26">
        <v>55399.66</v>
      </c>
      <c r="G1207" s="29">
        <f t="shared" si="37"/>
        <v>2.0113108036717682E-2</v>
      </c>
      <c r="H1207" s="26"/>
    </row>
    <row r="1208" spans="1:8" x14ac:dyDescent="0.3">
      <c r="A1208" s="26" t="s">
        <v>328</v>
      </c>
      <c r="B1208" s="26">
        <v>69</v>
      </c>
      <c r="C1208" s="29">
        <f t="shared" si="36"/>
        <v>5.9094397544128839E-2</v>
      </c>
      <c r="D1208" s="26"/>
      <c r="F1208" s="26">
        <v>56526.71</v>
      </c>
      <c r="G1208" s="29">
        <f t="shared" si="37"/>
        <v>2.0343987670682375E-2</v>
      </c>
      <c r="H1208" s="26"/>
    </row>
    <row r="1209" spans="1:8" x14ac:dyDescent="0.3">
      <c r="A1209" s="26" t="s">
        <v>327</v>
      </c>
      <c r="B1209" s="26">
        <v>69</v>
      </c>
      <c r="C1209" s="29">
        <f t="shared" si="36"/>
        <v>0</v>
      </c>
      <c r="D1209" s="26"/>
      <c r="F1209" s="26">
        <v>56644.58</v>
      </c>
      <c r="G1209" s="29">
        <f t="shared" si="37"/>
        <v>2.0852089215877348E-3</v>
      </c>
      <c r="H1209" s="26"/>
    </row>
    <row r="1210" spans="1:8" x14ac:dyDescent="0.3">
      <c r="A1210" s="26" t="s">
        <v>326</v>
      </c>
      <c r="B1210" s="26">
        <v>66.959999999999994</v>
      </c>
      <c r="C1210" s="29">
        <f t="shared" si="36"/>
        <v>-2.9565217391304438E-2</v>
      </c>
      <c r="D1210" s="26"/>
      <c r="F1210" s="26">
        <v>56765.279999999999</v>
      </c>
      <c r="G1210" s="29">
        <f t="shared" si="37"/>
        <v>2.1308305225318483E-3</v>
      </c>
      <c r="H1210" s="26"/>
    </row>
    <row r="1211" spans="1:8" x14ac:dyDescent="0.3">
      <c r="A1211" s="26" t="s">
        <v>325</v>
      </c>
      <c r="B1211" s="26">
        <v>65.7</v>
      </c>
      <c r="C1211" s="29">
        <f t="shared" si="36"/>
        <v>-1.8817204301075134E-2</v>
      </c>
      <c r="D1211" s="26"/>
      <c r="F1211" s="26">
        <v>57344.160000000003</v>
      </c>
      <c r="G1211" s="29">
        <f t="shared" si="37"/>
        <v>1.0197782870092506E-2</v>
      </c>
      <c r="H1211" s="26"/>
    </row>
    <row r="1212" spans="1:8" x14ac:dyDescent="0.3">
      <c r="A1212" s="26" t="s">
        <v>324</v>
      </c>
      <c r="B1212" s="26">
        <v>66.790000000000006</v>
      </c>
      <c r="C1212" s="29">
        <f t="shared" si="36"/>
        <v>1.6590563165905684E-2</v>
      </c>
      <c r="D1212" s="26"/>
      <c r="F1212" s="26">
        <v>57016.959999999999</v>
      </c>
      <c r="G1212" s="29">
        <f t="shared" si="37"/>
        <v>-5.705899258093664E-3</v>
      </c>
      <c r="H1212" s="26"/>
    </row>
    <row r="1213" spans="1:8" x14ac:dyDescent="0.3">
      <c r="A1213" s="26" t="s">
        <v>323</v>
      </c>
      <c r="B1213" s="26">
        <v>67</v>
      </c>
      <c r="C1213" s="29">
        <f t="shared" si="36"/>
        <v>3.1441832609671169E-3</v>
      </c>
      <c r="D1213" s="26"/>
      <c r="F1213" s="26">
        <v>57065.99</v>
      </c>
      <c r="G1213" s="29">
        <f t="shared" si="37"/>
        <v>8.599195748071949E-4</v>
      </c>
      <c r="H1213" s="26"/>
    </row>
    <row r="1214" spans="1:8" x14ac:dyDescent="0.3">
      <c r="A1214" s="26" t="s">
        <v>322</v>
      </c>
      <c r="B1214" s="26">
        <v>67.91</v>
      </c>
      <c r="C1214" s="29">
        <f t="shared" si="36"/>
        <v>1.3582089552238755E-2</v>
      </c>
      <c r="D1214" s="26"/>
      <c r="F1214" s="26">
        <v>57408.18</v>
      </c>
      <c r="G1214" s="29">
        <f t="shared" si="37"/>
        <v>5.9963911955264832E-3</v>
      </c>
      <c r="H1214" s="26"/>
    </row>
    <row r="1215" spans="1:8" x14ac:dyDescent="0.3">
      <c r="A1215" s="26" t="s">
        <v>321</v>
      </c>
      <c r="B1215" s="26">
        <v>71.010000000000005</v>
      </c>
      <c r="C1215" s="29">
        <f t="shared" si="36"/>
        <v>4.5648652628478996E-2</v>
      </c>
      <c r="D1215" s="26"/>
      <c r="F1215" s="26">
        <v>58178.27</v>
      </c>
      <c r="G1215" s="29">
        <f t="shared" si="37"/>
        <v>1.341429043735573E-2</v>
      </c>
      <c r="H1215" s="26"/>
    </row>
    <row r="1216" spans="1:8" x14ac:dyDescent="0.3">
      <c r="A1216" s="26" t="s">
        <v>320</v>
      </c>
      <c r="B1216" s="26">
        <v>71.510000000000005</v>
      </c>
      <c r="C1216" s="29">
        <f t="shared" si="36"/>
        <v>7.041261794113505E-3</v>
      </c>
      <c r="D1216" s="26"/>
      <c r="F1216" s="26">
        <v>58910.8</v>
      </c>
      <c r="G1216" s="29">
        <f t="shared" si="37"/>
        <v>1.25911272370252E-2</v>
      </c>
      <c r="H1216" s="26"/>
    </row>
    <row r="1217" spans="1:8" x14ac:dyDescent="0.3">
      <c r="A1217" s="26" t="s">
        <v>319</v>
      </c>
      <c r="B1217" s="26">
        <v>72.739999999999995</v>
      </c>
      <c r="C1217" s="29">
        <f t="shared" si="36"/>
        <v>1.7200391553628718E-2</v>
      </c>
      <c r="D1217" s="26"/>
      <c r="F1217" s="26">
        <v>59173.34</v>
      </c>
      <c r="G1217" s="29">
        <f t="shared" si="37"/>
        <v>4.4565682353659023E-3</v>
      </c>
      <c r="H1217" s="26"/>
    </row>
    <row r="1218" spans="1:8" x14ac:dyDescent="0.3">
      <c r="A1218" s="26" t="s">
        <v>318</v>
      </c>
      <c r="B1218" s="26">
        <v>74</v>
      </c>
      <c r="C1218" s="29">
        <f t="shared" si="36"/>
        <v>1.7321968655485361E-2</v>
      </c>
      <c r="D1218" s="26"/>
      <c r="F1218" s="26">
        <v>59774.06</v>
      </c>
      <c r="G1218" s="29">
        <f t="shared" si="37"/>
        <v>1.0151869068063443E-2</v>
      </c>
      <c r="H1218" s="26"/>
    </row>
    <row r="1219" spans="1:8" x14ac:dyDescent="0.3">
      <c r="A1219" s="26" t="s">
        <v>317</v>
      </c>
      <c r="B1219" s="26">
        <v>75</v>
      </c>
      <c r="C1219" s="29">
        <f t="shared" si="36"/>
        <v>1.3513513513513514E-2</v>
      </c>
      <c r="D1219" s="26"/>
      <c r="F1219" s="26">
        <v>60845.53</v>
      </c>
      <c r="G1219" s="29">
        <f t="shared" si="37"/>
        <v>1.7925334166693733E-2</v>
      </c>
      <c r="H1219" s="26"/>
    </row>
    <row r="1220" spans="1:8" x14ac:dyDescent="0.3">
      <c r="A1220" s="26" t="s">
        <v>316</v>
      </c>
      <c r="B1220" s="26">
        <v>73.900000000000006</v>
      </c>
      <c r="C1220" s="29">
        <f t="shared" si="36"/>
        <v>-1.466666666666659E-2</v>
      </c>
      <c r="D1220" s="26"/>
      <c r="F1220" s="26">
        <v>60498.96</v>
      </c>
      <c r="G1220" s="29">
        <f t="shared" si="37"/>
        <v>-5.6958991071324339E-3</v>
      </c>
      <c r="H1220" s="26"/>
    </row>
    <row r="1221" spans="1:8" x14ac:dyDescent="0.3">
      <c r="A1221" s="26" t="s">
        <v>315</v>
      </c>
      <c r="B1221" s="26">
        <v>73.5</v>
      </c>
      <c r="C1221" s="29">
        <f t="shared" ref="C1221:C1284" si="38">(B1221-B1220)/B1220</f>
        <v>-5.4127198917456789E-3</v>
      </c>
      <c r="D1221" s="26"/>
      <c r="F1221" s="26">
        <v>60526.77</v>
      </c>
      <c r="G1221" s="29">
        <f t="shared" ref="G1221:G1284" si="39">(F1221-F1220)/F1220</f>
        <v>4.5967732337874357E-4</v>
      </c>
      <c r="H1221" s="26"/>
    </row>
    <row r="1222" spans="1:8" x14ac:dyDescent="0.3">
      <c r="A1222" s="27">
        <v>44938</v>
      </c>
      <c r="B1222" s="26">
        <v>74.83</v>
      </c>
      <c r="C1222" s="29">
        <f t="shared" si="38"/>
        <v>1.8095238095238071E-2</v>
      </c>
      <c r="D1222" s="26"/>
      <c r="F1222" s="26">
        <v>61691.25</v>
      </c>
      <c r="G1222" s="29">
        <f t="shared" si="39"/>
        <v>1.9239090405782488E-2</v>
      </c>
      <c r="H1222" s="26"/>
    </row>
    <row r="1223" spans="1:8" x14ac:dyDescent="0.3">
      <c r="A1223" s="27">
        <v>45028</v>
      </c>
      <c r="B1223" s="26">
        <v>75.680000000000007</v>
      </c>
      <c r="C1223" s="29">
        <f t="shared" si="38"/>
        <v>1.135908058265413E-2</v>
      </c>
      <c r="D1223" s="26"/>
      <c r="F1223" s="26">
        <v>62575.35</v>
      </c>
      <c r="G1223" s="29">
        <f t="shared" si="39"/>
        <v>1.433104370554979E-2</v>
      </c>
      <c r="H1223" s="26"/>
    </row>
    <row r="1224" spans="1:8" x14ac:dyDescent="0.3">
      <c r="A1224" s="27">
        <v>45058</v>
      </c>
      <c r="B1224" s="26">
        <v>76</v>
      </c>
      <c r="C1224" s="29">
        <f t="shared" si="38"/>
        <v>4.2283298097250677E-3</v>
      </c>
      <c r="D1224" s="26"/>
      <c r="F1224" s="26">
        <v>63028.13</v>
      </c>
      <c r="G1224" s="29">
        <f t="shared" si="39"/>
        <v>7.2357565718769263E-3</v>
      </c>
      <c r="H1224" s="26"/>
    </row>
    <row r="1225" spans="1:8" x14ac:dyDescent="0.3">
      <c r="A1225" s="27">
        <v>45089</v>
      </c>
      <c r="B1225" s="26">
        <v>76.89</v>
      </c>
      <c r="C1225" s="29">
        <f t="shared" si="38"/>
        <v>1.1710526315789482E-2</v>
      </c>
      <c r="D1225" s="26"/>
      <c r="F1225" s="26">
        <v>63778.75</v>
      </c>
      <c r="G1225" s="29">
        <f t="shared" si="39"/>
        <v>1.190928558407179E-2</v>
      </c>
      <c r="H1225" s="26"/>
    </row>
    <row r="1226" spans="1:8" x14ac:dyDescent="0.3">
      <c r="A1226" s="27">
        <v>45119</v>
      </c>
      <c r="B1226" s="26">
        <v>82.66</v>
      </c>
      <c r="C1226" s="29">
        <f t="shared" si="38"/>
        <v>7.5042268175315327E-2</v>
      </c>
      <c r="D1226" s="26"/>
      <c r="F1226" s="26">
        <v>64718.080000000002</v>
      </c>
      <c r="G1226" s="29">
        <f t="shared" si="39"/>
        <v>1.4727946220332034E-2</v>
      </c>
      <c r="H1226" s="26"/>
    </row>
    <row r="1227" spans="1:8" x14ac:dyDescent="0.3">
      <c r="A1227" s="27">
        <v>45150</v>
      </c>
      <c r="B1227" s="26">
        <v>87</v>
      </c>
      <c r="C1227" s="29">
        <f t="shared" si="38"/>
        <v>5.250423421243653E-2</v>
      </c>
      <c r="D1227" s="26"/>
      <c r="F1227" s="26">
        <v>66223.63</v>
      </c>
      <c r="G1227" s="29">
        <f t="shared" si="39"/>
        <v>2.3263205583354804E-2</v>
      </c>
      <c r="H1227" s="26"/>
    </row>
    <row r="1228" spans="1:8" x14ac:dyDescent="0.3">
      <c r="A1228" s="27">
        <v>45242</v>
      </c>
      <c r="B1228" s="26">
        <v>85.75</v>
      </c>
      <c r="C1228" s="29">
        <f t="shared" si="38"/>
        <v>-1.4367816091954023E-2</v>
      </c>
      <c r="D1228" s="26"/>
      <c r="F1228" s="26">
        <v>66012.33</v>
      </c>
      <c r="G1228" s="29">
        <f t="shared" si="39"/>
        <v>-3.190703982853294E-3</v>
      </c>
      <c r="H1228" s="26"/>
    </row>
    <row r="1229" spans="1:8" x14ac:dyDescent="0.3">
      <c r="A1229" s="27">
        <v>45272</v>
      </c>
      <c r="B1229" s="26">
        <v>85.5</v>
      </c>
      <c r="C1229" s="29">
        <f t="shared" si="38"/>
        <v>-2.9154518950437317E-3</v>
      </c>
      <c r="D1229" s="26"/>
      <c r="F1229" s="26">
        <v>66426.78</v>
      </c>
      <c r="G1229" s="29">
        <f t="shared" si="39"/>
        <v>6.2783725404026349E-3</v>
      </c>
      <c r="H1229" s="26"/>
    </row>
    <row r="1230" spans="1:8" x14ac:dyDescent="0.3">
      <c r="A1230" s="26" t="s">
        <v>314</v>
      </c>
      <c r="B1230" s="26">
        <v>83.6</v>
      </c>
      <c r="C1230" s="29">
        <f t="shared" si="38"/>
        <v>-2.2222222222222289E-2</v>
      </c>
      <c r="D1230" s="26"/>
      <c r="F1230" s="26">
        <v>65280.160000000003</v>
      </c>
      <c r="G1230" s="29">
        <f t="shared" si="39"/>
        <v>-1.726141173785626E-2</v>
      </c>
      <c r="H1230" s="26"/>
    </row>
    <row r="1231" spans="1:8" x14ac:dyDescent="0.3">
      <c r="A1231" s="26" t="s">
        <v>313</v>
      </c>
      <c r="B1231" s="26">
        <v>82.9</v>
      </c>
      <c r="C1231" s="29">
        <f t="shared" si="38"/>
        <v>-8.3732057416266593E-3</v>
      </c>
      <c r="D1231" s="26"/>
      <c r="F1231" s="26">
        <v>65450.19</v>
      </c>
      <c r="G1231" s="29">
        <f t="shared" si="39"/>
        <v>2.6046198416180173E-3</v>
      </c>
      <c r="H1231" s="26"/>
    </row>
    <row r="1232" spans="1:8" x14ac:dyDescent="0.3">
      <c r="A1232" s="26" t="s">
        <v>312</v>
      </c>
      <c r="B1232" s="26">
        <v>82.4</v>
      </c>
      <c r="C1232" s="29">
        <f t="shared" si="38"/>
        <v>-6.0313630880579009E-3</v>
      </c>
      <c r="D1232" s="26"/>
      <c r="F1232" s="26">
        <v>66130.02</v>
      </c>
      <c r="G1232" s="29">
        <f t="shared" si="39"/>
        <v>1.0386982833816094E-2</v>
      </c>
      <c r="H1232" s="26"/>
    </row>
    <row r="1233" spans="1:8" x14ac:dyDescent="0.3">
      <c r="A1233" s="26" t="s">
        <v>311</v>
      </c>
      <c r="B1233" s="26">
        <v>80.2</v>
      </c>
      <c r="C1233" s="29">
        <f t="shared" si="38"/>
        <v>-2.6699029126213625E-2</v>
      </c>
      <c r="D1233" s="26"/>
      <c r="F1233" s="26">
        <v>65204.68</v>
      </c>
      <c r="G1233" s="29">
        <f t="shared" si="39"/>
        <v>-1.3992737337747724E-2</v>
      </c>
      <c r="H1233" s="26"/>
    </row>
    <row r="1234" spans="1:8" x14ac:dyDescent="0.3">
      <c r="A1234" s="26" t="s">
        <v>310</v>
      </c>
      <c r="B1234" s="26">
        <v>79.5</v>
      </c>
      <c r="C1234" s="29">
        <f t="shared" si="38"/>
        <v>-8.7281795511222303E-3</v>
      </c>
      <c r="D1234" s="26"/>
      <c r="F1234" s="26">
        <v>62833.03</v>
      </c>
      <c r="G1234" s="29">
        <f t="shared" si="39"/>
        <v>-3.6372389221141818E-2</v>
      </c>
      <c r="H1234" s="26"/>
    </row>
    <row r="1235" spans="1:8" x14ac:dyDescent="0.3">
      <c r="A1235" s="26" t="s">
        <v>309</v>
      </c>
      <c r="B1235" s="26">
        <v>79.2</v>
      </c>
      <c r="C1235" s="29">
        <f t="shared" si="38"/>
        <v>-3.7735849056603414E-3</v>
      </c>
      <c r="D1235" s="26"/>
      <c r="F1235" s="26">
        <v>62448.01</v>
      </c>
      <c r="G1235" s="29">
        <f t="shared" si="39"/>
        <v>-6.1276688391439472E-3</v>
      </c>
      <c r="H1235" s="26"/>
    </row>
    <row r="1236" spans="1:8" x14ac:dyDescent="0.3">
      <c r="A1236" s="26" t="s">
        <v>308</v>
      </c>
      <c r="B1236" s="26">
        <v>78.7</v>
      </c>
      <c r="C1236" s="29">
        <f t="shared" si="38"/>
        <v>-6.313131313131313E-3</v>
      </c>
      <c r="D1236" s="26"/>
      <c r="F1236" s="26">
        <v>62693.57</v>
      </c>
      <c r="G1236" s="29">
        <f t="shared" si="39"/>
        <v>3.932230987024209E-3</v>
      </c>
      <c r="H1236" s="26"/>
    </row>
    <row r="1237" spans="1:8" x14ac:dyDescent="0.3">
      <c r="A1237" s="26" t="s">
        <v>307</v>
      </c>
      <c r="B1237" s="26">
        <v>77.8</v>
      </c>
      <c r="C1237" s="29">
        <f t="shared" si="38"/>
        <v>-1.1435832274460047E-2</v>
      </c>
      <c r="D1237" s="26"/>
      <c r="F1237" s="26">
        <v>61705.09</v>
      </c>
      <c r="G1237" s="29">
        <f t="shared" si="39"/>
        <v>-1.5766848179167389E-2</v>
      </c>
      <c r="H1237" s="26"/>
    </row>
    <row r="1238" spans="1:8" x14ac:dyDescent="0.3">
      <c r="A1238" s="26" t="s">
        <v>306</v>
      </c>
      <c r="B1238" s="26">
        <v>76</v>
      </c>
      <c r="C1238" s="29">
        <f t="shared" si="38"/>
        <v>-2.3136246786632356E-2</v>
      </c>
      <c r="D1238" s="26"/>
      <c r="F1238" s="26">
        <v>59170.98</v>
      </c>
      <c r="G1238" s="29">
        <f t="shared" si="39"/>
        <v>-4.1068086927674739E-2</v>
      </c>
      <c r="H1238" s="26"/>
    </row>
    <row r="1239" spans="1:8" x14ac:dyDescent="0.3">
      <c r="A1239" s="26" t="s">
        <v>305</v>
      </c>
      <c r="B1239" s="26">
        <v>78.5</v>
      </c>
      <c r="C1239" s="29">
        <f t="shared" si="38"/>
        <v>3.2894736842105261E-2</v>
      </c>
      <c r="D1239" s="26"/>
      <c r="F1239" s="26">
        <v>60863.62</v>
      </c>
      <c r="G1239" s="29">
        <f t="shared" si="39"/>
        <v>2.8605914588536462E-2</v>
      </c>
      <c r="H1239" s="26"/>
    </row>
    <row r="1240" spans="1:8" x14ac:dyDescent="0.3">
      <c r="A1240" s="26" t="s">
        <v>304</v>
      </c>
      <c r="B1240" s="26">
        <v>82.6</v>
      </c>
      <c r="C1240" s="29">
        <f t="shared" si="38"/>
        <v>5.2229299363057251E-2</v>
      </c>
      <c r="D1240" s="26"/>
      <c r="F1240" s="26">
        <v>62052.24</v>
      </c>
      <c r="G1240" s="29">
        <f t="shared" si="39"/>
        <v>1.9529236019809458E-2</v>
      </c>
      <c r="H1240" s="26"/>
    </row>
    <row r="1241" spans="1:8" x14ac:dyDescent="0.3">
      <c r="A1241" s="26" t="s">
        <v>303</v>
      </c>
      <c r="B1241" s="26">
        <v>80</v>
      </c>
      <c r="C1241" s="29">
        <f t="shared" si="38"/>
        <v>-3.1476997578692427E-2</v>
      </c>
      <c r="D1241" s="26"/>
      <c r="F1241" s="26">
        <v>62451.040000000001</v>
      </c>
      <c r="G1241" s="29">
        <f t="shared" si="39"/>
        <v>6.426842931052979E-3</v>
      </c>
      <c r="H1241" s="26"/>
    </row>
    <row r="1242" spans="1:8" x14ac:dyDescent="0.3">
      <c r="A1242" s="27">
        <v>45292</v>
      </c>
      <c r="B1242" s="26">
        <v>83.6</v>
      </c>
      <c r="C1242" s="29">
        <f t="shared" si="38"/>
        <v>4.4999999999999929E-2</v>
      </c>
      <c r="D1242" s="26"/>
      <c r="F1242" s="26">
        <v>64661.78</v>
      </c>
      <c r="G1242" s="29">
        <f t="shared" si="39"/>
        <v>3.5399570607631159E-2</v>
      </c>
      <c r="H1242" s="26"/>
    </row>
    <row r="1243" spans="1:8" x14ac:dyDescent="0.3">
      <c r="A1243" s="27">
        <v>45323</v>
      </c>
      <c r="B1243" s="26">
        <v>83.2</v>
      </c>
      <c r="C1243" s="29">
        <f t="shared" si="38"/>
        <v>-4.7846889952152093E-3</v>
      </c>
      <c r="D1243" s="26"/>
      <c r="F1243" s="26">
        <v>64349.599999999999</v>
      </c>
      <c r="G1243" s="29">
        <f t="shared" si="39"/>
        <v>-4.8278906024548087E-3</v>
      </c>
      <c r="H1243" s="26"/>
    </row>
    <row r="1244" spans="1:8" x14ac:dyDescent="0.3">
      <c r="A1244" s="27">
        <v>45352</v>
      </c>
      <c r="B1244" s="26">
        <v>83.65</v>
      </c>
      <c r="C1244" s="29">
        <f t="shared" si="38"/>
        <v>5.4086538461538798E-3</v>
      </c>
      <c r="D1244" s="26"/>
      <c r="F1244" s="26">
        <v>64646.85</v>
      </c>
      <c r="G1244" s="29">
        <f t="shared" si="39"/>
        <v>4.6192983328567699E-3</v>
      </c>
      <c r="H1244" s="26"/>
    </row>
    <row r="1245" spans="1:8" x14ac:dyDescent="0.3">
      <c r="A1245" s="27">
        <v>45383</v>
      </c>
      <c r="B1245" s="26">
        <v>83</v>
      </c>
      <c r="C1245" s="29">
        <f t="shared" si="38"/>
        <v>-7.770472205618717E-3</v>
      </c>
      <c r="D1245" s="26"/>
      <c r="F1245" s="26">
        <v>64639.16</v>
      </c>
      <c r="G1245" s="29">
        <f t="shared" si="39"/>
        <v>-1.1895397842269272E-4</v>
      </c>
      <c r="H1245" s="26"/>
    </row>
    <row r="1246" spans="1:8" x14ac:dyDescent="0.3">
      <c r="A1246" s="27">
        <v>45413</v>
      </c>
      <c r="B1246" s="26">
        <v>82</v>
      </c>
      <c r="C1246" s="29">
        <f t="shared" si="38"/>
        <v>-1.2048192771084338E-2</v>
      </c>
      <c r="D1246" s="26"/>
      <c r="F1246" s="26">
        <v>64514.9</v>
      </c>
      <c r="G1246" s="29">
        <f t="shared" si="39"/>
        <v>-1.9223640901274402E-3</v>
      </c>
      <c r="H1246" s="26"/>
    </row>
    <row r="1247" spans="1:8" x14ac:dyDescent="0.3">
      <c r="A1247" s="27">
        <v>45505</v>
      </c>
      <c r="B1247" s="26">
        <v>82.5</v>
      </c>
      <c r="C1247" s="29">
        <f t="shared" si="38"/>
        <v>6.0975609756097563E-3</v>
      </c>
      <c r="D1247" s="26"/>
      <c r="F1247" s="26">
        <v>64237.03</v>
      </c>
      <c r="G1247" s="29">
        <f t="shared" si="39"/>
        <v>-4.3070670496273356E-3</v>
      </c>
      <c r="H1247" s="26"/>
    </row>
    <row r="1248" spans="1:8" x14ac:dyDescent="0.3">
      <c r="A1248" s="27">
        <v>45536</v>
      </c>
      <c r="B1248" s="26">
        <v>83.87</v>
      </c>
      <c r="C1248" s="29">
        <f t="shared" si="38"/>
        <v>1.6606060606060662E-2</v>
      </c>
      <c r="D1248" s="26"/>
      <c r="F1248" s="26">
        <v>64170.58</v>
      </c>
      <c r="G1248" s="29">
        <f t="shared" si="39"/>
        <v>-1.034450067196399E-3</v>
      </c>
      <c r="H1248" s="26"/>
    </row>
    <row r="1249" spans="1:8" x14ac:dyDescent="0.3">
      <c r="A1249" s="27">
        <v>45566</v>
      </c>
      <c r="B1249" s="26">
        <v>81.94</v>
      </c>
      <c r="C1249" s="29">
        <f t="shared" si="38"/>
        <v>-2.3011803982353723E-2</v>
      </c>
      <c r="D1249" s="26"/>
      <c r="F1249" s="26">
        <v>63919.85</v>
      </c>
      <c r="G1249" s="29">
        <f t="shared" si="39"/>
        <v>-3.9072422284480391E-3</v>
      </c>
      <c r="H1249" s="26"/>
    </row>
    <row r="1250" spans="1:8" x14ac:dyDescent="0.3">
      <c r="A1250" s="27">
        <v>45597</v>
      </c>
      <c r="B1250" s="26">
        <v>81.709999999999994</v>
      </c>
      <c r="C1250" s="29">
        <f t="shared" si="38"/>
        <v>-2.8069319013913105E-3</v>
      </c>
      <c r="D1250" s="26"/>
      <c r="F1250" s="26">
        <v>64617.57</v>
      </c>
      <c r="G1250" s="29">
        <f t="shared" si="39"/>
        <v>1.0915545014576868E-2</v>
      </c>
      <c r="H1250" s="26"/>
    </row>
    <row r="1251" spans="1:8" x14ac:dyDescent="0.3">
      <c r="A1251" s="27">
        <v>45627</v>
      </c>
      <c r="B1251" s="26">
        <v>82.4</v>
      </c>
      <c r="C1251" s="29">
        <f t="shared" si="38"/>
        <v>8.4444988373517556E-3</v>
      </c>
      <c r="D1251" s="26"/>
      <c r="F1251" s="26">
        <v>64637.64</v>
      </c>
      <c r="G1251" s="29">
        <f t="shared" si="39"/>
        <v>3.1059663803513054E-4</v>
      </c>
      <c r="H1251" s="26"/>
    </row>
    <row r="1252" spans="1:8" x14ac:dyDescent="0.3">
      <c r="A1252" s="26" t="s">
        <v>302</v>
      </c>
      <c r="B1252" s="26">
        <v>82</v>
      </c>
      <c r="C1252" s="29">
        <f t="shared" si="38"/>
        <v>-4.8543689320389039E-3</v>
      </c>
      <c r="D1252" s="26"/>
      <c r="F1252" s="26">
        <v>64269.38</v>
      </c>
      <c r="G1252" s="29">
        <f t="shared" si="39"/>
        <v>-5.6972995920024621E-3</v>
      </c>
      <c r="H1252" s="26"/>
    </row>
    <row r="1253" spans="1:8" x14ac:dyDescent="0.3">
      <c r="A1253" s="26" t="s">
        <v>301</v>
      </c>
      <c r="B1253" s="26">
        <v>82.5</v>
      </c>
      <c r="C1253" s="29">
        <f t="shared" si="38"/>
        <v>6.0975609756097563E-3</v>
      </c>
      <c r="D1253" s="26"/>
      <c r="F1253" s="26">
        <v>63737.46</v>
      </c>
      <c r="G1253" s="29">
        <f t="shared" si="39"/>
        <v>-8.2764140559625481E-3</v>
      </c>
      <c r="H1253" s="26"/>
    </row>
    <row r="1254" spans="1:8" x14ac:dyDescent="0.3">
      <c r="A1254" s="26" t="s">
        <v>300</v>
      </c>
      <c r="B1254" s="26">
        <v>82.38</v>
      </c>
      <c r="C1254" s="29">
        <f t="shared" si="38"/>
        <v>-1.4545454545455098E-3</v>
      </c>
      <c r="D1254" s="26"/>
      <c r="F1254" s="26">
        <v>63567.34</v>
      </c>
      <c r="G1254" s="29">
        <f t="shared" si="39"/>
        <v>-2.6690740421724153E-3</v>
      </c>
      <c r="H1254" s="26"/>
    </row>
    <row r="1255" spans="1:8" x14ac:dyDescent="0.3">
      <c r="A1255" s="26" t="s">
        <v>299</v>
      </c>
      <c r="B1255" s="26">
        <v>81.5</v>
      </c>
      <c r="C1255" s="29">
        <f t="shared" si="38"/>
        <v>-1.0682204418548136E-2</v>
      </c>
      <c r="D1255" s="26"/>
      <c r="F1255" s="26">
        <v>63202.400000000001</v>
      </c>
      <c r="G1255" s="29">
        <f t="shared" si="39"/>
        <v>-5.7409984435402685E-3</v>
      </c>
      <c r="H1255" s="26"/>
    </row>
    <row r="1256" spans="1:8" x14ac:dyDescent="0.3">
      <c r="A1256" s="26" t="s">
        <v>298</v>
      </c>
      <c r="B1256" s="26">
        <v>80.5</v>
      </c>
      <c r="C1256" s="29">
        <f t="shared" si="38"/>
        <v>-1.2269938650306749E-2</v>
      </c>
      <c r="D1256" s="26"/>
      <c r="F1256" s="26">
        <v>63282.23</v>
      </c>
      <c r="G1256" s="29">
        <f t="shared" si="39"/>
        <v>1.2630849461413133E-3</v>
      </c>
      <c r="H1256" s="26"/>
    </row>
    <row r="1257" spans="1:8" x14ac:dyDescent="0.3">
      <c r="A1257" s="26" t="s">
        <v>297</v>
      </c>
      <c r="B1257" s="26">
        <v>86.24</v>
      </c>
      <c r="C1257" s="29">
        <f t="shared" si="38"/>
        <v>7.1304347826086897E-2</v>
      </c>
      <c r="D1257" s="26"/>
      <c r="F1257" s="26">
        <v>63939.41</v>
      </c>
      <c r="G1257" s="29">
        <f t="shared" si="39"/>
        <v>1.038490584165571E-2</v>
      </c>
      <c r="H1257" s="26"/>
    </row>
    <row r="1258" spans="1:8" x14ac:dyDescent="0.3">
      <c r="A1258" s="26" t="s">
        <v>296</v>
      </c>
      <c r="B1258" s="26">
        <v>87.7</v>
      </c>
      <c r="C1258" s="29">
        <f t="shared" si="38"/>
        <v>1.6929499072356309E-2</v>
      </c>
      <c r="D1258" s="26"/>
      <c r="F1258" s="26">
        <v>64454.22</v>
      </c>
      <c r="G1258" s="29">
        <f t="shared" si="39"/>
        <v>8.0515287832652448E-3</v>
      </c>
      <c r="H1258" s="26"/>
    </row>
    <row r="1259" spans="1:8" x14ac:dyDescent="0.3">
      <c r="A1259" s="26" t="s">
        <v>295</v>
      </c>
      <c r="B1259" s="26">
        <v>88.89</v>
      </c>
      <c r="C1259" s="29">
        <f t="shared" si="38"/>
        <v>1.3568985176738857E-2</v>
      </c>
      <c r="D1259" s="26"/>
      <c r="F1259" s="26">
        <v>64822.43</v>
      </c>
      <c r="G1259" s="29">
        <f t="shared" si="39"/>
        <v>5.7127368851876432E-3</v>
      </c>
      <c r="H1259" s="26"/>
    </row>
    <row r="1260" spans="1:8" x14ac:dyDescent="0.3">
      <c r="A1260" s="26" t="s">
        <v>294</v>
      </c>
      <c r="B1260" s="26">
        <v>87.6</v>
      </c>
      <c r="C1260" s="29">
        <f t="shared" si="38"/>
        <v>-1.451231859601762E-2</v>
      </c>
      <c r="D1260" s="26"/>
      <c r="F1260" s="26">
        <v>64298.01</v>
      </c>
      <c r="G1260" s="29">
        <f t="shared" si="39"/>
        <v>-8.0901009110580738E-3</v>
      </c>
      <c r="H1260" s="26"/>
    </row>
    <row r="1261" spans="1:8" x14ac:dyDescent="0.3">
      <c r="A1261" s="26" t="s">
        <v>293</v>
      </c>
      <c r="B1261" s="26">
        <v>86.5</v>
      </c>
      <c r="C1261" s="29">
        <f t="shared" si="38"/>
        <v>-1.2557077625570711E-2</v>
      </c>
      <c r="D1261" s="26"/>
      <c r="F1261" s="26">
        <v>63813.06</v>
      </c>
      <c r="G1261" s="29">
        <f t="shared" si="39"/>
        <v>-7.5422240906056716E-3</v>
      </c>
      <c r="H1261" s="26"/>
    </row>
    <row r="1262" spans="1:8" x14ac:dyDescent="0.3">
      <c r="A1262" s="26" t="s">
        <v>292</v>
      </c>
      <c r="B1262" s="26">
        <v>87.45</v>
      </c>
      <c r="C1262" s="29">
        <f t="shared" si="38"/>
        <v>1.0982658959537605E-2</v>
      </c>
      <c r="D1262" s="26"/>
      <c r="F1262" s="26">
        <v>62773.72</v>
      </c>
      <c r="G1262" s="29">
        <f t="shared" si="39"/>
        <v>-1.6287261573101126E-2</v>
      </c>
      <c r="H1262" s="26"/>
    </row>
    <row r="1263" spans="1:8" x14ac:dyDescent="0.3">
      <c r="A1263" s="26" t="s">
        <v>291</v>
      </c>
      <c r="B1263" s="26">
        <v>87</v>
      </c>
      <c r="C1263" s="29">
        <f t="shared" si="38"/>
        <v>-5.1457975986278198E-3</v>
      </c>
      <c r="D1263" s="26"/>
      <c r="F1263" s="26">
        <v>61841.74</v>
      </c>
      <c r="G1263" s="29">
        <f t="shared" si="39"/>
        <v>-1.4846658761022976E-2</v>
      </c>
      <c r="H1263" s="26"/>
    </row>
    <row r="1264" spans="1:8" x14ac:dyDescent="0.3">
      <c r="A1264" s="26" t="s">
        <v>290</v>
      </c>
      <c r="B1264" s="26">
        <v>85.7</v>
      </c>
      <c r="C1264" s="29">
        <f t="shared" si="38"/>
        <v>-1.4942528735632151E-2</v>
      </c>
      <c r="D1264" s="26"/>
      <c r="F1264" s="26">
        <v>61979.18</v>
      </c>
      <c r="G1264" s="29">
        <f t="shared" si="39"/>
        <v>2.2224471691773603E-3</v>
      </c>
      <c r="H1264" s="26"/>
    </row>
    <row r="1265" spans="1:8" x14ac:dyDescent="0.3">
      <c r="A1265" s="27">
        <v>45293</v>
      </c>
      <c r="B1265" s="26">
        <v>85.69</v>
      </c>
      <c r="C1265" s="29">
        <f t="shared" si="38"/>
        <v>-1.1668611435245176E-4</v>
      </c>
      <c r="D1265" s="26"/>
      <c r="F1265" s="26">
        <v>62393.74</v>
      </c>
      <c r="G1265" s="29">
        <f t="shared" si="39"/>
        <v>6.6886977207507052E-3</v>
      </c>
      <c r="H1265" s="26"/>
    </row>
    <row r="1266" spans="1:8" x14ac:dyDescent="0.3">
      <c r="A1266" s="27">
        <v>45324</v>
      </c>
      <c r="B1266" s="26">
        <v>85.5</v>
      </c>
      <c r="C1266" s="29">
        <f t="shared" si="38"/>
        <v>-2.217294900221703E-3</v>
      </c>
      <c r="D1266" s="26"/>
      <c r="F1266" s="26">
        <v>63002.92</v>
      </c>
      <c r="G1266" s="29">
        <f t="shared" si="39"/>
        <v>9.7634794772680777E-3</v>
      </c>
      <c r="H1266" s="26"/>
    </row>
    <row r="1267" spans="1:8" x14ac:dyDescent="0.3">
      <c r="A1267" s="27">
        <v>45445</v>
      </c>
      <c r="B1267" s="26">
        <v>87.87</v>
      </c>
      <c r="C1267" s="29">
        <f t="shared" si="38"/>
        <v>2.7719298245614088E-2</v>
      </c>
      <c r="D1267" s="26"/>
      <c r="F1267" s="26">
        <v>63799.02</v>
      </c>
      <c r="G1267" s="29">
        <f t="shared" si="39"/>
        <v>1.2635922271539137E-2</v>
      </c>
      <c r="H1267" s="26"/>
    </row>
    <row r="1268" spans="1:8" x14ac:dyDescent="0.3">
      <c r="A1268" s="27">
        <v>45475</v>
      </c>
      <c r="B1268" s="26">
        <v>88.01</v>
      </c>
      <c r="C1268" s="29">
        <f t="shared" si="38"/>
        <v>1.5932627745533238E-3</v>
      </c>
      <c r="D1268" s="26"/>
      <c r="F1268" s="26">
        <v>64143.87</v>
      </c>
      <c r="G1268" s="29">
        <f t="shared" si="39"/>
        <v>5.4052554412278722E-3</v>
      </c>
      <c r="H1268" s="26"/>
    </row>
    <row r="1269" spans="1:8" x14ac:dyDescent="0.3">
      <c r="A1269" s="27">
        <v>45537</v>
      </c>
      <c r="B1269" s="26">
        <v>87.94</v>
      </c>
      <c r="C1269" s="29">
        <f t="shared" si="38"/>
        <v>-7.9536416316336087E-4</v>
      </c>
      <c r="D1269" s="26"/>
      <c r="F1269" s="26">
        <v>62943.75</v>
      </c>
      <c r="G1269" s="29">
        <f t="shared" si="39"/>
        <v>-1.8709815918497005E-2</v>
      </c>
      <c r="H1269" s="26"/>
    </row>
    <row r="1270" spans="1:8" x14ac:dyDescent="0.3">
      <c r="A1270" s="27">
        <v>45628</v>
      </c>
      <c r="B1270" s="26">
        <v>85.1</v>
      </c>
      <c r="C1270" s="29">
        <f t="shared" si="38"/>
        <v>-3.2294746418012318E-2</v>
      </c>
      <c r="D1270" s="26"/>
      <c r="F1270" s="26">
        <v>61065.32</v>
      </c>
      <c r="G1270" s="29">
        <f t="shared" si="39"/>
        <v>-2.9842994737364716E-2</v>
      </c>
      <c r="H1270" s="26"/>
    </row>
    <row r="1271" spans="1:8" x14ac:dyDescent="0.3">
      <c r="A1271" s="26" t="s">
        <v>289</v>
      </c>
      <c r="B1271" s="26">
        <v>84.88</v>
      </c>
      <c r="C1271" s="29">
        <f t="shared" si="38"/>
        <v>-2.5851938895417024E-3</v>
      </c>
      <c r="D1271" s="26"/>
      <c r="F1271" s="26">
        <v>61226.93</v>
      </c>
      <c r="G1271" s="29">
        <f t="shared" si="39"/>
        <v>2.6465103269744691E-3</v>
      </c>
      <c r="H1271" s="26"/>
    </row>
    <row r="1272" spans="1:8" x14ac:dyDescent="0.3">
      <c r="A1272" s="26" t="s">
        <v>288</v>
      </c>
      <c r="B1272" s="26">
        <v>85</v>
      </c>
      <c r="C1272" s="29">
        <f t="shared" si="38"/>
        <v>1.4137606032045777E-3</v>
      </c>
      <c r="D1272" s="26"/>
      <c r="F1272" s="26">
        <v>62153.84</v>
      </c>
      <c r="G1272" s="29">
        <f t="shared" si="39"/>
        <v>1.5138926612848238E-2</v>
      </c>
      <c r="H1272" s="26"/>
    </row>
    <row r="1273" spans="1:8" x14ac:dyDescent="0.3">
      <c r="A1273" s="26" t="s">
        <v>287</v>
      </c>
      <c r="B1273" s="26">
        <v>84.4</v>
      </c>
      <c r="C1273" s="29">
        <f t="shared" si="38"/>
        <v>-7.0588235294116982E-3</v>
      </c>
      <c r="D1273" s="26"/>
      <c r="F1273" s="26">
        <v>61020.06</v>
      </c>
      <c r="G1273" s="29">
        <f t="shared" si="39"/>
        <v>-1.8241511707080351E-2</v>
      </c>
      <c r="H1273" s="26"/>
    </row>
    <row r="1274" spans="1:8" x14ac:dyDescent="0.3">
      <c r="A1274" s="26" t="s">
        <v>286</v>
      </c>
      <c r="B1274" s="26">
        <v>83</v>
      </c>
      <c r="C1274" s="29">
        <f t="shared" si="38"/>
        <v>-1.6587677725118551E-2</v>
      </c>
      <c r="D1274" s="26"/>
      <c r="F1274" s="26">
        <v>59872.959999999999</v>
      </c>
      <c r="G1274" s="29">
        <f t="shared" si="39"/>
        <v>-1.8798736022219556E-2</v>
      </c>
      <c r="H1274" s="26"/>
    </row>
    <row r="1275" spans="1:8" x14ac:dyDescent="0.3">
      <c r="A1275" s="26" t="s">
        <v>285</v>
      </c>
      <c r="B1275" s="26">
        <v>83.99</v>
      </c>
      <c r="C1275" s="29">
        <f t="shared" si="38"/>
        <v>1.1927710843373433E-2</v>
      </c>
      <c r="D1275" s="26"/>
      <c r="F1275" s="26">
        <v>60459.75</v>
      </c>
      <c r="G1275" s="29">
        <f t="shared" si="39"/>
        <v>9.8005844374489063E-3</v>
      </c>
      <c r="H1275" s="26"/>
    </row>
    <row r="1276" spans="1:8" x14ac:dyDescent="0.3">
      <c r="A1276" s="26" t="s">
        <v>284</v>
      </c>
      <c r="B1276" s="26">
        <v>83.9</v>
      </c>
      <c r="C1276" s="29">
        <f t="shared" si="38"/>
        <v>-1.0715561376353042E-3</v>
      </c>
      <c r="D1276" s="26"/>
      <c r="F1276" s="26">
        <v>60464.24</v>
      </c>
      <c r="G1276" s="29">
        <f t="shared" si="39"/>
        <v>7.4264283262798192E-5</v>
      </c>
      <c r="H1276" s="26"/>
    </row>
    <row r="1277" spans="1:8" x14ac:dyDescent="0.3">
      <c r="A1277" s="26" t="s">
        <v>283</v>
      </c>
      <c r="B1277" s="26">
        <v>84.25</v>
      </c>
      <c r="C1277" s="29">
        <f t="shared" si="38"/>
        <v>4.1716328963050569E-3</v>
      </c>
      <c r="D1277" s="26"/>
      <c r="F1277" s="26">
        <v>61559.16</v>
      </c>
      <c r="G1277" s="29">
        <f t="shared" si="39"/>
        <v>1.8108554742439591E-2</v>
      </c>
      <c r="H1277" s="26"/>
    </row>
    <row r="1278" spans="1:8" x14ac:dyDescent="0.3">
      <c r="A1278" s="26" t="s">
        <v>282</v>
      </c>
      <c r="B1278" s="26">
        <v>79</v>
      </c>
      <c r="C1278" s="29">
        <f t="shared" si="38"/>
        <v>-6.2314540059347182E-2</v>
      </c>
      <c r="D1278" s="26"/>
      <c r="F1278" s="26">
        <v>61914.34</v>
      </c>
      <c r="G1278" s="29">
        <f t="shared" si="39"/>
        <v>5.769734349851314E-3</v>
      </c>
      <c r="H1278" s="26"/>
    </row>
    <row r="1279" spans="1:8" x14ac:dyDescent="0.3">
      <c r="A1279" s="26" t="s">
        <v>281</v>
      </c>
      <c r="B1279" s="26">
        <v>79.099999999999994</v>
      </c>
      <c r="C1279" s="29">
        <f t="shared" si="38"/>
        <v>1.2658227848100546E-3</v>
      </c>
      <c r="D1279" s="26"/>
      <c r="F1279" s="26">
        <v>62815.82</v>
      </c>
      <c r="G1279" s="29">
        <f t="shared" si="39"/>
        <v>1.4560116444752592E-2</v>
      </c>
      <c r="H1279" s="26"/>
    </row>
    <row r="1280" spans="1:8" x14ac:dyDescent="0.3">
      <c r="A1280" s="26" t="s">
        <v>280</v>
      </c>
      <c r="B1280" s="26">
        <v>79.56</v>
      </c>
      <c r="C1280" s="29">
        <f t="shared" si="38"/>
        <v>5.8154235145386601E-3</v>
      </c>
      <c r="D1280" s="26"/>
      <c r="F1280" s="26">
        <v>63305.93</v>
      </c>
      <c r="G1280" s="29">
        <f t="shared" si="39"/>
        <v>7.8023338706714419E-3</v>
      </c>
      <c r="H1280" s="26"/>
    </row>
    <row r="1281" spans="1:8" x14ac:dyDescent="0.3">
      <c r="A1281" s="26" t="s">
        <v>279</v>
      </c>
      <c r="B1281" s="26">
        <v>80.989999999999995</v>
      </c>
      <c r="C1281" s="29">
        <f t="shared" si="38"/>
        <v>1.7973856209150232E-2</v>
      </c>
      <c r="D1281" s="26"/>
      <c r="F1281" s="26">
        <v>63219.1</v>
      </c>
      <c r="G1281" s="29">
        <f t="shared" si="39"/>
        <v>-1.3715934668363887E-3</v>
      </c>
      <c r="H1281" s="26"/>
    </row>
    <row r="1282" spans="1:8" x14ac:dyDescent="0.3">
      <c r="A1282" s="26" t="s">
        <v>278</v>
      </c>
      <c r="B1282" s="26">
        <v>80.88</v>
      </c>
      <c r="C1282" s="29">
        <f t="shared" si="38"/>
        <v>-1.3581923694283176E-3</v>
      </c>
      <c r="D1282" s="26"/>
      <c r="F1282" s="26">
        <v>63703.45</v>
      </c>
      <c r="G1282" s="29">
        <f t="shared" si="39"/>
        <v>7.6614504160925825E-3</v>
      </c>
      <c r="H1282" s="26"/>
    </row>
    <row r="1283" spans="1:8" x14ac:dyDescent="0.3">
      <c r="A1283" s="26" t="s">
        <v>277</v>
      </c>
      <c r="B1283" s="26">
        <v>82.5</v>
      </c>
      <c r="C1283" s="29">
        <f t="shared" si="38"/>
        <v>2.0029673590504508E-2</v>
      </c>
      <c r="D1283" s="26"/>
      <c r="F1283" s="26">
        <v>64578.52</v>
      </c>
      <c r="G1283" s="29">
        <f t="shared" si="39"/>
        <v>1.3736618660370823E-2</v>
      </c>
      <c r="H1283" s="26"/>
    </row>
    <row r="1284" spans="1:8" x14ac:dyDescent="0.3">
      <c r="A1284" s="27">
        <v>45294</v>
      </c>
      <c r="B1284" s="26">
        <v>86</v>
      </c>
      <c r="C1284" s="29">
        <f t="shared" si="38"/>
        <v>4.2424242424242427E-2</v>
      </c>
      <c r="D1284" s="26"/>
      <c r="F1284" s="26">
        <v>65325.69</v>
      </c>
      <c r="G1284" s="29">
        <f t="shared" si="39"/>
        <v>1.1569946167858997E-2</v>
      </c>
      <c r="H1284" s="26"/>
    </row>
    <row r="1285" spans="1:8" x14ac:dyDescent="0.3">
      <c r="A1285" s="27">
        <v>45385</v>
      </c>
      <c r="B1285" s="26">
        <v>86.3</v>
      </c>
      <c r="C1285" s="29">
        <f t="shared" ref="C1285:C1348" si="40">(B1285-B1284)/B1284</f>
        <v>3.4883720930232228E-3</v>
      </c>
      <c r="D1285" s="26"/>
      <c r="F1285" s="26">
        <v>65951.73</v>
      </c>
      <c r="G1285" s="29">
        <f t="shared" ref="G1285:G1348" si="41">(F1285-F1284)/F1284</f>
        <v>9.5833660539979531E-3</v>
      </c>
      <c r="H1285" s="26"/>
    </row>
    <row r="1286" spans="1:8" x14ac:dyDescent="0.3">
      <c r="A1286" s="27">
        <v>45415</v>
      </c>
      <c r="B1286" s="26">
        <v>86</v>
      </c>
      <c r="C1286" s="29">
        <f t="shared" si="40"/>
        <v>-3.4762456546928986E-3</v>
      </c>
      <c r="D1286" s="26"/>
      <c r="F1286" s="26">
        <v>65726.039999999994</v>
      </c>
      <c r="G1286" s="29">
        <f t="shared" si="41"/>
        <v>-3.4220482161726818E-3</v>
      </c>
      <c r="H1286" s="26"/>
    </row>
    <row r="1287" spans="1:8" x14ac:dyDescent="0.3">
      <c r="A1287" s="27">
        <v>45446</v>
      </c>
      <c r="B1287" s="26">
        <v>85.75</v>
      </c>
      <c r="C1287" s="29">
        <f t="shared" si="40"/>
        <v>-2.9069767441860465E-3</v>
      </c>
      <c r="D1287" s="26"/>
      <c r="F1287" s="26">
        <v>65656.62</v>
      </c>
      <c r="G1287" s="29">
        <f t="shared" si="41"/>
        <v>-1.05620238188697E-3</v>
      </c>
      <c r="H1287" s="26"/>
    </row>
    <row r="1288" spans="1:8" x14ac:dyDescent="0.3">
      <c r="A1288" s="27">
        <v>45476</v>
      </c>
      <c r="B1288" s="26">
        <v>83.95</v>
      </c>
      <c r="C1288" s="29">
        <f t="shared" si="40"/>
        <v>-2.0991253644314836E-2</v>
      </c>
      <c r="D1288" s="26"/>
      <c r="F1288" s="26">
        <v>65603.09</v>
      </c>
      <c r="G1288" s="29">
        <f t="shared" si="41"/>
        <v>-8.1530240210353261E-4</v>
      </c>
      <c r="H1288" s="26"/>
    </row>
    <row r="1289" spans="1:8" x14ac:dyDescent="0.3">
      <c r="A1289" s="27">
        <v>45507</v>
      </c>
      <c r="B1289" s="26">
        <v>84</v>
      </c>
      <c r="C1289" s="29">
        <f t="shared" si="40"/>
        <v>5.9559261465154444E-4</v>
      </c>
      <c r="D1289" s="26"/>
      <c r="F1289" s="26">
        <v>65793.759999999995</v>
      </c>
      <c r="G1289" s="29">
        <f t="shared" si="41"/>
        <v>2.9064179751288888E-3</v>
      </c>
      <c r="H1289" s="26"/>
    </row>
    <row r="1290" spans="1:8" x14ac:dyDescent="0.3">
      <c r="A1290" s="27">
        <v>45599</v>
      </c>
      <c r="B1290" s="26">
        <v>84</v>
      </c>
      <c r="C1290" s="29">
        <f t="shared" si="40"/>
        <v>0</v>
      </c>
      <c r="D1290" s="26"/>
      <c r="F1290" s="26">
        <v>65755.31</v>
      </c>
      <c r="G1290" s="29">
        <f t="shared" si="41"/>
        <v>-5.8440192504573523E-4</v>
      </c>
      <c r="H1290" s="26"/>
    </row>
    <row r="1291" spans="1:8" x14ac:dyDescent="0.3">
      <c r="A1291" s="27">
        <v>45629</v>
      </c>
      <c r="B1291" s="26">
        <v>83.75</v>
      </c>
      <c r="C1291" s="29">
        <f t="shared" si="40"/>
        <v>-2.976190476190476E-3</v>
      </c>
      <c r="D1291" s="26"/>
      <c r="F1291" s="26">
        <v>64801.7</v>
      </c>
      <c r="G1291" s="29">
        <f t="shared" si="41"/>
        <v>-1.4502402923809509E-2</v>
      </c>
      <c r="H1291" s="26"/>
    </row>
    <row r="1292" spans="1:8" x14ac:dyDescent="0.3">
      <c r="A1292" s="26" t="s">
        <v>276</v>
      </c>
      <c r="B1292" s="26">
        <v>83.7</v>
      </c>
      <c r="C1292" s="29">
        <f t="shared" si="40"/>
        <v>-5.970149253731004E-4</v>
      </c>
      <c r="D1292" s="26"/>
      <c r="F1292" s="26">
        <v>64048.44</v>
      </c>
      <c r="G1292" s="29">
        <f t="shared" si="41"/>
        <v>-1.162407776339193E-2</v>
      </c>
      <c r="H1292" s="26"/>
    </row>
    <row r="1293" spans="1:8" x14ac:dyDescent="0.3">
      <c r="A1293" s="26" t="s">
        <v>275</v>
      </c>
      <c r="B1293" s="26">
        <v>81.99</v>
      </c>
      <c r="C1293" s="29">
        <f t="shared" si="40"/>
        <v>-2.0430107526881815E-2</v>
      </c>
      <c r="D1293" s="26"/>
      <c r="F1293" s="26">
        <v>65064.27</v>
      </c>
      <c r="G1293" s="29">
        <f t="shared" si="41"/>
        <v>1.5860339455574475E-2</v>
      </c>
      <c r="H1293" s="26"/>
    </row>
    <row r="1294" spans="1:8" x14ac:dyDescent="0.3">
      <c r="A1294" s="26" t="s">
        <v>274</v>
      </c>
      <c r="B1294" s="26">
        <v>80.61</v>
      </c>
      <c r="C1294" s="29">
        <f t="shared" si="40"/>
        <v>-1.6831320892791751E-2</v>
      </c>
      <c r="D1294" s="26"/>
      <c r="F1294" s="26">
        <v>64816.47</v>
      </c>
      <c r="G1294" s="29">
        <f t="shared" si="41"/>
        <v>-3.8085419232398313E-3</v>
      </c>
      <c r="H1294" s="26"/>
    </row>
    <row r="1295" spans="1:8" x14ac:dyDescent="0.3">
      <c r="A1295" s="26" t="s">
        <v>273</v>
      </c>
      <c r="B1295" s="26">
        <v>80.5</v>
      </c>
      <c r="C1295" s="29">
        <f t="shared" si="40"/>
        <v>-1.3645949634040371E-3</v>
      </c>
      <c r="D1295" s="26"/>
      <c r="F1295" s="26">
        <v>64890.51</v>
      </c>
      <c r="G1295" s="29">
        <f t="shared" si="41"/>
        <v>1.1423022574355078E-3</v>
      </c>
      <c r="H1295" s="26"/>
    </row>
    <row r="1296" spans="1:8" x14ac:dyDescent="0.3">
      <c r="A1296" s="26" t="s">
        <v>272</v>
      </c>
      <c r="B1296" s="26">
        <v>82</v>
      </c>
      <c r="C1296" s="29">
        <f t="shared" si="40"/>
        <v>1.8633540372670808E-2</v>
      </c>
      <c r="D1296" s="26"/>
      <c r="F1296" s="26">
        <v>65502.6</v>
      </c>
      <c r="G1296" s="29">
        <f t="shared" si="41"/>
        <v>9.4326581806799866E-3</v>
      </c>
      <c r="H1296" s="26"/>
    </row>
    <row r="1297" spans="1:8" x14ac:dyDescent="0.3">
      <c r="A1297" s="26" t="s">
        <v>271</v>
      </c>
      <c r="B1297" s="26">
        <v>80.98</v>
      </c>
      <c r="C1297" s="29">
        <f t="shared" si="40"/>
        <v>-1.2439024390243855E-2</v>
      </c>
      <c r="D1297" s="26"/>
      <c r="F1297" s="26">
        <v>65731.789999999994</v>
      </c>
      <c r="G1297" s="29">
        <f t="shared" si="41"/>
        <v>3.4989450800425488E-3</v>
      </c>
      <c r="H1297" s="26"/>
    </row>
    <row r="1298" spans="1:8" x14ac:dyDescent="0.3">
      <c r="A1298" s="26" t="s">
        <v>270</v>
      </c>
      <c r="B1298" s="26">
        <v>81.5</v>
      </c>
      <c r="C1298" s="29">
        <f t="shared" si="40"/>
        <v>6.4213386021239318E-3</v>
      </c>
      <c r="D1298" s="26"/>
      <c r="F1298" s="26">
        <v>65417.4</v>
      </c>
      <c r="G1298" s="29">
        <f t="shared" si="41"/>
        <v>-4.7829216274194297E-3</v>
      </c>
      <c r="H1298" s="26"/>
    </row>
    <row r="1299" spans="1:8" x14ac:dyDescent="0.3">
      <c r="A1299" s="26" t="s">
        <v>269</v>
      </c>
      <c r="B1299" s="26">
        <v>81.14</v>
      </c>
      <c r="C1299" s="29">
        <f t="shared" si="40"/>
        <v>-4.4171779141104223E-3</v>
      </c>
      <c r="D1299" s="26"/>
      <c r="F1299" s="26">
        <v>65151.83</v>
      </c>
      <c r="G1299" s="29">
        <f t="shared" si="41"/>
        <v>-4.0596232806562127E-3</v>
      </c>
      <c r="H1299" s="26"/>
    </row>
    <row r="1300" spans="1:8" x14ac:dyDescent="0.3">
      <c r="A1300" s="26" t="s">
        <v>268</v>
      </c>
      <c r="B1300" s="26">
        <v>81</v>
      </c>
      <c r="C1300" s="29">
        <f t="shared" si="40"/>
        <v>-1.7254128666502411E-3</v>
      </c>
      <c r="D1300" s="26"/>
      <c r="F1300" s="26">
        <v>65525.65</v>
      </c>
      <c r="G1300" s="29">
        <f t="shared" si="41"/>
        <v>5.7376745979353105E-3</v>
      </c>
      <c r="H1300" s="26"/>
    </row>
    <row r="1301" spans="1:8" x14ac:dyDescent="0.3">
      <c r="A1301" s="26" t="s">
        <v>267</v>
      </c>
      <c r="B1301" s="26">
        <v>81.69</v>
      </c>
      <c r="C1301" s="29">
        <f t="shared" si="40"/>
        <v>8.5185185185184913E-3</v>
      </c>
      <c r="D1301" s="26"/>
      <c r="F1301" s="26">
        <v>65906.28</v>
      </c>
      <c r="G1301" s="29">
        <f t="shared" si="41"/>
        <v>5.8088702668343982E-3</v>
      </c>
      <c r="H1301" s="26"/>
    </row>
    <row r="1302" spans="1:8" x14ac:dyDescent="0.3">
      <c r="A1302" s="26" t="s">
        <v>266</v>
      </c>
      <c r="B1302" s="26">
        <v>83</v>
      </c>
      <c r="C1302" s="29">
        <f t="shared" si="40"/>
        <v>1.6036234545232002E-2</v>
      </c>
      <c r="D1302" s="26"/>
      <c r="F1302" s="26">
        <v>66547.789999999994</v>
      </c>
      <c r="G1302" s="29">
        <f t="shared" si="41"/>
        <v>9.7336702966696765E-3</v>
      </c>
      <c r="H1302" s="26"/>
    </row>
    <row r="1303" spans="1:8" x14ac:dyDescent="0.3">
      <c r="A1303" s="26" t="s">
        <v>265</v>
      </c>
      <c r="B1303" s="26">
        <v>85.35</v>
      </c>
      <c r="C1303" s="29">
        <f t="shared" si="40"/>
        <v>2.8313253012048123E-2</v>
      </c>
      <c r="D1303" s="26"/>
      <c r="F1303" s="26">
        <v>67142.12</v>
      </c>
      <c r="G1303" s="29">
        <f t="shared" si="41"/>
        <v>8.9308750899166119E-3</v>
      </c>
      <c r="H1303" s="26"/>
    </row>
    <row r="1304" spans="1:8" x14ac:dyDescent="0.3">
      <c r="A1304" s="26" t="s">
        <v>264</v>
      </c>
      <c r="B1304" s="26">
        <v>85.79</v>
      </c>
      <c r="C1304" s="29">
        <f t="shared" si="40"/>
        <v>5.1552431165789335E-3</v>
      </c>
      <c r="D1304" s="26"/>
      <c r="F1304" s="26">
        <v>67005.11</v>
      </c>
      <c r="G1304" s="29">
        <f t="shared" si="41"/>
        <v>-2.0405968712336573E-3</v>
      </c>
      <c r="H1304" s="26"/>
    </row>
    <row r="1305" spans="1:8" x14ac:dyDescent="0.3">
      <c r="A1305" s="27">
        <v>45295</v>
      </c>
      <c r="B1305" s="26">
        <v>85.49</v>
      </c>
      <c r="C1305" s="29">
        <f t="shared" si="40"/>
        <v>-3.4969110618954581E-3</v>
      </c>
      <c r="D1305" s="26"/>
      <c r="F1305" s="26">
        <v>66796.320000000007</v>
      </c>
      <c r="G1305" s="29">
        <f t="shared" si="41"/>
        <v>-3.1160310012175729E-3</v>
      </c>
      <c r="H1305" s="26"/>
    </row>
    <row r="1306" spans="1:8" x14ac:dyDescent="0.3">
      <c r="A1306" s="27">
        <v>45326</v>
      </c>
      <c r="B1306" s="26">
        <v>85.89</v>
      </c>
      <c r="C1306" s="29">
        <f t="shared" si="40"/>
        <v>4.678909814013402E-3</v>
      </c>
      <c r="D1306" s="26"/>
      <c r="F1306" s="26">
        <v>66886.259999999995</v>
      </c>
      <c r="G1306" s="29">
        <f t="shared" si="41"/>
        <v>1.3464813630449666E-3</v>
      </c>
      <c r="H1306" s="26"/>
    </row>
    <row r="1307" spans="1:8" x14ac:dyDescent="0.3">
      <c r="A1307" s="27">
        <v>45355</v>
      </c>
      <c r="B1307" s="26">
        <v>86</v>
      </c>
      <c r="C1307" s="29">
        <f t="shared" si="40"/>
        <v>1.2807078821748682E-3</v>
      </c>
      <c r="D1307" s="26"/>
      <c r="F1307" s="26">
        <v>67756.039999999994</v>
      </c>
      <c r="G1307" s="29">
        <f t="shared" si="41"/>
        <v>1.3003866563925071E-2</v>
      </c>
      <c r="H1307" s="26"/>
    </row>
    <row r="1308" spans="1:8" x14ac:dyDescent="0.3">
      <c r="A1308" s="27">
        <v>45386</v>
      </c>
      <c r="B1308" s="26">
        <v>85.72</v>
      </c>
      <c r="C1308" s="29">
        <f t="shared" si="40"/>
        <v>-3.2558139534883852E-3</v>
      </c>
      <c r="D1308" s="26"/>
      <c r="F1308" s="26">
        <v>68416.78</v>
      </c>
      <c r="G1308" s="29">
        <f t="shared" si="41"/>
        <v>9.7517505450437376E-3</v>
      </c>
      <c r="H1308" s="26"/>
    </row>
    <row r="1309" spans="1:8" x14ac:dyDescent="0.3">
      <c r="A1309" s="27">
        <v>45508</v>
      </c>
      <c r="B1309" s="26">
        <v>88.68</v>
      </c>
      <c r="C1309" s="29">
        <f t="shared" si="40"/>
        <v>3.4531031264582457E-2</v>
      </c>
      <c r="D1309" s="26"/>
      <c r="F1309" s="26">
        <v>69619.990000000005</v>
      </c>
      <c r="G1309" s="29">
        <f t="shared" si="41"/>
        <v>1.7586475130808646E-2</v>
      </c>
      <c r="H1309" s="26"/>
    </row>
    <row r="1310" spans="1:8" x14ac:dyDescent="0.3">
      <c r="A1310" s="27">
        <v>45539</v>
      </c>
      <c r="B1310" s="26">
        <v>88.98</v>
      </c>
      <c r="C1310" s="29">
        <f t="shared" si="40"/>
        <v>3.3829499323409689E-3</v>
      </c>
      <c r="D1310" s="26"/>
      <c r="F1310" s="26">
        <v>70314.720000000001</v>
      </c>
      <c r="G1310" s="29">
        <f t="shared" si="41"/>
        <v>9.9788868111011769E-3</v>
      </c>
      <c r="H1310" s="26"/>
    </row>
    <row r="1311" spans="1:8" x14ac:dyDescent="0.3">
      <c r="A1311" s="26" t="s">
        <v>263</v>
      </c>
      <c r="B1311" s="26">
        <v>86.5</v>
      </c>
      <c r="C1311" s="29">
        <f t="shared" si="40"/>
        <v>-2.7871431782423059E-2</v>
      </c>
      <c r="D1311" s="26"/>
      <c r="F1311" s="26">
        <v>70544.58</v>
      </c>
      <c r="G1311" s="29">
        <f t="shared" si="41"/>
        <v>3.2690167862433439E-3</v>
      </c>
      <c r="H1311" s="26"/>
    </row>
    <row r="1312" spans="1:8" x14ac:dyDescent="0.3">
      <c r="A1312" s="26" t="s">
        <v>262</v>
      </c>
      <c r="B1312" s="26">
        <v>90</v>
      </c>
      <c r="C1312" s="29">
        <f t="shared" si="40"/>
        <v>4.046242774566474E-2</v>
      </c>
      <c r="D1312" s="26"/>
      <c r="F1312" s="26">
        <v>70483.66</v>
      </c>
      <c r="G1312" s="29">
        <f t="shared" si="41"/>
        <v>-8.6356740659591783E-4</v>
      </c>
      <c r="H1312" s="26"/>
    </row>
    <row r="1313" spans="1:8" x14ac:dyDescent="0.3">
      <c r="A1313" s="26" t="s">
        <v>261</v>
      </c>
      <c r="B1313" s="26">
        <v>90.75</v>
      </c>
      <c r="C1313" s="29">
        <f t="shared" si="40"/>
        <v>8.3333333333333332E-3</v>
      </c>
      <c r="D1313" s="26"/>
      <c r="F1313" s="26">
        <v>70333.320000000007</v>
      </c>
      <c r="G1313" s="29">
        <f t="shared" si="41"/>
        <v>-2.1329766360032453E-3</v>
      </c>
      <c r="H1313" s="26"/>
    </row>
    <row r="1314" spans="1:8" x14ac:dyDescent="0.3">
      <c r="A1314" s="26" t="s">
        <v>260</v>
      </c>
      <c r="B1314" s="26">
        <v>90</v>
      </c>
      <c r="C1314" s="29">
        <f t="shared" si="40"/>
        <v>-8.2644628099173556E-3</v>
      </c>
      <c r="D1314" s="26"/>
      <c r="F1314" s="26">
        <v>70290.12</v>
      </c>
      <c r="G1314" s="29">
        <f t="shared" si="41"/>
        <v>-6.1421812591829362E-4</v>
      </c>
      <c r="H1314" s="26"/>
    </row>
    <row r="1315" spans="1:8" x14ac:dyDescent="0.3">
      <c r="A1315" s="26" t="s">
        <v>259</v>
      </c>
      <c r="B1315" s="26">
        <v>92</v>
      </c>
      <c r="C1315" s="29">
        <f t="shared" si="40"/>
        <v>2.2222222222222223E-2</v>
      </c>
      <c r="D1315" s="26"/>
      <c r="F1315" s="26">
        <v>70909.899999999994</v>
      </c>
      <c r="G1315" s="29">
        <f t="shared" si="41"/>
        <v>8.8174554261679864E-3</v>
      </c>
      <c r="H1315" s="26"/>
    </row>
    <row r="1316" spans="1:8" x14ac:dyDescent="0.3">
      <c r="A1316" s="26" t="s">
        <v>258</v>
      </c>
      <c r="B1316" s="26">
        <v>90</v>
      </c>
      <c r="C1316" s="29">
        <f t="shared" si="40"/>
        <v>-2.1739130434782608E-2</v>
      </c>
      <c r="D1316" s="26"/>
      <c r="F1316" s="26">
        <v>71433.460000000006</v>
      </c>
      <c r="G1316" s="29">
        <f t="shared" si="41"/>
        <v>7.3834542144328545E-3</v>
      </c>
      <c r="H1316" s="26"/>
    </row>
    <row r="1317" spans="1:8" x14ac:dyDescent="0.3">
      <c r="A1317" s="26" t="s">
        <v>257</v>
      </c>
      <c r="B1317" s="26">
        <v>90.48</v>
      </c>
      <c r="C1317" s="29">
        <f t="shared" si="40"/>
        <v>5.3333333333333774E-3</v>
      </c>
      <c r="D1317" s="26"/>
      <c r="F1317" s="26">
        <v>71359.41</v>
      </c>
      <c r="G1317" s="29">
        <f t="shared" si="41"/>
        <v>-1.036629053107646E-3</v>
      </c>
      <c r="H1317" s="26"/>
    </row>
    <row r="1318" spans="1:8" x14ac:dyDescent="0.3">
      <c r="A1318" s="26" t="s">
        <v>256</v>
      </c>
      <c r="B1318" s="26">
        <v>90.6</v>
      </c>
      <c r="C1318" s="29">
        <f t="shared" si="40"/>
        <v>1.3262599469494954E-3</v>
      </c>
      <c r="D1318" s="26"/>
      <c r="F1318" s="26">
        <v>72051.89</v>
      </c>
      <c r="G1318" s="29">
        <f t="shared" si="41"/>
        <v>9.7041161074621542E-3</v>
      </c>
      <c r="H1318" s="26"/>
    </row>
    <row r="1319" spans="1:8" x14ac:dyDescent="0.3">
      <c r="A1319" s="26" t="s">
        <v>255</v>
      </c>
      <c r="B1319" s="26">
        <v>91.45</v>
      </c>
      <c r="C1319" s="29">
        <f t="shared" si="40"/>
        <v>9.3818984547462316E-3</v>
      </c>
      <c r="D1319" s="26"/>
      <c r="F1319" s="26">
        <v>71971.399999999994</v>
      </c>
      <c r="G1319" s="29">
        <f t="shared" si="41"/>
        <v>-1.1171115705640093E-3</v>
      </c>
      <c r="H1319" s="26"/>
    </row>
    <row r="1320" spans="1:8" x14ac:dyDescent="0.3">
      <c r="A1320" s="26" t="s">
        <v>254</v>
      </c>
      <c r="B1320" s="26">
        <v>96.75</v>
      </c>
      <c r="C1320" s="29">
        <f t="shared" si="40"/>
        <v>5.795516675779111E-2</v>
      </c>
      <c r="D1320" s="26"/>
      <c r="F1320" s="26">
        <v>72742.75</v>
      </c>
      <c r="G1320" s="29">
        <f t="shared" si="41"/>
        <v>1.0717451654407248E-2</v>
      </c>
      <c r="H1320" s="26"/>
    </row>
    <row r="1321" spans="1:8" x14ac:dyDescent="0.3">
      <c r="A1321" s="26" t="s">
        <v>253</v>
      </c>
      <c r="B1321" s="26">
        <v>96</v>
      </c>
      <c r="C1321" s="29">
        <f t="shared" si="40"/>
        <v>-7.7519379844961239E-3</v>
      </c>
      <c r="D1321" s="26"/>
      <c r="F1321" s="26">
        <v>71695.03</v>
      </c>
      <c r="G1321" s="29">
        <f t="shared" si="41"/>
        <v>-1.4403084843506758E-2</v>
      </c>
      <c r="H1321" s="26"/>
    </row>
    <row r="1322" spans="1:8" x14ac:dyDescent="0.3">
      <c r="A1322" s="26" t="s">
        <v>252</v>
      </c>
      <c r="B1322" s="26">
        <v>96.01</v>
      </c>
      <c r="C1322" s="29">
        <f t="shared" si="40"/>
        <v>1.0416666666671996E-4</v>
      </c>
      <c r="D1322" s="26"/>
      <c r="F1322" s="26">
        <v>71102.55</v>
      </c>
      <c r="G1322" s="29">
        <f t="shared" si="41"/>
        <v>-8.2638922112173736E-3</v>
      </c>
      <c r="H1322" s="26"/>
    </row>
    <row r="1323" spans="1:8" x14ac:dyDescent="0.3">
      <c r="A1323" s="27">
        <v>45327</v>
      </c>
      <c r="B1323" s="26">
        <v>97.65</v>
      </c>
      <c r="C1323" s="29">
        <f t="shared" si="40"/>
        <v>1.7081554004791173E-2</v>
      </c>
      <c r="D1323" s="26"/>
      <c r="F1323" s="26">
        <v>70657.64</v>
      </c>
      <c r="G1323" s="29">
        <f t="shared" si="41"/>
        <v>-6.2573001952813713E-3</v>
      </c>
      <c r="H1323" s="26"/>
    </row>
    <row r="1324" spans="1:8" x14ac:dyDescent="0.3">
      <c r="A1324" s="27">
        <v>45356</v>
      </c>
      <c r="B1324" s="26">
        <v>101</v>
      </c>
      <c r="C1324" s="29">
        <f t="shared" si="40"/>
        <v>3.4306195596518117E-2</v>
      </c>
      <c r="D1324" s="26"/>
      <c r="F1324" s="26">
        <v>71902.09</v>
      </c>
      <c r="G1324" s="29">
        <f t="shared" si="41"/>
        <v>1.7612391243183288E-2</v>
      </c>
      <c r="H1324" s="26"/>
    </row>
    <row r="1325" spans="1:8" x14ac:dyDescent="0.3">
      <c r="A1325" s="27">
        <v>45448</v>
      </c>
      <c r="B1325" s="26">
        <v>99.11</v>
      </c>
      <c r="C1325" s="29">
        <f t="shared" si="40"/>
        <v>-1.8712871287128719E-2</v>
      </c>
      <c r="D1325" s="26"/>
      <c r="F1325" s="26">
        <v>72764.240000000005</v>
      </c>
      <c r="G1325" s="29">
        <f t="shared" si="41"/>
        <v>1.1990611121318015E-2</v>
      </c>
      <c r="H1325" s="26"/>
    </row>
    <row r="1326" spans="1:8" x14ac:dyDescent="0.3">
      <c r="A1326" s="27">
        <v>45478</v>
      </c>
      <c r="B1326" s="26">
        <v>100.5</v>
      </c>
      <c r="C1326" s="29">
        <f t="shared" si="40"/>
        <v>1.4024820906063976E-2</v>
      </c>
      <c r="D1326" s="26"/>
      <c r="F1326" s="26">
        <v>72761.2</v>
      </c>
      <c r="G1326" s="29">
        <f t="shared" si="41"/>
        <v>-4.177876385444483E-5</v>
      </c>
      <c r="H1326" s="26"/>
    </row>
    <row r="1327" spans="1:8" x14ac:dyDescent="0.3">
      <c r="A1327" s="27">
        <v>45509</v>
      </c>
      <c r="B1327" s="26">
        <v>97.4</v>
      </c>
      <c r="C1327" s="29">
        <f t="shared" si="40"/>
        <v>-3.0845771144278552E-2</v>
      </c>
      <c r="D1327" s="26"/>
      <c r="F1327" s="26">
        <v>72601.820000000007</v>
      </c>
      <c r="G1327" s="29">
        <f t="shared" si="41"/>
        <v>-2.1904531536037081E-3</v>
      </c>
      <c r="H1327" s="26"/>
    </row>
    <row r="1328" spans="1:8" x14ac:dyDescent="0.3">
      <c r="A1328" s="27">
        <v>45540</v>
      </c>
      <c r="B1328" s="26">
        <v>95.7</v>
      </c>
      <c r="C1328" s="29">
        <f t="shared" si="40"/>
        <v>-1.7453798767967175E-2</v>
      </c>
      <c r="D1328" s="26"/>
      <c r="F1328" s="26">
        <v>72658.05</v>
      </c>
      <c r="G1328" s="29">
        <f t="shared" si="41"/>
        <v>7.744984905336522E-4</v>
      </c>
      <c r="H1328" s="26"/>
    </row>
    <row r="1329" spans="1:8" x14ac:dyDescent="0.3">
      <c r="A1329" s="27">
        <v>45570</v>
      </c>
      <c r="B1329" s="26">
        <v>95.7</v>
      </c>
      <c r="C1329" s="29">
        <f t="shared" si="40"/>
        <v>0</v>
      </c>
      <c r="D1329" s="26"/>
      <c r="F1329" s="26">
        <v>73085.5</v>
      </c>
      <c r="G1329" s="29">
        <f t="shared" si="41"/>
        <v>5.8830370482004001E-3</v>
      </c>
      <c r="H1329" s="26"/>
    </row>
    <row r="1330" spans="1:8" x14ac:dyDescent="0.3">
      <c r="A1330" s="26" t="s">
        <v>251</v>
      </c>
      <c r="B1330" s="26">
        <v>97.49</v>
      </c>
      <c r="C1330" s="29">
        <f t="shared" si="40"/>
        <v>1.8704284221525518E-2</v>
      </c>
      <c r="D1330" s="26"/>
      <c r="F1330" s="26">
        <v>73799.11</v>
      </c>
      <c r="G1330" s="29">
        <f t="shared" si="41"/>
        <v>9.764043483317492E-3</v>
      </c>
      <c r="H1330" s="26"/>
    </row>
    <row r="1331" spans="1:8" x14ac:dyDescent="0.3">
      <c r="A1331" s="26" t="s">
        <v>250</v>
      </c>
      <c r="B1331" s="26">
        <v>97.75</v>
      </c>
      <c r="C1331" s="29">
        <f t="shared" si="40"/>
        <v>2.6669401989948215E-3</v>
      </c>
      <c r="D1331" s="26"/>
      <c r="F1331" s="26">
        <v>74531.19</v>
      </c>
      <c r="G1331" s="29">
        <f t="shared" si="41"/>
        <v>9.9199028280964607E-3</v>
      </c>
      <c r="H1331" s="26"/>
    </row>
    <row r="1332" spans="1:8" x14ac:dyDescent="0.3">
      <c r="A1332" s="26" t="s">
        <v>249</v>
      </c>
      <c r="B1332" s="26">
        <v>102</v>
      </c>
      <c r="C1332" s="29">
        <f t="shared" si="40"/>
        <v>4.3478260869565216E-2</v>
      </c>
      <c r="D1332" s="26"/>
      <c r="F1332" s="26">
        <v>74663.98</v>
      </c>
      <c r="G1332" s="29">
        <f t="shared" si="41"/>
        <v>1.7816701974031756E-3</v>
      </c>
      <c r="H1332" s="26"/>
    </row>
    <row r="1333" spans="1:8" x14ac:dyDescent="0.3">
      <c r="A1333" s="26" t="s">
        <v>248</v>
      </c>
      <c r="B1333" s="26">
        <v>102.73</v>
      </c>
      <c r="C1333" s="29">
        <f t="shared" si="40"/>
        <v>7.1568627450980778E-3</v>
      </c>
      <c r="D1333" s="26"/>
      <c r="F1333" s="26">
        <v>74930.7</v>
      </c>
      <c r="G1333" s="29">
        <f t="shared" si="41"/>
        <v>3.5722713951225368E-3</v>
      </c>
      <c r="H1333" s="26"/>
    </row>
    <row r="1334" spans="1:8" x14ac:dyDescent="0.3">
      <c r="A1334" s="26" t="s">
        <v>247</v>
      </c>
      <c r="B1334" s="26">
        <v>102</v>
      </c>
      <c r="C1334" s="29">
        <f t="shared" si="40"/>
        <v>-7.1060060352380406E-3</v>
      </c>
      <c r="D1334" s="26"/>
      <c r="F1334" s="26">
        <v>75342.350000000006</v>
      </c>
      <c r="G1334" s="29">
        <f t="shared" si="41"/>
        <v>5.4937428850926088E-3</v>
      </c>
      <c r="H1334" s="26"/>
    </row>
    <row r="1335" spans="1:8" x14ac:dyDescent="0.3">
      <c r="A1335" s="26" t="s">
        <v>246</v>
      </c>
      <c r="B1335" s="26">
        <v>101</v>
      </c>
      <c r="C1335" s="29">
        <f t="shared" si="40"/>
        <v>-9.8039215686274508E-3</v>
      </c>
      <c r="D1335" s="26"/>
      <c r="F1335" s="26">
        <v>75084</v>
      </c>
      <c r="G1335" s="29">
        <f t="shared" si="41"/>
        <v>-3.429014359122138E-3</v>
      </c>
      <c r="H1335" s="26"/>
    </row>
    <row r="1336" spans="1:8" x14ac:dyDescent="0.3">
      <c r="A1336" s="26" t="s">
        <v>245</v>
      </c>
      <c r="B1336" s="26">
        <v>103</v>
      </c>
      <c r="C1336" s="29">
        <f t="shared" si="40"/>
        <v>1.9801980198019802E-2</v>
      </c>
      <c r="D1336" s="26"/>
      <c r="F1336" s="26">
        <v>75206.77</v>
      </c>
      <c r="G1336" s="29">
        <f t="shared" si="41"/>
        <v>1.635102019072027E-3</v>
      </c>
      <c r="H1336" s="26"/>
    </row>
    <row r="1337" spans="1:8" x14ac:dyDescent="0.3">
      <c r="A1337" s="26" t="s">
        <v>244</v>
      </c>
      <c r="B1337" s="26">
        <v>101</v>
      </c>
      <c r="C1337" s="29">
        <f t="shared" si="40"/>
        <v>-1.9417475728155338E-2</v>
      </c>
      <c r="D1337" s="26"/>
      <c r="F1337" s="26">
        <v>74956.67</v>
      </c>
      <c r="G1337" s="29">
        <f t="shared" si="41"/>
        <v>-3.3254984890323811E-3</v>
      </c>
      <c r="H1337" s="26"/>
    </row>
    <row r="1338" spans="1:8" x14ac:dyDescent="0.3">
      <c r="A1338" s="26" t="s">
        <v>243</v>
      </c>
      <c r="B1338" s="26">
        <v>102.5</v>
      </c>
      <c r="C1338" s="29">
        <f t="shared" si="40"/>
        <v>1.4851485148514851E-2</v>
      </c>
      <c r="D1338" s="26"/>
      <c r="F1338" s="26">
        <v>75114.47</v>
      </c>
      <c r="G1338" s="29">
        <f t="shared" si="41"/>
        <v>2.1052162536036208E-3</v>
      </c>
      <c r="H1338" s="26"/>
    </row>
    <row r="1339" spans="1:8" x14ac:dyDescent="0.3">
      <c r="A1339" s="26" t="s">
        <v>242</v>
      </c>
      <c r="B1339" s="26">
        <v>103.5</v>
      </c>
      <c r="C1339" s="29">
        <f t="shared" si="40"/>
        <v>9.7560975609756097E-3</v>
      </c>
      <c r="D1339" s="26"/>
      <c r="F1339" s="26">
        <v>75983.039999999994</v>
      </c>
      <c r="G1339" s="29">
        <f t="shared" si="41"/>
        <v>1.1563284677372981E-2</v>
      </c>
      <c r="H1339" s="26"/>
    </row>
    <row r="1340" spans="1:8" x14ac:dyDescent="0.3">
      <c r="A1340" s="26" t="s">
        <v>241</v>
      </c>
      <c r="B1340" s="26">
        <v>102.69</v>
      </c>
      <c r="C1340" s="29">
        <f t="shared" si="40"/>
        <v>-7.8260869565217606E-3</v>
      </c>
      <c r="D1340" s="26"/>
      <c r="F1340" s="26">
        <v>75517.490000000005</v>
      </c>
      <c r="G1340" s="29">
        <f t="shared" si="41"/>
        <v>-6.1270251887788167E-3</v>
      </c>
      <c r="H1340" s="26"/>
    </row>
    <row r="1341" spans="1:8" x14ac:dyDescent="0.3">
      <c r="A1341" s="26" t="s">
        <v>240</v>
      </c>
      <c r="B1341" s="26">
        <v>100.95</v>
      </c>
      <c r="C1341" s="29">
        <f t="shared" si="40"/>
        <v>-1.6944200993280697E-2</v>
      </c>
      <c r="D1341" s="26"/>
      <c r="F1341" s="26">
        <v>74836.3</v>
      </c>
      <c r="G1341" s="29">
        <f t="shared" si="41"/>
        <v>-9.0202945039619606E-3</v>
      </c>
      <c r="H1341" s="26"/>
    </row>
    <row r="1342" spans="1:8" x14ac:dyDescent="0.3">
      <c r="A1342" s="26" t="s">
        <v>239</v>
      </c>
      <c r="B1342" s="26">
        <v>99.01</v>
      </c>
      <c r="C1342" s="29">
        <f t="shared" si="40"/>
        <v>-1.9217434373452181E-2</v>
      </c>
      <c r="D1342" s="26"/>
      <c r="F1342" s="26">
        <v>74878.12</v>
      </c>
      <c r="G1342" s="29">
        <f t="shared" si="41"/>
        <v>5.5881971716924045E-4</v>
      </c>
      <c r="H1342" s="26"/>
    </row>
    <row r="1343" spans="1:8" x14ac:dyDescent="0.3">
      <c r="A1343" s="26" t="s">
        <v>238</v>
      </c>
      <c r="B1343" s="26">
        <v>100</v>
      </c>
      <c r="C1343" s="29">
        <f t="shared" si="40"/>
        <v>9.9989900010099466E-3</v>
      </c>
      <c r="D1343" s="26"/>
      <c r="F1343" s="26">
        <v>75878.48</v>
      </c>
      <c r="G1343" s="29">
        <f t="shared" si="41"/>
        <v>1.3359843970441574E-2</v>
      </c>
      <c r="H1343" s="26"/>
    </row>
    <row r="1344" spans="1:8" x14ac:dyDescent="0.3">
      <c r="A1344" s="27">
        <v>45357</v>
      </c>
      <c r="B1344" s="26">
        <v>100.4</v>
      </c>
      <c r="C1344" s="29">
        <f t="shared" si="40"/>
        <v>4.0000000000000565E-3</v>
      </c>
      <c r="D1344" s="26"/>
      <c r="F1344" s="26">
        <v>75575.259999999995</v>
      </c>
      <c r="G1344" s="29">
        <f t="shared" si="41"/>
        <v>-3.996126437957128E-3</v>
      </c>
      <c r="H1344" s="26"/>
    </row>
    <row r="1345" spans="1:8" x14ac:dyDescent="0.3">
      <c r="A1345" s="27">
        <v>45388</v>
      </c>
      <c r="B1345" s="26">
        <v>99.7</v>
      </c>
      <c r="C1345" s="29">
        <f t="shared" si="40"/>
        <v>-6.9721115537848882E-3</v>
      </c>
      <c r="D1345" s="26"/>
      <c r="F1345" s="26">
        <v>74666.66</v>
      </c>
      <c r="G1345" s="29">
        <f t="shared" si="41"/>
        <v>-1.2022452850310953E-2</v>
      </c>
      <c r="H1345" s="26"/>
    </row>
    <row r="1346" spans="1:8" x14ac:dyDescent="0.3">
      <c r="A1346" s="27">
        <v>45418</v>
      </c>
      <c r="B1346" s="26">
        <v>98</v>
      </c>
      <c r="C1346" s="29">
        <f t="shared" si="40"/>
        <v>-1.705115346038117E-2</v>
      </c>
      <c r="D1346" s="26"/>
      <c r="F1346" s="26">
        <v>74219.44</v>
      </c>
      <c r="G1346" s="29">
        <f t="shared" si="41"/>
        <v>-5.9895541062102032E-3</v>
      </c>
      <c r="H1346" s="26"/>
    </row>
    <row r="1347" spans="1:8" x14ac:dyDescent="0.3">
      <c r="A1347" s="27">
        <v>45449</v>
      </c>
      <c r="B1347" s="26">
        <v>97.32</v>
      </c>
      <c r="C1347" s="29">
        <f t="shared" si="40"/>
        <v>-6.938775510204151E-3</v>
      </c>
      <c r="D1347" s="26"/>
      <c r="F1347" s="26">
        <v>73862.929999999993</v>
      </c>
      <c r="G1347" s="29">
        <f t="shared" si="41"/>
        <v>-4.8034585008996204E-3</v>
      </c>
      <c r="H1347" s="26"/>
    </row>
    <row r="1348" spans="1:8" x14ac:dyDescent="0.3">
      <c r="A1348" s="27">
        <v>45479</v>
      </c>
      <c r="B1348" s="26">
        <v>99.23</v>
      </c>
      <c r="C1348" s="29">
        <f t="shared" si="40"/>
        <v>1.9625976161118074E-2</v>
      </c>
      <c r="D1348" s="26"/>
      <c r="F1348" s="26">
        <v>73754.02</v>
      </c>
      <c r="G1348" s="29">
        <f t="shared" si="41"/>
        <v>-1.4744879467953539E-3</v>
      </c>
      <c r="H1348" s="26"/>
    </row>
    <row r="1349" spans="1:8" x14ac:dyDescent="0.3">
      <c r="A1349" s="27">
        <v>45571</v>
      </c>
      <c r="B1349" s="26">
        <v>97.85</v>
      </c>
      <c r="C1349" s="29">
        <f t="shared" ref="C1349:C1412" si="42">(B1349-B1348)/B1348</f>
        <v>-1.3907084551043128E-2</v>
      </c>
      <c r="D1349" s="26"/>
      <c r="F1349" s="26">
        <v>73252.56</v>
      </c>
      <c r="G1349" s="29">
        <f t="shared" ref="G1349:G1412" si="43">(F1349-F1348)/F1348</f>
        <v>-6.7990870192567998E-3</v>
      </c>
      <c r="H1349" s="26"/>
    </row>
    <row r="1350" spans="1:8" x14ac:dyDescent="0.3">
      <c r="A1350" s="27">
        <v>45602</v>
      </c>
      <c r="B1350" s="26">
        <v>97.5</v>
      </c>
      <c r="C1350" s="29">
        <f t="shared" si="42"/>
        <v>-3.5769034236075047E-3</v>
      </c>
      <c r="D1350" s="26"/>
      <c r="F1350" s="26">
        <v>72589.490000000005</v>
      </c>
      <c r="G1350" s="29">
        <f t="shared" si="43"/>
        <v>-9.0518338198691279E-3</v>
      </c>
      <c r="H1350" s="26"/>
    </row>
    <row r="1351" spans="1:8" x14ac:dyDescent="0.3">
      <c r="A1351" s="27">
        <v>45632</v>
      </c>
      <c r="B1351" s="26">
        <v>96</v>
      </c>
      <c r="C1351" s="29">
        <f t="shared" si="42"/>
        <v>-1.5384615384615385E-2</v>
      </c>
      <c r="D1351" s="26"/>
      <c r="F1351" s="26">
        <v>72797.429999999993</v>
      </c>
      <c r="G1351" s="29">
        <f t="shared" si="43"/>
        <v>2.8646020243424737E-3</v>
      </c>
      <c r="H1351" s="26"/>
    </row>
    <row r="1352" spans="1:8" x14ac:dyDescent="0.3">
      <c r="A1352" s="26" t="s">
        <v>237</v>
      </c>
      <c r="B1352" s="26">
        <v>103</v>
      </c>
      <c r="C1352" s="29">
        <f t="shared" si="42"/>
        <v>7.2916666666666671E-2</v>
      </c>
      <c r="D1352" s="26"/>
      <c r="F1352" s="26">
        <v>76208.160000000003</v>
      </c>
      <c r="G1352" s="29">
        <f t="shared" si="43"/>
        <v>4.6852340803789513E-2</v>
      </c>
      <c r="H1352" s="26"/>
    </row>
    <row r="1353" spans="1:8" x14ac:dyDescent="0.3">
      <c r="A1353" s="26" t="s">
        <v>236</v>
      </c>
      <c r="B1353" s="26">
        <v>106.01</v>
      </c>
      <c r="C1353" s="29">
        <f t="shared" si="42"/>
        <v>2.9223300970873837E-2</v>
      </c>
      <c r="D1353" s="26"/>
      <c r="F1353" s="26">
        <v>76706.77</v>
      </c>
      <c r="G1353" s="29">
        <f t="shared" si="43"/>
        <v>6.5427376805843439E-3</v>
      </c>
      <c r="H1353" s="26"/>
    </row>
    <row r="1354" spans="1:8" x14ac:dyDescent="0.3">
      <c r="A1354" s="26" t="s">
        <v>235</v>
      </c>
      <c r="B1354" s="26">
        <v>115.15</v>
      </c>
      <c r="C1354" s="29">
        <f t="shared" si="42"/>
        <v>8.6218281294217533E-2</v>
      </c>
      <c r="D1354" s="26"/>
      <c r="F1354" s="26">
        <v>78801.53</v>
      </c>
      <c r="G1354" s="29">
        <f t="shared" si="43"/>
        <v>2.7308671711766701E-2</v>
      </c>
      <c r="H1354" s="26"/>
    </row>
    <row r="1355" spans="1:8" x14ac:dyDescent="0.3">
      <c r="A1355" s="26" t="s">
        <v>234</v>
      </c>
      <c r="B1355" s="26">
        <v>113</v>
      </c>
      <c r="C1355" s="29">
        <f t="shared" si="42"/>
        <v>-1.8671298306556713E-2</v>
      </c>
      <c r="D1355" s="26"/>
      <c r="F1355" s="26">
        <v>78810.490000000005</v>
      </c>
      <c r="G1355" s="29">
        <f t="shared" si="43"/>
        <v>1.1370337606397239E-4</v>
      </c>
      <c r="H1355" s="26"/>
    </row>
    <row r="1356" spans="1:8" x14ac:dyDescent="0.3">
      <c r="A1356" s="26" t="s">
        <v>233</v>
      </c>
      <c r="B1356" s="26">
        <v>110</v>
      </c>
      <c r="C1356" s="29">
        <f t="shared" si="42"/>
        <v>-2.6548672566371681E-2</v>
      </c>
      <c r="D1356" s="26"/>
      <c r="F1356" s="26">
        <v>78232.100000000006</v>
      </c>
      <c r="G1356" s="29">
        <f t="shared" si="43"/>
        <v>-7.3389976385123271E-3</v>
      </c>
      <c r="H1356" s="26"/>
    </row>
    <row r="1357" spans="1:8" x14ac:dyDescent="0.3">
      <c r="A1357" s="26" t="s">
        <v>232</v>
      </c>
      <c r="B1357" s="26">
        <v>108.75</v>
      </c>
      <c r="C1357" s="29">
        <f t="shared" si="42"/>
        <v>-1.1363636363636364E-2</v>
      </c>
      <c r="D1357" s="26"/>
      <c r="F1357" s="26">
        <v>77940.58</v>
      </c>
      <c r="G1357" s="29">
        <f t="shared" si="43"/>
        <v>-3.7263476245684834E-3</v>
      </c>
      <c r="H1357" s="26"/>
    </row>
    <row r="1358" spans="1:8" x14ac:dyDescent="0.3">
      <c r="A1358" s="26" t="s">
        <v>231</v>
      </c>
      <c r="B1358" s="26">
        <v>112.5</v>
      </c>
      <c r="C1358" s="29">
        <f t="shared" si="42"/>
        <v>3.4482758620689655E-2</v>
      </c>
      <c r="D1358" s="26"/>
      <c r="F1358" s="26">
        <v>78275.649999999994</v>
      </c>
      <c r="G1358" s="29">
        <f t="shared" si="43"/>
        <v>4.2990442206100139E-3</v>
      </c>
      <c r="H1358" s="26"/>
    </row>
    <row r="1359" spans="1:8" x14ac:dyDescent="0.3">
      <c r="A1359" s="26" t="s">
        <v>230</v>
      </c>
      <c r="B1359" s="26">
        <v>113.5</v>
      </c>
      <c r="C1359" s="29">
        <f t="shared" si="42"/>
        <v>8.8888888888888889E-3</v>
      </c>
      <c r="D1359" s="26"/>
      <c r="F1359" s="26">
        <v>78528.25</v>
      </c>
      <c r="G1359" s="29">
        <f t="shared" si="43"/>
        <v>3.2270572010581304E-3</v>
      </c>
      <c r="H1359" s="26"/>
    </row>
    <row r="1360" spans="1:8" x14ac:dyDescent="0.3">
      <c r="A1360" s="26" t="s">
        <v>229</v>
      </c>
      <c r="B1360" s="26">
        <v>112</v>
      </c>
      <c r="C1360" s="29">
        <f t="shared" si="42"/>
        <v>-1.3215859030837005E-2</v>
      </c>
      <c r="D1360" s="26"/>
      <c r="F1360" s="26">
        <v>78444.960000000006</v>
      </c>
      <c r="G1360" s="29">
        <f t="shared" si="43"/>
        <v>-1.0606374139242069E-3</v>
      </c>
      <c r="H1360" s="26"/>
    </row>
    <row r="1361" spans="1:8" x14ac:dyDescent="0.3">
      <c r="A1361" s="27">
        <v>45298</v>
      </c>
      <c r="B1361" s="26">
        <v>112.7</v>
      </c>
      <c r="C1361" s="29">
        <f t="shared" si="42"/>
        <v>6.2500000000000255E-3</v>
      </c>
      <c r="D1361" s="26"/>
      <c r="F1361" s="26">
        <v>78824.33</v>
      </c>
      <c r="G1361" s="29">
        <f t="shared" si="43"/>
        <v>4.8361296888926363E-3</v>
      </c>
      <c r="H1361" s="26"/>
    </row>
    <row r="1362" spans="1:8" x14ac:dyDescent="0.3">
      <c r="A1362" s="27">
        <v>45329</v>
      </c>
      <c r="B1362" s="26">
        <v>114</v>
      </c>
      <c r="C1362" s="29">
        <f t="shared" si="42"/>
        <v>1.1535048802129522E-2</v>
      </c>
      <c r="D1362" s="26"/>
      <c r="F1362" s="26">
        <v>79552.89</v>
      </c>
      <c r="G1362" s="29">
        <f t="shared" si="43"/>
        <v>9.2428314963158929E-3</v>
      </c>
      <c r="H1362" s="26"/>
    </row>
    <row r="1363" spans="1:8" x14ac:dyDescent="0.3">
      <c r="A1363" s="27">
        <v>45358</v>
      </c>
      <c r="B1363" s="26">
        <v>114.9</v>
      </c>
      <c r="C1363" s="29">
        <f t="shared" si="42"/>
        <v>7.8947368421053137E-3</v>
      </c>
      <c r="D1363" s="26"/>
      <c r="F1363" s="26">
        <v>80233.67</v>
      </c>
      <c r="G1363" s="29">
        <f t="shared" si="43"/>
        <v>8.5575772294381614E-3</v>
      </c>
      <c r="H1363" s="26"/>
    </row>
    <row r="1364" spans="1:8" x14ac:dyDescent="0.3">
      <c r="A1364" s="27">
        <v>45389</v>
      </c>
      <c r="B1364" s="26">
        <v>114.49</v>
      </c>
      <c r="C1364" s="29">
        <f t="shared" si="42"/>
        <v>-3.5683202785031401E-3</v>
      </c>
      <c r="D1364" s="26"/>
      <c r="F1364" s="26">
        <v>80282.8</v>
      </c>
      <c r="G1364" s="29">
        <f t="shared" si="43"/>
        <v>6.123364417956284E-4</v>
      </c>
      <c r="H1364" s="26"/>
    </row>
    <row r="1365" spans="1:8" x14ac:dyDescent="0.3">
      <c r="A1365" s="27">
        <v>45419</v>
      </c>
      <c r="B1365" s="26">
        <v>116.25</v>
      </c>
      <c r="C1365" s="29">
        <f t="shared" si="42"/>
        <v>1.537252161760857E-2</v>
      </c>
      <c r="D1365" s="26"/>
      <c r="F1365" s="26">
        <v>80212.789999999994</v>
      </c>
      <c r="G1365" s="29">
        <f t="shared" si="43"/>
        <v>-8.7204233036228566E-4</v>
      </c>
      <c r="H1365" s="26"/>
    </row>
    <row r="1366" spans="1:8" x14ac:dyDescent="0.3">
      <c r="A1366" s="27">
        <v>45511</v>
      </c>
      <c r="B1366" s="26">
        <v>116.12</v>
      </c>
      <c r="C1366" s="29">
        <f t="shared" si="42"/>
        <v>-1.118279569892434E-3</v>
      </c>
      <c r="D1366" s="26"/>
      <c r="F1366" s="26">
        <v>80566.210000000006</v>
      </c>
      <c r="G1366" s="29">
        <f t="shared" si="43"/>
        <v>4.4060305095984425E-3</v>
      </c>
      <c r="H1366" s="26"/>
    </row>
    <row r="1367" spans="1:8" x14ac:dyDescent="0.3">
      <c r="A1367" s="27">
        <v>45542</v>
      </c>
      <c r="B1367" s="26">
        <v>115.99</v>
      </c>
      <c r="C1367" s="29">
        <f t="shared" si="42"/>
        <v>-1.1195315191182369E-3</v>
      </c>
      <c r="D1367" s="26"/>
      <c r="F1367" s="26">
        <v>80672.06</v>
      </c>
      <c r="G1367" s="29">
        <f t="shared" si="43"/>
        <v>1.3138262306243681E-3</v>
      </c>
      <c r="H1367" s="26"/>
    </row>
    <row r="1368" spans="1:8" x14ac:dyDescent="0.3">
      <c r="A1368" s="27">
        <v>45572</v>
      </c>
      <c r="B1368" s="26">
        <v>114.4</v>
      </c>
      <c r="C1368" s="29">
        <f t="shared" si="42"/>
        <v>-1.3708078282610477E-2</v>
      </c>
      <c r="D1368" s="26"/>
      <c r="F1368" s="26">
        <v>79841.56</v>
      </c>
      <c r="G1368" s="29">
        <f t="shared" si="43"/>
        <v>-1.0294766242488415E-2</v>
      </c>
      <c r="H1368" s="26"/>
    </row>
    <row r="1369" spans="1:8" x14ac:dyDescent="0.3">
      <c r="A1369" s="27">
        <v>45603</v>
      </c>
      <c r="B1369" s="26">
        <v>114.99</v>
      </c>
      <c r="C1369" s="29">
        <f t="shared" si="42"/>
        <v>5.1573426573425628E-3</v>
      </c>
      <c r="D1369" s="26"/>
      <c r="F1369" s="26">
        <v>79992.350000000006</v>
      </c>
      <c r="G1369" s="29">
        <f t="shared" si="43"/>
        <v>1.888615402805358E-3</v>
      </c>
      <c r="H1369" s="26"/>
    </row>
    <row r="1370" spans="1:8" x14ac:dyDescent="0.3">
      <c r="A1370" s="27">
        <v>45633</v>
      </c>
      <c r="B1370" s="26">
        <v>114</v>
      </c>
      <c r="C1370" s="29">
        <f t="shared" si="42"/>
        <v>-8.6094442995042608E-3</v>
      </c>
      <c r="D1370" s="26"/>
      <c r="F1370" s="26">
        <v>79944.100000000006</v>
      </c>
      <c r="G1370" s="29">
        <f t="shared" si="43"/>
        <v>-6.0318267934371221E-4</v>
      </c>
      <c r="H1370" s="26"/>
    </row>
    <row r="1371" spans="1:8" x14ac:dyDescent="0.3">
      <c r="A1371" s="26" t="s">
        <v>228</v>
      </c>
      <c r="B1371" s="26">
        <v>116.7</v>
      </c>
      <c r="C1371" s="29">
        <f t="shared" si="42"/>
        <v>2.3684210526315815E-2</v>
      </c>
      <c r="D1371" s="26"/>
      <c r="F1371" s="26">
        <v>81155.61</v>
      </c>
      <c r="G1371" s="29">
        <f t="shared" si="43"/>
        <v>1.5154464181846999E-2</v>
      </c>
      <c r="H1371" s="26"/>
    </row>
    <row r="1372" spans="1:8" x14ac:dyDescent="0.3">
      <c r="A1372" s="26" t="s">
        <v>227</v>
      </c>
      <c r="B1372" s="26">
        <v>116</v>
      </c>
      <c r="C1372" s="29">
        <f t="shared" si="42"/>
        <v>-5.9982862039417552E-3</v>
      </c>
      <c r="D1372" s="26"/>
      <c r="F1372" s="26">
        <v>81839.86</v>
      </c>
      <c r="G1372" s="29">
        <f t="shared" si="43"/>
        <v>8.4313333360441743E-3</v>
      </c>
      <c r="H1372" s="26"/>
    </row>
    <row r="1373" spans="1:8" x14ac:dyDescent="0.3">
      <c r="A1373" s="26" t="s">
        <v>226</v>
      </c>
      <c r="B1373" s="26">
        <v>113.8</v>
      </c>
      <c r="C1373" s="29">
        <f t="shared" si="42"/>
        <v>-1.8965517241379334E-2</v>
      </c>
      <c r="D1373" s="26"/>
      <c r="F1373" s="26">
        <v>80117.89</v>
      </c>
      <c r="G1373" s="29">
        <f t="shared" si="43"/>
        <v>-2.1040725142980464E-2</v>
      </c>
      <c r="H1373" s="26"/>
    </row>
    <row r="1374" spans="1:8" x14ac:dyDescent="0.3">
      <c r="A1374" s="26" t="s">
        <v>225</v>
      </c>
      <c r="B1374" s="26">
        <v>112.5</v>
      </c>
      <c r="C1374" s="29">
        <f t="shared" si="42"/>
        <v>-1.1423550087873437E-2</v>
      </c>
      <c r="D1374" s="26"/>
      <c r="F1374" s="26">
        <v>78539.19</v>
      </c>
      <c r="G1374" s="29">
        <f t="shared" si="43"/>
        <v>-1.9704712642831673E-2</v>
      </c>
      <c r="H1374" s="26"/>
    </row>
    <row r="1375" spans="1:8" x14ac:dyDescent="0.3">
      <c r="A1375" s="26" t="s">
        <v>224</v>
      </c>
      <c r="B1375" s="26">
        <v>111.35</v>
      </c>
      <c r="C1375" s="29">
        <f t="shared" si="42"/>
        <v>-1.0222222222222273E-2</v>
      </c>
      <c r="D1375" s="26"/>
      <c r="F1375" s="26">
        <v>78987.09</v>
      </c>
      <c r="G1375" s="29">
        <f t="shared" si="43"/>
        <v>5.7028854002695237E-3</v>
      </c>
      <c r="H1375" s="26"/>
    </row>
    <row r="1376" spans="1:8" x14ac:dyDescent="0.3">
      <c r="A1376" s="26" t="s">
        <v>223</v>
      </c>
      <c r="B1376" s="26">
        <v>113</v>
      </c>
      <c r="C1376" s="29">
        <f t="shared" si="42"/>
        <v>1.4818140996856809E-2</v>
      </c>
      <c r="D1376" s="26"/>
      <c r="F1376" s="26">
        <v>79397.009999999995</v>
      </c>
      <c r="G1376" s="29">
        <f t="shared" si="43"/>
        <v>5.1897088498892453E-3</v>
      </c>
      <c r="H1376" s="26"/>
    </row>
    <row r="1377" spans="1:8" x14ac:dyDescent="0.3">
      <c r="A1377" s="26" t="s">
        <v>222</v>
      </c>
      <c r="B1377" s="26">
        <v>108.85</v>
      </c>
      <c r="C1377" s="29">
        <f t="shared" si="42"/>
        <v>-3.6725663716814211E-2</v>
      </c>
      <c r="D1377" s="26"/>
      <c r="F1377" s="26">
        <v>78469.33</v>
      </c>
      <c r="G1377" s="29">
        <f t="shared" si="43"/>
        <v>-1.1684067195981222E-2</v>
      </c>
      <c r="H1377" s="26"/>
    </row>
    <row r="1378" spans="1:8" x14ac:dyDescent="0.3">
      <c r="A1378" s="26" t="s">
        <v>221</v>
      </c>
      <c r="B1378" s="26">
        <v>109.75</v>
      </c>
      <c r="C1378" s="29">
        <f t="shared" si="42"/>
        <v>8.2682590721176452E-3</v>
      </c>
      <c r="D1378" s="26"/>
      <c r="F1378" s="26">
        <v>78029.509999999995</v>
      </c>
      <c r="G1378" s="29">
        <f t="shared" si="43"/>
        <v>-5.6049924218800765E-3</v>
      </c>
      <c r="H1378" s="26"/>
    </row>
    <row r="1379" spans="1:8" x14ac:dyDescent="0.3">
      <c r="A1379" s="26" t="s">
        <v>220</v>
      </c>
      <c r="B1379" s="26">
        <v>111.5</v>
      </c>
      <c r="C1379" s="29">
        <f t="shared" si="42"/>
        <v>1.5945330296127564E-2</v>
      </c>
      <c r="D1379" s="26"/>
      <c r="F1379" s="26">
        <v>78827.740000000005</v>
      </c>
      <c r="G1379" s="29">
        <f t="shared" si="43"/>
        <v>1.0229847656354762E-2</v>
      </c>
      <c r="H1379" s="26"/>
    </row>
    <row r="1380" spans="1:8" x14ac:dyDescent="0.3">
      <c r="A1380" s="26" t="s">
        <v>219</v>
      </c>
      <c r="B1380" s="26">
        <v>111.45</v>
      </c>
      <c r="C1380" s="29">
        <f t="shared" si="42"/>
        <v>-4.4843049327351713E-4</v>
      </c>
      <c r="D1380" s="26"/>
      <c r="F1380" s="26">
        <v>78628.81</v>
      </c>
      <c r="G1380" s="29">
        <f t="shared" si="43"/>
        <v>-2.5236040003177506E-3</v>
      </c>
      <c r="H1380" s="26"/>
    </row>
    <row r="1381" spans="1:8" x14ac:dyDescent="0.3">
      <c r="A1381" s="26" t="s">
        <v>218</v>
      </c>
      <c r="B1381" s="26">
        <v>109.5</v>
      </c>
      <c r="C1381" s="29">
        <f t="shared" si="42"/>
        <v>-1.7496635262449555E-2</v>
      </c>
      <c r="D1381" s="26"/>
      <c r="F1381" s="26">
        <v>77886.990000000005</v>
      </c>
      <c r="G1381" s="29">
        <f t="shared" si="43"/>
        <v>-9.4344553860091791E-3</v>
      </c>
      <c r="H1381" s="26"/>
    </row>
    <row r="1382" spans="1:8" x14ac:dyDescent="0.3">
      <c r="A1382" s="27">
        <v>45299</v>
      </c>
      <c r="B1382" s="26">
        <v>108.5</v>
      </c>
      <c r="C1382" s="29">
        <f t="shared" si="42"/>
        <v>-9.1324200913242004E-3</v>
      </c>
      <c r="D1382" s="26"/>
      <c r="F1382" s="26">
        <v>77740.31</v>
      </c>
      <c r="G1382" s="29">
        <f t="shared" si="43"/>
        <v>-1.8832413474960011E-3</v>
      </c>
      <c r="H1382" s="26"/>
    </row>
    <row r="1383" spans="1:8" x14ac:dyDescent="0.3">
      <c r="A1383" s="27">
        <v>45330</v>
      </c>
      <c r="B1383" s="26">
        <v>107</v>
      </c>
      <c r="C1383" s="29">
        <f t="shared" si="42"/>
        <v>-1.3824884792626729E-2</v>
      </c>
      <c r="D1383" s="26"/>
      <c r="F1383" s="26">
        <v>78225.98</v>
      </c>
      <c r="G1383" s="29">
        <f t="shared" si="43"/>
        <v>6.2473380926831691E-3</v>
      </c>
      <c r="H1383" s="26"/>
    </row>
    <row r="1384" spans="1:8" x14ac:dyDescent="0.3">
      <c r="A1384" s="27">
        <v>45420</v>
      </c>
      <c r="B1384" s="26">
        <v>105.85</v>
      </c>
      <c r="C1384" s="29">
        <f t="shared" si="42"/>
        <v>-1.0747663551401922E-2</v>
      </c>
      <c r="D1384" s="26"/>
      <c r="F1384" s="26">
        <v>77084.490000000005</v>
      </c>
      <c r="G1384" s="29">
        <f t="shared" si="43"/>
        <v>-1.4592210925321623E-2</v>
      </c>
      <c r="H1384" s="26"/>
    </row>
    <row r="1385" spans="1:8" x14ac:dyDescent="0.3">
      <c r="A1385" s="27">
        <v>45451</v>
      </c>
      <c r="B1385" s="26">
        <v>103</v>
      </c>
      <c r="C1385" s="29">
        <f t="shared" si="42"/>
        <v>-2.6924893717524746E-2</v>
      </c>
      <c r="D1385" s="26"/>
      <c r="F1385" s="26">
        <v>77191.34</v>
      </c>
      <c r="G1385" s="29">
        <f t="shared" si="43"/>
        <v>1.3861413625489546E-3</v>
      </c>
      <c r="H1385" s="26"/>
    </row>
    <row r="1386" spans="1:8" x14ac:dyDescent="0.3">
      <c r="A1386" s="27">
        <v>45481</v>
      </c>
      <c r="B1386" s="26">
        <v>100</v>
      </c>
      <c r="C1386" s="29">
        <f t="shared" si="42"/>
        <v>-2.9126213592233011E-2</v>
      </c>
      <c r="D1386" s="26"/>
      <c r="F1386" s="26">
        <v>77114.490000000005</v>
      </c>
      <c r="G1386" s="29">
        <f t="shared" si="43"/>
        <v>-9.9557800136636145E-4</v>
      </c>
      <c r="H1386" s="26"/>
    </row>
    <row r="1387" spans="1:8" x14ac:dyDescent="0.3">
      <c r="A1387" s="27">
        <v>45512</v>
      </c>
      <c r="B1387" s="26">
        <v>99.45</v>
      </c>
      <c r="C1387" s="29">
        <f t="shared" si="42"/>
        <v>-5.4999999999999719E-3</v>
      </c>
      <c r="D1387" s="26"/>
      <c r="F1387" s="26">
        <v>77874.22</v>
      </c>
      <c r="G1387" s="29">
        <f t="shared" si="43"/>
        <v>9.8519746418603803E-3</v>
      </c>
      <c r="H1387" s="26"/>
    </row>
    <row r="1388" spans="1:8" x14ac:dyDescent="0.3">
      <c r="A1388" s="27">
        <v>45543</v>
      </c>
      <c r="B1388" s="26">
        <v>100.75</v>
      </c>
      <c r="C1388" s="29">
        <f t="shared" si="42"/>
        <v>1.3071895424836572E-2</v>
      </c>
      <c r="D1388" s="26"/>
      <c r="F1388" s="26">
        <v>78569.59</v>
      </c>
      <c r="G1388" s="29">
        <f t="shared" si="43"/>
        <v>8.9293992286535312E-3</v>
      </c>
      <c r="H1388" s="26"/>
    </row>
    <row r="1389" spans="1:8" x14ac:dyDescent="0.3">
      <c r="A1389" s="27">
        <v>45634</v>
      </c>
      <c r="B1389" s="26">
        <v>100.02</v>
      </c>
      <c r="C1389" s="29">
        <f t="shared" si="42"/>
        <v>-7.2456575682382533E-3</v>
      </c>
      <c r="D1389" s="26"/>
      <c r="F1389" s="26">
        <v>77980.289999999994</v>
      </c>
      <c r="G1389" s="29">
        <f t="shared" si="43"/>
        <v>-7.5003573265432968E-3</v>
      </c>
      <c r="H1389" s="26"/>
    </row>
    <row r="1390" spans="1:8" x14ac:dyDescent="0.3">
      <c r="A1390" s="26" t="s">
        <v>217</v>
      </c>
      <c r="B1390" s="26">
        <v>99.98</v>
      </c>
      <c r="C1390" s="29">
        <f t="shared" si="42"/>
        <v>-3.999200159967211E-4</v>
      </c>
      <c r="D1390" s="26"/>
      <c r="F1390" s="26">
        <v>77877.42</v>
      </c>
      <c r="G1390" s="29">
        <f t="shared" si="43"/>
        <v>-1.3191795003583001E-3</v>
      </c>
      <c r="H1390" s="26"/>
    </row>
    <row r="1391" spans="1:8" x14ac:dyDescent="0.3">
      <c r="A1391" s="26" t="s">
        <v>216</v>
      </c>
      <c r="B1391" s="26">
        <v>98.99</v>
      </c>
      <c r="C1391" s="29">
        <f t="shared" si="42"/>
        <v>-9.901980396079306E-3</v>
      </c>
      <c r="D1391" s="26"/>
      <c r="F1391" s="26">
        <v>78105.98</v>
      </c>
      <c r="G1391" s="29">
        <f t="shared" si="43"/>
        <v>2.9348686692496706E-3</v>
      </c>
      <c r="H1391" s="26"/>
    </row>
    <row r="1392" spans="1:8" x14ac:dyDescent="0.3">
      <c r="A1392" s="26" t="s">
        <v>215</v>
      </c>
      <c r="B1392" s="26">
        <v>101</v>
      </c>
      <c r="C1392" s="29">
        <f t="shared" si="42"/>
        <v>2.0305081321345644E-2</v>
      </c>
      <c r="D1392" s="26"/>
      <c r="F1392" s="26">
        <v>78045.31</v>
      </c>
      <c r="G1392" s="29">
        <f t="shared" si="43"/>
        <v>-7.7676510812614162E-4</v>
      </c>
      <c r="H1392" s="26"/>
    </row>
    <row r="1393" spans="1:8" x14ac:dyDescent="0.3">
      <c r="A1393" s="26" t="s">
        <v>214</v>
      </c>
      <c r="B1393" s="26">
        <v>103.98</v>
      </c>
      <c r="C1393" s="29">
        <f t="shared" si="42"/>
        <v>2.9504950495049545E-2</v>
      </c>
      <c r="D1393" s="26"/>
      <c r="F1393" s="26">
        <v>77830.34</v>
      </c>
      <c r="G1393" s="29">
        <f t="shared" si="43"/>
        <v>-2.7544256022559352E-3</v>
      </c>
      <c r="H1393" s="26"/>
    </row>
    <row r="1394" spans="1:8" x14ac:dyDescent="0.3">
      <c r="A1394" s="26" t="s">
        <v>213</v>
      </c>
      <c r="B1394" s="26">
        <v>97.56</v>
      </c>
      <c r="C1394" s="29">
        <f t="shared" si="42"/>
        <v>-6.1742642815926153E-2</v>
      </c>
      <c r="D1394" s="26"/>
      <c r="F1394" s="26">
        <v>77745.52</v>
      </c>
      <c r="G1394" s="29">
        <f t="shared" si="43"/>
        <v>-1.0898063660006168E-3</v>
      </c>
      <c r="H1394" s="26"/>
    </row>
    <row r="1395" spans="1:8" x14ac:dyDescent="0.3">
      <c r="A1395" s="26" t="s">
        <v>212</v>
      </c>
      <c r="B1395" s="26">
        <v>98.5</v>
      </c>
      <c r="C1395" s="29">
        <f t="shared" si="42"/>
        <v>9.6350963509634867E-3</v>
      </c>
      <c r="D1395" s="26"/>
      <c r="F1395" s="26">
        <v>78260.86</v>
      </c>
      <c r="G1395" s="29">
        <f t="shared" si="43"/>
        <v>6.6285491434104043E-3</v>
      </c>
      <c r="H1395" s="26"/>
    </row>
    <row r="1396" spans="1:8" x14ac:dyDescent="0.3">
      <c r="A1396" s="26" t="s">
        <v>211</v>
      </c>
      <c r="B1396" s="26">
        <v>98.5</v>
      </c>
      <c r="C1396" s="29">
        <f t="shared" si="42"/>
        <v>0</v>
      </c>
      <c r="D1396" s="26"/>
      <c r="F1396" s="26">
        <v>78793.41</v>
      </c>
      <c r="G1396" s="29">
        <f t="shared" si="43"/>
        <v>6.8048063872541515E-3</v>
      </c>
      <c r="H1396" s="26"/>
    </row>
    <row r="1397" spans="1:8" x14ac:dyDescent="0.3">
      <c r="A1397" s="26" t="s">
        <v>210</v>
      </c>
      <c r="B1397" s="26">
        <v>98.5</v>
      </c>
      <c r="C1397" s="29">
        <f t="shared" si="42"/>
        <v>0</v>
      </c>
      <c r="D1397" s="26"/>
      <c r="F1397" s="26">
        <v>78801.429999999993</v>
      </c>
      <c r="G1397" s="29">
        <f t="shared" si="43"/>
        <v>1.0178516198232216E-4</v>
      </c>
      <c r="H1397" s="26"/>
    </row>
    <row r="1398" spans="1:8" x14ac:dyDescent="0.3">
      <c r="A1398" s="26" t="s">
        <v>209</v>
      </c>
      <c r="B1398" s="26">
        <v>97.75</v>
      </c>
      <c r="C1398" s="29">
        <f t="shared" si="42"/>
        <v>-7.6142131979695434E-3</v>
      </c>
      <c r="D1398" s="26"/>
      <c r="F1398" s="26">
        <v>78571.06</v>
      </c>
      <c r="G1398" s="29">
        <f t="shared" si="43"/>
        <v>-2.9234241053746786E-3</v>
      </c>
      <c r="H1398" s="26"/>
    </row>
    <row r="1399" spans="1:8" x14ac:dyDescent="0.3">
      <c r="A1399" s="26" t="s">
        <v>208</v>
      </c>
      <c r="B1399" s="26">
        <v>97.69</v>
      </c>
      <c r="C1399" s="29">
        <f t="shared" si="42"/>
        <v>-6.138107416880028E-4</v>
      </c>
      <c r="D1399" s="26"/>
      <c r="F1399" s="26">
        <v>78084.240000000005</v>
      </c>
      <c r="G1399" s="29">
        <f t="shared" si="43"/>
        <v>-6.1959199735881435E-3</v>
      </c>
      <c r="H1399" s="26"/>
    </row>
    <row r="1400" spans="1:8" x14ac:dyDescent="0.3">
      <c r="A1400" s="26" t="s">
        <v>207</v>
      </c>
      <c r="B1400" s="26">
        <v>96.51</v>
      </c>
      <c r="C1400" s="29">
        <f t="shared" si="42"/>
        <v>-1.2079025488790999E-2</v>
      </c>
      <c r="D1400" s="26"/>
      <c r="F1400" s="26">
        <v>77992.789999999994</v>
      </c>
      <c r="G1400" s="29">
        <f t="shared" si="43"/>
        <v>-1.1711710327207082E-3</v>
      </c>
      <c r="H1400" s="26"/>
    </row>
    <row r="1401" spans="1:8" x14ac:dyDescent="0.3">
      <c r="A1401" s="26" t="s">
        <v>206</v>
      </c>
      <c r="B1401" s="26">
        <v>97.2</v>
      </c>
      <c r="C1401" s="29">
        <f t="shared" si="42"/>
        <v>7.1495181846440541E-3</v>
      </c>
      <c r="D1401" s="26"/>
      <c r="F1401" s="26">
        <v>78349.66</v>
      </c>
      <c r="G1401" s="29">
        <f t="shared" si="43"/>
        <v>4.5756793672852318E-3</v>
      </c>
      <c r="H1401" s="26"/>
    </row>
    <row r="1402" spans="1:8" x14ac:dyDescent="0.3">
      <c r="A1402" s="26" t="s">
        <v>205</v>
      </c>
      <c r="B1402" s="26">
        <v>96.01</v>
      </c>
      <c r="C1402" s="29">
        <f t="shared" si="42"/>
        <v>-1.2242798353909441E-2</v>
      </c>
      <c r="D1402" s="26"/>
      <c r="F1402" s="26">
        <v>78488.22</v>
      </c>
      <c r="G1402" s="29">
        <f t="shared" si="43"/>
        <v>1.7684824669309052E-3</v>
      </c>
      <c r="H1402" s="26"/>
    </row>
    <row r="1403" spans="1:8" x14ac:dyDescent="0.3">
      <c r="A1403" s="27">
        <v>45331</v>
      </c>
      <c r="B1403" s="26">
        <v>96.9</v>
      </c>
      <c r="C1403" s="29">
        <f t="shared" si="42"/>
        <v>9.269867722112286E-3</v>
      </c>
      <c r="D1403" s="26"/>
      <c r="F1403" s="26">
        <v>78283.3</v>
      </c>
      <c r="G1403" s="29">
        <f t="shared" si="43"/>
        <v>-2.6108376518157532E-3</v>
      </c>
      <c r="H1403" s="26"/>
    </row>
    <row r="1404" spans="1:8" x14ac:dyDescent="0.3">
      <c r="A1404" s="27">
        <v>45360</v>
      </c>
      <c r="B1404" s="26">
        <v>97</v>
      </c>
      <c r="C1404" s="29">
        <f t="shared" si="42"/>
        <v>1.0319917440659888E-3</v>
      </c>
      <c r="D1404" s="26"/>
      <c r="F1404" s="26">
        <v>78356.320000000007</v>
      </c>
      <c r="G1404" s="29">
        <f t="shared" si="43"/>
        <v>9.3276599223594391E-4</v>
      </c>
      <c r="H1404" s="26"/>
    </row>
    <row r="1405" spans="1:8" x14ac:dyDescent="0.3">
      <c r="A1405" s="27">
        <v>45391</v>
      </c>
      <c r="B1405" s="26">
        <v>96.9</v>
      </c>
      <c r="C1405" s="29">
        <f t="shared" si="42"/>
        <v>-1.0309278350514879E-3</v>
      </c>
      <c r="D1405" s="26"/>
      <c r="F1405" s="26">
        <v>78848.009999999995</v>
      </c>
      <c r="G1405" s="29">
        <f t="shared" si="43"/>
        <v>6.2750522229730512E-3</v>
      </c>
      <c r="H1405" s="26"/>
    </row>
    <row r="1406" spans="1:8" x14ac:dyDescent="0.3">
      <c r="A1406" s="27">
        <v>45421</v>
      </c>
      <c r="B1406" s="26">
        <v>95.5</v>
      </c>
      <c r="C1406" s="29">
        <f t="shared" si="42"/>
        <v>-1.4447884416924722E-2</v>
      </c>
      <c r="D1406" s="26"/>
      <c r="F1406" s="26">
        <v>78863.34</v>
      </c>
      <c r="G1406" s="29">
        <f t="shared" si="43"/>
        <v>1.9442469125094909E-4</v>
      </c>
      <c r="H1406" s="26"/>
    </row>
    <row r="1407" spans="1:8" x14ac:dyDescent="0.3">
      <c r="A1407" s="27">
        <v>45452</v>
      </c>
      <c r="B1407" s="26">
        <v>96</v>
      </c>
      <c r="C1407" s="29">
        <f t="shared" si="42"/>
        <v>5.235602094240838E-3</v>
      </c>
      <c r="D1407" s="26"/>
      <c r="F1407" s="26">
        <v>78897.73</v>
      </c>
      <c r="G1407" s="29">
        <f t="shared" si="43"/>
        <v>4.3607080298652606E-4</v>
      </c>
      <c r="H1407" s="26"/>
    </row>
    <row r="1408" spans="1:8" x14ac:dyDescent="0.3">
      <c r="A1408" s="27">
        <v>45544</v>
      </c>
      <c r="B1408" s="26">
        <v>95.12</v>
      </c>
      <c r="C1408" s="29">
        <f t="shared" si="42"/>
        <v>-9.1666666666666199E-3</v>
      </c>
      <c r="D1408" s="26"/>
      <c r="F1408" s="26">
        <v>78615</v>
      </c>
      <c r="G1408" s="29">
        <f t="shared" si="43"/>
        <v>-3.5834998041134507E-3</v>
      </c>
      <c r="H1408" s="26"/>
    </row>
    <row r="1409" spans="1:8" x14ac:dyDescent="0.3">
      <c r="A1409" s="27">
        <v>45574</v>
      </c>
      <c r="B1409" s="26">
        <v>96.8</v>
      </c>
      <c r="C1409" s="29">
        <f t="shared" si="42"/>
        <v>1.7661900756938527E-2</v>
      </c>
      <c r="D1409" s="26"/>
      <c r="F1409" s="26">
        <v>79286.740000000005</v>
      </c>
      <c r="G1409" s="29">
        <f t="shared" si="43"/>
        <v>8.5446797684920854E-3</v>
      </c>
      <c r="H1409" s="26"/>
    </row>
    <row r="1410" spans="1:8" x14ac:dyDescent="0.3">
      <c r="A1410" s="27">
        <v>45605</v>
      </c>
      <c r="B1410" s="26">
        <v>94.03</v>
      </c>
      <c r="C1410" s="29">
        <f t="shared" si="42"/>
        <v>-2.8615702479338801E-2</v>
      </c>
      <c r="D1410" s="26"/>
      <c r="F1410" s="26">
        <v>78651.8</v>
      </c>
      <c r="G1410" s="29">
        <f t="shared" si="43"/>
        <v>-8.0081486513381966E-3</v>
      </c>
      <c r="H1410" s="26"/>
    </row>
    <row r="1411" spans="1:8" x14ac:dyDescent="0.3">
      <c r="A1411" s="27">
        <v>45635</v>
      </c>
      <c r="B1411" s="26">
        <v>94.5</v>
      </c>
      <c r="C1411" s="29">
        <f t="shared" si="42"/>
        <v>4.9984047644368694E-3</v>
      </c>
      <c r="D1411" s="26"/>
      <c r="F1411" s="26">
        <v>79017.62</v>
      </c>
      <c r="G1411" s="29">
        <f t="shared" si="43"/>
        <v>4.6511332226343511E-3</v>
      </c>
      <c r="H1411" s="26"/>
    </row>
    <row r="1412" spans="1:8" x14ac:dyDescent="0.3">
      <c r="A1412" s="26" t="s">
        <v>204</v>
      </c>
      <c r="B1412" s="26">
        <v>95</v>
      </c>
      <c r="C1412" s="29">
        <f t="shared" si="42"/>
        <v>5.2910052910052907E-3</v>
      </c>
      <c r="D1412" s="26"/>
      <c r="F1412" s="26">
        <v>79333.06</v>
      </c>
      <c r="G1412" s="29">
        <f t="shared" si="43"/>
        <v>3.9920210201218713E-3</v>
      </c>
      <c r="H1412" s="26"/>
    </row>
    <row r="1413" spans="1:8" x14ac:dyDescent="0.3">
      <c r="A1413" s="26" t="s">
        <v>203</v>
      </c>
      <c r="B1413" s="26">
        <v>95.4</v>
      </c>
      <c r="C1413" s="29">
        <f t="shared" ref="C1413:C1476" si="44">(B1413-B1412)/B1412</f>
        <v>4.2105263157895334E-3</v>
      </c>
      <c r="D1413" s="26"/>
      <c r="F1413" s="26">
        <v>79491.14</v>
      </c>
      <c r="G1413" s="29">
        <f t="shared" ref="G1413:G1476" si="45">(F1413-F1412)/F1412</f>
        <v>1.9926119073183581E-3</v>
      </c>
      <c r="H1413" s="26"/>
    </row>
    <row r="1414" spans="1:8" x14ac:dyDescent="0.3">
      <c r="A1414" s="26" t="s">
        <v>202</v>
      </c>
      <c r="B1414" s="26">
        <v>94.8</v>
      </c>
      <c r="C1414" s="29">
        <f t="shared" si="44"/>
        <v>-6.2893081761007177E-3</v>
      </c>
      <c r="D1414" s="26"/>
      <c r="F1414" s="26">
        <v>80461.34</v>
      </c>
      <c r="G1414" s="29">
        <f t="shared" si="45"/>
        <v>1.2205133804849158E-2</v>
      </c>
      <c r="H1414" s="26"/>
    </row>
    <row r="1415" spans="1:8" x14ac:dyDescent="0.3">
      <c r="A1415" s="26" t="s">
        <v>201</v>
      </c>
      <c r="B1415" s="26">
        <v>95</v>
      </c>
      <c r="C1415" s="29">
        <f t="shared" si="44"/>
        <v>2.1097046413502412E-3</v>
      </c>
      <c r="D1415" s="26"/>
      <c r="F1415" s="26">
        <v>81459.289999999994</v>
      </c>
      <c r="G1415" s="29">
        <f t="shared" si="45"/>
        <v>1.2402850859804188E-2</v>
      </c>
      <c r="H1415" s="26"/>
    </row>
    <row r="1416" spans="1:8" x14ac:dyDescent="0.3">
      <c r="A1416" s="26" t="s">
        <v>200</v>
      </c>
      <c r="B1416" s="26">
        <v>95.7</v>
      </c>
      <c r="C1416" s="29">
        <f t="shared" si="44"/>
        <v>7.3684210526316091E-3</v>
      </c>
      <c r="D1416" s="26"/>
      <c r="F1416" s="26">
        <v>82074.45</v>
      </c>
      <c r="G1416" s="29">
        <f t="shared" si="45"/>
        <v>7.5517476275573179E-3</v>
      </c>
      <c r="H1416" s="26"/>
    </row>
    <row r="1417" spans="1:8" x14ac:dyDescent="0.3">
      <c r="A1417" s="26" t="s">
        <v>199</v>
      </c>
      <c r="B1417" s="26">
        <v>98.49</v>
      </c>
      <c r="C1417" s="29">
        <f t="shared" si="44"/>
        <v>2.9153605015673899E-2</v>
      </c>
      <c r="D1417" s="26"/>
      <c r="F1417" s="26">
        <v>81850.5</v>
      </c>
      <c r="G1417" s="29">
        <f t="shared" si="45"/>
        <v>-2.7286201735131589E-3</v>
      </c>
      <c r="H1417" s="26"/>
    </row>
    <row r="1418" spans="1:8" x14ac:dyDescent="0.3">
      <c r="A1418" s="26" t="s">
        <v>198</v>
      </c>
      <c r="B1418" s="26">
        <v>97.85</v>
      </c>
      <c r="C1418" s="29">
        <f t="shared" si="44"/>
        <v>-6.4981216367143929E-3</v>
      </c>
      <c r="D1418" s="26"/>
      <c r="F1418" s="26">
        <v>81483.64</v>
      </c>
      <c r="G1418" s="29">
        <f t="shared" si="45"/>
        <v>-4.4820740252044956E-3</v>
      </c>
      <c r="H1418" s="26"/>
    </row>
    <row r="1419" spans="1:8" x14ac:dyDescent="0.3">
      <c r="A1419" s="26" t="s">
        <v>197</v>
      </c>
      <c r="B1419" s="26">
        <v>99.95</v>
      </c>
      <c r="C1419" s="29">
        <f t="shared" si="44"/>
        <v>2.1461420541645463E-2</v>
      </c>
      <c r="D1419" s="26"/>
      <c r="F1419" s="26">
        <v>82247.92</v>
      </c>
      <c r="G1419" s="29">
        <f t="shared" si="45"/>
        <v>9.3795515271531665E-3</v>
      </c>
      <c r="H1419" s="26"/>
    </row>
    <row r="1420" spans="1:8" x14ac:dyDescent="0.3">
      <c r="A1420" s="26" t="s">
        <v>196</v>
      </c>
      <c r="B1420" s="26">
        <v>100</v>
      </c>
      <c r="C1420" s="29">
        <f t="shared" si="44"/>
        <v>5.0025012506250282E-4</v>
      </c>
      <c r="D1420" s="26"/>
      <c r="F1420" s="26">
        <v>81657.97</v>
      </c>
      <c r="G1420" s="29">
        <f t="shared" si="45"/>
        <v>-7.1728257687245717E-3</v>
      </c>
      <c r="H1420" s="26"/>
    </row>
    <row r="1421" spans="1:8" x14ac:dyDescent="0.3">
      <c r="A1421" s="26" t="s">
        <v>195</v>
      </c>
      <c r="B1421" s="26">
        <v>99.61</v>
      </c>
      <c r="C1421" s="29">
        <f t="shared" si="44"/>
        <v>-3.9000000000000059E-3</v>
      </c>
      <c r="D1421" s="26"/>
      <c r="F1421" s="26">
        <v>81292.13</v>
      </c>
      <c r="G1421" s="29">
        <f t="shared" si="45"/>
        <v>-4.4801505597064986E-3</v>
      </c>
      <c r="H1421" s="26"/>
    </row>
    <row r="1422" spans="1:8" x14ac:dyDescent="0.3">
      <c r="A1422" s="26" t="s">
        <v>194</v>
      </c>
      <c r="B1422" s="26">
        <v>99</v>
      </c>
      <c r="C1422" s="29">
        <f t="shared" si="44"/>
        <v>-6.1238831442626184E-3</v>
      </c>
      <c r="D1422" s="26"/>
      <c r="F1422" s="26">
        <v>81114.2</v>
      </c>
      <c r="G1422" s="29">
        <f t="shared" si="45"/>
        <v>-2.1887727631199668E-3</v>
      </c>
      <c r="H1422" s="26"/>
    </row>
    <row r="1423" spans="1:8" x14ac:dyDescent="0.3">
      <c r="A1423" s="27">
        <v>45301</v>
      </c>
      <c r="B1423" s="26">
        <v>100.25</v>
      </c>
      <c r="C1423" s="29">
        <f t="shared" si="44"/>
        <v>1.2626262626262626E-2</v>
      </c>
      <c r="D1423" s="26"/>
      <c r="F1423" s="26">
        <v>81804.59</v>
      </c>
      <c r="G1423" s="29">
        <f t="shared" si="45"/>
        <v>8.5113334040155669E-3</v>
      </c>
      <c r="H1423" s="26"/>
    </row>
    <row r="1424" spans="1:8" x14ac:dyDescent="0.3">
      <c r="A1424" s="27">
        <v>45332</v>
      </c>
      <c r="B1424" s="26">
        <v>99</v>
      </c>
      <c r="C1424" s="29">
        <f t="shared" si="44"/>
        <v>-1.2468827930174564E-2</v>
      </c>
      <c r="D1424" s="26"/>
      <c r="F1424" s="26">
        <v>81967.009999999995</v>
      </c>
      <c r="G1424" s="29">
        <f t="shared" si="45"/>
        <v>1.9854631628860712E-3</v>
      </c>
      <c r="H1424" s="26"/>
    </row>
    <row r="1425" spans="1:8" x14ac:dyDescent="0.3">
      <c r="A1425" s="27">
        <v>45361</v>
      </c>
      <c r="B1425" s="26">
        <v>100</v>
      </c>
      <c r="C1425" s="29">
        <f t="shared" si="44"/>
        <v>1.0101010101010102E-2</v>
      </c>
      <c r="D1425" s="26"/>
      <c r="F1425" s="26">
        <v>82721.77</v>
      </c>
      <c r="G1425" s="29">
        <f t="shared" si="45"/>
        <v>9.2080948176590724E-3</v>
      </c>
      <c r="H1425" s="26"/>
    </row>
    <row r="1426" spans="1:8" x14ac:dyDescent="0.3">
      <c r="A1426" s="27">
        <v>45392</v>
      </c>
      <c r="B1426" s="26">
        <v>100.5</v>
      </c>
      <c r="C1426" s="29">
        <f t="shared" si="44"/>
        <v>5.0000000000000001E-3</v>
      </c>
      <c r="D1426" s="26"/>
      <c r="F1426" s="26">
        <v>83531.960000000006</v>
      </c>
      <c r="G1426" s="29">
        <f t="shared" si="45"/>
        <v>9.7941569673860012E-3</v>
      </c>
      <c r="H1426" s="26"/>
    </row>
    <row r="1427" spans="1:8" x14ac:dyDescent="0.3">
      <c r="A1427" s="27">
        <v>45483</v>
      </c>
      <c r="B1427" s="26">
        <v>101.1</v>
      </c>
      <c r="C1427" s="29">
        <f t="shared" si="44"/>
        <v>5.970149253731287E-3</v>
      </c>
      <c r="D1427" s="26"/>
      <c r="F1427" s="26">
        <v>84910.3</v>
      </c>
      <c r="G1427" s="29">
        <f t="shared" si="45"/>
        <v>1.6500750132045224E-2</v>
      </c>
      <c r="H1427" s="26"/>
    </row>
    <row r="1428" spans="1:8" x14ac:dyDescent="0.3">
      <c r="A1428" s="27">
        <v>45514</v>
      </c>
      <c r="B1428" s="26">
        <v>107.5</v>
      </c>
      <c r="C1428" s="29">
        <f t="shared" si="44"/>
        <v>6.3303659742828935E-2</v>
      </c>
      <c r="D1428" s="26"/>
      <c r="F1428" s="26">
        <v>85663.98</v>
      </c>
      <c r="G1428" s="29">
        <f t="shared" si="45"/>
        <v>8.8761905210556664E-3</v>
      </c>
      <c r="H1428" s="26"/>
    </row>
    <row r="1429" spans="1:8" x14ac:dyDescent="0.3">
      <c r="A1429" s="27">
        <v>45545</v>
      </c>
      <c r="B1429" s="26">
        <v>110</v>
      </c>
      <c r="C1429" s="29">
        <f t="shared" si="44"/>
        <v>2.3255813953488372E-2</v>
      </c>
      <c r="D1429" s="26"/>
      <c r="F1429" s="26">
        <v>85669.28</v>
      </c>
      <c r="G1429" s="29">
        <f t="shared" si="45"/>
        <v>6.1869644627799341E-5</v>
      </c>
      <c r="H1429" s="26"/>
    </row>
    <row r="1430" spans="1:8" x14ac:dyDescent="0.3">
      <c r="A1430" s="27">
        <v>45575</v>
      </c>
      <c r="B1430" s="26">
        <v>108.9</v>
      </c>
      <c r="C1430" s="29">
        <f t="shared" si="44"/>
        <v>-9.9999999999999482E-3</v>
      </c>
      <c r="D1430" s="26"/>
      <c r="F1430" s="26">
        <v>85453.22</v>
      </c>
      <c r="G1430" s="29">
        <f t="shared" si="45"/>
        <v>-2.522024230856121E-3</v>
      </c>
      <c r="H1430" s="26"/>
    </row>
    <row r="1431" spans="1:8" x14ac:dyDescent="0.3">
      <c r="A1431" s="27">
        <v>45606</v>
      </c>
      <c r="B1431" s="26">
        <v>108.25</v>
      </c>
      <c r="C1431" s="29">
        <f t="shared" si="44"/>
        <v>-5.9687786960514752E-3</v>
      </c>
      <c r="D1431" s="26"/>
      <c r="F1431" s="26">
        <v>85483.4</v>
      </c>
      <c r="G1431" s="29">
        <f t="shared" si="45"/>
        <v>3.5317569074627046E-4</v>
      </c>
      <c r="H1431" s="26"/>
    </row>
    <row r="1432" spans="1:8" x14ac:dyDescent="0.3">
      <c r="A1432" s="26" t="s">
        <v>193</v>
      </c>
      <c r="B1432" s="26">
        <v>107.8</v>
      </c>
      <c r="C1432" s="29">
        <f t="shared" si="44"/>
        <v>-4.1570438799076476E-3</v>
      </c>
      <c r="D1432" s="26"/>
      <c r="F1432" s="26">
        <v>85261.39</v>
      </c>
      <c r="G1432" s="29">
        <f t="shared" si="45"/>
        <v>-2.5971124218268668E-3</v>
      </c>
      <c r="H1432" s="26"/>
    </row>
    <row r="1433" spans="1:8" x14ac:dyDescent="0.3">
      <c r="A1433" s="26" t="s">
        <v>192</v>
      </c>
      <c r="B1433" s="26">
        <v>108</v>
      </c>
      <c r="C1433" s="29">
        <f t="shared" si="44"/>
        <v>1.8552875695733103E-3</v>
      </c>
      <c r="D1433" s="26"/>
      <c r="F1433" s="26">
        <v>85840.34</v>
      </c>
      <c r="G1433" s="29">
        <f t="shared" si="45"/>
        <v>6.7902951148227477E-3</v>
      </c>
      <c r="H1433" s="26"/>
    </row>
    <row r="1434" spans="1:8" x14ac:dyDescent="0.3">
      <c r="A1434" s="26" t="s">
        <v>191</v>
      </c>
      <c r="B1434" s="26">
        <v>107.9</v>
      </c>
      <c r="C1434" s="29">
        <f t="shared" si="44"/>
        <v>-9.2592592592587327E-4</v>
      </c>
      <c r="D1434" s="26"/>
      <c r="F1434" s="26">
        <v>86205.66</v>
      </c>
      <c r="G1434" s="29">
        <f t="shared" si="45"/>
        <v>4.2558079336592449E-3</v>
      </c>
      <c r="H1434" s="26"/>
    </row>
    <row r="1435" spans="1:8" x14ac:dyDescent="0.3">
      <c r="A1435" s="26" t="s">
        <v>190</v>
      </c>
      <c r="B1435" s="26">
        <v>107.01</v>
      </c>
      <c r="C1435" s="29">
        <f t="shared" si="44"/>
        <v>-8.2483781278962047E-3</v>
      </c>
      <c r="D1435" s="26"/>
      <c r="F1435" s="26">
        <v>85585.43</v>
      </c>
      <c r="G1435" s="29">
        <f t="shared" si="45"/>
        <v>-7.1947712017982396E-3</v>
      </c>
      <c r="H1435" s="26"/>
    </row>
    <row r="1436" spans="1:8" x14ac:dyDescent="0.3">
      <c r="A1436" s="26" t="s">
        <v>189</v>
      </c>
      <c r="B1436" s="26">
        <v>106.5</v>
      </c>
      <c r="C1436" s="29">
        <f t="shared" si="44"/>
        <v>-4.7659097280628457E-3</v>
      </c>
      <c r="D1436" s="26"/>
      <c r="F1436" s="26">
        <v>85250.09</v>
      </c>
      <c r="G1436" s="29">
        <f t="shared" si="45"/>
        <v>-3.9181902807521856E-3</v>
      </c>
      <c r="H1436" s="26"/>
    </row>
    <row r="1437" spans="1:8" x14ac:dyDescent="0.3">
      <c r="A1437" s="26" t="s">
        <v>188</v>
      </c>
      <c r="B1437" s="26">
        <v>107.2</v>
      </c>
      <c r="C1437" s="29">
        <f t="shared" si="44"/>
        <v>6.5727699530516697E-3</v>
      </c>
      <c r="D1437" s="26"/>
      <c r="F1437" s="26">
        <v>86057.52</v>
      </c>
      <c r="G1437" s="29">
        <f t="shared" si="45"/>
        <v>9.4713096490573519E-3</v>
      </c>
      <c r="H1437" s="26"/>
    </row>
    <row r="1438" spans="1:8" x14ac:dyDescent="0.3">
      <c r="A1438" s="26" t="s">
        <v>187</v>
      </c>
      <c r="B1438" s="26">
        <v>106.02</v>
      </c>
      <c r="C1438" s="29">
        <f t="shared" si="44"/>
        <v>-1.1007462686567228E-2</v>
      </c>
      <c r="D1438" s="26"/>
      <c r="F1438" s="26">
        <v>86466.58</v>
      </c>
      <c r="G1438" s="29">
        <f t="shared" si="45"/>
        <v>4.7533324223147221E-3</v>
      </c>
      <c r="H1438" s="26"/>
    </row>
    <row r="1439" spans="1:8" x14ac:dyDescent="0.3">
      <c r="A1439" s="26" t="s">
        <v>186</v>
      </c>
      <c r="B1439" s="26">
        <v>108.49</v>
      </c>
      <c r="C1439" s="29">
        <f t="shared" si="44"/>
        <v>2.3297491039426514E-2</v>
      </c>
      <c r="D1439" s="26"/>
      <c r="F1439" s="26">
        <v>87194.54</v>
      </c>
      <c r="G1439" s="29">
        <f t="shared" si="45"/>
        <v>8.4189752850175395E-3</v>
      </c>
      <c r="H1439" s="26"/>
    </row>
    <row r="1440" spans="1:8" x14ac:dyDescent="0.3">
      <c r="A1440" s="26" t="s">
        <v>185</v>
      </c>
      <c r="B1440" s="26">
        <v>109.5</v>
      </c>
      <c r="C1440" s="29">
        <f t="shared" si="44"/>
        <v>9.3096137892893834E-3</v>
      </c>
      <c r="D1440" s="26"/>
      <c r="F1440" s="26">
        <v>88945.99</v>
      </c>
      <c r="G1440" s="29">
        <f t="shared" si="45"/>
        <v>2.0086693501680401E-2</v>
      </c>
      <c r="H1440" s="26"/>
    </row>
    <row r="1441" spans="1:8" x14ac:dyDescent="0.3">
      <c r="A1441" s="26" t="s">
        <v>184</v>
      </c>
      <c r="B1441" s="26">
        <v>110</v>
      </c>
      <c r="C1441" s="29">
        <f t="shared" si="44"/>
        <v>4.5662100456621002E-3</v>
      </c>
      <c r="D1441" s="26"/>
      <c r="F1441" s="26">
        <v>89993.97</v>
      </c>
      <c r="G1441" s="29">
        <f t="shared" si="45"/>
        <v>1.1782206257977407E-2</v>
      </c>
      <c r="H1441" s="26"/>
    </row>
    <row r="1442" spans="1:8" x14ac:dyDescent="0.3">
      <c r="A1442" s="26" t="s">
        <v>183</v>
      </c>
      <c r="B1442" s="26">
        <v>110.5</v>
      </c>
      <c r="C1442" s="29">
        <f t="shared" si="44"/>
        <v>4.5454545454545452E-3</v>
      </c>
      <c r="D1442" s="26"/>
      <c r="F1442" s="26">
        <v>90195.520000000004</v>
      </c>
      <c r="G1442" s="29">
        <f t="shared" si="45"/>
        <v>2.239594497275794E-3</v>
      </c>
      <c r="H1442" s="26"/>
    </row>
    <row r="1443" spans="1:8" x14ac:dyDescent="0.3">
      <c r="A1443" s="26" t="s">
        <v>182</v>
      </c>
      <c r="B1443" s="26">
        <v>112.99</v>
      </c>
      <c r="C1443" s="29">
        <f t="shared" si="44"/>
        <v>2.2533936651583663E-2</v>
      </c>
      <c r="D1443" s="26"/>
      <c r="F1443" s="26">
        <v>90864.09</v>
      </c>
      <c r="G1443" s="29">
        <f t="shared" si="45"/>
        <v>7.4124524144879083E-3</v>
      </c>
      <c r="H1443" s="26"/>
    </row>
    <row r="1444" spans="1:8" x14ac:dyDescent="0.3">
      <c r="A1444" s="26" t="s">
        <v>181</v>
      </c>
      <c r="B1444" s="26">
        <v>109</v>
      </c>
      <c r="C1444" s="29">
        <f t="shared" si="44"/>
        <v>-3.5312859545092445E-2</v>
      </c>
      <c r="D1444" s="26"/>
      <c r="F1444" s="26">
        <v>90286.57</v>
      </c>
      <c r="G1444" s="29">
        <f t="shared" si="45"/>
        <v>-6.3558662173361282E-3</v>
      </c>
      <c r="H1444" s="26"/>
    </row>
    <row r="1445" spans="1:8" x14ac:dyDescent="0.3">
      <c r="A1445" s="26" t="s">
        <v>180</v>
      </c>
      <c r="B1445" s="26">
        <v>107.94</v>
      </c>
      <c r="C1445" s="29">
        <f t="shared" si="44"/>
        <v>-9.7247706422018566E-3</v>
      </c>
      <c r="D1445" s="26"/>
      <c r="F1445" s="26">
        <v>88966.77</v>
      </c>
      <c r="G1445" s="29">
        <f t="shared" si="45"/>
        <v>-1.4617899428453233E-2</v>
      </c>
      <c r="H1445" s="26"/>
    </row>
    <row r="1446" spans="1:8" x14ac:dyDescent="0.3">
      <c r="A1446" s="27">
        <v>45302</v>
      </c>
      <c r="B1446" s="26">
        <v>108.5</v>
      </c>
      <c r="C1446" s="29">
        <f t="shared" si="44"/>
        <v>5.1880674448768049E-3</v>
      </c>
      <c r="D1446" s="26"/>
      <c r="F1446" s="26">
        <v>90859.85</v>
      </c>
      <c r="G1446" s="29">
        <f t="shared" si="45"/>
        <v>2.1278506570486955E-2</v>
      </c>
      <c r="H1446" s="26"/>
    </row>
    <row r="1447" spans="1:8" x14ac:dyDescent="0.3">
      <c r="A1447" s="27">
        <v>45393</v>
      </c>
      <c r="B1447" s="26">
        <v>107.9</v>
      </c>
      <c r="C1447" s="29">
        <f t="shared" si="44"/>
        <v>-5.5299539170506392E-3</v>
      </c>
      <c r="D1447" s="26"/>
      <c r="F1447" s="26">
        <v>91938.01</v>
      </c>
      <c r="G1447" s="29">
        <f t="shared" si="45"/>
        <v>1.1866187320361951E-2</v>
      </c>
      <c r="H1447" s="26"/>
    </row>
    <row r="1448" spans="1:8" x14ac:dyDescent="0.3">
      <c r="A1448" s="27">
        <v>45423</v>
      </c>
      <c r="B1448" s="26">
        <v>107.49</v>
      </c>
      <c r="C1448" s="29">
        <f t="shared" si="44"/>
        <v>-3.7998146431882369E-3</v>
      </c>
      <c r="D1448" s="26"/>
      <c r="F1448" s="26">
        <v>92304.320000000007</v>
      </c>
      <c r="G1448" s="29">
        <f t="shared" si="45"/>
        <v>3.9843150836091868E-3</v>
      </c>
      <c r="H1448" s="26"/>
    </row>
    <row r="1449" spans="1:8" x14ac:dyDescent="0.3">
      <c r="A1449" s="27">
        <v>45454</v>
      </c>
      <c r="B1449" s="26">
        <v>106</v>
      </c>
      <c r="C1449" s="29">
        <f t="shared" si="44"/>
        <v>-1.3861754581821518E-2</v>
      </c>
      <c r="D1449" s="26"/>
      <c r="F1449" s="26">
        <v>92021.440000000002</v>
      </c>
      <c r="G1449" s="29">
        <f t="shared" si="45"/>
        <v>-3.0646452950414955E-3</v>
      </c>
      <c r="H1449" s="26"/>
    </row>
    <row r="1450" spans="1:8" x14ac:dyDescent="0.3">
      <c r="A1450" s="27">
        <v>45484</v>
      </c>
      <c r="B1450" s="26">
        <v>106.25</v>
      </c>
      <c r="C1450" s="29">
        <f t="shared" si="44"/>
        <v>2.3584905660377358E-3</v>
      </c>
      <c r="D1450" s="26"/>
      <c r="F1450" s="26">
        <v>92520.49</v>
      </c>
      <c r="G1450" s="29">
        <f t="shared" si="45"/>
        <v>5.423192682053257E-3</v>
      </c>
      <c r="H1450" s="26"/>
    </row>
    <row r="1451" spans="1:8" x14ac:dyDescent="0.3">
      <c r="A1451" s="27">
        <v>45515</v>
      </c>
      <c r="B1451" s="26">
        <v>106</v>
      </c>
      <c r="C1451" s="29">
        <f t="shared" si="44"/>
        <v>-2.352941176470588E-3</v>
      </c>
      <c r="D1451" s="26"/>
      <c r="F1451" s="26">
        <v>93291.68</v>
      </c>
      <c r="G1451" s="29">
        <f t="shared" si="45"/>
        <v>8.3353427981195053E-3</v>
      </c>
      <c r="H1451" s="26"/>
    </row>
    <row r="1452" spans="1:8" x14ac:dyDescent="0.3">
      <c r="A1452" s="27">
        <v>45607</v>
      </c>
      <c r="B1452" s="26">
        <v>104.99</v>
      </c>
      <c r="C1452" s="29">
        <f t="shared" si="44"/>
        <v>-9.5283018867925017E-3</v>
      </c>
      <c r="D1452" s="26"/>
      <c r="F1452" s="26">
        <v>93648.33</v>
      </c>
      <c r="G1452" s="29">
        <f t="shared" si="45"/>
        <v>3.8229561307075695E-3</v>
      </c>
      <c r="H1452" s="26"/>
    </row>
    <row r="1453" spans="1:8" x14ac:dyDescent="0.3">
      <c r="A1453" s="27">
        <v>45637</v>
      </c>
      <c r="B1453" s="26">
        <v>105</v>
      </c>
      <c r="C1453" s="29">
        <f t="shared" si="44"/>
        <v>9.5247166396848426E-5</v>
      </c>
      <c r="D1453" s="26"/>
      <c r="F1453" s="26">
        <v>93224.56</v>
      </c>
      <c r="G1453" s="29">
        <f t="shared" si="45"/>
        <v>-4.5251207362694461E-3</v>
      </c>
      <c r="H1453" s="26"/>
    </row>
    <row r="1454" spans="1:8" x14ac:dyDescent="0.3">
      <c r="A1454" s="26" t="s">
        <v>179</v>
      </c>
      <c r="B1454" s="26">
        <v>103.5</v>
      </c>
      <c r="C1454" s="29">
        <f t="shared" si="44"/>
        <v>-1.4285714285714285E-2</v>
      </c>
      <c r="D1454" s="26"/>
      <c r="F1454" s="26">
        <v>93355.43</v>
      </c>
      <c r="G1454" s="29">
        <f t="shared" si="45"/>
        <v>1.4038146170922701E-3</v>
      </c>
      <c r="H1454" s="26"/>
    </row>
    <row r="1455" spans="1:8" x14ac:dyDescent="0.3">
      <c r="A1455" s="26" t="s">
        <v>178</v>
      </c>
      <c r="B1455" s="26">
        <v>104.49</v>
      </c>
      <c r="C1455" s="29">
        <f t="shared" si="44"/>
        <v>9.5652173913042988E-3</v>
      </c>
      <c r="D1455" s="26"/>
      <c r="F1455" s="26">
        <v>94191.89</v>
      </c>
      <c r="G1455" s="29">
        <f t="shared" si="45"/>
        <v>8.9599501603710302E-3</v>
      </c>
      <c r="H1455" s="26"/>
    </row>
    <row r="1456" spans="1:8" x14ac:dyDescent="0.3">
      <c r="A1456" s="26" t="s">
        <v>177</v>
      </c>
      <c r="B1456" s="26">
        <v>106</v>
      </c>
      <c r="C1456" s="29">
        <f t="shared" si="44"/>
        <v>1.4451143650110108E-2</v>
      </c>
      <c r="D1456" s="26"/>
      <c r="F1456" s="26">
        <v>94763.64</v>
      </c>
      <c r="G1456" s="29">
        <f t="shared" si="45"/>
        <v>6.0700555005319462E-3</v>
      </c>
      <c r="H1456" s="26"/>
    </row>
    <row r="1457" spans="1:8" x14ac:dyDescent="0.3">
      <c r="A1457" s="26" t="s">
        <v>176</v>
      </c>
      <c r="B1457" s="26">
        <v>105</v>
      </c>
      <c r="C1457" s="29">
        <f t="shared" si="44"/>
        <v>-9.433962264150943E-3</v>
      </c>
      <c r="D1457" s="26"/>
      <c r="F1457" s="26">
        <v>94995.67</v>
      </c>
      <c r="G1457" s="29">
        <f t="shared" si="45"/>
        <v>2.4485129528582783E-3</v>
      </c>
      <c r="H1457" s="26"/>
    </row>
    <row r="1458" spans="1:8" x14ac:dyDescent="0.3">
      <c r="A1458" s="26" t="s">
        <v>175</v>
      </c>
      <c r="B1458" s="26">
        <v>105</v>
      </c>
      <c r="C1458" s="29">
        <f t="shared" si="44"/>
        <v>0</v>
      </c>
      <c r="D1458" s="26"/>
      <c r="F1458" s="26">
        <v>95856.67</v>
      </c>
      <c r="G1458" s="29">
        <f t="shared" si="45"/>
        <v>9.0635710027625466E-3</v>
      </c>
      <c r="H1458" s="26"/>
    </row>
    <row r="1459" spans="1:8" x14ac:dyDescent="0.3">
      <c r="A1459" s="26" t="s">
        <v>174</v>
      </c>
      <c r="B1459" s="26">
        <v>106</v>
      </c>
      <c r="C1459" s="29">
        <f t="shared" si="44"/>
        <v>9.5238095238095247E-3</v>
      </c>
      <c r="D1459" s="26"/>
      <c r="F1459" s="26">
        <v>95546.46</v>
      </c>
      <c r="G1459" s="29">
        <f t="shared" si="45"/>
        <v>-3.2361858595754667E-3</v>
      </c>
      <c r="H1459" s="26"/>
    </row>
    <row r="1460" spans="1:8" x14ac:dyDescent="0.3">
      <c r="A1460" s="26" t="s">
        <v>173</v>
      </c>
      <c r="B1460" s="26">
        <v>106.36</v>
      </c>
      <c r="C1460" s="29">
        <f t="shared" si="44"/>
        <v>3.3962264150943344E-3</v>
      </c>
      <c r="D1460" s="26"/>
      <c r="F1460" s="26">
        <v>97328.4</v>
      </c>
      <c r="G1460" s="29">
        <f t="shared" si="45"/>
        <v>1.8649984520619473E-2</v>
      </c>
      <c r="H1460" s="26"/>
    </row>
    <row r="1461" spans="1:8" x14ac:dyDescent="0.3">
      <c r="A1461" s="26" t="s">
        <v>172</v>
      </c>
      <c r="B1461" s="26">
        <v>116.49</v>
      </c>
      <c r="C1461" s="29">
        <f t="shared" si="44"/>
        <v>9.5242572395637409E-2</v>
      </c>
      <c r="D1461" s="26"/>
      <c r="F1461" s="26">
        <v>97798.23</v>
      </c>
      <c r="G1461" s="29">
        <f t="shared" si="45"/>
        <v>4.8272652175521411E-3</v>
      </c>
      <c r="H1461" s="26"/>
    </row>
    <row r="1462" spans="1:8" x14ac:dyDescent="0.3">
      <c r="A1462" s="26" t="s">
        <v>171</v>
      </c>
      <c r="B1462" s="26">
        <v>123.99</v>
      </c>
      <c r="C1462" s="29">
        <f t="shared" si="44"/>
        <v>6.4383208859129543E-2</v>
      </c>
      <c r="D1462" s="26"/>
      <c r="F1462" s="26">
        <v>98079.78</v>
      </c>
      <c r="G1462" s="29">
        <f t="shared" si="45"/>
        <v>2.8788864583745833E-3</v>
      </c>
      <c r="H1462" s="26"/>
    </row>
    <row r="1463" spans="1:8" x14ac:dyDescent="0.3">
      <c r="A1463" s="26" t="s">
        <v>170</v>
      </c>
      <c r="B1463" s="26">
        <v>128</v>
      </c>
      <c r="C1463" s="29">
        <f t="shared" si="44"/>
        <v>3.2341317848213605E-2</v>
      </c>
      <c r="D1463" s="26"/>
      <c r="F1463" s="26">
        <v>94574.16</v>
      </c>
      <c r="G1463" s="29">
        <f t="shared" si="45"/>
        <v>-3.5742535311559583E-2</v>
      </c>
      <c r="H1463" s="26"/>
    </row>
    <row r="1464" spans="1:8" x14ac:dyDescent="0.3">
      <c r="A1464" s="26" t="s">
        <v>169</v>
      </c>
      <c r="B1464" s="26">
        <v>134.99</v>
      </c>
      <c r="C1464" s="29">
        <f t="shared" si="44"/>
        <v>5.4609375000000071E-2</v>
      </c>
      <c r="D1464" s="26"/>
      <c r="F1464" s="26">
        <v>99269.25</v>
      </c>
      <c r="G1464" s="29">
        <f t="shared" si="45"/>
        <v>4.9644532925272572E-2</v>
      </c>
      <c r="H1464" s="26"/>
    </row>
    <row r="1465" spans="1:8" x14ac:dyDescent="0.3">
      <c r="A1465" s="26" t="s">
        <v>168</v>
      </c>
      <c r="B1465" s="26">
        <v>135.5</v>
      </c>
      <c r="C1465" s="29">
        <f t="shared" si="44"/>
        <v>3.7780576338987395E-3</v>
      </c>
      <c r="D1465" s="26"/>
      <c r="F1465" s="26">
        <v>100082.77</v>
      </c>
      <c r="G1465" s="29">
        <f t="shared" si="45"/>
        <v>8.1950855879338678E-3</v>
      </c>
      <c r="H1465" s="26"/>
    </row>
    <row r="1466" spans="1:8" x14ac:dyDescent="0.3">
      <c r="A1466" s="26" t="s">
        <v>167</v>
      </c>
      <c r="B1466" s="26">
        <v>136</v>
      </c>
      <c r="C1466" s="29">
        <f t="shared" si="44"/>
        <v>3.6900369003690036E-3</v>
      </c>
      <c r="D1466" s="26"/>
      <c r="F1466" s="26">
        <v>101357.32</v>
      </c>
      <c r="G1466" s="29">
        <f t="shared" si="45"/>
        <v>1.2734959274208766E-2</v>
      </c>
      <c r="H1466" s="26"/>
    </row>
    <row r="1467" spans="1:8" x14ac:dyDescent="0.3">
      <c r="A1467" s="27">
        <v>45334</v>
      </c>
      <c r="B1467" s="26">
        <v>136</v>
      </c>
      <c r="C1467" s="29">
        <f t="shared" si="44"/>
        <v>0</v>
      </c>
      <c r="D1467" s="26"/>
      <c r="F1467" s="26">
        <v>103274.95</v>
      </c>
      <c r="G1467" s="29">
        <f t="shared" si="45"/>
        <v>1.8919501817924841E-2</v>
      </c>
      <c r="H1467" s="26"/>
    </row>
    <row r="1468" spans="1:8" x14ac:dyDescent="0.3">
      <c r="A1468" s="27">
        <v>45363</v>
      </c>
      <c r="B1468" s="26">
        <v>136.49</v>
      </c>
      <c r="C1468" s="29">
        <f t="shared" si="44"/>
        <v>3.6029411764706551E-3</v>
      </c>
      <c r="D1468" s="26"/>
      <c r="F1468" s="26">
        <v>104559.07</v>
      </c>
      <c r="G1468" s="29">
        <f t="shared" si="45"/>
        <v>1.2433992947951172E-2</v>
      </c>
      <c r="H1468" s="26"/>
    </row>
    <row r="1469" spans="1:8" x14ac:dyDescent="0.3">
      <c r="A1469" s="27">
        <v>45394</v>
      </c>
      <c r="B1469" s="26">
        <v>134.6</v>
      </c>
      <c r="C1469" s="29">
        <f t="shared" si="44"/>
        <v>-1.3847168290717375E-2</v>
      </c>
      <c r="D1469" s="26"/>
      <c r="F1469" s="26">
        <v>105104.34</v>
      </c>
      <c r="G1469" s="29">
        <f t="shared" si="45"/>
        <v>5.2149469194780473E-3</v>
      </c>
      <c r="H1469" s="26"/>
    </row>
    <row r="1470" spans="1:8" x14ac:dyDescent="0.3">
      <c r="A1470" s="27">
        <v>45424</v>
      </c>
      <c r="B1470" s="26">
        <v>138</v>
      </c>
      <c r="C1470" s="29">
        <f t="shared" si="44"/>
        <v>2.5260029717682063E-2</v>
      </c>
      <c r="D1470" s="26"/>
      <c r="F1470" s="26">
        <v>108238.97</v>
      </c>
      <c r="G1470" s="29">
        <f t="shared" si="45"/>
        <v>2.9823982530122018E-2</v>
      </c>
      <c r="H1470" s="26"/>
    </row>
    <row r="1471" spans="1:8" x14ac:dyDescent="0.3">
      <c r="A1471" s="27">
        <v>45455</v>
      </c>
      <c r="B1471" s="26">
        <v>137.06</v>
      </c>
      <c r="C1471" s="29">
        <f t="shared" si="44"/>
        <v>-6.8115942028985346E-3</v>
      </c>
      <c r="D1471" s="26"/>
      <c r="F1471" s="26">
        <v>109053.95</v>
      </c>
      <c r="G1471" s="29">
        <f t="shared" si="45"/>
        <v>7.5294508068581576E-3</v>
      </c>
      <c r="H1471" s="26"/>
    </row>
    <row r="1472" spans="1:8" x14ac:dyDescent="0.3">
      <c r="A1472" s="27">
        <v>45547</v>
      </c>
      <c r="B1472" s="26">
        <v>131.99</v>
      </c>
      <c r="C1472" s="29">
        <f t="shared" si="44"/>
        <v>-3.6991098788851547E-2</v>
      </c>
      <c r="D1472" s="26"/>
      <c r="F1472" s="26">
        <v>109970.39</v>
      </c>
      <c r="G1472" s="29">
        <f t="shared" si="45"/>
        <v>8.403547051711582E-3</v>
      </c>
      <c r="H1472" s="26"/>
    </row>
    <row r="1473" spans="1:8" x14ac:dyDescent="0.3">
      <c r="A1473" s="27">
        <v>45577</v>
      </c>
      <c r="B1473" s="26">
        <v>126</v>
      </c>
      <c r="C1473" s="29">
        <f t="shared" si="44"/>
        <v>-4.5382225926206596E-2</v>
      </c>
      <c r="D1473" s="26"/>
      <c r="F1473" s="26">
        <v>108896.65</v>
      </c>
      <c r="G1473" s="29">
        <f t="shared" si="45"/>
        <v>-9.7639009918943209E-3</v>
      </c>
      <c r="H1473" s="26"/>
    </row>
    <row r="1474" spans="1:8" x14ac:dyDescent="0.3">
      <c r="A1474" s="27">
        <v>45608</v>
      </c>
      <c r="B1474" s="26">
        <v>129.99</v>
      </c>
      <c r="C1474" s="29">
        <f t="shared" si="44"/>
        <v>3.1666666666666739E-2</v>
      </c>
      <c r="D1474" s="26"/>
      <c r="F1474" s="26">
        <v>110810.22</v>
      </c>
      <c r="G1474" s="29">
        <f t="shared" si="45"/>
        <v>1.7572349562635831E-2</v>
      </c>
      <c r="H1474" s="26"/>
    </row>
    <row r="1475" spans="1:8" x14ac:dyDescent="0.3">
      <c r="A1475" s="27">
        <v>45638</v>
      </c>
      <c r="B1475" s="26">
        <v>131</v>
      </c>
      <c r="C1475" s="29">
        <f t="shared" si="44"/>
        <v>7.7698284483421094E-3</v>
      </c>
      <c r="D1475" s="26"/>
      <c r="F1475" s="26">
        <v>114180.51</v>
      </c>
      <c r="G1475" s="29">
        <f t="shared" si="45"/>
        <v>3.0414974358863232E-2</v>
      </c>
      <c r="H1475" s="26"/>
    </row>
    <row r="1476" spans="1:8" x14ac:dyDescent="0.3">
      <c r="A1476" s="26" t="s">
        <v>166</v>
      </c>
      <c r="B1476" s="26">
        <v>125</v>
      </c>
      <c r="C1476" s="29">
        <f t="shared" si="44"/>
        <v>-4.5801526717557252E-2</v>
      </c>
      <c r="D1476" s="26"/>
      <c r="F1476" s="26">
        <v>114301.8</v>
      </c>
      <c r="G1476" s="29">
        <f t="shared" si="45"/>
        <v>1.0622653550943866E-3</v>
      </c>
      <c r="H1476" s="26"/>
    </row>
    <row r="1477" spans="1:8" x14ac:dyDescent="0.3">
      <c r="A1477" s="26" t="s">
        <v>165</v>
      </c>
      <c r="B1477" s="26">
        <v>123</v>
      </c>
      <c r="C1477" s="29">
        <f t="shared" ref="C1477:C1540" si="46">(B1477-B1476)/B1476</f>
        <v>-1.6E-2</v>
      </c>
      <c r="D1477" s="26"/>
      <c r="F1477" s="26">
        <v>116169.41</v>
      </c>
      <c r="G1477" s="29">
        <f t="shared" ref="G1477:G1540" si="47">(F1477-F1476)/F1476</f>
        <v>1.6339287745249859E-2</v>
      </c>
      <c r="H1477" s="26"/>
    </row>
    <row r="1478" spans="1:8" x14ac:dyDescent="0.3">
      <c r="A1478" s="26" t="s">
        <v>164</v>
      </c>
      <c r="B1478" s="26">
        <v>127.6</v>
      </c>
      <c r="C1478" s="29">
        <f t="shared" si="46"/>
        <v>3.739837398373979E-2</v>
      </c>
      <c r="D1478" s="26"/>
      <c r="F1478" s="26">
        <v>114860.69</v>
      </c>
      <c r="G1478" s="29">
        <f t="shared" si="47"/>
        <v>-1.1265616309835792E-2</v>
      </c>
      <c r="H1478" s="26"/>
    </row>
    <row r="1479" spans="1:8" x14ac:dyDescent="0.3">
      <c r="A1479" s="26" t="s">
        <v>163</v>
      </c>
      <c r="B1479" s="26">
        <v>124.88</v>
      </c>
      <c r="C1479" s="29">
        <f t="shared" si="46"/>
        <v>-2.1316614420062687E-2</v>
      </c>
      <c r="D1479" s="26"/>
      <c r="F1479" s="26">
        <v>111070.29</v>
      </c>
      <c r="G1479" s="29">
        <f t="shared" si="47"/>
        <v>-3.2999975883829434E-2</v>
      </c>
      <c r="H1479" s="26"/>
    </row>
    <row r="1480" spans="1:8" x14ac:dyDescent="0.3">
      <c r="A1480" s="26" t="s">
        <v>162</v>
      </c>
      <c r="B1480" s="26">
        <v>122.94</v>
      </c>
      <c r="C1480" s="29">
        <f t="shared" si="46"/>
        <v>-1.553491351697628E-2</v>
      </c>
      <c r="D1480" s="26"/>
      <c r="F1480" s="26">
        <v>106274.98</v>
      </c>
      <c r="G1480" s="29">
        <f t="shared" si="47"/>
        <v>-4.3173651567849497E-2</v>
      </c>
      <c r="H1480" s="26"/>
    </row>
    <row r="1481" spans="1:8" x14ac:dyDescent="0.3">
      <c r="A1481" s="26" t="s">
        <v>161</v>
      </c>
      <c r="B1481" s="26">
        <v>121.01</v>
      </c>
      <c r="C1481" s="29">
        <f t="shared" si="46"/>
        <v>-1.5698714820237453E-2</v>
      </c>
      <c r="D1481" s="26"/>
      <c r="F1481" s="26">
        <v>109513.15</v>
      </c>
      <c r="G1481" s="29">
        <f t="shared" si="47"/>
        <v>3.0469730504771662E-2</v>
      </c>
      <c r="H1481" s="26"/>
    </row>
    <row r="1482" spans="1:8" x14ac:dyDescent="0.3">
      <c r="A1482" s="26" t="s">
        <v>160</v>
      </c>
      <c r="B1482" s="26">
        <v>127.7</v>
      </c>
      <c r="C1482" s="29">
        <f t="shared" si="46"/>
        <v>5.5284687215932549E-2</v>
      </c>
      <c r="D1482" s="26"/>
      <c r="F1482" s="26">
        <v>113924.42</v>
      </c>
      <c r="G1482" s="29">
        <f t="shared" si="47"/>
        <v>4.02807334096408E-2</v>
      </c>
      <c r="H1482" s="26"/>
    </row>
    <row r="1483" spans="1:8" x14ac:dyDescent="0.3">
      <c r="A1483" s="26" t="s">
        <v>159</v>
      </c>
      <c r="B1483" s="26">
        <v>128.01</v>
      </c>
      <c r="C1483" s="29">
        <f t="shared" si="46"/>
        <v>2.4275646045418017E-3</v>
      </c>
      <c r="D1483" s="26"/>
      <c r="F1483" s="26">
        <v>112414.81</v>
      </c>
      <c r="G1483" s="29">
        <f t="shared" si="47"/>
        <v>-1.3250978148495298E-2</v>
      </c>
      <c r="H1483" s="26"/>
    </row>
    <row r="1484" spans="1:8" x14ac:dyDescent="0.3">
      <c r="A1484" s="26" t="s">
        <v>158</v>
      </c>
      <c r="B1484" s="26">
        <v>125</v>
      </c>
      <c r="C1484" s="29">
        <f t="shared" si="46"/>
        <v>-2.3513787985313579E-2</v>
      </c>
      <c r="D1484" s="26"/>
      <c r="F1484" s="26">
        <v>110423.32</v>
      </c>
      <c r="G1484" s="29">
        <f t="shared" si="47"/>
        <v>-1.7715548333889376E-2</v>
      </c>
      <c r="H1484" s="26"/>
    </row>
    <row r="1485" spans="1:8" x14ac:dyDescent="0.3">
      <c r="A1485" s="26" t="s">
        <v>157</v>
      </c>
      <c r="B1485" s="26">
        <v>126</v>
      </c>
      <c r="C1485" s="29">
        <f t="shared" si="46"/>
        <v>8.0000000000000002E-3</v>
      </c>
      <c r="D1485" s="26"/>
      <c r="F1485" s="26">
        <v>111351.18</v>
      </c>
      <c r="G1485" s="29">
        <f t="shared" si="47"/>
        <v>8.4027540559366079E-3</v>
      </c>
      <c r="H1485" s="26"/>
    </row>
    <row r="1486" spans="1:8" x14ac:dyDescent="0.3">
      <c r="A1486" s="26" t="s">
        <v>156</v>
      </c>
      <c r="B1486" s="26">
        <v>134.85</v>
      </c>
      <c r="C1486" s="29">
        <f t="shared" si="46"/>
        <v>7.0238095238095197E-2</v>
      </c>
      <c r="D1486" s="26"/>
      <c r="F1486" s="26">
        <v>115259</v>
      </c>
      <c r="G1486" s="29">
        <f t="shared" si="47"/>
        <v>3.5094554004726372E-2</v>
      </c>
      <c r="H1486" s="26"/>
    </row>
    <row r="1487" spans="1:8" x14ac:dyDescent="0.3">
      <c r="A1487" s="26" t="s">
        <v>155</v>
      </c>
      <c r="B1487" s="26">
        <v>131.94999999999999</v>
      </c>
      <c r="C1487" s="29">
        <f t="shared" si="46"/>
        <v>-2.1505376344086065E-2</v>
      </c>
      <c r="D1487" s="26"/>
      <c r="F1487" s="26">
        <v>115126.9</v>
      </c>
      <c r="G1487" s="29">
        <f t="shared" si="47"/>
        <v>-1.1461144032136824E-3</v>
      </c>
      <c r="H1487" s="26"/>
    </row>
    <row r="1488" spans="1:8" x14ac:dyDescent="0.3">
      <c r="A1488" s="27">
        <v>45658</v>
      </c>
      <c r="B1488" s="26">
        <v>135</v>
      </c>
      <c r="C1488" s="29">
        <f t="shared" si="46"/>
        <v>2.3114816218264583E-2</v>
      </c>
      <c r="D1488" s="26"/>
      <c r="F1488" s="26">
        <v>117008.08</v>
      </c>
      <c r="G1488" s="29">
        <f t="shared" si="47"/>
        <v>1.6340056059878341E-2</v>
      </c>
      <c r="H1488" s="26"/>
    </row>
    <row r="1489" spans="1:8" x14ac:dyDescent="0.3">
      <c r="A1489" s="27">
        <v>45689</v>
      </c>
      <c r="B1489" s="26">
        <v>135.03</v>
      </c>
      <c r="C1489" s="29">
        <f t="shared" si="46"/>
        <v>2.2222222222223064E-4</v>
      </c>
      <c r="D1489" s="26"/>
      <c r="F1489" s="26">
        <v>117119.66</v>
      </c>
      <c r="G1489" s="29">
        <f t="shared" si="47"/>
        <v>9.5360935757600452E-4</v>
      </c>
      <c r="H1489" s="26"/>
    </row>
    <row r="1490" spans="1:8" x14ac:dyDescent="0.3">
      <c r="A1490" s="27">
        <v>45717</v>
      </c>
      <c r="B1490" s="26">
        <v>135.66999999999999</v>
      </c>
      <c r="C1490" s="29">
        <f t="shared" si="46"/>
        <v>4.7396874768568936E-3</v>
      </c>
      <c r="D1490" s="26"/>
      <c r="F1490" s="26">
        <v>117586.98</v>
      </c>
      <c r="G1490" s="29">
        <f t="shared" si="47"/>
        <v>3.9901072117182754E-3</v>
      </c>
      <c r="H1490" s="26"/>
    </row>
    <row r="1491" spans="1:8" x14ac:dyDescent="0.3">
      <c r="A1491" s="27">
        <v>45809</v>
      </c>
      <c r="B1491" s="26">
        <v>134.82</v>
      </c>
      <c r="C1491" s="29">
        <f t="shared" si="46"/>
        <v>-6.2652023291810601E-3</v>
      </c>
      <c r="D1491" s="26"/>
      <c r="F1491" s="26">
        <v>116255.13</v>
      </c>
      <c r="G1491" s="29">
        <f t="shared" si="47"/>
        <v>-1.1326509108406315E-2</v>
      </c>
      <c r="H1491" s="26"/>
    </row>
    <row r="1492" spans="1:8" x14ac:dyDescent="0.3">
      <c r="A1492" s="27">
        <v>45839</v>
      </c>
      <c r="B1492" s="26">
        <v>133.53</v>
      </c>
      <c r="C1492" s="29">
        <f t="shared" si="46"/>
        <v>-9.5683133066310055E-3</v>
      </c>
      <c r="D1492" s="26"/>
      <c r="F1492" s="26">
        <v>116052.68</v>
      </c>
      <c r="G1492" s="29">
        <f t="shared" si="47"/>
        <v>-1.7414285287884641E-3</v>
      </c>
      <c r="H1492" s="26"/>
    </row>
    <row r="1493" spans="1:8" x14ac:dyDescent="0.3">
      <c r="A1493" s="27">
        <v>45870</v>
      </c>
      <c r="B1493" s="26">
        <v>130.68</v>
      </c>
      <c r="C1493" s="29">
        <f t="shared" si="46"/>
        <v>-2.1343518310491982E-2</v>
      </c>
      <c r="D1493" s="26"/>
      <c r="F1493" s="26">
        <v>114148.46</v>
      </c>
      <c r="G1493" s="29">
        <f t="shared" si="47"/>
        <v>-1.6408238051891493E-2</v>
      </c>
      <c r="H1493" s="26"/>
    </row>
    <row r="1494" spans="1:8" x14ac:dyDescent="0.3">
      <c r="A1494" s="27">
        <v>45901</v>
      </c>
      <c r="B1494" s="26">
        <v>128.59</v>
      </c>
      <c r="C1494" s="29">
        <f t="shared" si="46"/>
        <v>-1.5993265993266018E-2</v>
      </c>
      <c r="D1494" s="26"/>
      <c r="F1494" s="26">
        <v>112638.26</v>
      </c>
      <c r="G1494" s="29">
        <f t="shared" si="47"/>
        <v>-1.3230139066265209E-2</v>
      </c>
      <c r="H1494" s="26"/>
    </row>
    <row r="1495" spans="1:8" x14ac:dyDescent="0.3">
      <c r="A1495" s="27">
        <v>45931</v>
      </c>
      <c r="B1495" s="26">
        <v>133.86000000000001</v>
      </c>
      <c r="C1495" s="29">
        <f t="shared" si="46"/>
        <v>4.0982969126681777E-2</v>
      </c>
      <c r="D1495" s="26"/>
      <c r="F1495" s="26">
        <v>113247.29</v>
      </c>
      <c r="G1495" s="29">
        <f t="shared" si="47"/>
        <v>5.4069549724933509E-3</v>
      </c>
      <c r="H1495" s="26"/>
    </row>
    <row r="1496" spans="1:8" x14ac:dyDescent="0.3">
      <c r="A1496" s="26" t="s">
        <v>154</v>
      </c>
      <c r="B1496" s="26">
        <v>133.80000000000001</v>
      </c>
      <c r="C1496" s="29">
        <f t="shared" si="46"/>
        <v>-4.4822949350068928E-4</v>
      </c>
      <c r="D1496" s="26"/>
      <c r="F1496" s="26">
        <v>114230.06</v>
      </c>
      <c r="G1496" s="29">
        <f t="shared" si="47"/>
        <v>8.6780884558032619E-3</v>
      </c>
      <c r="H1496" s="26"/>
    </row>
    <row r="1497" spans="1:8" x14ac:dyDescent="0.3">
      <c r="A1497" s="26" t="s">
        <v>153</v>
      </c>
      <c r="B1497" s="26">
        <v>133.61000000000001</v>
      </c>
      <c r="C1497" s="29">
        <f t="shared" si="46"/>
        <v>-1.4200298953662011E-3</v>
      </c>
      <c r="D1497" s="26"/>
      <c r="F1497" s="26">
        <v>114804.17</v>
      </c>
      <c r="G1497" s="29">
        <f t="shared" si="47"/>
        <v>5.0259099925186118E-3</v>
      </c>
      <c r="H1497" s="26"/>
    </row>
    <row r="1498" spans="1:8" x14ac:dyDescent="0.3">
      <c r="A1498" s="26" t="s">
        <v>152</v>
      </c>
      <c r="B1498" s="26">
        <v>134.07</v>
      </c>
      <c r="C1498" s="29">
        <f t="shared" si="46"/>
        <v>3.4428560736470288E-3</v>
      </c>
      <c r="D1498" s="26"/>
      <c r="F1498" s="26">
        <v>114495.71</v>
      </c>
      <c r="G1498" s="29">
        <f t="shared" si="47"/>
        <v>-2.6868362011588241E-3</v>
      </c>
      <c r="H1498" s="26"/>
    </row>
    <row r="1499" spans="1:8" x14ac:dyDescent="0.3">
      <c r="A1499" s="26" t="s">
        <v>151</v>
      </c>
      <c r="B1499" s="26">
        <v>133.07</v>
      </c>
      <c r="C1499" s="29">
        <f t="shared" si="46"/>
        <v>-7.4587901842321181E-3</v>
      </c>
      <c r="D1499" s="26"/>
      <c r="F1499" s="26">
        <v>113836.74</v>
      </c>
      <c r="G1499" s="29">
        <f t="shared" si="47"/>
        <v>-5.7554121460096728E-3</v>
      </c>
      <c r="H1499" s="26"/>
    </row>
    <row r="1500" spans="1:8" x14ac:dyDescent="0.3">
      <c r="A1500" s="26" t="s">
        <v>150</v>
      </c>
      <c r="B1500" s="26">
        <v>135.59</v>
      </c>
      <c r="C1500" s="29">
        <f t="shared" si="46"/>
        <v>1.8937401367701289E-2</v>
      </c>
      <c r="D1500" s="26"/>
      <c r="F1500" s="26">
        <v>115272.08</v>
      </c>
      <c r="G1500" s="29">
        <f t="shared" si="47"/>
        <v>1.2608758824260045E-2</v>
      </c>
      <c r="H1500" s="26"/>
    </row>
    <row r="1501" spans="1:8" x14ac:dyDescent="0.3">
      <c r="A1501" s="26" t="s">
        <v>149</v>
      </c>
      <c r="B1501" s="26">
        <v>135.9</v>
      </c>
      <c r="C1501" s="29">
        <f t="shared" si="46"/>
        <v>2.2863042997271353E-3</v>
      </c>
      <c r="D1501" s="26"/>
      <c r="F1501" s="26">
        <v>115844.82</v>
      </c>
      <c r="G1501" s="29">
        <f t="shared" si="47"/>
        <v>4.9685925681223521E-3</v>
      </c>
      <c r="H1501" s="26"/>
    </row>
    <row r="1502" spans="1:8" x14ac:dyDescent="0.3">
      <c r="A1502" s="26" t="s">
        <v>148</v>
      </c>
      <c r="B1502" s="26">
        <v>135.55000000000001</v>
      </c>
      <c r="C1502" s="29">
        <f t="shared" si="46"/>
        <v>-2.5754231052243877E-3</v>
      </c>
      <c r="D1502" s="26"/>
      <c r="F1502" s="26">
        <v>115042.25</v>
      </c>
      <c r="G1502" s="29">
        <f t="shared" si="47"/>
        <v>-6.9279748546374961E-3</v>
      </c>
      <c r="H1502" s="26"/>
    </row>
    <row r="1503" spans="1:8" x14ac:dyDescent="0.3">
      <c r="A1503" s="26" t="s">
        <v>147</v>
      </c>
      <c r="B1503" s="26">
        <v>134.02000000000001</v>
      </c>
      <c r="C1503" s="29">
        <f t="shared" si="46"/>
        <v>-1.1287347842124684E-2</v>
      </c>
      <c r="D1503" s="26"/>
      <c r="F1503" s="26">
        <v>113443.43</v>
      </c>
      <c r="G1503" s="29">
        <f t="shared" si="47"/>
        <v>-1.3897676723117003E-2</v>
      </c>
      <c r="H1503" s="26"/>
    </row>
    <row r="1504" spans="1:8" x14ac:dyDescent="0.3">
      <c r="A1504" s="26" t="s">
        <v>146</v>
      </c>
      <c r="B1504" s="26">
        <v>133.94</v>
      </c>
      <c r="C1504" s="29">
        <f t="shared" si="46"/>
        <v>-5.9692583196547155E-4</v>
      </c>
      <c r="D1504" s="26"/>
      <c r="F1504" s="26">
        <v>114037.79</v>
      </c>
      <c r="G1504" s="29">
        <f t="shared" si="47"/>
        <v>5.2392633050675624E-3</v>
      </c>
      <c r="H1504" s="26"/>
    </row>
    <row r="1505" spans="1:8" x14ac:dyDescent="0.3">
      <c r="A1505" s="26" t="s">
        <v>145</v>
      </c>
      <c r="B1505" s="26">
        <v>133.29</v>
      </c>
      <c r="C1505" s="29">
        <f t="shared" si="46"/>
        <v>-4.8529192175601442E-3</v>
      </c>
      <c r="D1505" s="26"/>
      <c r="F1505" s="26">
        <v>114880.49</v>
      </c>
      <c r="G1505" s="29">
        <f t="shared" si="47"/>
        <v>7.3896556571292002E-3</v>
      </c>
      <c r="H1505" s="26"/>
    </row>
    <row r="1506" spans="1:8" x14ac:dyDescent="0.3">
      <c r="A1506" s="26" t="s">
        <v>144</v>
      </c>
      <c r="B1506" s="26">
        <v>134.41999999999999</v>
      </c>
      <c r="C1506" s="29">
        <f t="shared" si="46"/>
        <v>8.4777552704628674E-3</v>
      </c>
      <c r="D1506" s="26"/>
      <c r="F1506" s="26">
        <v>113520.32000000001</v>
      </c>
      <c r="G1506" s="29">
        <f t="shared" si="47"/>
        <v>-1.1839869415598751E-2</v>
      </c>
      <c r="H1506" s="26"/>
    </row>
    <row r="1507" spans="1:8" x14ac:dyDescent="0.3">
      <c r="A1507" s="26" t="s">
        <v>143</v>
      </c>
      <c r="B1507" s="26">
        <v>133.03</v>
      </c>
      <c r="C1507" s="29">
        <f t="shared" si="46"/>
        <v>-1.0340723106680452E-2</v>
      </c>
      <c r="D1507" s="26"/>
      <c r="F1507" s="26">
        <v>112030.36</v>
      </c>
      <c r="G1507" s="29">
        <f t="shared" si="47"/>
        <v>-1.3125051092174567E-2</v>
      </c>
      <c r="H1507" s="26"/>
    </row>
    <row r="1508" spans="1:8" x14ac:dyDescent="0.3">
      <c r="A1508" s="26" t="s">
        <v>142</v>
      </c>
      <c r="B1508" s="26">
        <v>132.11000000000001</v>
      </c>
      <c r="C1508" s="29">
        <f t="shared" si="46"/>
        <v>-6.9157332932420316E-3</v>
      </c>
      <c r="D1508" s="26"/>
      <c r="F1508" s="26">
        <v>111487.36</v>
      </c>
      <c r="G1508" s="29">
        <f t="shared" si="47"/>
        <v>-4.8469004294907202E-3</v>
      </c>
      <c r="H1508" s="26"/>
    </row>
    <row r="1509" spans="1:8" x14ac:dyDescent="0.3">
      <c r="A1509" s="26" t="s">
        <v>141</v>
      </c>
      <c r="B1509" s="26">
        <v>139.80000000000001</v>
      </c>
      <c r="C1509" s="29">
        <f t="shared" si="46"/>
        <v>5.820906820074178E-2</v>
      </c>
      <c r="D1509" s="26"/>
      <c r="F1509" s="26">
        <v>113206.39999999999</v>
      </c>
      <c r="G1509" s="29">
        <f t="shared" si="47"/>
        <v>1.5419147067434313E-2</v>
      </c>
      <c r="H1509" s="26"/>
    </row>
    <row r="1510" spans="1:8" x14ac:dyDescent="0.3">
      <c r="A1510" s="26" t="s">
        <v>140</v>
      </c>
      <c r="B1510" s="26">
        <v>143.12</v>
      </c>
      <c r="C1510" s="29">
        <f t="shared" si="46"/>
        <v>2.37482117310443E-2</v>
      </c>
      <c r="D1510" s="26"/>
      <c r="F1510" s="26">
        <v>114255.73</v>
      </c>
      <c r="G1510" s="29">
        <f t="shared" si="47"/>
        <v>9.2691755943127042E-3</v>
      </c>
      <c r="H1510" s="26"/>
    </row>
    <row r="1511" spans="1:8" x14ac:dyDescent="0.3">
      <c r="A1511" s="27">
        <v>45718</v>
      </c>
      <c r="B1511" s="26">
        <v>142.52000000000001</v>
      </c>
      <c r="C1511" s="29">
        <f t="shared" si="46"/>
        <v>-4.1922861934040965E-3</v>
      </c>
      <c r="D1511" s="26"/>
      <c r="F1511" s="26">
        <v>112745.01</v>
      </c>
      <c r="G1511" s="29">
        <f t="shared" si="47"/>
        <v>-1.3222269027557753E-2</v>
      </c>
      <c r="H1511" s="26"/>
    </row>
    <row r="1512" spans="1:8" x14ac:dyDescent="0.3">
      <c r="A1512" s="27">
        <v>45749</v>
      </c>
      <c r="B1512" s="26">
        <v>139.77000000000001</v>
      </c>
      <c r="C1512" s="29">
        <f t="shared" si="46"/>
        <v>-1.9295537468425484E-2</v>
      </c>
      <c r="D1512" s="26"/>
      <c r="F1512" s="26">
        <v>111935.38</v>
      </c>
      <c r="G1512" s="29">
        <f t="shared" si="47"/>
        <v>-7.1810716944367657E-3</v>
      </c>
      <c r="H1512" s="26"/>
    </row>
    <row r="1513" spans="1:8" x14ac:dyDescent="0.3">
      <c r="A1513" s="27">
        <v>45810</v>
      </c>
      <c r="B1513" s="26">
        <v>140.05000000000001</v>
      </c>
      <c r="C1513" s="29">
        <f t="shared" si="46"/>
        <v>2.0032911211275749E-3</v>
      </c>
      <c r="D1513" s="26"/>
      <c r="F1513" s="26">
        <v>110301.16</v>
      </c>
      <c r="G1513" s="29">
        <f t="shared" si="47"/>
        <v>-1.4599673490186937E-2</v>
      </c>
      <c r="H1513" s="26"/>
    </row>
    <row r="1514" spans="1:8" x14ac:dyDescent="0.3">
      <c r="A1514" s="27">
        <v>45840</v>
      </c>
      <c r="B1514" s="26">
        <v>140.35</v>
      </c>
      <c r="C1514" s="29">
        <f t="shared" si="46"/>
        <v>2.1420921099606065E-3</v>
      </c>
      <c r="D1514" s="26"/>
      <c r="F1514" s="26">
        <v>110322.94</v>
      </c>
      <c r="G1514" s="29">
        <f t="shared" si="47"/>
        <v>1.9745939208616514E-4</v>
      </c>
      <c r="H1514" s="26"/>
    </row>
    <row r="1515" spans="1:8" x14ac:dyDescent="0.3">
      <c r="A1515" s="27">
        <v>45932</v>
      </c>
      <c r="B1515" s="26">
        <v>140.25</v>
      </c>
      <c r="C1515" s="29">
        <f t="shared" si="46"/>
        <v>-7.1250445315279175E-4</v>
      </c>
      <c r="D1515" s="26"/>
      <c r="F1515" s="26">
        <v>111377.97</v>
      </c>
      <c r="G1515" s="29">
        <f t="shared" si="47"/>
        <v>9.563106276899427E-3</v>
      </c>
      <c r="H1515" s="26"/>
    </row>
    <row r="1516" spans="1:8" x14ac:dyDescent="0.3">
      <c r="A1516" s="27">
        <v>45963</v>
      </c>
      <c r="B1516" s="26">
        <v>142.31</v>
      </c>
      <c r="C1516" s="29">
        <f t="shared" si="46"/>
        <v>1.4688057040998233E-2</v>
      </c>
      <c r="D1516" s="26"/>
      <c r="F1516" s="26">
        <v>113010.38</v>
      </c>
      <c r="G1516" s="29">
        <f t="shared" si="47"/>
        <v>1.4656489070504729E-2</v>
      </c>
      <c r="H1516" s="26"/>
    </row>
    <row r="1517" spans="1:8" x14ac:dyDescent="0.3">
      <c r="A1517" s="27">
        <v>45993</v>
      </c>
      <c r="B1517" s="26">
        <v>141.49</v>
      </c>
      <c r="C1517" s="29">
        <f t="shared" si="46"/>
        <v>-5.7620687232098457E-3</v>
      </c>
      <c r="D1517" s="26"/>
      <c r="F1517" s="26">
        <v>112924.94</v>
      </c>
      <c r="G1517" s="29">
        <f t="shared" si="47"/>
        <v>-7.5603674635907185E-4</v>
      </c>
      <c r="H1517" s="26"/>
    </row>
    <row r="1518" spans="1:8" x14ac:dyDescent="0.3">
      <c r="A1518" s="26" t="s">
        <v>139</v>
      </c>
      <c r="B1518" s="26">
        <v>135.03</v>
      </c>
      <c r="C1518" s="29">
        <f t="shared" si="46"/>
        <v>-4.5656936885999061E-2</v>
      </c>
      <c r="D1518" s="26"/>
      <c r="F1518" s="26">
        <v>112564.08</v>
      </c>
      <c r="G1518" s="29">
        <f t="shared" si="47"/>
        <v>-3.1955739803802472E-3</v>
      </c>
      <c r="H1518" s="26"/>
    </row>
    <row r="1519" spans="1:8" x14ac:dyDescent="0.3">
      <c r="A1519" s="26" t="s">
        <v>138</v>
      </c>
      <c r="B1519" s="26">
        <v>134.63</v>
      </c>
      <c r="C1519" s="29">
        <f t="shared" si="46"/>
        <v>-2.9623046730356639E-3</v>
      </c>
      <c r="D1519" s="26"/>
      <c r="F1519" s="26">
        <v>112085.3</v>
      </c>
      <c r="G1519" s="29">
        <f t="shared" si="47"/>
        <v>-4.2533994858750578E-3</v>
      </c>
      <c r="H1519" s="26"/>
    </row>
    <row r="1520" spans="1:8" x14ac:dyDescent="0.3">
      <c r="A1520" s="26" t="s">
        <v>137</v>
      </c>
      <c r="B1520" s="26">
        <v>136.84</v>
      </c>
      <c r="C1520" s="29">
        <f t="shared" si="46"/>
        <v>1.6415360617990107E-2</v>
      </c>
      <c r="D1520" s="26"/>
      <c r="F1520" s="26">
        <v>111743.53</v>
      </c>
      <c r="G1520" s="29">
        <f t="shared" si="47"/>
        <v>-3.0491955680183223E-3</v>
      </c>
      <c r="H1520" s="26"/>
    </row>
    <row r="1521" spans="1:8" x14ac:dyDescent="0.3">
      <c r="A1521" s="26" t="s">
        <v>136</v>
      </c>
      <c r="B1521" s="26">
        <v>137.93</v>
      </c>
      <c r="C1521" s="29">
        <f t="shared" si="46"/>
        <v>7.9655071616486651E-3</v>
      </c>
      <c r="D1521" s="26"/>
      <c r="F1521" s="26">
        <v>113088.48</v>
      </c>
      <c r="G1521" s="29">
        <f t="shared" si="47"/>
        <v>1.2036043608072854E-2</v>
      </c>
      <c r="H1521" s="26"/>
    </row>
    <row r="1522" spans="1:8" x14ac:dyDescent="0.3">
      <c r="A1522" s="26" t="s">
        <v>135</v>
      </c>
      <c r="B1522" s="26">
        <v>141.85</v>
      </c>
      <c r="C1522" s="29">
        <f t="shared" si="46"/>
        <v>2.8420213151598546E-2</v>
      </c>
      <c r="D1522" s="26"/>
      <c r="F1522" s="26">
        <v>113342.44</v>
      </c>
      <c r="G1522" s="29">
        <f t="shared" si="47"/>
        <v>2.2456752447287858E-3</v>
      </c>
      <c r="H1522" s="26"/>
    </row>
    <row r="1523" spans="1:8" x14ac:dyDescent="0.3">
      <c r="A1523" s="26" t="s">
        <v>134</v>
      </c>
      <c r="B1523" s="26">
        <v>140.05000000000001</v>
      </c>
      <c r="C1523" s="29">
        <f t="shared" si="46"/>
        <v>-1.268946069792022E-2</v>
      </c>
      <c r="D1523" s="26"/>
      <c r="F1523" s="26">
        <v>113739.16</v>
      </c>
      <c r="G1523" s="29">
        <f t="shared" si="47"/>
        <v>3.5001893377273434E-3</v>
      </c>
      <c r="H1523" s="26"/>
    </row>
    <row r="1524" spans="1:8" x14ac:dyDescent="0.3">
      <c r="A1524" s="26" t="s">
        <v>133</v>
      </c>
      <c r="B1524" s="26">
        <v>137.99</v>
      </c>
      <c r="C1524" s="29">
        <f t="shared" si="46"/>
        <v>-1.4709032488397016E-2</v>
      </c>
      <c r="D1524" s="26"/>
      <c r="F1524" s="26">
        <v>112800.93</v>
      </c>
      <c r="G1524" s="29">
        <f t="shared" si="47"/>
        <v>-8.2489619230528034E-3</v>
      </c>
      <c r="H1524" s="26"/>
    </row>
    <row r="1525" spans="1:8" x14ac:dyDescent="0.3">
      <c r="A1525" s="26" t="s">
        <v>132</v>
      </c>
      <c r="B1525" s="26">
        <v>140.32</v>
      </c>
      <c r="C1525" s="29">
        <f t="shared" si="46"/>
        <v>1.6885281542140619E-2</v>
      </c>
      <c r="D1525" s="26"/>
      <c r="F1525" s="26">
        <v>114330.1</v>
      </c>
      <c r="G1525" s="29">
        <f t="shared" si="47"/>
        <v>1.3556359863345213E-2</v>
      </c>
      <c r="H1525" s="26"/>
    </row>
    <row r="1526" spans="1:8" x14ac:dyDescent="0.3">
      <c r="A1526" s="26" t="s">
        <v>131</v>
      </c>
      <c r="B1526" s="26">
        <v>144.15</v>
      </c>
      <c r="C1526" s="29">
        <f t="shared" si="46"/>
        <v>2.7294754846066225E-2</v>
      </c>
      <c r="D1526" s="26"/>
      <c r="F1526" s="26">
        <v>114528.09</v>
      </c>
      <c r="G1526" s="29">
        <f t="shared" si="47"/>
        <v>1.7317399355024677E-3</v>
      </c>
      <c r="H1526" s="26"/>
    </row>
    <row r="1527" spans="1:8" x14ac:dyDescent="0.3">
      <c r="A1527" s="26" t="s">
        <v>130</v>
      </c>
      <c r="B1527" s="26">
        <v>142.81</v>
      </c>
      <c r="C1527" s="29">
        <f t="shared" si="46"/>
        <v>-9.2958723551855946E-3</v>
      </c>
      <c r="D1527" s="26"/>
      <c r="F1527" s="26">
        <v>113862.33</v>
      </c>
      <c r="G1527" s="29">
        <f t="shared" si="47"/>
        <v>-5.8130717101804001E-3</v>
      </c>
      <c r="H1527" s="26"/>
    </row>
    <row r="1528" spans="1:8" x14ac:dyDescent="0.3">
      <c r="A1528" s="26" t="s">
        <v>129</v>
      </c>
      <c r="B1528" s="26">
        <v>141.9</v>
      </c>
      <c r="C1528" s="29">
        <f t="shared" si="46"/>
        <v>-6.37210279392197E-3</v>
      </c>
      <c r="D1528" s="26"/>
      <c r="F1528" s="26">
        <v>113784.31</v>
      </c>
      <c r="G1528" s="29">
        <f t="shared" si="47"/>
        <v>-6.8521345031323413E-4</v>
      </c>
      <c r="H1528" s="26"/>
    </row>
    <row r="1529" spans="1:8" x14ac:dyDescent="0.3">
      <c r="A1529" s="26" t="s">
        <v>128</v>
      </c>
      <c r="B1529" s="26">
        <v>144.96</v>
      </c>
      <c r="C1529" s="29">
        <f t="shared" si="46"/>
        <v>2.1564482029598323E-2</v>
      </c>
      <c r="D1529" s="26"/>
      <c r="F1529" s="26">
        <v>113251.67</v>
      </c>
      <c r="G1529" s="29">
        <f t="shared" si="47"/>
        <v>-4.6811374960220743E-3</v>
      </c>
      <c r="H1529" s="26"/>
    </row>
    <row r="1530" spans="1:8" x14ac:dyDescent="0.3">
      <c r="A1530" s="27">
        <v>45719</v>
      </c>
      <c r="B1530" s="26">
        <v>143.03</v>
      </c>
      <c r="C1530" s="29">
        <f t="shared" si="46"/>
        <v>-1.3314017660044197E-2</v>
      </c>
      <c r="D1530" s="26"/>
      <c r="F1530" s="26">
        <v>111986.89</v>
      </c>
      <c r="G1530" s="29">
        <f t="shared" si="47"/>
        <v>-1.1167870637139381E-2</v>
      </c>
      <c r="H1530" s="26"/>
    </row>
    <row r="1531" spans="1:8" x14ac:dyDescent="0.3">
      <c r="A1531" s="27">
        <v>45750</v>
      </c>
      <c r="B1531" s="26">
        <v>141.93</v>
      </c>
      <c r="C1531" s="29">
        <f t="shared" si="46"/>
        <v>-7.690694259945426E-3</v>
      </c>
      <c r="D1531" s="26"/>
      <c r="F1531" s="26">
        <v>112743.8</v>
      </c>
      <c r="G1531" s="29">
        <f t="shared" si="47"/>
        <v>6.7589161552749927E-3</v>
      </c>
      <c r="H1531" s="26"/>
    </row>
    <row r="1532" spans="1:8" x14ac:dyDescent="0.3">
      <c r="A1532" s="27">
        <v>45780</v>
      </c>
      <c r="B1532" s="26">
        <v>140.58000000000001</v>
      </c>
      <c r="C1532" s="29">
        <f t="shared" si="46"/>
        <v>-9.511731135066542E-3</v>
      </c>
      <c r="D1532" s="26"/>
      <c r="F1532" s="26">
        <v>112253.75999999999</v>
      </c>
      <c r="G1532" s="29">
        <f t="shared" si="47"/>
        <v>-4.3464917804793531E-3</v>
      </c>
      <c r="H1532" s="26"/>
    </row>
    <row r="1533" spans="1:8" x14ac:dyDescent="0.3">
      <c r="A1533" s="27">
        <v>45811</v>
      </c>
      <c r="B1533" s="26">
        <v>143</v>
      </c>
      <c r="C1533" s="29">
        <f t="shared" si="46"/>
        <v>1.7214397496087545E-2</v>
      </c>
      <c r="D1533" s="26"/>
      <c r="F1533" s="26">
        <v>113713.18</v>
      </c>
      <c r="G1533" s="29">
        <f t="shared" si="47"/>
        <v>1.3001078983902173E-2</v>
      </c>
      <c r="H1533" s="26"/>
    </row>
    <row r="1534" spans="1:8" x14ac:dyDescent="0.3">
      <c r="A1534" s="27">
        <v>45841</v>
      </c>
      <c r="B1534" s="26">
        <v>142.05000000000001</v>
      </c>
      <c r="C1534" s="29">
        <f t="shared" si="46"/>
        <v>-6.6433566433565638E-3</v>
      </c>
      <c r="D1534" s="26"/>
      <c r="F1534" s="26">
        <v>114398.7</v>
      </c>
      <c r="G1534" s="29">
        <f t="shared" si="47"/>
        <v>6.0285008298950407E-3</v>
      </c>
      <c r="H1534" s="26"/>
    </row>
    <row r="1535" spans="1:8" x14ac:dyDescent="0.3">
      <c r="A1535" s="27">
        <v>45933</v>
      </c>
      <c r="B1535" s="26">
        <v>142.01</v>
      </c>
      <c r="C1535" s="29">
        <f t="shared" si="46"/>
        <v>-2.815909890884932E-4</v>
      </c>
      <c r="D1535" s="26"/>
      <c r="F1535" s="26">
        <v>114356.34</v>
      </c>
      <c r="G1535" s="29">
        <f t="shared" si="47"/>
        <v>-3.7028392805163506E-4</v>
      </c>
      <c r="H1535" s="26"/>
    </row>
    <row r="1536" spans="1:8" x14ac:dyDescent="0.3">
      <c r="A1536" s="27">
        <v>45964</v>
      </c>
      <c r="B1536" s="26">
        <v>142</v>
      </c>
      <c r="C1536" s="29">
        <f t="shared" si="46"/>
        <v>-7.0417576226962223E-5</v>
      </c>
      <c r="D1536" s="26"/>
      <c r="F1536" s="26">
        <v>114177.66</v>
      </c>
      <c r="G1536" s="29">
        <f t="shared" si="47"/>
        <v>-1.5624844236882102E-3</v>
      </c>
      <c r="H1536" s="26"/>
    </row>
    <row r="1537" spans="1:8" x14ac:dyDescent="0.3">
      <c r="A1537" s="27">
        <v>45994</v>
      </c>
      <c r="B1537" s="26">
        <v>143.15</v>
      </c>
      <c r="C1537" s="29">
        <f t="shared" si="46"/>
        <v>8.0985915492958142E-3</v>
      </c>
      <c r="D1537" s="26"/>
      <c r="F1537" s="26">
        <v>114084.54</v>
      </c>
      <c r="G1537" s="29">
        <f t="shared" si="47"/>
        <v>-8.1557110208783305E-4</v>
      </c>
      <c r="H1537" s="26"/>
    </row>
    <row r="1538" spans="1:8" x14ac:dyDescent="0.3">
      <c r="A1538" s="26" t="s">
        <v>127</v>
      </c>
      <c r="B1538" s="26">
        <v>143.35</v>
      </c>
      <c r="C1538" s="29">
        <f t="shared" si="46"/>
        <v>1.3971358714634204E-3</v>
      </c>
      <c r="D1538" s="26"/>
      <c r="F1538" s="26">
        <v>115094.24</v>
      </c>
      <c r="G1538" s="29">
        <f t="shared" si="47"/>
        <v>8.8504542333256702E-3</v>
      </c>
      <c r="H1538" s="26"/>
    </row>
    <row r="1539" spans="1:8" x14ac:dyDescent="0.3">
      <c r="A1539" s="26" t="s">
        <v>126</v>
      </c>
      <c r="B1539" s="26">
        <v>142.81</v>
      </c>
      <c r="C1539" s="29">
        <f t="shared" si="46"/>
        <v>-3.7670038367631116E-3</v>
      </c>
      <c r="D1539" s="26"/>
      <c r="F1539" s="26">
        <v>115536.17</v>
      </c>
      <c r="G1539" s="29">
        <f t="shared" si="47"/>
        <v>3.8397229956945978E-3</v>
      </c>
      <c r="H1539" s="26"/>
    </row>
    <row r="1540" spans="1:8" x14ac:dyDescent="0.3">
      <c r="A1540" s="26" t="s">
        <v>125</v>
      </c>
      <c r="B1540" s="26">
        <v>143.77000000000001</v>
      </c>
      <c r="C1540" s="29">
        <f t="shared" si="46"/>
        <v>6.722218332049632E-3</v>
      </c>
      <c r="D1540" s="26"/>
      <c r="F1540" s="26">
        <v>116199.59</v>
      </c>
      <c r="G1540" s="29">
        <f t="shared" si="47"/>
        <v>5.7420979075210668E-3</v>
      </c>
      <c r="H1540" s="26"/>
    </row>
    <row r="1541" spans="1:8" x14ac:dyDescent="0.3">
      <c r="A1541" s="26" t="s">
        <v>124</v>
      </c>
      <c r="B1541" s="26">
        <v>143.68</v>
      </c>
      <c r="C1541" s="29">
        <f t="shared" ref="C1541:C1604" si="48">(B1541-B1540)/B1540</f>
        <v>-6.2599986088894349E-4</v>
      </c>
      <c r="D1541" s="26"/>
      <c r="F1541" s="26">
        <v>117001.09</v>
      </c>
      <c r="G1541" s="29">
        <f t="shared" ref="G1541:G1604" si="49">(F1541-F1540)/F1540</f>
        <v>6.8976146989847388E-3</v>
      </c>
      <c r="H1541" s="26"/>
    </row>
    <row r="1542" spans="1:8" x14ac:dyDescent="0.3">
      <c r="A1542" s="26" t="s">
        <v>123</v>
      </c>
      <c r="B1542" s="26">
        <v>143.49</v>
      </c>
      <c r="C1542" s="29">
        <f t="shared" si="48"/>
        <v>-1.3223830734966433E-3</v>
      </c>
      <c r="D1542" s="26"/>
      <c r="F1542" s="26">
        <v>117974.03</v>
      </c>
      <c r="G1542" s="29">
        <f t="shared" si="49"/>
        <v>8.3156490251501281E-3</v>
      </c>
      <c r="H1542" s="26"/>
    </row>
    <row r="1543" spans="1:8" x14ac:dyDescent="0.3">
      <c r="A1543" s="26" t="s">
        <v>122</v>
      </c>
      <c r="B1543" s="26">
        <v>142.44999999999999</v>
      </c>
      <c r="C1543" s="29">
        <f t="shared" si="48"/>
        <v>-7.2478918391526963E-3</v>
      </c>
      <c r="D1543" s="26"/>
      <c r="F1543" s="26">
        <v>118769.77</v>
      </c>
      <c r="G1543" s="29">
        <f t="shared" si="49"/>
        <v>6.7450438032845474E-3</v>
      </c>
      <c r="H1543" s="26"/>
    </row>
    <row r="1544" spans="1:8" x14ac:dyDescent="0.3">
      <c r="A1544" s="26" t="s">
        <v>121</v>
      </c>
      <c r="B1544" s="26">
        <v>142.63</v>
      </c>
      <c r="C1544" s="29">
        <f t="shared" si="48"/>
        <v>1.2636012636013116E-3</v>
      </c>
      <c r="D1544" s="26"/>
      <c r="F1544" s="26">
        <v>118442.18</v>
      </c>
      <c r="G1544" s="29">
        <f t="shared" si="49"/>
        <v>-2.7581934359223819E-3</v>
      </c>
      <c r="H1544" s="26"/>
    </row>
    <row r="1545" spans="1:8" x14ac:dyDescent="0.3">
      <c r="A1545" s="26" t="s">
        <v>120</v>
      </c>
      <c r="B1545" s="26">
        <v>142.81</v>
      </c>
      <c r="C1545" s="29">
        <f t="shared" si="48"/>
        <v>1.2620065904789092E-3</v>
      </c>
      <c r="D1545" s="26"/>
      <c r="F1545" s="26">
        <v>116439.62</v>
      </c>
      <c r="G1545" s="29">
        <f t="shared" si="49"/>
        <v>-1.6907490220122577E-2</v>
      </c>
      <c r="H1545" s="26"/>
    </row>
    <row r="1546" spans="1:8" x14ac:dyDescent="0.3">
      <c r="A1546" s="26" t="s">
        <v>119</v>
      </c>
      <c r="B1546" s="26">
        <v>142.76</v>
      </c>
      <c r="C1546" s="29">
        <f t="shared" si="48"/>
        <v>-3.501155381276617E-4</v>
      </c>
      <c r="D1546" s="26"/>
      <c r="F1546" s="26">
        <v>116633.17</v>
      </c>
      <c r="G1546" s="29">
        <f t="shared" si="49"/>
        <v>1.6622348990833439E-3</v>
      </c>
      <c r="H1546" s="26"/>
    </row>
    <row r="1547" spans="1:8" x14ac:dyDescent="0.3">
      <c r="A1547" s="26" t="s">
        <v>118</v>
      </c>
      <c r="B1547" s="26">
        <v>142.43</v>
      </c>
      <c r="C1547" s="29">
        <f t="shared" si="48"/>
        <v>-2.3115718688707207E-3</v>
      </c>
      <c r="D1547" s="26"/>
      <c r="F1547" s="26">
        <v>117772.31</v>
      </c>
      <c r="G1547" s="29">
        <f t="shared" si="49"/>
        <v>9.7668613482768188E-3</v>
      </c>
      <c r="H1547" s="26"/>
    </row>
    <row r="1548" spans="1:8" x14ac:dyDescent="0.3">
      <c r="A1548" s="26" t="s">
        <v>117</v>
      </c>
      <c r="B1548" s="26">
        <v>142.26</v>
      </c>
      <c r="C1548" s="29">
        <f t="shared" si="48"/>
        <v>-1.193568770624278E-3</v>
      </c>
      <c r="D1548" s="26"/>
      <c r="F1548" s="26">
        <v>117806.75</v>
      </c>
      <c r="G1548" s="29">
        <f t="shared" si="49"/>
        <v>2.9242867020271853E-4</v>
      </c>
      <c r="H1548" s="26"/>
    </row>
    <row r="1549" spans="1:8" x14ac:dyDescent="0.3">
      <c r="A1549" s="27">
        <v>45720</v>
      </c>
      <c r="B1549" s="26">
        <v>141.07</v>
      </c>
      <c r="C1549" s="29">
        <f t="shared" si="48"/>
        <v>-8.3649655560241662E-3</v>
      </c>
      <c r="D1549" s="26"/>
      <c r="F1549" s="26">
        <v>118938.11</v>
      </c>
      <c r="G1549" s="29">
        <f t="shared" si="49"/>
        <v>9.6035244160457747E-3</v>
      </c>
      <c r="H1549" s="26"/>
    </row>
    <row r="1550" spans="1:8" x14ac:dyDescent="0.3">
      <c r="A1550" s="27">
        <v>45751</v>
      </c>
      <c r="B1550" s="26">
        <v>144.25</v>
      </c>
      <c r="C1550" s="29">
        <f t="shared" si="48"/>
        <v>2.2542000425320813E-2</v>
      </c>
      <c r="D1550" s="26"/>
      <c r="F1550" s="26">
        <v>118791.66</v>
      </c>
      <c r="G1550" s="29">
        <f t="shared" si="49"/>
        <v>-1.2313126549597694E-3</v>
      </c>
      <c r="H1550" s="26"/>
    </row>
    <row r="1551" spans="1:8" x14ac:dyDescent="0.3">
      <c r="A1551" s="27">
        <v>45842</v>
      </c>
      <c r="B1551" s="26">
        <v>143.69999999999999</v>
      </c>
      <c r="C1551" s="29">
        <f t="shared" si="48"/>
        <v>-3.8128249566725227E-3</v>
      </c>
      <c r="D1551" s="26"/>
      <c r="F1551" s="26">
        <v>114909.49</v>
      </c>
      <c r="G1551" s="29">
        <f t="shared" si="49"/>
        <v>-3.2680492889820702E-2</v>
      </c>
      <c r="H1551" s="26"/>
    </row>
    <row r="1552" spans="1:8" x14ac:dyDescent="0.3">
      <c r="A1552" s="27">
        <v>45873</v>
      </c>
      <c r="B1552" s="26">
        <v>145.44</v>
      </c>
      <c r="C1552" s="29">
        <f t="shared" si="48"/>
        <v>1.2108559498956223E-2</v>
      </c>
      <c r="D1552" s="26"/>
      <c r="F1552" s="26">
        <v>115532.43</v>
      </c>
      <c r="G1552" s="29">
        <f t="shared" si="49"/>
        <v>5.4211362351359125E-3</v>
      </c>
      <c r="H1552" s="26"/>
    </row>
    <row r="1553" spans="1:8" x14ac:dyDescent="0.3">
      <c r="A1553" s="27">
        <v>45904</v>
      </c>
      <c r="B1553" s="26">
        <v>144.16</v>
      </c>
      <c r="C1553" s="29">
        <f t="shared" si="48"/>
        <v>-8.8008800880088091E-3</v>
      </c>
      <c r="D1553" s="26"/>
      <c r="F1553" s="26">
        <v>114153.16</v>
      </c>
      <c r="G1553" s="29">
        <f t="shared" si="49"/>
        <v>-1.1938379552823303E-2</v>
      </c>
      <c r="H1553" s="26"/>
    </row>
    <row r="1554" spans="1:8" x14ac:dyDescent="0.3">
      <c r="A1554" s="27">
        <v>45934</v>
      </c>
      <c r="B1554" s="26">
        <v>141.79</v>
      </c>
      <c r="C1554" s="29">
        <f t="shared" si="48"/>
        <v>-1.6440066592674836E-2</v>
      </c>
      <c r="D1554" s="26"/>
      <c r="F1554" s="26">
        <v>116189.21</v>
      </c>
      <c r="G1554" s="29">
        <f t="shared" si="49"/>
        <v>1.7836124729267266E-2</v>
      </c>
      <c r="H1554" s="26"/>
    </row>
    <row r="1555" spans="1:8" x14ac:dyDescent="0.3">
      <c r="A1555" s="27">
        <v>45965</v>
      </c>
      <c r="B1555" s="26">
        <v>140.33000000000001</v>
      </c>
      <c r="C1555" s="29">
        <f t="shared" si="48"/>
        <v>-1.0296917977290215E-2</v>
      </c>
      <c r="D1555" s="26"/>
      <c r="F1555" s="26">
        <v>114853.33</v>
      </c>
      <c r="G1555" s="29">
        <f t="shared" si="49"/>
        <v>-1.1497453162819547E-2</v>
      </c>
      <c r="H1555" s="26"/>
    </row>
    <row r="1556" spans="1:8" x14ac:dyDescent="0.3">
      <c r="A1556" s="26" t="s">
        <v>116</v>
      </c>
      <c r="B1556" s="26">
        <v>141.58000000000001</v>
      </c>
      <c r="C1556" s="29">
        <f t="shared" si="48"/>
        <v>8.9075750017815133E-3</v>
      </c>
      <c r="D1556" s="26"/>
      <c r="F1556" s="26">
        <v>116390.04</v>
      </c>
      <c r="G1556" s="29">
        <f t="shared" si="49"/>
        <v>1.3379760081836476E-2</v>
      </c>
      <c r="H1556" s="26"/>
    </row>
    <row r="1557" spans="1:8" x14ac:dyDescent="0.3">
      <c r="A1557" s="26" t="s">
        <v>115</v>
      </c>
      <c r="B1557" s="26">
        <v>143</v>
      </c>
      <c r="C1557" s="29">
        <f t="shared" si="48"/>
        <v>1.0029665206950046E-2</v>
      </c>
      <c r="D1557" s="26"/>
      <c r="F1557" s="26">
        <v>116775.5</v>
      </c>
      <c r="G1557" s="29">
        <f t="shared" si="49"/>
        <v>3.3117954079232761E-3</v>
      </c>
      <c r="H1557" s="26"/>
    </row>
    <row r="1558" spans="1:8" x14ac:dyDescent="0.3">
      <c r="A1558" s="26" t="s">
        <v>114</v>
      </c>
      <c r="B1558" s="26">
        <v>140.79</v>
      </c>
      <c r="C1558" s="29">
        <f t="shared" si="48"/>
        <v>-1.5454545454545511E-2</v>
      </c>
      <c r="D1558" s="26"/>
      <c r="F1558" s="26">
        <v>116020.11</v>
      </c>
      <c r="G1558" s="29">
        <f t="shared" si="49"/>
        <v>-6.4687370210360856E-3</v>
      </c>
      <c r="H1558" s="26"/>
    </row>
    <row r="1559" spans="1:8" x14ac:dyDescent="0.3">
      <c r="A1559" s="26" t="s">
        <v>113</v>
      </c>
      <c r="B1559" s="26">
        <v>140.41</v>
      </c>
      <c r="C1559" s="29">
        <f t="shared" si="48"/>
        <v>-2.6990553306342458E-3</v>
      </c>
      <c r="D1559" s="26"/>
      <c r="F1559" s="26">
        <v>116901.13</v>
      </c>
      <c r="G1559" s="29">
        <f t="shared" si="49"/>
        <v>7.5936835433098974E-3</v>
      </c>
      <c r="H1559" s="26"/>
    </row>
    <row r="1560" spans="1:8" x14ac:dyDescent="0.3">
      <c r="A1560" s="26" t="s">
        <v>112</v>
      </c>
      <c r="B1560" s="26">
        <v>141</v>
      </c>
      <c r="C1560" s="29">
        <f t="shared" si="48"/>
        <v>4.2019799159604262E-3</v>
      </c>
      <c r="D1560" s="26"/>
      <c r="F1560" s="26">
        <v>117315.59</v>
      </c>
      <c r="G1560" s="29">
        <f t="shared" si="49"/>
        <v>3.5453891677522009E-3</v>
      </c>
      <c r="H1560" s="26"/>
    </row>
    <row r="1561" spans="1:8" x14ac:dyDescent="0.3">
      <c r="A1561" s="26" t="s">
        <v>111</v>
      </c>
      <c r="B1561" s="26">
        <v>142.99</v>
      </c>
      <c r="C1561" s="29">
        <f t="shared" si="48"/>
        <v>1.4113475177305029E-2</v>
      </c>
      <c r="D1561" s="26"/>
      <c r="F1561" s="26">
        <v>118383.38</v>
      </c>
      <c r="G1561" s="29">
        <f t="shared" si="49"/>
        <v>9.1018593521969941E-3</v>
      </c>
      <c r="H1561" s="26"/>
    </row>
    <row r="1562" spans="1:8" x14ac:dyDescent="0.3">
      <c r="A1562" s="26" t="s">
        <v>110</v>
      </c>
      <c r="B1562" s="26">
        <v>143.02000000000001</v>
      </c>
      <c r="C1562" s="29">
        <f t="shared" si="48"/>
        <v>2.0980488146024991E-4</v>
      </c>
      <c r="D1562" s="26"/>
      <c r="F1562" s="26">
        <v>118430.35</v>
      </c>
      <c r="G1562" s="29">
        <f t="shared" si="49"/>
        <v>3.9676177517486969E-4</v>
      </c>
      <c r="H1562" s="26"/>
    </row>
    <row r="1563" spans="1:8" x14ac:dyDescent="0.3">
      <c r="A1563" s="26" t="s">
        <v>109</v>
      </c>
      <c r="B1563" s="26">
        <v>143.02000000000001</v>
      </c>
      <c r="C1563" s="29">
        <f t="shared" si="48"/>
        <v>0</v>
      </c>
      <c r="D1563" s="26"/>
      <c r="F1563" s="26">
        <v>117226.15</v>
      </c>
      <c r="G1563" s="29">
        <f t="shared" si="49"/>
        <v>-1.0168001698888939E-2</v>
      </c>
      <c r="H1563" s="26"/>
    </row>
    <row r="1564" spans="1:8" x14ac:dyDescent="0.3">
      <c r="A1564" s="26" t="s">
        <v>108</v>
      </c>
      <c r="B1564" s="26">
        <v>137.94999999999999</v>
      </c>
      <c r="C1564" s="29">
        <f t="shared" si="48"/>
        <v>-3.5449587470284025E-2</v>
      </c>
      <c r="D1564" s="26"/>
      <c r="F1564" s="26">
        <v>115019.82</v>
      </c>
      <c r="G1564" s="29">
        <f t="shared" si="49"/>
        <v>-1.8821141869796009E-2</v>
      </c>
      <c r="H1564" s="26"/>
    </row>
    <row r="1565" spans="1:8" x14ac:dyDescent="0.3">
      <c r="A1565" s="26" t="s">
        <v>107</v>
      </c>
      <c r="B1565" s="26">
        <v>139.38999999999999</v>
      </c>
      <c r="C1565" s="29">
        <f t="shared" si="48"/>
        <v>1.0438564697354099E-2</v>
      </c>
      <c r="D1565" s="26"/>
      <c r="F1565" s="26">
        <v>115469.35</v>
      </c>
      <c r="G1565" s="29">
        <f t="shared" si="49"/>
        <v>3.9082829376710796E-3</v>
      </c>
      <c r="H1565" s="26"/>
    </row>
    <row r="1566" spans="1:8" x14ac:dyDescent="0.3">
      <c r="A1566" s="26" t="s">
        <v>106</v>
      </c>
      <c r="B1566" s="26">
        <v>139.61000000000001</v>
      </c>
      <c r="C1566" s="29">
        <f t="shared" si="48"/>
        <v>1.5783054738505438E-3</v>
      </c>
      <c r="D1566" s="26"/>
      <c r="F1566" s="26">
        <v>114063.9</v>
      </c>
      <c r="G1566" s="29">
        <f t="shared" si="49"/>
        <v>-1.2171628228616612E-2</v>
      </c>
      <c r="H1566" s="26"/>
    </row>
    <row r="1567" spans="1:8" x14ac:dyDescent="0.3">
      <c r="A1567" s="26" t="s">
        <v>105</v>
      </c>
      <c r="B1567" s="26">
        <v>140.71</v>
      </c>
      <c r="C1567" s="29">
        <f t="shared" si="48"/>
        <v>7.8790917556048577E-3</v>
      </c>
      <c r="D1567" s="26"/>
      <c r="F1567" s="26">
        <v>114872.18</v>
      </c>
      <c r="G1567" s="29">
        <f t="shared" si="49"/>
        <v>7.0862034350920745E-3</v>
      </c>
      <c r="H1567" s="26"/>
    </row>
    <row r="1568" spans="1:8" x14ac:dyDescent="0.3">
      <c r="A1568" s="26" t="s">
        <v>104</v>
      </c>
      <c r="B1568" s="26">
        <v>138.41999999999999</v>
      </c>
      <c r="C1568" s="29">
        <f t="shared" si="48"/>
        <v>-1.6274607348447306E-2</v>
      </c>
      <c r="D1568" s="26"/>
      <c r="F1568" s="26">
        <v>111326.58</v>
      </c>
      <c r="G1568" s="29">
        <f t="shared" si="49"/>
        <v>-3.0865610803242276E-2</v>
      </c>
      <c r="H1568" s="26"/>
    </row>
    <row r="1569" spans="1:8" x14ac:dyDescent="0.3">
      <c r="A1569" s="27">
        <v>45693</v>
      </c>
      <c r="B1569" s="26">
        <v>139.52000000000001</v>
      </c>
      <c r="C1569" s="29">
        <f t="shared" si="48"/>
        <v>7.9468284929925075E-3</v>
      </c>
      <c r="D1569" s="26"/>
      <c r="F1569" s="26">
        <v>114113.94</v>
      </c>
      <c r="G1569" s="29">
        <f t="shared" si="49"/>
        <v>2.5037686417744984E-2</v>
      </c>
      <c r="H1569" s="26"/>
    </row>
    <row r="1570" spans="1:8" x14ac:dyDescent="0.3">
      <c r="A1570" s="27">
        <v>45782</v>
      </c>
      <c r="B1570" s="26">
        <v>137.9</v>
      </c>
      <c r="C1570" s="29">
        <f t="shared" si="48"/>
        <v>-1.1611238532110123E-2</v>
      </c>
      <c r="D1570" s="26"/>
      <c r="F1570" s="26">
        <v>114102.24</v>
      </c>
      <c r="G1570" s="29">
        <f t="shared" si="49"/>
        <v>-1.0252910380622287E-4</v>
      </c>
      <c r="H1570" s="26"/>
    </row>
    <row r="1571" spans="1:8" x14ac:dyDescent="0.3">
      <c r="A1571" s="27">
        <v>45813</v>
      </c>
      <c r="B1571" s="26">
        <v>135.66999999999999</v>
      </c>
      <c r="C1571" s="29">
        <f t="shared" si="48"/>
        <v>-1.6171138506164019E-2</v>
      </c>
      <c r="D1571" s="26"/>
      <c r="F1571" s="26">
        <v>113568.51</v>
      </c>
      <c r="G1571" s="29">
        <f t="shared" si="49"/>
        <v>-4.6776469944850374E-3</v>
      </c>
      <c r="H1571" s="26"/>
    </row>
    <row r="1572" spans="1:8" x14ac:dyDescent="0.3">
      <c r="A1572" s="27">
        <v>45843</v>
      </c>
      <c r="B1572" s="26">
        <v>130.38</v>
      </c>
      <c r="C1572" s="29">
        <f t="shared" si="48"/>
        <v>-3.899167096631527E-2</v>
      </c>
      <c r="D1572" s="26"/>
      <c r="F1572" s="26">
        <v>110009.03</v>
      </c>
      <c r="G1572" s="29">
        <f t="shared" si="49"/>
        <v>-3.1342138767163505E-2</v>
      </c>
      <c r="H1572" s="26"/>
    </row>
    <row r="1573" spans="1:8" x14ac:dyDescent="0.3">
      <c r="A1573" s="27">
        <v>45874</v>
      </c>
      <c r="B1573" s="26">
        <v>130.25</v>
      </c>
      <c r="C1573" s="29">
        <f t="shared" si="48"/>
        <v>-9.9708544255250396E-4</v>
      </c>
      <c r="D1573" s="26"/>
      <c r="F1573" s="26">
        <v>103526.82</v>
      </c>
      <c r="G1573" s="29">
        <f t="shared" si="49"/>
        <v>-5.8924344665160597E-2</v>
      </c>
      <c r="H1573" s="26"/>
    </row>
    <row r="1574" spans="1:8" x14ac:dyDescent="0.3">
      <c r="A1574" s="27">
        <v>45905</v>
      </c>
      <c r="B1574" s="26">
        <v>133.68</v>
      </c>
      <c r="C1574" s="29">
        <f t="shared" si="48"/>
        <v>2.6333973128598902E-2</v>
      </c>
      <c r="D1574" s="26"/>
      <c r="F1574" s="26">
        <v>107174.64</v>
      </c>
      <c r="G1574" s="29">
        <f t="shared" si="49"/>
        <v>3.5235507088887619E-2</v>
      </c>
      <c r="H1574" s="26"/>
    </row>
    <row r="1575" spans="1:8" x14ac:dyDescent="0.3">
      <c r="A1575" s="27">
        <v>45996</v>
      </c>
      <c r="B1575" s="26">
        <v>143.72</v>
      </c>
      <c r="C1575" s="29">
        <f t="shared" si="48"/>
        <v>7.5104727707959243E-2</v>
      </c>
      <c r="D1575" s="26"/>
      <c r="F1575" s="26">
        <v>117297.73</v>
      </c>
      <c r="G1575" s="29">
        <f t="shared" si="49"/>
        <v>9.4454154452956379E-2</v>
      </c>
      <c r="H1575" s="26"/>
    </row>
    <row r="1576" spans="1:8" x14ac:dyDescent="0.3">
      <c r="A1576" s="26" t="s">
        <v>103</v>
      </c>
      <c r="B1576" s="26">
        <v>140.01</v>
      </c>
      <c r="C1576" s="29">
        <f t="shared" si="48"/>
        <v>-2.5814082939048206E-2</v>
      </c>
      <c r="D1576" s="26"/>
      <c r="F1576" s="26">
        <v>118575.89</v>
      </c>
      <c r="G1576" s="29">
        <f t="shared" si="49"/>
        <v>1.0896715563037781E-2</v>
      </c>
      <c r="H1576" s="26"/>
    </row>
    <row r="1577" spans="1:8" x14ac:dyDescent="0.3">
      <c r="A1577" s="26" t="s">
        <v>102</v>
      </c>
      <c r="B1577" s="26">
        <v>138.05000000000001</v>
      </c>
      <c r="C1577" s="29">
        <f t="shared" si="48"/>
        <v>-1.3999000071423325E-2</v>
      </c>
      <c r="D1577" s="26"/>
      <c r="F1577" s="26">
        <v>118536.53</v>
      </c>
      <c r="G1577" s="29">
        <f t="shared" si="49"/>
        <v>-3.3193931751219059E-4</v>
      </c>
      <c r="H1577" s="26"/>
    </row>
    <row r="1578" spans="1:8" x14ac:dyDescent="0.3">
      <c r="A1578" s="26" t="s">
        <v>101</v>
      </c>
      <c r="B1578" s="26">
        <v>137.94</v>
      </c>
      <c r="C1578" s="29">
        <f t="shared" si="48"/>
        <v>-7.9681274900408286E-4</v>
      </c>
      <c r="D1578" s="26"/>
      <c r="F1578" s="26">
        <v>119961.91</v>
      </c>
      <c r="G1578" s="29">
        <f t="shared" si="49"/>
        <v>1.2024816316117948E-2</v>
      </c>
      <c r="H1578" s="26"/>
    </row>
    <row r="1579" spans="1:8" x14ac:dyDescent="0.3">
      <c r="A1579" s="26" t="s">
        <v>100</v>
      </c>
      <c r="B1579" s="26">
        <v>139.33000000000001</v>
      </c>
      <c r="C1579" s="29">
        <f t="shared" si="48"/>
        <v>1.0076845005074777E-2</v>
      </c>
      <c r="D1579" s="26"/>
      <c r="F1579" s="26">
        <v>119649.14</v>
      </c>
      <c r="G1579" s="29">
        <f t="shared" si="49"/>
        <v>-2.6072442494455453E-3</v>
      </c>
      <c r="H1579" s="26"/>
    </row>
    <row r="1580" spans="1:8" x14ac:dyDescent="0.3">
      <c r="A1580" s="26" t="s">
        <v>99</v>
      </c>
      <c r="B1580" s="26">
        <v>139.97</v>
      </c>
      <c r="C1580" s="29">
        <f t="shared" si="48"/>
        <v>4.5934113256297015E-3</v>
      </c>
      <c r="D1580" s="26"/>
      <c r="F1580" s="26">
        <v>119689.63</v>
      </c>
      <c r="G1580" s="29">
        <f t="shared" si="49"/>
        <v>3.3840610973054412E-4</v>
      </c>
      <c r="H1580" s="26"/>
    </row>
    <row r="1581" spans="1:8" x14ac:dyDescent="0.3">
      <c r="A1581" s="26" t="s">
        <v>98</v>
      </c>
      <c r="B1581" s="26">
        <v>138.74</v>
      </c>
      <c r="C1581" s="29">
        <f t="shared" si="48"/>
        <v>-8.7875973422875606E-3</v>
      </c>
      <c r="D1581" s="26"/>
      <c r="F1581" s="26">
        <v>118971.13</v>
      </c>
      <c r="G1581" s="29">
        <f t="shared" si="49"/>
        <v>-6.0030263273434794E-3</v>
      </c>
      <c r="H1581" s="26"/>
    </row>
    <row r="1582" spans="1:8" x14ac:dyDescent="0.3">
      <c r="A1582" s="26" t="s">
        <v>97</v>
      </c>
      <c r="B1582" s="26">
        <v>142.69999999999999</v>
      </c>
      <c r="C1582" s="29">
        <f t="shared" si="48"/>
        <v>2.8542597664696405E-2</v>
      </c>
      <c r="D1582" s="26"/>
      <c r="F1582" s="26">
        <v>119931.46</v>
      </c>
      <c r="G1582" s="29">
        <f t="shared" si="49"/>
        <v>8.0719582977820063E-3</v>
      </c>
      <c r="H1582" s="26"/>
    </row>
    <row r="1583" spans="1:8" x14ac:dyDescent="0.3">
      <c r="A1583" s="26" t="s">
        <v>96</v>
      </c>
      <c r="B1583" s="26">
        <v>142.19999999999999</v>
      </c>
      <c r="C1583" s="29">
        <f t="shared" si="48"/>
        <v>-3.5038542396636303E-3</v>
      </c>
      <c r="D1583" s="26"/>
      <c r="F1583" s="26">
        <v>119153.04</v>
      </c>
      <c r="G1583" s="29">
        <f t="shared" si="49"/>
        <v>-6.4905405137235285E-3</v>
      </c>
      <c r="H1583" s="26"/>
    </row>
    <row r="1584" spans="1:8" x14ac:dyDescent="0.3">
      <c r="A1584" s="26" t="s">
        <v>95</v>
      </c>
      <c r="B1584" s="26">
        <v>141.83000000000001</v>
      </c>
      <c r="C1584" s="29">
        <f t="shared" si="48"/>
        <v>-2.6019690576650923E-3</v>
      </c>
      <c r="D1584" s="26"/>
      <c r="F1584" s="26">
        <v>119102.67</v>
      </c>
      <c r="G1584" s="29">
        <f t="shared" si="49"/>
        <v>-4.2273365413081652E-4</v>
      </c>
      <c r="H1584" s="26"/>
    </row>
    <row r="1585" spans="1:8" x14ac:dyDescent="0.3">
      <c r="A1585" s="26" t="s">
        <v>94</v>
      </c>
      <c r="B1585" s="26">
        <v>140.12</v>
      </c>
      <c r="C1585" s="29">
        <f t="shared" si="48"/>
        <v>-1.2056687583727053E-2</v>
      </c>
      <c r="D1585" s="26"/>
      <c r="F1585" s="26">
        <v>118221.12</v>
      </c>
      <c r="G1585" s="29">
        <f t="shared" si="49"/>
        <v>-7.4015972941664778E-3</v>
      </c>
      <c r="H1585" s="26"/>
    </row>
    <row r="1586" spans="1:8" x14ac:dyDescent="0.3">
      <c r="A1586" s="26" t="s">
        <v>93</v>
      </c>
      <c r="B1586" s="26">
        <v>139.99</v>
      </c>
      <c r="C1586" s="29">
        <f t="shared" si="48"/>
        <v>-9.2777619183553699E-4</v>
      </c>
      <c r="D1586" s="26"/>
      <c r="F1586" s="26">
        <v>118332.91</v>
      </c>
      <c r="G1586" s="29">
        <f t="shared" si="49"/>
        <v>9.4560092139211798E-4</v>
      </c>
      <c r="H1586" s="26"/>
    </row>
    <row r="1587" spans="1:8" x14ac:dyDescent="0.3">
      <c r="A1587" s="26" t="s">
        <v>92</v>
      </c>
      <c r="B1587" s="26">
        <v>140.05000000000001</v>
      </c>
      <c r="C1587" s="29">
        <f t="shared" si="48"/>
        <v>4.2860204300308784E-4</v>
      </c>
      <c r="D1587" s="26"/>
      <c r="F1587" s="26">
        <v>118971.41</v>
      </c>
      <c r="G1587" s="29">
        <f t="shared" si="49"/>
        <v>5.395793951150191E-3</v>
      </c>
      <c r="H1587" s="26"/>
    </row>
    <row r="1588" spans="1:8" x14ac:dyDescent="0.3">
      <c r="A1588" s="26" t="s">
        <v>91</v>
      </c>
      <c r="B1588" s="26">
        <v>140.22</v>
      </c>
      <c r="C1588" s="29">
        <f t="shared" si="48"/>
        <v>1.2138521956443233E-3</v>
      </c>
      <c r="D1588" s="26"/>
      <c r="F1588" s="26">
        <v>119691.09</v>
      </c>
      <c r="G1588" s="29">
        <f t="shared" si="49"/>
        <v>6.0491844217026008E-3</v>
      </c>
      <c r="H1588" s="26"/>
    </row>
    <row r="1589" spans="1:8" x14ac:dyDescent="0.3">
      <c r="A1589" s="27">
        <v>45694</v>
      </c>
      <c r="B1589" s="26">
        <v>141.1</v>
      </c>
      <c r="C1589" s="29">
        <f t="shared" si="48"/>
        <v>6.2758522322064999E-3</v>
      </c>
      <c r="D1589" s="26"/>
      <c r="F1589" s="26">
        <v>118877.81</v>
      </c>
      <c r="G1589" s="29">
        <f t="shared" si="49"/>
        <v>-6.7948249113613957E-3</v>
      </c>
      <c r="H1589" s="26"/>
    </row>
    <row r="1590" spans="1:8" x14ac:dyDescent="0.3">
      <c r="A1590" s="27">
        <v>45722</v>
      </c>
      <c r="B1590" s="26">
        <v>145.25</v>
      </c>
      <c r="C1590" s="29">
        <f t="shared" si="48"/>
        <v>2.9411764705882394E-2</v>
      </c>
      <c r="D1590" s="26"/>
      <c r="F1590" s="26">
        <v>120450.87</v>
      </c>
      <c r="G1590" s="29">
        <f t="shared" si="49"/>
        <v>1.3232578897609214E-2</v>
      </c>
      <c r="H1590" s="26"/>
    </row>
    <row r="1591" spans="1:8" x14ac:dyDescent="0.3">
      <c r="A1591" s="27">
        <v>45753</v>
      </c>
      <c r="B1591" s="26">
        <v>150.21</v>
      </c>
      <c r="C1591" s="29">
        <f t="shared" si="48"/>
        <v>3.4148020654044806E-2</v>
      </c>
      <c r="D1591" s="26"/>
      <c r="F1591" s="26">
        <v>121798.87</v>
      </c>
      <c r="G1591" s="29">
        <f t="shared" si="49"/>
        <v>1.1191284878224624E-2</v>
      </c>
      <c r="H1591" s="26"/>
    </row>
    <row r="1592" spans="1:8" x14ac:dyDescent="0.3">
      <c r="A1592" s="27">
        <v>45783</v>
      </c>
      <c r="B1592" s="26">
        <v>148.19999999999999</v>
      </c>
      <c r="C1592" s="29">
        <f t="shared" si="48"/>
        <v>-1.3381266227281934E-2</v>
      </c>
      <c r="D1592" s="26"/>
      <c r="F1592" s="26">
        <v>121641</v>
      </c>
      <c r="G1592" s="29">
        <f t="shared" si="49"/>
        <v>-1.2961532401737008E-3</v>
      </c>
      <c r="H1592" s="26"/>
    </row>
    <row r="1593" spans="1:8" x14ac:dyDescent="0.3">
      <c r="A1593" s="27">
        <v>45936</v>
      </c>
      <c r="B1593" s="26">
        <v>152.08000000000001</v>
      </c>
      <c r="C1593" s="29">
        <f t="shared" si="48"/>
        <v>2.6180836707152658E-2</v>
      </c>
      <c r="D1593" s="26"/>
      <c r="F1593" s="26">
        <v>122024.44</v>
      </c>
      <c r="G1593" s="29">
        <f t="shared" si="49"/>
        <v>3.152226634111873E-3</v>
      </c>
      <c r="H1593" s="26"/>
    </row>
    <row r="1594" spans="1:8" x14ac:dyDescent="0.3">
      <c r="A1594" s="27">
        <v>45967</v>
      </c>
      <c r="B1594" s="26">
        <v>152.29</v>
      </c>
      <c r="C1594" s="29">
        <f t="shared" si="48"/>
        <v>1.3808521830614119E-3</v>
      </c>
      <c r="D1594" s="26"/>
      <c r="F1594" s="26">
        <v>124352.68</v>
      </c>
      <c r="G1594" s="29">
        <f t="shared" si="49"/>
        <v>1.9080112148025352E-2</v>
      </c>
      <c r="H1594" s="26"/>
    </row>
    <row r="1595" spans="1:8" x14ac:dyDescent="0.3">
      <c r="A1595" s="27">
        <v>45997</v>
      </c>
      <c r="B1595" s="26">
        <v>154.55000000000001</v>
      </c>
      <c r="C1595" s="29">
        <f t="shared" si="48"/>
        <v>1.4840107689277165E-2</v>
      </c>
      <c r="D1595" s="26"/>
      <c r="F1595" s="26">
        <v>124093.12</v>
      </c>
      <c r="G1595" s="29">
        <f t="shared" si="49"/>
        <v>-2.0872891521115404E-3</v>
      </c>
      <c r="H1595" s="26"/>
    </row>
    <row r="1596" spans="1:8" x14ac:dyDescent="0.3">
      <c r="A1596" s="26" t="s">
        <v>90</v>
      </c>
      <c r="B1596" s="26">
        <v>150.03</v>
      </c>
      <c r="C1596" s="29">
        <f t="shared" si="48"/>
        <v>-2.9246198641216498E-2</v>
      </c>
      <c r="D1596" s="26"/>
      <c r="F1596" s="26">
        <v>122143.57</v>
      </c>
      <c r="G1596" s="29">
        <f t="shared" si="49"/>
        <v>-1.5710379431188356E-2</v>
      </c>
      <c r="H1596" s="26"/>
    </row>
    <row r="1597" spans="1:8" x14ac:dyDescent="0.3">
      <c r="A1597" s="26" t="s">
        <v>89</v>
      </c>
      <c r="B1597" s="26">
        <v>154.79</v>
      </c>
      <c r="C1597" s="29">
        <f t="shared" si="48"/>
        <v>3.1726987935746125E-2</v>
      </c>
      <c r="D1597" s="26"/>
      <c r="F1597" s="26">
        <v>122225.36</v>
      </c>
      <c r="G1597" s="29">
        <f t="shared" si="49"/>
        <v>6.696218229088407E-4</v>
      </c>
      <c r="H1597" s="26"/>
    </row>
    <row r="1598" spans="1:8" x14ac:dyDescent="0.3">
      <c r="A1598" s="26" t="s">
        <v>88</v>
      </c>
      <c r="B1598" s="26">
        <v>153.88</v>
      </c>
      <c r="C1598" s="29">
        <f t="shared" si="48"/>
        <v>-5.8789327475934922E-3</v>
      </c>
      <c r="D1598" s="26"/>
      <c r="F1598" s="26">
        <v>121971.04</v>
      </c>
      <c r="G1598" s="29">
        <f t="shared" si="49"/>
        <v>-2.080746581560545E-3</v>
      </c>
      <c r="H1598" s="26"/>
    </row>
    <row r="1599" spans="1:8" x14ac:dyDescent="0.3">
      <c r="A1599" s="26" t="s">
        <v>87</v>
      </c>
      <c r="B1599" s="26">
        <v>152.30000000000001</v>
      </c>
      <c r="C1599" s="29">
        <f t="shared" si="48"/>
        <v>-1.0267741096958567E-2</v>
      </c>
      <c r="D1599" s="26"/>
      <c r="F1599" s="26">
        <v>120465.93</v>
      </c>
      <c r="G1599" s="29">
        <f t="shared" si="49"/>
        <v>-1.2339896421314441E-2</v>
      </c>
      <c r="H1599" s="26"/>
    </row>
    <row r="1600" spans="1:8" x14ac:dyDescent="0.3">
      <c r="A1600" s="26" t="s">
        <v>86</v>
      </c>
      <c r="B1600" s="26">
        <v>153.74</v>
      </c>
      <c r="C1600" s="29">
        <f t="shared" si="48"/>
        <v>9.4550229809586186E-3</v>
      </c>
      <c r="D1600" s="26"/>
      <c r="F1600" s="26">
        <v>120002.59</v>
      </c>
      <c r="G1600" s="29">
        <f t="shared" si="49"/>
        <v>-3.8462327066249896E-3</v>
      </c>
      <c r="H1600" s="26"/>
    </row>
    <row r="1601" spans="1:8" x14ac:dyDescent="0.3">
      <c r="A1601" s="26" t="s">
        <v>85</v>
      </c>
      <c r="B1601" s="26">
        <v>153.26</v>
      </c>
      <c r="C1601" s="29">
        <f t="shared" si="48"/>
        <v>-3.122154286457774E-3</v>
      </c>
      <c r="D1601" s="26"/>
      <c r="F1601" s="26">
        <v>120023.24</v>
      </c>
      <c r="G1601" s="29">
        <f t="shared" si="49"/>
        <v>1.7207961928162327E-4</v>
      </c>
      <c r="H1601" s="26"/>
    </row>
    <row r="1602" spans="1:8" x14ac:dyDescent="0.3">
      <c r="A1602" s="26" t="s">
        <v>84</v>
      </c>
      <c r="B1602" s="26">
        <v>149.99</v>
      </c>
      <c r="C1602" s="29">
        <f t="shared" si="48"/>
        <v>-2.1336291269737583E-2</v>
      </c>
      <c r="D1602" s="26"/>
      <c r="F1602" s="26">
        <v>116167.47</v>
      </c>
      <c r="G1602" s="29">
        <f t="shared" si="49"/>
        <v>-3.2125195087218145E-2</v>
      </c>
      <c r="H1602" s="26"/>
    </row>
    <row r="1603" spans="1:8" x14ac:dyDescent="0.3">
      <c r="A1603" s="26" t="s">
        <v>83</v>
      </c>
      <c r="B1603" s="26">
        <v>153.09</v>
      </c>
      <c r="C1603" s="29">
        <f t="shared" si="48"/>
        <v>2.0668044536302381E-2</v>
      </c>
      <c r="D1603" s="26"/>
      <c r="F1603" s="26">
        <v>122246.64</v>
      </c>
      <c r="G1603" s="29">
        <f t="shared" si="49"/>
        <v>5.2331087179569274E-2</v>
      </c>
      <c r="H1603" s="26"/>
    </row>
    <row r="1604" spans="1:8" x14ac:dyDescent="0.3">
      <c r="A1604" s="26" t="s">
        <v>82</v>
      </c>
      <c r="B1604" s="26">
        <v>157.24</v>
      </c>
      <c r="C1604" s="29">
        <f t="shared" si="48"/>
        <v>2.710823698478023E-2</v>
      </c>
      <c r="D1604" s="26"/>
      <c r="F1604" s="26">
        <v>122761.64</v>
      </c>
      <c r="G1604" s="29">
        <f t="shared" si="49"/>
        <v>4.2127947238468069E-3</v>
      </c>
      <c r="H1604" s="26"/>
    </row>
    <row r="1605" spans="1:8" x14ac:dyDescent="0.3">
      <c r="A1605" s="26" t="s">
        <v>81</v>
      </c>
      <c r="B1605" s="26">
        <v>152.77000000000001</v>
      </c>
      <c r="C1605" s="29">
        <f t="shared" ref="C1605:C1668" si="50">(B1605-B1604)/B1604</f>
        <v>-2.8427880946324081E-2</v>
      </c>
      <c r="D1605" s="26"/>
      <c r="F1605" s="26">
        <v>122046.46</v>
      </c>
      <c r="G1605" s="29">
        <f t="shared" ref="G1605:G1668" si="51">(F1605-F1604)/F1604</f>
        <v>-5.825761206839474E-3</v>
      </c>
      <c r="H1605" s="26"/>
    </row>
    <row r="1606" spans="1:8" x14ac:dyDescent="0.3">
      <c r="A1606" s="26" t="s">
        <v>80</v>
      </c>
      <c r="B1606" s="26">
        <v>153.63999999999999</v>
      </c>
      <c r="C1606" s="29">
        <f t="shared" si="50"/>
        <v>5.6948353734370362E-3</v>
      </c>
      <c r="D1606" s="26"/>
      <c r="F1606" s="26">
        <v>124379.07</v>
      </c>
      <c r="G1606" s="29">
        <f t="shared" si="51"/>
        <v>1.9112475691634156E-2</v>
      </c>
      <c r="H1606" s="26"/>
    </row>
    <row r="1607" spans="1:8" x14ac:dyDescent="0.3">
      <c r="A1607" s="26" t="s">
        <v>79</v>
      </c>
      <c r="B1607" s="26">
        <v>157.78</v>
      </c>
      <c r="C1607" s="29">
        <f t="shared" si="50"/>
        <v>2.6946107784431236E-2</v>
      </c>
      <c r="D1607" s="26"/>
      <c r="F1607" s="26">
        <v>125627.31</v>
      </c>
      <c r="G1607" s="29">
        <f t="shared" si="51"/>
        <v>1.0035772095739184E-2</v>
      </c>
      <c r="H1607" s="26"/>
    </row>
    <row r="1608" spans="1:8" x14ac:dyDescent="0.3">
      <c r="A1608" s="27">
        <v>45664</v>
      </c>
      <c r="B1608" s="26">
        <v>164.27</v>
      </c>
      <c r="C1608" s="29">
        <f t="shared" si="50"/>
        <v>4.1133223475725754E-2</v>
      </c>
      <c r="D1608" s="26"/>
      <c r="F1608" s="26">
        <v>128199.43</v>
      </c>
      <c r="G1608" s="29">
        <f t="shared" si="51"/>
        <v>2.0474210583670025E-2</v>
      </c>
      <c r="H1608" s="26"/>
    </row>
    <row r="1609" spans="1:8" x14ac:dyDescent="0.3">
      <c r="A1609" s="27">
        <v>45695</v>
      </c>
      <c r="B1609" s="26">
        <v>171.9</v>
      </c>
      <c r="C1609" s="29">
        <f t="shared" si="50"/>
        <v>4.6447921105497017E-2</v>
      </c>
      <c r="D1609" s="26"/>
      <c r="F1609" s="26">
        <v>130344.03</v>
      </c>
      <c r="G1609" s="29">
        <f t="shared" si="51"/>
        <v>1.6728623520401033E-2</v>
      </c>
      <c r="H1609" s="26"/>
    </row>
    <row r="1610" spans="1:8" x14ac:dyDescent="0.3">
      <c r="A1610" s="27">
        <v>45723</v>
      </c>
      <c r="B1610" s="26">
        <v>164.78</v>
      </c>
      <c r="C1610" s="29">
        <f t="shared" si="50"/>
        <v>-4.1419429901105316E-2</v>
      </c>
      <c r="D1610" s="26"/>
      <c r="F1610" s="26">
        <v>130686.66</v>
      </c>
      <c r="G1610" s="29">
        <f t="shared" si="51"/>
        <v>2.6286589420321336E-3</v>
      </c>
      <c r="H1610" s="26"/>
    </row>
    <row r="1611" spans="1:8" x14ac:dyDescent="0.3">
      <c r="A1611" s="27">
        <v>45754</v>
      </c>
      <c r="B1611" s="26">
        <v>169.98</v>
      </c>
      <c r="C1611" s="29">
        <f t="shared" si="50"/>
        <v>3.1557227818909996E-2</v>
      </c>
      <c r="D1611" s="26"/>
      <c r="F1611" s="26">
        <v>131949.06</v>
      </c>
      <c r="G1611" s="29">
        <f t="shared" si="51"/>
        <v>9.6597464500201794E-3</v>
      </c>
      <c r="H1611" s="26"/>
    </row>
    <row r="1612" spans="1:8" x14ac:dyDescent="0.3">
      <c r="A1612" s="27">
        <v>45845</v>
      </c>
      <c r="B1612" s="26">
        <v>171.83</v>
      </c>
      <c r="C1612" s="29">
        <f t="shared" si="50"/>
        <v>1.0883633368631738E-2</v>
      </c>
      <c r="D1612" s="26"/>
      <c r="F1612" s="26">
        <v>133370.16</v>
      </c>
      <c r="G1612" s="29">
        <f t="shared" si="51"/>
        <v>1.0770065357040103E-2</v>
      </c>
      <c r="H1612" s="26"/>
    </row>
    <row r="1613" spans="1:8" x14ac:dyDescent="0.3">
      <c r="A1613" s="27">
        <v>45876</v>
      </c>
      <c r="B1613" s="26">
        <v>171</v>
      </c>
      <c r="C1613" s="29">
        <f t="shared" si="50"/>
        <v>-4.8303555840075217E-3</v>
      </c>
      <c r="D1613" s="26"/>
      <c r="F1613" s="26">
        <v>133403.19</v>
      </c>
      <c r="G1613" s="29">
        <f t="shared" si="51"/>
        <v>2.4765659724783139E-4</v>
      </c>
      <c r="H1613" s="26"/>
    </row>
    <row r="1614" spans="1:8" x14ac:dyDescent="0.3">
      <c r="A1614" s="27">
        <v>45907</v>
      </c>
      <c r="B1614" s="26">
        <v>168.14</v>
      </c>
      <c r="C1614" s="29">
        <f t="shared" si="50"/>
        <v>-1.672514619883049E-2</v>
      </c>
      <c r="D1614" s="26"/>
      <c r="F1614" s="26">
        <v>132576.98000000001</v>
      </c>
      <c r="G1614" s="29">
        <f t="shared" si="51"/>
        <v>-6.193330159496125E-3</v>
      </c>
      <c r="H1614" s="26"/>
    </row>
    <row r="1615" spans="1:8" x14ac:dyDescent="0.3">
      <c r="A1615" s="27">
        <v>45937</v>
      </c>
      <c r="B1615" s="26">
        <v>171.67</v>
      </c>
      <c r="C1615" s="29">
        <f t="shared" si="50"/>
        <v>2.0994409420720835E-2</v>
      </c>
      <c r="D1615" s="26"/>
      <c r="F1615" s="26">
        <v>133782.34</v>
      </c>
      <c r="G1615" s="29">
        <f t="shared" si="51"/>
        <v>9.0917744543584107E-3</v>
      </c>
      <c r="H1615" s="26"/>
    </row>
    <row r="1616" spans="1:8" x14ac:dyDescent="0.3">
      <c r="A1616" s="27">
        <v>45968</v>
      </c>
      <c r="B1616" s="26">
        <v>166.01</v>
      </c>
      <c r="C1616" s="29">
        <f t="shared" si="50"/>
        <v>-3.2970233587697309E-2</v>
      </c>
      <c r="D1616" s="26"/>
      <c r="F1616" s="26">
        <v>134299.76999999999</v>
      </c>
      <c r="G1616" s="29">
        <f t="shared" si="51"/>
        <v>3.8677003257679078E-3</v>
      </c>
      <c r="H1616" s="26"/>
    </row>
    <row r="1617" spans="1:8" x14ac:dyDescent="0.3">
      <c r="A1617" s="26" t="s">
        <v>78</v>
      </c>
      <c r="B1617" s="26">
        <v>172.72</v>
      </c>
      <c r="C1617" s="29">
        <f t="shared" si="50"/>
        <v>4.0419251852298103E-2</v>
      </c>
      <c r="D1617" s="26"/>
      <c r="F1617" s="26">
        <v>136502.54999999999</v>
      </c>
      <c r="G1617" s="29">
        <f t="shared" si="51"/>
        <v>1.640196405399651E-2</v>
      </c>
      <c r="H1617" s="26"/>
    </row>
    <row r="1618" spans="1:8" x14ac:dyDescent="0.3">
      <c r="A1618" s="26" t="s">
        <v>77</v>
      </c>
      <c r="B1618" s="26">
        <v>172.44</v>
      </c>
      <c r="C1618" s="29">
        <f t="shared" si="50"/>
        <v>-1.6211208893006088E-3</v>
      </c>
      <c r="D1618" s="26"/>
      <c r="F1618" s="26">
        <v>135939.88</v>
      </c>
      <c r="G1618" s="29">
        <f t="shared" si="51"/>
        <v>-4.1220475368407682E-3</v>
      </c>
      <c r="H1618" s="26"/>
    </row>
    <row r="1619" spans="1:8" x14ac:dyDescent="0.3">
      <c r="A1619" s="26" t="s">
        <v>76</v>
      </c>
      <c r="B1619" s="26">
        <v>169.89</v>
      </c>
      <c r="C1619" s="29">
        <f t="shared" si="50"/>
        <v>-1.4787752261656295E-2</v>
      </c>
      <c r="D1619" s="26"/>
      <c r="F1619" s="26">
        <v>136379.97</v>
      </c>
      <c r="G1619" s="29">
        <f t="shared" si="51"/>
        <v>3.23738699784049E-3</v>
      </c>
      <c r="H1619" s="26"/>
    </row>
    <row r="1620" spans="1:8" x14ac:dyDescent="0.3">
      <c r="A1620" s="26" t="s">
        <v>75</v>
      </c>
      <c r="B1620" s="26">
        <v>168.43</v>
      </c>
      <c r="C1620" s="29">
        <f t="shared" si="50"/>
        <v>-8.5937959856376457E-3</v>
      </c>
      <c r="D1620" s="26"/>
      <c r="F1620" s="26">
        <v>138665.5</v>
      </c>
      <c r="G1620" s="29">
        <f t="shared" si="51"/>
        <v>1.675854599469408E-2</v>
      </c>
      <c r="H1620" s="26"/>
    </row>
    <row r="1621" spans="1:8" x14ac:dyDescent="0.3">
      <c r="A1621" s="26" t="s">
        <v>74</v>
      </c>
      <c r="B1621" s="26">
        <v>166</v>
      </c>
      <c r="C1621" s="29">
        <f t="shared" si="50"/>
        <v>-1.4427358546577253E-2</v>
      </c>
      <c r="D1621" s="26"/>
      <c r="F1621" s="26">
        <v>138597.35999999999</v>
      </c>
      <c r="G1621" s="29">
        <f t="shared" si="51"/>
        <v>-4.9139836513057659E-4</v>
      </c>
      <c r="H1621" s="26"/>
    </row>
    <row r="1622" spans="1:8" x14ac:dyDescent="0.3">
      <c r="A1622" s="26" t="s">
        <v>73</v>
      </c>
      <c r="B1622" s="26">
        <v>164.63</v>
      </c>
      <c r="C1622" s="29">
        <f t="shared" si="50"/>
        <v>-8.2530120481927993E-3</v>
      </c>
      <c r="D1622" s="26"/>
      <c r="F1622" s="26">
        <v>138217.57999999999</v>
      </c>
      <c r="G1622" s="29">
        <f t="shared" si="51"/>
        <v>-2.7401676337846471E-3</v>
      </c>
      <c r="H1622" s="26"/>
    </row>
    <row r="1623" spans="1:8" x14ac:dyDescent="0.3">
      <c r="A1623" s="26" t="s">
        <v>72</v>
      </c>
      <c r="B1623" s="26">
        <v>162.66999999999999</v>
      </c>
      <c r="C1623" s="29">
        <f t="shared" si="50"/>
        <v>-1.1905485027030359E-2</v>
      </c>
      <c r="D1623" s="26"/>
      <c r="F1623" s="26">
        <v>139419.63</v>
      </c>
      <c r="G1623" s="29">
        <f t="shared" si="51"/>
        <v>8.6967952991219896E-3</v>
      </c>
      <c r="H1623" s="26"/>
    </row>
    <row r="1624" spans="1:8" x14ac:dyDescent="0.3">
      <c r="A1624" s="26" t="s">
        <v>71</v>
      </c>
      <c r="B1624" s="26">
        <v>165.84</v>
      </c>
      <c r="C1624" s="29">
        <f t="shared" si="50"/>
        <v>1.9487305588000346E-2</v>
      </c>
      <c r="D1624" s="26"/>
      <c r="F1624" s="26">
        <v>139254.35999999999</v>
      </c>
      <c r="G1624" s="29">
        <f t="shared" si="51"/>
        <v>-1.185414134293848E-3</v>
      </c>
      <c r="H1624" s="26"/>
    </row>
    <row r="1625" spans="1:8" x14ac:dyDescent="0.3">
      <c r="A1625" s="26" t="s">
        <v>70</v>
      </c>
      <c r="B1625" s="26">
        <v>165.09</v>
      </c>
      <c r="C1625" s="29">
        <f t="shared" si="50"/>
        <v>-4.5224312590448623E-3</v>
      </c>
      <c r="D1625" s="26"/>
      <c r="F1625" s="26">
        <v>138692.67000000001</v>
      </c>
      <c r="G1625" s="29">
        <f t="shared" si="51"/>
        <v>-4.0335541379097452E-3</v>
      </c>
      <c r="H1625" s="26"/>
    </row>
    <row r="1626" spans="1:8" x14ac:dyDescent="0.3">
      <c r="A1626" s="26" t="s">
        <v>69</v>
      </c>
      <c r="B1626" s="26">
        <v>165.4</v>
      </c>
      <c r="C1626" s="29">
        <f t="shared" si="50"/>
        <v>1.8777636440729436E-3</v>
      </c>
      <c r="D1626" s="26"/>
      <c r="F1626" s="26">
        <v>139207.29999999999</v>
      </c>
      <c r="G1626" s="29">
        <f t="shared" si="51"/>
        <v>3.7105782158492985E-3</v>
      </c>
      <c r="H1626" s="26"/>
    </row>
    <row r="1627" spans="1:8" x14ac:dyDescent="0.3">
      <c r="A1627" s="26" t="s">
        <v>68</v>
      </c>
      <c r="B1627" s="26">
        <v>164.14</v>
      </c>
      <c r="C1627" s="29">
        <f t="shared" si="50"/>
        <v>-7.617896009673635E-3</v>
      </c>
      <c r="D1627" s="26"/>
      <c r="F1627" s="26">
        <v>139380.06</v>
      </c>
      <c r="G1627" s="29">
        <f t="shared" si="51"/>
        <v>1.2410268714356885E-3</v>
      </c>
      <c r="H1627" s="26"/>
    </row>
    <row r="1628" spans="1:8" x14ac:dyDescent="0.3">
      <c r="A1628" s="26" t="s">
        <v>67</v>
      </c>
      <c r="B1628" s="26">
        <v>165.25</v>
      </c>
      <c r="C1628" s="29">
        <f t="shared" si="50"/>
        <v>6.76251980017067E-3</v>
      </c>
      <c r="D1628" s="26"/>
      <c r="F1628" s="26">
        <v>137964.81</v>
      </c>
      <c r="G1628" s="29">
        <f t="shared" si="51"/>
        <v>-1.0153891453339883E-2</v>
      </c>
      <c r="H1628" s="26"/>
    </row>
    <row r="1629" spans="1:8" x14ac:dyDescent="0.3">
      <c r="A1629" s="26" t="s">
        <v>66</v>
      </c>
      <c r="B1629" s="26">
        <v>166</v>
      </c>
      <c r="C1629" s="29">
        <f t="shared" si="50"/>
        <v>4.5385779122541605E-3</v>
      </c>
      <c r="D1629" s="26"/>
      <c r="F1629" s="26">
        <v>138412.25</v>
      </c>
      <c r="G1629" s="29">
        <f t="shared" si="51"/>
        <v>3.2431458427696334E-3</v>
      </c>
      <c r="H1629" s="26"/>
    </row>
    <row r="1630" spans="1:8" x14ac:dyDescent="0.3">
      <c r="A1630" s="26" t="s">
        <v>65</v>
      </c>
      <c r="B1630" s="26">
        <v>165.99</v>
      </c>
      <c r="C1630" s="29">
        <f t="shared" si="50"/>
        <v>-6.0240963855366898E-5</v>
      </c>
      <c r="D1630" s="26"/>
      <c r="F1630" s="26">
        <v>139390.42000000001</v>
      </c>
      <c r="G1630" s="29">
        <f t="shared" si="51"/>
        <v>7.0670767941422297E-3</v>
      </c>
      <c r="H1630" s="26"/>
    </row>
    <row r="1631" spans="1:8" x14ac:dyDescent="0.3">
      <c r="A1631" s="27">
        <v>45665</v>
      </c>
      <c r="B1631" s="26">
        <v>166.87</v>
      </c>
      <c r="C1631" s="29">
        <f t="shared" si="50"/>
        <v>5.301524188204081E-3</v>
      </c>
      <c r="D1631" s="26"/>
      <c r="F1631" s="26">
        <v>141034.98000000001</v>
      </c>
      <c r="G1631" s="29">
        <f t="shared" si="51"/>
        <v>1.1798228314399207E-2</v>
      </c>
      <c r="H1631" s="26"/>
    </row>
    <row r="1632" spans="1:8" x14ac:dyDescent="0.3">
      <c r="A1632" s="27">
        <v>45755</v>
      </c>
      <c r="B1632" s="26">
        <v>172.53</v>
      </c>
      <c r="C1632" s="29">
        <f t="shared" si="50"/>
        <v>3.3918619284472921E-2</v>
      </c>
      <c r="D1632" s="26"/>
      <c r="F1632" s="26">
        <v>142052.66</v>
      </c>
      <c r="G1632" s="29">
        <f t="shared" si="51"/>
        <v>7.2157985203386635E-3</v>
      </c>
      <c r="H1632" s="26"/>
    </row>
    <row r="1633" spans="1:8" x14ac:dyDescent="0.3">
      <c r="A1633" s="27">
        <v>45785</v>
      </c>
      <c r="B1633" s="26">
        <v>170.57</v>
      </c>
      <c r="C1633" s="29">
        <f t="shared" si="50"/>
        <v>-1.1360343128731281E-2</v>
      </c>
      <c r="D1633" s="26"/>
      <c r="F1633" s="26">
        <v>143037.17000000001</v>
      </c>
      <c r="G1633" s="29">
        <f t="shared" si="51"/>
        <v>6.9305988356712879E-3</v>
      </c>
      <c r="H1633" s="26"/>
    </row>
    <row r="1634" spans="1:8" x14ac:dyDescent="0.3">
      <c r="A1634" s="27">
        <v>45816</v>
      </c>
      <c r="B1634" s="26">
        <v>173.29</v>
      </c>
      <c r="C1634" s="29">
        <f t="shared" si="50"/>
        <v>1.5946532215512687E-2</v>
      </c>
      <c r="D1634" s="26"/>
      <c r="F1634" s="26">
        <v>145088.5</v>
      </c>
      <c r="G1634" s="29">
        <f t="shared" si="51"/>
        <v>1.4341237316146475E-2</v>
      </c>
      <c r="H1634" s="26"/>
    </row>
    <row r="1635" spans="1:8" x14ac:dyDescent="0.3">
      <c r="A1635" s="27">
        <v>45846</v>
      </c>
      <c r="B1635" s="26">
        <v>175.09</v>
      </c>
      <c r="C1635" s="29">
        <f t="shared" si="50"/>
        <v>1.0387212187662366E-2</v>
      </c>
      <c r="D1635" s="26"/>
      <c r="F1635" s="26">
        <v>145647.14000000001</v>
      </c>
      <c r="G1635" s="29">
        <f t="shared" si="51"/>
        <v>3.8503396203008093E-3</v>
      </c>
      <c r="H1635" s="26"/>
    </row>
    <row r="1636" spans="1:8" x14ac:dyDescent="0.3">
      <c r="A1636" s="27">
        <v>45877</v>
      </c>
      <c r="B1636" s="26">
        <v>175.34</v>
      </c>
      <c r="C1636" s="29">
        <f t="shared" si="50"/>
        <v>1.427837112342224E-3</v>
      </c>
      <c r="D1636" s="26"/>
      <c r="F1636" s="26">
        <v>145382.79999999999</v>
      </c>
      <c r="G1636" s="29">
        <f t="shared" si="51"/>
        <v>-1.8149343680900674E-3</v>
      </c>
      <c r="H1636" s="26"/>
    </row>
    <row r="1637" spans="1:8" x14ac:dyDescent="0.3">
      <c r="A1637" s="27">
        <v>45969</v>
      </c>
      <c r="B1637" s="26">
        <v>182.74</v>
      </c>
      <c r="C1637" s="29">
        <f t="shared" si="50"/>
        <v>4.2203718489791292E-2</v>
      </c>
      <c r="D1637" s="26"/>
      <c r="F1637" s="26">
        <v>146929.84</v>
      </c>
      <c r="G1637" s="29">
        <f t="shared" si="51"/>
        <v>1.0641148746619327E-2</v>
      </c>
      <c r="H1637" s="26"/>
    </row>
    <row r="1638" spans="1:8" x14ac:dyDescent="0.3">
      <c r="A1638" s="27">
        <v>45999</v>
      </c>
      <c r="B1638" s="26">
        <v>180.34</v>
      </c>
      <c r="C1638" s="29">
        <f t="shared" si="50"/>
        <v>-1.31334135930831E-2</v>
      </c>
      <c r="D1638" s="26"/>
      <c r="F1638" s="26">
        <v>147005.31</v>
      </c>
      <c r="G1638" s="29">
        <f t="shared" si="51"/>
        <v>5.1364651319297128E-4</v>
      </c>
      <c r="H1638" s="26"/>
    </row>
    <row r="1639" spans="1:8" x14ac:dyDescent="0.3">
      <c r="A1639" s="26" t="s">
        <v>64</v>
      </c>
      <c r="B1639" s="26">
        <v>179.97</v>
      </c>
      <c r="C1639" s="29">
        <f t="shared" si="50"/>
        <v>-2.0516801596983728E-3</v>
      </c>
      <c r="D1639" s="26"/>
      <c r="F1639" s="26">
        <v>146529.31</v>
      </c>
      <c r="G1639" s="29">
        <f t="shared" si="51"/>
        <v>-3.2379782743902244E-3</v>
      </c>
      <c r="H1639" s="26"/>
    </row>
    <row r="1640" spans="1:8" x14ac:dyDescent="0.3">
      <c r="A1640" s="26" t="s">
        <v>63</v>
      </c>
      <c r="B1640" s="26">
        <v>180</v>
      </c>
      <c r="C1640" s="29">
        <f t="shared" si="50"/>
        <v>1.6669444907485212E-4</v>
      </c>
      <c r="D1640" s="26"/>
      <c r="F1640" s="26">
        <v>146491.63</v>
      </c>
      <c r="G1640" s="29">
        <f t="shared" si="51"/>
        <v>-2.5714991765123996E-4</v>
      </c>
      <c r="H1640" s="26"/>
    </row>
    <row r="1641" spans="1:8" x14ac:dyDescent="0.3">
      <c r="A1641" s="26" t="s">
        <v>62</v>
      </c>
      <c r="B1641" s="26">
        <v>187.08</v>
      </c>
      <c r="C1641" s="29">
        <f t="shared" si="50"/>
        <v>3.9333333333333401E-2</v>
      </c>
      <c r="D1641" s="26"/>
      <c r="F1641" s="26">
        <v>148196.42000000001</v>
      </c>
      <c r="G1641" s="29">
        <f t="shared" si="51"/>
        <v>1.1637456692918279E-2</v>
      </c>
      <c r="H1641" s="26"/>
    </row>
    <row r="1642" spans="1:8" x14ac:dyDescent="0.3">
      <c r="A1642" s="26" t="s">
        <v>61</v>
      </c>
      <c r="B1642" s="26">
        <v>205.19</v>
      </c>
      <c r="C1642" s="29">
        <f t="shared" si="50"/>
        <v>9.680350652127423E-2</v>
      </c>
      <c r="D1642" s="26"/>
      <c r="F1642" s="26">
        <v>149770.75</v>
      </c>
      <c r="G1642" s="29">
        <f t="shared" si="51"/>
        <v>1.0623266068100613E-2</v>
      </c>
      <c r="H1642" s="26"/>
    </row>
    <row r="1643" spans="1:8" x14ac:dyDescent="0.3">
      <c r="A1643" s="26" t="s">
        <v>60</v>
      </c>
      <c r="B1643" s="26">
        <v>208.71</v>
      </c>
      <c r="C1643" s="29">
        <f t="shared" si="50"/>
        <v>1.7154832106827868E-2</v>
      </c>
      <c r="D1643" s="26"/>
      <c r="F1643" s="26">
        <v>150591</v>
      </c>
      <c r="G1643" s="29">
        <f t="shared" si="51"/>
        <v>5.4767035619438372E-3</v>
      </c>
      <c r="H1643" s="26"/>
    </row>
    <row r="1644" spans="1:8" x14ac:dyDescent="0.3">
      <c r="A1644" s="26" t="s">
        <v>59</v>
      </c>
      <c r="B1644" s="26">
        <v>204.9</v>
      </c>
      <c r="C1644" s="29">
        <f t="shared" si="50"/>
        <v>-1.8254994969095883E-2</v>
      </c>
      <c r="D1644" s="26"/>
      <c r="F1644" s="26">
        <v>149235.26999999999</v>
      </c>
      <c r="G1644" s="29">
        <f t="shared" si="51"/>
        <v>-9.0027292467678051E-3</v>
      </c>
      <c r="H1644" s="26"/>
    </row>
    <row r="1645" spans="1:8" x14ac:dyDescent="0.3">
      <c r="A1645" s="26" t="s">
        <v>58</v>
      </c>
      <c r="B1645" s="26">
        <v>205.86</v>
      </c>
      <c r="C1645" s="29">
        <f t="shared" si="50"/>
        <v>4.685212298682323E-3</v>
      </c>
      <c r="D1645" s="26"/>
      <c r="F1645" s="26">
        <v>149493.06</v>
      </c>
      <c r="G1645" s="29">
        <f t="shared" si="51"/>
        <v>1.7274066646578129E-3</v>
      </c>
      <c r="H1645" s="26"/>
    </row>
    <row r="1646" spans="1:8" x14ac:dyDescent="0.3">
      <c r="A1646" s="26" t="s">
        <v>57</v>
      </c>
      <c r="B1646" s="26">
        <v>201.7</v>
      </c>
      <c r="C1646" s="29">
        <f t="shared" si="50"/>
        <v>-2.0207908287185584E-2</v>
      </c>
      <c r="D1646" s="26"/>
      <c r="F1646" s="26">
        <v>148815.31</v>
      </c>
      <c r="G1646" s="29">
        <f t="shared" si="51"/>
        <v>-4.5336552746997084E-3</v>
      </c>
      <c r="H1646" s="26"/>
    </row>
    <row r="1647" spans="1:8" x14ac:dyDescent="0.3">
      <c r="A1647" s="26" t="s">
        <v>56</v>
      </c>
      <c r="B1647" s="26">
        <v>191.46</v>
      </c>
      <c r="C1647" s="29">
        <f t="shared" si="50"/>
        <v>-5.0768468021814485E-2</v>
      </c>
      <c r="D1647" s="26"/>
      <c r="F1647" s="26">
        <v>148435.06</v>
      </c>
      <c r="G1647" s="29">
        <f t="shared" si="51"/>
        <v>-2.55518064639989E-3</v>
      </c>
      <c r="H1647" s="26"/>
    </row>
    <row r="1648" spans="1:8" x14ac:dyDescent="0.3">
      <c r="A1648" s="26" t="s">
        <v>55</v>
      </c>
      <c r="B1648" s="26">
        <v>190.77</v>
      </c>
      <c r="C1648" s="29">
        <f t="shared" si="50"/>
        <v>-3.6038859291757951E-3</v>
      </c>
      <c r="D1648" s="26"/>
      <c r="F1648" s="26">
        <v>147494.03</v>
      </c>
      <c r="G1648" s="29">
        <f t="shared" si="51"/>
        <v>-6.3396747372217784E-3</v>
      </c>
      <c r="H1648" s="26"/>
    </row>
    <row r="1649" spans="1:8" x14ac:dyDescent="0.3">
      <c r="A1649" s="26" t="s">
        <v>54</v>
      </c>
      <c r="B1649" s="26">
        <v>186.56</v>
      </c>
      <c r="C1649" s="29">
        <f t="shared" si="50"/>
        <v>-2.2068459401373423E-2</v>
      </c>
      <c r="D1649" s="26"/>
      <c r="F1649" s="26">
        <v>147343.51999999999</v>
      </c>
      <c r="G1649" s="29">
        <f t="shared" si="51"/>
        <v>-1.0204480818648003E-3</v>
      </c>
      <c r="H1649" s="26"/>
    </row>
    <row r="1650" spans="1:8" x14ac:dyDescent="0.3">
      <c r="A1650" s="26" t="s">
        <v>53</v>
      </c>
      <c r="B1650" s="26">
        <v>188.42</v>
      </c>
      <c r="C1650" s="29">
        <f t="shared" si="50"/>
        <v>9.9699828473412584E-3</v>
      </c>
      <c r="D1650" s="26"/>
      <c r="F1650" s="26">
        <v>148617.78</v>
      </c>
      <c r="G1650" s="29">
        <f t="shared" si="51"/>
        <v>8.6482255887466875E-3</v>
      </c>
      <c r="H1650" s="26"/>
    </row>
    <row r="1651" spans="1:8" x14ac:dyDescent="0.3">
      <c r="A1651" s="27">
        <v>45666</v>
      </c>
      <c r="B1651" s="26">
        <v>191.81</v>
      </c>
      <c r="C1651" s="29">
        <f t="shared" si="50"/>
        <v>1.7991720624137644E-2</v>
      </c>
      <c r="D1651" s="26"/>
      <c r="F1651" s="26">
        <v>149971.13</v>
      </c>
      <c r="G1651" s="29">
        <f t="shared" si="51"/>
        <v>9.1062455649654154E-3</v>
      </c>
      <c r="H1651" s="26"/>
    </row>
    <row r="1652" spans="1:8" x14ac:dyDescent="0.3">
      <c r="A1652" s="27">
        <v>45697</v>
      </c>
      <c r="B1652" s="26">
        <v>195.58</v>
      </c>
      <c r="C1652" s="29">
        <f t="shared" si="50"/>
        <v>1.9654866795266204E-2</v>
      </c>
      <c r="D1652" s="26"/>
      <c r="F1652" s="26">
        <v>150975.48000000001</v>
      </c>
      <c r="G1652" s="29">
        <f t="shared" si="51"/>
        <v>6.6969556073892744E-3</v>
      </c>
      <c r="H1652" s="26"/>
    </row>
    <row r="1653" spans="1:8" x14ac:dyDescent="0.3">
      <c r="A1653" s="27">
        <v>45725</v>
      </c>
      <c r="B1653" s="26">
        <v>190.58</v>
      </c>
      <c r="C1653" s="29">
        <f t="shared" si="50"/>
        <v>-2.5564986194907453E-2</v>
      </c>
      <c r="D1653" s="26"/>
      <c r="F1653" s="26">
        <v>152201.88</v>
      </c>
      <c r="G1653" s="29">
        <f t="shared" si="51"/>
        <v>8.1231733788824124E-3</v>
      </c>
      <c r="H1653" s="26"/>
    </row>
    <row r="1654" spans="1:8" x14ac:dyDescent="0.3">
      <c r="A1654" s="27">
        <v>45756</v>
      </c>
      <c r="B1654" s="26">
        <v>186.21</v>
      </c>
      <c r="C1654" s="29">
        <f t="shared" si="50"/>
        <v>-2.2930003148284209E-2</v>
      </c>
      <c r="D1654" s="26"/>
      <c r="F1654" s="26">
        <v>152665.72</v>
      </c>
      <c r="G1654" s="29">
        <f t="shared" si="51"/>
        <v>3.0475313445536712E-3</v>
      </c>
      <c r="H1654" s="26"/>
    </row>
    <row r="1655" spans="1:8" x14ac:dyDescent="0.3">
      <c r="A1655" s="27">
        <v>45786</v>
      </c>
      <c r="B1655" s="26">
        <v>188.69</v>
      </c>
      <c r="C1655" s="29">
        <f t="shared" si="50"/>
        <v>1.3318296546909348E-2</v>
      </c>
      <c r="D1655" s="26"/>
      <c r="F1655" s="26">
        <v>154277.19</v>
      </c>
      <c r="G1655" s="29">
        <f t="shared" si="51"/>
        <v>1.0555545802947781E-2</v>
      </c>
      <c r="H1655" s="26"/>
    </row>
    <row r="1656" spans="1:8" x14ac:dyDescent="0.3">
      <c r="A1656" s="27">
        <v>45878</v>
      </c>
      <c r="B1656" s="26">
        <v>192.39</v>
      </c>
      <c r="C1656" s="29">
        <f t="shared" si="50"/>
        <v>1.9608882293709197E-2</v>
      </c>
      <c r="D1656" s="26"/>
      <c r="F1656" s="26">
        <v>156087.31</v>
      </c>
      <c r="G1656" s="29">
        <f t="shared" si="51"/>
        <v>1.1732907502398736E-2</v>
      </c>
      <c r="H1656" s="26"/>
    </row>
    <row r="1657" spans="1:8" x14ac:dyDescent="0.3">
      <c r="A1657" s="27">
        <v>45909</v>
      </c>
      <c r="B1657" s="26">
        <v>190.56</v>
      </c>
      <c r="C1657" s="29">
        <f t="shared" si="50"/>
        <v>-9.5119288944330999E-3</v>
      </c>
      <c r="D1657" s="26"/>
      <c r="F1657" s="26">
        <v>156563.53</v>
      </c>
      <c r="G1657" s="29">
        <f t="shared" si="51"/>
        <v>3.0509847341209299E-3</v>
      </c>
      <c r="H1657" s="26"/>
    </row>
    <row r="1658" spans="1:8" x14ac:dyDescent="0.3">
      <c r="A1658" s="27">
        <v>45939</v>
      </c>
      <c r="B1658" s="26">
        <v>193.49</v>
      </c>
      <c r="C1658" s="29">
        <f t="shared" si="50"/>
        <v>1.5375734676742268E-2</v>
      </c>
      <c r="D1658" s="26"/>
      <c r="F1658" s="26">
        <v>157020.79999999999</v>
      </c>
      <c r="G1658" s="29">
        <f t="shared" si="51"/>
        <v>2.9206674121360801E-3</v>
      </c>
      <c r="H1658" s="26"/>
    </row>
    <row r="1659" spans="1:8" x14ac:dyDescent="0.3">
      <c r="A1659" s="27">
        <v>45970</v>
      </c>
      <c r="B1659" s="26">
        <v>191.03</v>
      </c>
      <c r="C1659" s="29">
        <f t="shared" si="50"/>
        <v>-1.2713835340327707E-2</v>
      </c>
      <c r="D1659" s="26"/>
      <c r="F1659" s="26">
        <v>156141.25</v>
      </c>
      <c r="G1659" s="29">
        <f t="shared" si="51"/>
        <v>-5.6014871915057649E-3</v>
      </c>
      <c r="H1659" s="26"/>
    </row>
    <row r="1660" spans="1:8" x14ac:dyDescent="0.3">
      <c r="A1660" s="27">
        <v>46000</v>
      </c>
      <c r="B1660" s="26">
        <v>190.14</v>
      </c>
      <c r="C1660" s="29">
        <f t="shared" si="50"/>
        <v>-4.658954090980552E-3</v>
      </c>
      <c r="D1660" s="26"/>
      <c r="F1660" s="26">
        <v>154439.69</v>
      </c>
      <c r="G1660" s="29">
        <f t="shared" si="51"/>
        <v>-1.0897568707820628E-2</v>
      </c>
      <c r="H1660" s="26"/>
    </row>
    <row r="1661" spans="1:8" x14ac:dyDescent="0.3">
      <c r="A1661" s="26" t="s">
        <v>52</v>
      </c>
      <c r="B1661" s="26">
        <v>189.18</v>
      </c>
      <c r="C1661" s="29">
        <f t="shared" si="50"/>
        <v>-5.048911328494686E-3</v>
      </c>
      <c r="D1661" s="26"/>
      <c r="F1661" s="26">
        <v>155384.51999999999</v>
      </c>
      <c r="G1661" s="29">
        <f t="shared" si="51"/>
        <v>6.1177926477318572E-3</v>
      </c>
      <c r="H1661" s="26"/>
    </row>
    <row r="1662" spans="1:8" x14ac:dyDescent="0.3">
      <c r="A1662" s="26" t="s">
        <v>51</v>
      </c>
      <c r="B1662" s="26">
        <v>188.69</v>
      </c>
      <c r="C1662" s="29">
        <f t="shared" si="50"/>
        <v>-2.5901258061106305E-3</v>
      </c>
      <c r="D1662" s="26"/>
      <c r="F1662" s="26">
        <v>156180.94</v>
      </c>
      <c r="G1662" s="29">
        <f t="shared" si="51"/>
        <v>5.1254783938581069E-3</v>
      </c>
      <c r="H1662" s="26"/>
    </row>
    <row r="1663" spans="1:8" x14ac:dyDescent="0.3">
      <c r="A1663" s="26" t="s">
        <v>50</v>
      </c>
      <c r="B1663" s="26">
        <v>188.66</v>
      </c>
      <c r="C1663" s="29">
        <f t="shared" si="50"/>
        <v>-1.5899093751656757E-4</v>
      </c>
      <c r="D1663" s="26"/>
      <c r="F1663" s="26">
        <v>156177.81</v>
      </c>
      <c r="G1663" s="29">
        <f t="shared" si="51"/>
        <v>-2.0040857738496492E-5</v>
      </c>
      <c r="H1663" s="26"/>
    </row>
    <row r="1664" spans="1:8" x14ac:dyDescent="0.3">
      <c r="A1664" s="26" t="s">
        <v>49</v>
      </c>
      <c r="B1664" s="26">
        <v>190.82</v>
      </c>
      <c r="C1664" s="29">
        <f t="shared" si="50"/>
        <v>1.1449167815117125E-2</v>
      </c>
      <c r="D1664" s="26"/>
      <c r="F1664" s="26">
        <v>157953.47</v>
      </c>
      <c r="G1664" s="29">
        <f t="shared" si="51"/>
        <v>1.1369476880230319E-2</v>
      </c>
      <c r="H1664" s="26"/>
    </row>
    <row r="1665" spans="1:8" x14ac:dyDescent="0.3">
      <c r="A1665" s="26" t="s">
        <v>48</v>
      </c>
      <c r="B1665" s="26">
        <v>189.78</v>
      </c>
      <c r="C1665" s="29">
        <f t="shared" si="50"/>
        <v>-5.4501624567654967E-3</v>
      </c>
      <c r="D1665" s="26"/>
      <c r="F1665" s="26">
        <v>158037.38</v>
      </c>
      <c r="G1665" s="29">
        <f t="shared" si="51"/>
        <v>5.3123239394489718E-4</v>
      </c>
      <c r="H1665" s="26"/>
    </row>
    <row r="1666" spans="1:8" x14ac:dyDescent="0.3">
      <c r="A1666" s="26" t="s">
        <v>47</v>
      </c>
      <c r="B1666" s="26">
        <v>187.36</v>
      </c>
      <c r="C1666" s="29">
        <f t="shared" si="50"/>
        <v>-1.2751607124038293E-2</v>
      </c>
      <c r="D1666" s="26"/>
      <c r="F1666" s="26">
        <v>157554.66</v>
      </c>
      <c r="G1666" s="29">
        <f t="shared" si="51"/>
        <v>-3.0544672405984023E-3</v>
      </c>
      <c r="H1666" s="26"/>
    </row>
    <row r="1667" spans="1:8" x14ac:dyDescent="0.3">
      <c r="A1667" s="26" t="s">
        <v>46</v>
      </c>
      <c r="B1667" s="26">
        <v>190.46</v>
      </c>
      <c r="C1667" s="29">
        <f t="shared" si="50"/>
        <v>1.6545687446626784E-2</v>
      </c>
      <c r="D1667" s="26"/>
      <c r="F1667" s="26">
        <v>157945.03</v>
      </c>
      <c r="G1667" s="29">
        <f t="shared" si="51"/>
        <v>2.4776798096609477E-3</v>
      </c>
      <c r="H1667" s="26"/>
    </row>
    <row r="1668" spans="1:8" x14ac:dyDescent="0.3">
      <c r="A1668" s="26" t="s">
        <v>45</v>
      </c>
      <c r="B1668" s="26">
        <v>190.78</v>
      </c>
      <c r="C1668" s="29">
        <f t="shared" si="50"/>
        <v>1.6801428121389959E-3</v>
      </c>
      <c r="D1668" s="26"/>
      <c r="F1668" s="26">
        <v>158236.69</v>
      </c>
      <c r="G1668" s="29">
        <f t="shared" si="51"/>
        <v>1.8465918174190318E-3</v>
      </c>
      <c r="H1668" s="26"/>
    </row>
    <row r="1669" spans="1:8" x14ac:dyDescent="0.3">
      <c r="A1669" s="26" t="s">
        <v>44</v>
      </c>
      <c r="B1669" s="26">
        <v>192.46</v>
      </c>
      <c r="C1669" s="29">
        <f t="shared" ref="C1669:C1732" si="52">(B1669-B1668)/B1668</f>
        <v>8.8059545025684395E-3</v>
      </c>
      <c r="D1669" s="26"/>
      <c r="F1669" s="26">
        <v>159280.09</v>
      </c>
      <c r="G1669" s="29">
        <f t="shared" ref="G1669:G1732" si="53">(F1669-F1668)/F1668</f>
        <v>6.5939195265016862E-3</v>
      </c>
      <c r="H1669" s="26"/>
    </row>
    <row r="1670" spans="1:8" x14ac:dyDescent="0.3">
      <c r="A1670" s="26" t="s">
        <v>43</v>
      </c>
      <c r="B1670" s="26">
        <v>193.31</v>
      </c>
      <c r="C1670" s="29">
        <f t="shared" si="52"/>
        <v>4.4165021303127624E-3</v>
      </c>
      <c r="D1670" s="26"/>
      <c r="F1670" s="26">
        <v>162257.01999999999</v>
      </c>
      <c r="G1670" s="29">
        <f t="shared" si="53"/>
        <v>1.8689906566476656E-2</v>
      </c>
      <c r="H1670" s="26"/>
    </row>
    <row r="1671" spans="1:8" x14ac:dyDescent="0.3">
      <c r="A1671" s="26" t="s">
        <v>42</v>
      </c>
      <c r="B1671" s="26">
        <v>196.17</v>
      </c>
      <c r="C1671" s="29">
        <f t="shared" si="52"/>
        <v>1.4794889038332136E-2</v>
      </c>
      <c r="D1671" s="26"/>
      <c r="F1671" s="26">
        <v>163847.69</v>
      </c>
      <c r="G1671" s="29">
        <f t="shared" si="53"/>
        <v>9.8033971041746795E-3</v>
      </c>
      <c r="H1671" s="26"/>
    </row>
    <row r="1672" spans="1:8" x14ac:dyDescent="0.3">
      <c r="A1672" s="26" t="s">
        <v>41</v>
      </c>
      <c r="B1672" s="26">
        <v>203.83</v>
      </c>
      <c r="C1672" s="29">
        <f t="shared" si="52"/>
        <v>3.9047764693888085E-2</v>
      </c>
      <c r="D1672" s="26"/>
      <c r="F1672" s="26">
        <v>165493.59</v>
      </c>
      <c r="G1672" s="29">
        <f t="shared" si="53"/>
        <v>1.0045304880404442E-2</v>
      </c>
      <c r="H1672" s="26"/>
    </row>
    <row r="1673" spans="1:8" x14ac:dyDescent="0.3">
      <c r="A1673" s="27">
        <v>45667</v>
      </c>
      <c r="B1673" s="26">
        <v>201.62</v>
      </c>
      <c r="C1673" s="29">
        <f t="shared" si="52"/>
        <v>-1.0842368640533817E-2</v>
      </c>
      <c r="D1673" s="26"/>
      <c r="F1673" s="26">
        <v>165640.34</v>
      </c>
      <c r="G1673" s="29">
        <f t="shared" si="53"/>
        <v>8.8674129312198743E-4</v>
      </c>
      <c r="H1673" s="26"/>
    </row>
    <row r="1674" spans="1:8" x14ac:dyDescent="0.3">
      <c r="A1674" s="27">
        <v>45698</v>
      </c>
      <c r="B1674" s="26">
        <v>214.26</v>
      </c>
      <c r="C1674" s="29">
        <f t="shared" si="52"/>
        <v>6.2692193234798063E-2</v>
      </c>
      <c r="D1674" s="26"/>
      <c r="F1674" s="26">
        <v>168489.63</v>
      </c>
      <c r="G1674" s="29">
        <f t="shared" si="53"/>
        <v>1.7201667178418062E-2</v>
      </c>
      <c r="H1674" s="26"/>
    </row>
    <row r="1675" spans="1:8" x14ac:dyDescent="0.3">
      <c r="A1675" s="27">
        <v>45726</v>
      </c>
      <c r="B1675" s="26">
        <v>211.92</v>
      </c>
      <c r="C1675" s="29">
        <f t="shared" si="52"/>
        <v>-1.0921310557266889E-2</v>
      </c>
      <c r="D1675" s="26"/>
      <c r="F1675" s="26">
        <v>168990.06</v>
      </c>
      <c r="G1675" s="29">
        <f t="shared" si="53"/>
        <v>2.970093767788516E-3</v>
      </c>
      <c r="H1675" s="26"/>
    </row>
    <row r="1676" spans="1:8" x14ac:dyDescent="0.3">
      <c r="A1676" s="27">
        <v>45818</v>
      </c>
      <c r="B1676" s="26">
        <v>209.76</v>
      </c>
      <c r="C1676" s="29">
        <f t="shared" si="52"/>
        <v>-1.0192525481313688E-2</v>
      </c>
      <c r="D1676" s="26"/>
      <c r="F1676" s="26">
        <v>167752.41</v>
      </c>
      <c r="G1676" s="29">
        <f t="shared" si="53"/>
        <v>-7.3238035420544511E-3</v>
      </c>
      <c r="H1676" s="26"/>
    </row>
    <row r="1677" spans="1:8" x14ac:dyDescent="0.3">
      <c r="A1677" s="27">
        <v>45848</v>
      </c>
      <c r="B1677" s="26">
        <v>208.59</v>
      </c>
      <c r="C1677" s="29">
        <f t="shared" si="52"/>
        <v>-5.5778032036612676E-3</v>
      </c>
      <c r="D1677" s="26"/>
      <c r="F1677" s="26">
        <v>166173.75</v>
      </c>
      <c r="G1677" s="29">
        <f t="shared" si="53"/>
        <v>-9.4106546666006367E-3</v>
      </c>
      <c r="H1677" s="26"/>
    </row>
    <row r="1678" spans="1:8" x14ac:dyDescent="0.3">
      <c r="A1678" s="27">
        <v>45879</v>
      </c>
      <c r="B1678" s="26">
        <v>207.87</v>
      </c>
      <c r="C1678" s="29">
        <f t="shared" si="52"/>
        <v>-3.4517474471451115E-3</v>
      </c>
      <c r="D1678" s="26"/>
      <c r="F1678" s="26">
        <v>165266.75</v>
      </c>
      <c r="G1678" s="29">
        <f t="shared" si="53"/>
        <v>-5.4581424563145504E-3</v>
      </c>
      <c r="H1678" s="26"/>
    </row>
    <row r="1679" spans="1:8" x14ac:dyDescent="0.3">
      <c r="A1679" s="27">
        <v>45910</v>
      </c>
      <c r="B1679" s="26">
        <v>206.87</v>
      </c>
      <c r="C1679" s="29">
        <f t="shared" si="52"/>
        <v>-4.8106989945639099E-3</v>
      </c>
      <c r="D1679" s="26"/>
      <c r="F1679" s="26">
        <v>164530.81</v>
      </c>
      <c r="G1679" s="29">
        <f t="shared" si="53"/>
        <v>-4.4530433375134584E-3</v>
      </c>
      <c r="H1679" s="26"/>
    </row>
    <row r="1680" spans="1:8" x14ac:dyDescent="0.3">
      <c r="A1680" s="27">
        <v>45940</v>
      </c>
      <c r="B1680" s="26">
        <v>205.93</v>
      </c>
      <c r="C1680" s="29">
        <f t="shared" si="52"/>
        <v>-4.5439164692802131E-3</v>
      </c>
      <c r="D1680" s="26"/>
      <c r="F1680" s="26">
        <v>163098.19</v>
      </c>
      <c r="G1680" s="29">
        <f t="shared" si="53"/>
        <v>-8.7073053369152893E-3</v>
      </c>
      <c r="H1680" s="26"/>
    </row>
    <row r="1681" spans="1:8" x14ac:dyDescent="0.3">
      <c r="A1681" s="26" t="s">
        <v>40</v>
      </c>
      <c r="B1681" s="26">
        <v>195.25</v>
      </c>
      <c r="C1681" s="29">
        <f t="shared" si="52"/>
        <v>-5.1862283300150566E-2</v>
      </c>
      <c r="D1681" s="26"/>
      <c r="F1681" s="26">
        <v>158443.42000000001</v>
      </c>
      <c r="G1681" s="29">
        <f t="shared" si="53"/>
        <v>-2.8539679073078552E-2</v>
      </c>
      <c r="H1681" s="26"/>
    </row>
    <row r="1682" spans="1:8" x14ac:dyDescent="0.3">
      <c r="A1682" s="26" t="s">
        <v>39</v>
      </c>
      <c r="B1682" s="26">
        <v>204.58</v>
      </c>
      <c r="C1682" s="29">
        <f t="shared" si="52"/>
        <v>4.778489116517292E-2</v>
      </c>
      <c r="D1682" s="26"/>
      <c r="F1682" s="26">
        <v>165476.01999999999</v>
      </c>
      <c r="G1682" s="29">
        <f t="shared" si="53"/>
        <v>4.4385560473259013E-2</v>
      </c>
      <c r="H1682" s="26"/>
    </row>
    <row r="1683" spans="1:8" x14ac:dyDescent="0.3">
      <c r="A1683" s="26" t="s">
        <v>38</v>
      </c>
      <c r="B1683" s="26">
        <v>206.29</v>
      </c>
      <c r="C1683" s="29">
        <f t="shared" si="52"/>
        <v>8.358588327304621E-3</v>
      </c>
      <c r="D1683" s="26"/>
      <c r="F1683" s="26">
        <v>165686.38</v>
      </c>
      <c r="G1683" s="29">
        <f t="shared" si="53"/>
        <v>1.2712415974230897E-3</v>
      </c>
      <c r="H1683" s="26"/>
    </row>
    <row r="1684" spans="1:8" x14ac:dyDescent="0.3">
      <c r="A1684" s="26" t="s">
        <v>37</v>
      </c>
      <c r="B1684" s="26">
        <v>202.88</v>
      </c>
      <c r="C1684" s="29">
        <f t="shared" si="52"/>
        <v>-1.6530127490426084E-2</v>
      </c>
      <c r="D1684" s="26"/>
      <c r="F1684" s="26">
        <v>164444.72</v>
      </c>
      <c r="G1684" s="29">
        <f t="shared" si="53"/>
        <v>-7.494037832198419E-3</v>
      </c>
      <c r="H1684" s="26"/>
    </row>
    <row r="1685" spans="1:8" x14ac:dyDescent="0.3">
      <c r="A1685" s="26" t="s">
        <v>36</v>
      </c>
      <c r="B1685" s="26">
        <v>203.86</v>
      </c>
      <c r="C1685" s="29">
        <f t="shared" si="52"/>
        <v>4.8304416403786386E-3</v>
      </c>
      <c r="D1685" s="26"/>
      <c r="F1685" s="26">
        <v>163806.22</v>
      </c>
      <c r="G1685" s="29">
        <f t="shared" si="53"/>
        <v>-3.8827637640174765E-3</v>
      </c>
      <c r="H1685" s="26"/>
    </row>
    <row r="1686" spans="1:8" x14ac:dyDescent="0.3">
      <c r="A1686" s="26" t="s">
        <v>35</v>
      </c>
      <c r="B1686" s="26">
        <v>206.46</v>
      </c>
      <c r="C1686" s="29">
        <f t="shared" si="52"/>
        <v>1.2753850681840449E-2</v>
      </c>
      <c r="D1686" s="26"/>
      <c r="F1686" s="26">
        <v>166242.91</v>
      </c>
      <c r="G1686" s="29">
        <f t="shared" si="53"/>
        <v>1.4875442458778441E-2</v>
      </c>
      <c r="H1686" s="26"/>
    </row>
    <row r="1687" spans="1:8" x14ac:dyDescent="0.3">
      <c r="A1687" s="26" t="s">
        <v>34</v>
      </c>
      <c r="B1687" s="26">
        <v>217.13</v>
      </c>
      <c r="C1687" s="29">
        <f t="shared" si="52"/>
        <v>5.1680712971035492E-2</v>
      </c>
      <c r="D1687" s="26"/>
      <c r="F1687" s="26">
        <v>167346.82999999999</v>
      </c>
      <c r="G1687" s="29">
        <f t="shared" si="53"/>
        <v>6.6404034914931635E-3</v>
      </c>
      <c r="H1687" s="26"/>
    </row>
    <row r="1688" spans="1:8" x14ac:dyDescent="0.3">
      <c r="A1688" s="26" t="s">
        <v>33</v>
      </c>
      <c r="B1688" s="26">
        <v>216.44</v>
      </c>
      <c r="C1688" s="29">
        <f t="shared" si="52"/>
        <v>-3.1778197393266604E-3</v>
      </c>
      <c r="D1688" s="26"/>
      <c r="F1688" s="26">
        <v>166553.28</v>
      </c>
      <c r="G1688" s="29">
        <f t="shared" si="53"/>
        <v>-4.7419482042174834E-3</v>
      </c>
      <c r="H1688" s="26"/>
    </row>
    <row r="1689" spans="1:8" x14ac:dyDescent="0.3">
      <c r="A1689" s="26" t="s">
        <v>32</v>
      </c>
      <c r="B1689" s="26">
        <v>194.83</v>
      </c>
      <c r="C1689" s="29">
        <f t="shared" si="52"/>
        <v>-9.9842912585473967E-2</v>
      </c>
      <c r="D1689" s="26"/>
      <c r="F1689" s="26">
        <v>164590.41</v>
      </c>
      <c r="G1689" s="29">
        <f t="shared" si="53"/>
        <v>-1.1785237732934443E-2</v>
      </c>
      <c r="H1689" s="26"/>
    </row>
    <row r="1690" spans="1:8" x14ac:dyDescent="0.3">
      <c r="A1690" s="26" t="s">
        <v>31</v>
      </c>
      <c r="B1690" s="26">
        <v>188.51</v>
      </c>
      <c r="C1690" s="29">
        <f t="shared" si="52"/>
        <v>-3.2438536159729102E-2</v>
      </c>
      <c r="D1690" s="26"/>
      <c r="F1690" s="26">
        <v>163304.13</v>
      </c>
      <c r="G1690" s="29">
        <f t="shared" si="53"/>
        <v>-7.8150361251302473E-3</v>
      </c>
      <c r="H1690" s="26"/>
    </row>
    <row r="1691" spans="1:8" x14ac:dyDescent="0.3">
      <c r="A1691" s="26" t="s">
        <v>30</v>
      </c>
      <c r="B1691" s="26">
        <v>189.23</v>
      </c>
      <c r="C1691" s="29">
        <f t="shared" si="52"/>
        <v>3.8194260251445487E-3</v>
      </c>
      <c r="D1691" s="26"/>
      <c r="F1691" s="26">
        <v>162163.81</v>
      </c>
      <c r="G1691" s="29">
        <f t="shared" si="53"/>
        <v>-6.9827995164605267E-3</v>
      </c>
      <c r="H1691" s="26"/>
    </row>
    <row r="1692" spans="1:8" x14ac:dyDescent="0.3">
      <c r="A1692" s="26" t="s">
        <v>29</v>
      </c>
      <c r="B1692" s="26">
        <v>189.65</v>
      </c>
      <c r="C1692" s="29">
        <f t="shared" si="52"/>
        <v>2.2195212175660094E-3</v>
      </c>
      <c r="D1692" s="26"/>
      <c r="F1692" s="26">
        <v>160101.03</v>
      </c>
      <c r="G1692" s="29">
        <f t="shared" si="53"/>
        <v>-1.2720347406736427E-2</v>
      </c>
      <c r="H1692" s="26"/>
    </row>
    <row r="1693" spans="1:8" x14ac:dyDescent="0.3">
      <c r="A1693" s="26" t="s">
        <v>28</v>
      </c>
      <c r="B1693" s="26">
        <v>186.88</v>
      </c>
      <c r="C1693" s="29">
        <f t="shared" si="52"/>
        <v>-1.4605852886896968E-2</v>
      </c>
      <c r="D1693" s="26"/>
      <c r="F1693" s="26">
        <v>158465.06</v>
      </c>
      <c r="G1693" s="29">
        <f t="shared" si="53"/>
        <v>-1.0218360244153339E-2</v>
      </c>
      <c r="H1693" s="26"/>
    </row>
    <row r="1694" spans="1:8" x14ac:dyDescent="0.3">
      <c r="A1694" s="26" t="s">
        <v>27</v>
      </c>
      <c r="B1694" s="26">
        <v>182.34</v>
      </c>
      <c r="C1694" s="29">
        <f t="shared" si="52"/>
        <v>-2.4293664383561602E-2</v>
      </c>
      <c r="D1694" s="26"/>
      <c r="F1694" s="26">
        <v>156732.88</v>
      </c>
      <c r="G1694" s="29">
        <f t="shared" si="53"/>
        <v>-1.0930990087026081E-2</v>
      </c>
      <c r="H1694" s="26"/>
    </row>
    <row r="1695" spans="1:8" x14ac:dyDescent="0.3">
      <c r="A1695" s="26" t="s">
        <v>26</v>
      </c>
      <c r="B1695" s="26">
        <v>194.75</v>
      </c>
      <c r="C1695" s="29">
        <f t="shared" si="52"/>
        <v>6.8059668750685517E-2</v>
      </c>
      <c r="D1695" s="26"/>
      <c r="F1695" s="26">
        <v>161631.73000000001</v>
      </c>
      <c r="G1695" s="29">
        <f t="shared" si="53"/>
        <v>3.1256045317357824E-2</v>
      </c>
      <c r="H1695" s="26"/>
    </row>
    <row r="1696" spans="1:8" x14ac:dyDescent="0.3">
      <c r="A1696" s="27">
        <v>45727</v>
      </c>
      <c r="B1696" s="26">
        <v>190.08</v>
      </c>
      <c r="C1696" s="29">
        <f t="shared" si="52"/>
        <v>-2.3979460847239988E-2</v>
      </c>
      <c r="D1696" s="26"/>
      <c r="F1696" s="26">
        <v>162803.16</v>
      </c>
      <c r="G1696" s="29">
        <f t="shared" si="53"/>
        <v>7.2475249754487747E-3</v>
      </c>
      <c r="H1696" s="26"/>
    </row>
    <row r="1697" spans="1:8" x14ac:dyDescent="0.3">
      <c r="A1697" s="27">
        <v>45758</v>
      </c>
      <c r="B1697" s="26">
        <v>185.67</v>
      </c>
      <c r="C1697" s="29">
        <f t="shared" si="52"/>
        <v>-2.3200757575757704E-2</v>
      </c>
      <c r="D1697" s="26"/>
      <c r="F1697" s="26">
        <v>161281.76999999999</v>
      </c>
      <c r="G1697" s="29">
        <f t="shared" si="53"/>
        <v>-9.3449660313719585E-3</v>
      </c>
      <c r="H1697" s="26"/>
    </row>
    <row r="1698" spans="1:8" x14ac:dyDescent="0.3">
      <c r="A1698" s="27">
        <v>45788</v>
      </c>
      <c r="B1698" s="26">
        <v>185.25</v>
      </c>
      <c r="C1698" s="29">
        <f t="shared" si="52"/>
        <v>-2.2620778801098053E-3</v>
      </c>
      <c r="D1698" s="26"/>
      <c r="F1698" s="26">
        <v>159578.19</v>
      </c>
      <c r="G1698" s="29">
        <f t="shared" si="53"/>
        <v>-1.0562756100704918E-2</v>
      </c>
      <c r="H1698" s="26"/>
    </row>
    <row r="1699" spans="1:8" x14ac:dyDescent="0.3">
      <c r="A1699" s="27">
        <v>45819</v>
      </c>
      <c r="B1699" s="26">
        <v>184.87</v>
      </c>
      <c r="C1699" s="29">
        <f t="shared" si="52"/>
        <v>-2.0512820512820266E-3</v>
      </c>
      <c r="D1699" s="26"/>
      <c r="F1699" s="26">
        <v>159096.79999999999</v>
      </c>
      <c r="G1699" s="29">
        <f t="shared" si="53"/>
        <v>-3.0166403065482444E-3</v>
      </c>
      <c r="H1699" s="26"/>
    </row>
    <row r="1700" spans="1:8" x14ac:dyDescent="0.3">
      <c r="A1700" s="27">
        <v>45849</v>
      </c>
      <c r="B1700" s="26">
        <v>184.58</v>
      </c>
      <c r="C1700" s="29">
        <f t="shared" si="52"/>
        <v>-1.5686698761291288E-3</v>
      </c>
      <c r="D1700" s="26"/>
      <c r="F1700" s="26">
        <v>159592.91</v>
      </c>
      <c r="G1700" s="29">
        <f t="shared" si="53"/>
        <v>3.1182902484526097E-3</v>
      </c>
      <c r="H1700" s="26"/>
    </row>
    <row r="1701" spans="1:8" x14ac:dyDescent="0.3">
      <c r="A1701" s="27">
        <v>45941</v>
      </c>
      <c r="B1701" s="26">
        <v>184.93</v>
      </c>
      <c r="C1701" s="29">
        <f t="shared" si="52"/>
        <v>1.8961967710477532E-3</v>
      </c>
      <c r="D1701" s="26"/>
      <c r="F1701" s="26">
        <v>161538.41</v>
      </c>
      <c r="G1701" s="29">
        <f t="shared" si="53"/>
        <v>1.2190391164620031E-2</v>
      </c>
      <c r="H1701" s="26"/>
    </row>
    <row r="1702" spans="1:8" x14ac:dyDescent="0.3">
      <c r="A1702" s="27">
        <v>45972</v>
      </c>
      <c r="B1702" s="26">
        <v>185.09</v>
      </c>
      <c r="C1702" s="29">
        <f t="shared" si="52"/>
        <v>8.6519223489967326E-4</v>
      </c>
      <c r="D1702" s="26"/>
      <c r="F1702" s="26">
        <v>157870.5</v>
      </c>
      <c r="G1702" s="29">
        <f t="shared" si="53"/>
        <v>-2.2706116768142038E-2</v>
      </c>
      <c r="H1702" s="26"/>
    </row>
    <row r="1703" spans="1:8" x14ac:dyDescent="0.3">
      <c r="A1703" s="27">
        <v>46002</v>
      </c>
      <c r="B1703" s="26">
        <v>183.56</v>
      </c>
      <c r="C1703" s="29">
        <f t="shared" si="52"/>
        <v>-8.2662488519098885E-3</v>
      </c>
      <c r="D1703" s="26"/>
      <c r="F1703" s="26">
        <v>158183.95000000001</v>
      </c>
      <c r="G1703" s="29">
        <f t="shared" si="53"/>
        <v>1.985488105757641E-3</v>
      </c>
      <c r="H1703" s="26"/>
    </row>
    <row r="1704" spans="1:8" x14ac:dyDescent="0.3">
      <c r="A1704" s="26" t="s">
        <v>25</v>
      </c>
      <c r="B1704" s="26">
        <v>184.48</v>
      </c>
      <c r="C1704" s="29">
        <f t="shared" si="52"/>
        <v>5.0119851819567848E-3</v>
      </c>
      <c r="D1704" s="26"/>
      <c r="F1704" s="26">
        <v>160657.5</v>
      </c>
      <c r="G1704" s="29">
        <f t="shared" si="53"/>
        <v>1.5637174315093209E-2</v>
      </c>
      <c r="H1704" s="26"/>
    </row>
    <row r="1705" spans="1:8" x14ac:dyDescent="0.3">
      <c r="A1705" s="26" t="s">
        <v>24</v>
      </c>
      <c r="B1705" s="26">
        <v>184.87</v>
      </c>
      <c r="C1705" s="29">
        <f t="shared" si="52"/>
        <v>2.1140503035560212E-3</v>
      </c>
      <c r="D1705" s="26"/>
      <c r="F1705" s="26">
        <v>161935.19</v>
      </c>
      <c r="G1705" s="29">
        <f t="shared" si="53"/>
        <v>7.952881129110077E-3</v>
      </c>
      <c r="H1705" s="26"/>
    </row>
    <row r="1706" spans="1:8" x14ac:dyDescent="0.3">
      <c r="A1706" s="26" t="s">
        <v>23</v>
      </c>
      <c r="B1706" s="26">
        <v>183.72</v>
      </c>
      <c r="C1706" s="29">
        <f t="shared" si="52"/>
        <v>-6.2205874398226085E-3</v>
      </c>
      <c r="D1706" s="26"/>
      <c r="F1706" s="26">
        <v>161687.19</v>
      </c>
      <c r="G1706" s="29">
        <f t="shared" si="53"/>
        <v>-1.5314768828196021E-3</v>
      </c>
      <c r="H1706" s="26"/>
    </row>
    <row r="1707" spans="1:8" x14ac:dyDescent="0.3">
      <c r="A1707" s="26" t="s">
        <v>22</v>
      </c>
      <c r="B1707" s="26">
        <v>181.13</v>
      </c>
      <c r="C1707" s="29">
        <f t="shared" si="52"/>
        <v>-1.409753973437842E-2</v>
      </c>
      <c r="D1707" s="26"/>
      <c r="F1707" s="26">
        <v>160935.13</v>
      </c>
      <c r="G1707" s="29">
        <f t="shared" si="53"/>
        <v>-4.6513270469973386E-3</v>
      </c>
      <c r="H1707" s="26"/>
    </row>
    <row r="1708" spans="1:8" x14ac:dyDescent="0.3">
      <c r="A1708" s="26" t="s">
        <v>21</v>
      </c>
      <c r="B1708" s="26">
        <v>181.79</v>
      </c>
      <c r="C1708" s="29">
        <f t="shared" si="52"/>
        <v>3.6437917517804703E-3</v>
      </c>
      <c r="D1708" s="26"/>
      <c r="F1708" s="26">
        <v>162226.28</v>
      </c>
      <c r="G1708" s="29">
        <f t="shared" si="53"/>
        <v>8.0227977570838278E-3</v>
      </c>
      <c r="H1708" s="26"/>
    </row>
    <row r="1709" spans="1:8" x14ac:dyDescent="0.3">
      <c r="A1709" s="26" t="s">
        <v>20</v>
      </c>
      <c r="B1709" s="26">
        <v>181.76</v>
      </c>
      <c r="C1709" s="29">
        <f t="shared" si="52"/>
        <v>-1.6502557896474579E-4</v>
      </c>
      <c r="D1709" s="26"/>
      <c r="F1709" s="26">
        <v>162936.94</v>
      </c>
      <c r="G1709" s="29">
        <f t="shared" si="53"/>
        <v>4.3806712451275069E-3</v>
      </c>
      <c r="H1709" s="26"/>
    </row>
    <row r="1710" spans="1:8" x14ac:dyDescent="0.3">
      <c r="A1710" s="26" t="s">
        <v>19</v>
      </c>
      <c r="B1710" s="26">
        <v>181.09</v>
      </c>
      <c r="C1710" s="29">
        <f t="shared" si="52"/>
        <v>-3.6861795774647201E-3</v>
      </c>
      <c r="D1710" s="26"/>
      <c r="F1710" s="26">
        <v>162102.92000000001</v>
      </c>
      <c r="G1710" s="29">
        <f t="shared" si="53"/>
        <v>-5.118667381380732E-3</v>
      </c>
      <c r="H1710" s="26"/>
    </row>
    <row r="1711" spans="1:8" x14ac:dyDescent="0.3">
      <c r="A1711" s="26" t="s">
        <v>18</v>
      </c>
      <c r="B1711" s="26">
        <v>182.82</v>
      </c>
      <c r="C1711" s="29">
        <f t="shared" si="52"/>
        <v>9.5532608095421599E-3</v>
      </c>
      <c r="D1711" s="26"/>
      <c r="F1711" s="26">
        <v>161984.09</v>
      </c>
      <c r="G1711" s="29">
        <f t="shared" si="53"/>
        <v>-7.3305280373738046E-4</v>
      </c>
      <c r="H1711" s="26"/>
    </row>
    <row r="1712" spans="1:8" x14ac:dyDescent="0.3">
      <c r="A1712" s="26" t="s">
        <v>17</v>
      </c>
      <c r="B1712" s="26">
        <v>181.3</v>
      </c>
      <c r="C1712" s="29">
        <f t="shared" si="52"/>
        <v>-8.3141888196038832E-3</v>
      </c>
      <c r="D1712" s="26"/>
      <c r="F1712" s="26">
        <v>161692.48000000001</v>
      </c>
      <c r="G1712" s="29">
        <f t="shared" si="53"/>
        <v>-1.8002385295987158E-3</v>
      </c>
      <c r="H1712" s="26"/>
    </row>
    <row r="1713" spans="1:8" x14ac:dyDescent="0.3">
      <c r="A1713" s="26" t="s">
        <v>16</v>
      </c>
      <c r="B1713" s="26">
        <v>182.03</v>
      </c>
      <c r="C1713" s="29">
        <f t="shared" si="52"/>
        <v>4.0264754550468273E-3</v>
      </c>
      <c r="D1713" s="26"/>
      <c r="F1713" s="26">
        <v>163188.53</v>
      </c>
      <c r="G1713" s="29">
        <f t="shared" si="53"/>
        <v>9.2524401876944943E-3</v>
      </c>
      <c r="H1713" s="26"/>
    </row>
    <row r="1714" spans="1:8" x14ac:dyDescent="0.3">
      <c r="A1714" s="26" t="s">
        <v>15</v>
      </c>
      <c r="B1714" s="26">
        <v>183.4</v>
      </c>
      <c r="C1714" s="29">
        <f t="shared" si="52"/>
        <v>7.5262319397901697E-3</v>
      </c>
      <c r="D1714" s="26"/>
      <c r="F1714" s="26">
        <v>165373.31</v>
      </c>
      <c r="G1714" s="29">
        <f t="shared" si="53"/>
        <v>1.3388073291670676E-2</v>
      </c>
      <c r="H1714" s="26"/>
    </row>
    <row r="1715" spans="1:8" x14ac:dyDescent="0.3">
      <c r="A1715" s="26" t="s">
        <v>14</v>
      </c>
      <c r="B1715" s="26">
        <v>183.82</v>
      </c>
      <c r="C1715" s="29">
        <f t="shared" si="52"/>
        <v>2.2900763358777942E-3</v>
      </c>
      <c r="D1715" s="26"/>
      <c r="F1715" s="26">
        <v>166677.70000000001</v>
      </c>
      <c r="G1715" s="29">
        <f t="shared" si="53"/>
        <v>7.8875484804652816E-3</v>
      </c>
      <c r="H1715" s="26"/>
    </row>
    <row r="1716" spans="1:8" x14ac:dyDescent="0.3">
      <c r="A1716" s="27">
        <v>45669</v>
      </c>
      <c r="B1716" s="26">
        <v>184.18</v>
      </c>
      <c r="C1716" s="29">
        <f t="shared" si="52"/>
        <v>1.9584376020020328E-3</v>
      </c>
      <c r="D1716" s="26"/>
      <c r="F1716" s="26">
        <v>168062.19</v>
      </c>
      <c r="G1716" s="29">
        <f t="shared" si="53"/>
        <v>8.3063901169741997E-3</v>
      </c>
      <c r="H1716" s="26"/>
    </row>
    <row r="1717" spans="1:8" x14ac:dyDescent="0.3">
      <c r="A1717" s="27">
        <v>45700</v>
      </c>
      <c r="B1717" s="26">
        <v>184.4</v>
      </c>
      <c r="C1717" s="29">
        <f t="shared" si="52"/>
        <v>1.1944836572917736E-3</v>
      </c>
      <c r="D1717" s="26"/>
      <c r="F1717" s="26">
        <v>167642.28</v>
      </c>
      <c r="G1717" s="29">
        <f t="shared" si="53"/>
        <v>-2.4985393799759688E-3</v>
      </c>
      <c r="H1717" s="26"/>
    </row>
    <row r="1718" spans="1:8" x14ac:dyDescent="0.3">
      <c r="A1718" s="27">
        <v>45728</v>
      </c>
      <c r="B1718" s="26">
        <v>183.17</v>
      </c>
      <c r="C1718" s="29">
        <f t="shared" si="52"/>
        <v>-6.6702819956617034E-3</v>
      </c>
      <c r="D1718" s="26"/>
      <c r="F1718" s="26">
        <v>166145.34</v>
      </c>
      <c r="G1718" s="29">
        <f t="shared" si="53"/>
        <v>-8.9293703235246054E-3</v>
      </c>
      <c r="H1718" s="26"/>
    </row>
    <row r="1719" spans="1:8" x14ac:dyDescent="0.3">
      <c r="A1719" s="27">
        <v>45759</v>
      </c>
      <c r="B1719" s="26">
        <v>183.08</v>
      </c>
      <c r="C1719" s="29">
        <f t="shared" si="52"/>
        <v>-4.9134683627217882E-4</v>
      </c>
      <c r="D1719" s="26"/>
      <c r="F1719" s="26">
        <v>166283.54999999999</v>
      </c>
      <c r="G1719" s="29">
        <f t="shared" si="53"/>
        <v>8.3186203115893508E-4</v>
      </c>
      <c r="H1719" s="26"/>
    </row>
    <row r="1720" spans="1:8" x14ac:dyDescent="0.3">
      <c r="A1720" s="27">
        <v>45789</v>
      </c>
      <c r="B1720" s="26">
        <v>183.22</v>
      </c>
      <c r="C1720" s="29">
        <f t="shared" si="52"/>
        <v>7.6469303036916291E-4</v>
      </c>
      <c r="D1720" s="26"/>
      <c r="F1720" s="26">
        <v>167085.57999999999</v>
      </c>
      <c r="G1720" s="29">
        <f t="shared" si="53"/>
        <v>4.8232672444147298E-3</v>
      </c>
      <c r="H1720" s="26"/>
    </row>
    <row r="1721" spans="1:8" x14ac:dyDescent="0.3">
      <c r="A1721" s="27">
        <v>45881</v>
      </c>
      <c r="B1721" s="26">
        <v>183.06</v>
      </c>
      <c r="C1721" s="29">
        <f t="shared" si="52"/>
        <v>-8.7326711057742932E-4</v>
      </c>
      <c r="D1721" s="26"/>
      <c r="F1721" s="26">
        <v>168303.25</v>
      </c>
      <c r="G1721" s="29">
        <f t="shared" si="53"/>
        <v>7.2877025055065369E-3</v>
      </c>
      <c r="H1721" s="26"/>
    </row>
    <row r="1722" spans="1:8" x14ac:dyDescent="0.3">
      <c r="A1722" s="27">
        <v>45912</v>
      </c>
      <c r="B1722" s="26">
        <v>184.21</v>
      </c>
      <c r="C1722" s="29">
        <f t="shared" si="52"/>
        <v>6.2820933027423016E-3</v>
      </c>
      <c r="D1722" s="26"/>
      <c r="F1722" s="26">
        <v>169456.39</v>
      </c>
      <c r="G1722" s="29">
        <f t="shared" si="53"/>
        <v>6.8515610958196829E-3</v>
      </c>
      <c r="H1722" s="26"/>
    </row>
    <row r="1723" spans="1:8" x14ac:dyDescent="0.3">
      <c r="A1723" s="27">
        <v>45942</v>
      </c>
      <c r="B1723" s="26">
        <v>185</v>
      </c>
      <c r="C1723" s="29">
        <f t="shared" si="52"/>
        <v>4.2885836816676185E-3</v>
      </c>
      <c r="D1723" s="26"/>
      <c r="F1723" s="26">
        <v>169451.86</v>
      </c>
      <c r="G1723" s="29">
        <f t="shared" si="53"/>
        <v>-2.6732541629312057E-5</v>
      </c>
      <c r="H1723" s="26"/>
    </row>
    <row r="1724" spans="1:8" x14ac:dyDescent="0.3">
      <c r="A1724" s="27">
        <v>45973</v>
      </c>
      <c r="B1724" s="26">
        <v>183.5</v>
      </c>
      <c r="C1724" s="29">
        <f t="shared" si="52"/>
        <v>-8.1081081081081086E-3</v>
      </c>
      <c r="D1724" s="26"/>
      <c r="F1724" s="26">
        <v>168574.69</v>
      </c>
      <c r="G1724" s="29">
        <f t="shared" si="53"/>
        <v>-5.1765144389679984E-3</v>
      </c>
      <c r="H1724" s="26"/>
    </row>
    <row r="1725" spans="1:8" x14ac:dyDescent="0.3">
      <c r="A1725" s="27">
        <v>46003</v>
      </c>
      <c r="B1725" s="26">
        <v>184.59</v>
      </c>
      <c r="C1725" s="29">
        <f t="shared" si="52"/>
        <v>5.9400544959128249E-3</v>
      </c>
      <c r="D1725" s="26"/>
      <c r="F1725" s="26">
        <v>169864.53</v>
      </c>
      <c r="G1725" s="29">
        <f t="shared" si="53"/>
        <v>7.6514451843274723E-3</v>
      </c>
      <c r="H1725" s="26"/>
    </row>
    <row r="1726" spans="1:8" x14ac:dyDescent="0.3">
      <c r="A1726" s="26" t="s">
        <v>13</v>
      </c>
      <c r="B1726" s="26">
        <v>183.94</v>
      </c>
      <c r="C1726" s="29">
        <f t="shared" si="52"/>
        <v>-3.5213175144916068E-3</v>
      </c>
      <c r="D1726" s="26"/>
      <c r="F1726" s="26">
        <v>170741.34</v>
      </c>
      <c r="G1726" s="29">
        <f t="shared" si="53"/>
        <v>5.1618192450183552E-3</v>
      </c>
      <c r="H1726" s="26"/>
    </row>
    <row r="1727" spans="1:8" x14ac:dyDescent="0.3">
      <c r="A1727" s="26" t="s">
        <v>12</v>
      </c>
      <c r="B1727" s="26">
        <v>182.5</v>
      </c>
      <c r="C1727" s="29">
        <f t="shared" si="52"/>
        <v>-7.8286397738392827E-3</v>
      </c>
      <c r="D1727" s="26"/>
      <c r="F1727" s="26">
        <v>170447.3</v>
      </c>
      <c r="G1727" s="29">
        <f t="shared" si="53"/>
        <v>-1.7221371227378686E-3</v>
      </c>
      <c r="H1727" s="26"/>
    </row>
    <row r="1728" spans="1:8" x14ac:dyDescent="0.3">
      <c r="A1728" s="26" t="s">
        <v>11</v>
      </c>
      <c r="B1728" s="26">
        <v>183.78</v>
      </c>
      <c r="C1728" s="29">
        <f t="shared" si="52"/>
        <v>7.0136986301369926E-3</v>
      </c>
      <c r="D1728" s="26"/>
      <c r="F1728" s="26">
        <v>170313.86</v>
      </c>
      <c r="G1728" s="29">
        <f t="shared" si="53"/>
        <v>-7.8288127767352331E-4</v>
      </c>
      <c r="H1728" s="26"/>
    </row>
    <row r="1729" spans="1:8" x14ac:dyDescent="0.3">
      <c r="A1729" s="26" t="s">
        <v>10</v>
      </c>
      <c r="B1729" s="26">
        <v>188.01</v>
      </c>
      <c r="C1729" s="29">
        <f t="shared" si="52"/>
        <v>2.301665034280112E-2</v>
      </c>
      <c r="D1729" s="26"/>
      <c r="F1729" s="26">
        <v>171960.66</v>
      </c>
      <c r="G1729" s="29">
        <f t="shared" si="53"/>
        <v>9.6692071919456096E-3</v>
      </c>
      <c r="H1729" s="26"/>
    </row>
    <row r="1730" spans="1:8" x14ac:dyDescent="0.3">
      <c r="A1730" s="26" t="s">
        <v>9</v>
      </c>
      <c r="B1730" s="26">
        <v>186.27</v>
      </c>
      <c r="C1730" s="29">
        <f t="shared" si="52"/>
        <v>-9.2548268709110194E-3</v>
      </c>
      <c r="D1730" s="26"/>
      <c r="F1730" s="26">
        <v>171404.48</v>
      </c>
      <c r="G1730" s="29">
        <f t="shared" si="53"/>
        <v>-3.2343444134256814E-3</v>
      </c>
      <c r="H1730" s="26"/>
    </row>
    <row r="1731" spans="1:8" x14ac:dyDescent="0.3">
      <c r="A1731" s="26" t="s">
        <v>8</v>
      </c>
      <c r="B1731" s="26">
        <v>185.11</v>
      </c>
      <c r="C1731" s="29">
        <f t="shared" si="52"/>
        <v>-6.227519192569907E-3</v>
      </c>
      <c r="D1731" s="26"/>
      <c r="F1731" s="26">
        <v>171204.19</v>
      </c>
      <c r="G1731" s="29">
        <f t="shared" si="53"/>
        <v>-1.1685225497023656E-3</v>
      </c>
      <c r="H1731" s="26"/>
    </row>
    <row r="1732" spans="1:8" x14ac:dyDescent="0.3">
      <c r="A1732" s="26" t="s">
        <v>7</v>
      </c>
      <c r="B1732" s="26">
        <v>184.38</v>
      </c>
      <c r="C1732" s="29">
        <f t="shared" si="52"/>
        <v>-3.943601102047529E-3</v>
      </c>
      <c r="D1732" s="26"/>
      <c r="F1732" s="26">
        <v>171073.73</v>
      </c>
      <c r="G1732" s="29">
        <f t="shared" si="53"/>
        <v>-7.6201406052031704E-4</v>
      </c>
      <c r="H1732" s="26"/>
    </row>
    <row r="1733" spans="1:8" x14ac:dyDescent="0.3">
      <c r="A1733" s="26" t="s">
        <v>6</v>
      </c>
      <c r="B1733" s="26">
        <v>184</v>
      </c>
      <c r="C1733" s="29">
        <f t="shared" ref="C1733:C1737" si="54">(B1733-B1732)/B1732</f>
        <v>-2.0609610586831296E-3</v>
      </c>
      <c r="D1733" s="26"/>
      <c r="F1733" s="26">
        <v>170830.22</v>
      </c>
      <c r="G1733" s="29">
        <f t="shared" ref="G1733:G1737" si="55">(F1733-F1732)/F1732</f>
        <v>-1.4234213517178196E-3</v>
      </c>
      <c r="H1733" s="26"/>
    </row>
    <row r="1734" spans="1:8" x14ac:dyDescent="0.3">
      <c r="A1734" s="26" t="s">
        <v>5</v>
      </c>
      <c r="B1734" s="26">
        <v>185.69</v>
      </c>
      <c r="C1734" s="29">
        <f t="shared" si="54"/>
        <v>9.1847826086956397E-3</v>
      </c>
      <c r="D1734" s="26"/>
      <c r="F1734" s="26">
        <v>172400.73</v>
      </c>
      <c r="G1734" s="29">
        <f t="shared" si="55"/>
        <v>9.1933968123439121E-3</v>
      </c>
      <c r="H1734" s="26"/>
    </row>
    <row r="1735" spans="1:8" x14ac:dyDescent="0.3">
      <c r="A1735" s="26" t="s">
        <v>4</v>
      </c>
      <c r="B1735" s="26">
        <v>184.03</v>
      </c>
      <c r="C1735" s="29">
        <f t="shared" si="54"/>
        <v>-8.9396305670741381E-3</v>
      </c>
      <c r="D1735" s="26"/>
      <c r="F1735" s="26">
        <v>173896.34</v>
      </c>
      <c r="G1735" s="29">
        <f t="shared" si="55"/>
        <v>8.6751952848458692E-3</v>
      </c>
      <c r="H1735" s="26"/>
    </row>
    <row r="1736" spans="1:8" x14ac:dyDescent="0.3">
      <c r="A1736" s="26" t="s">
        <v>3</v>
      </c>
      <c r="B1736" s="26">
        <v>184.39</v>
      </c>
      <c r="C1736" s="29">
        <f t="shared" si="54"/>
        <v>1.9562027930227965E-3</v>
      </c>
      <c r="D1736" s="26"/>
      <c r="F1736" s="26">
        <v>174472.8</v>
      </c>
      <c r="G1736" s="29">
        <f t="shared" si="55"/>
        <v>3.3149633856583288E-3</v>
      </c>
      <c r="H1736" s="26"/>
    </row>
    <row r="1737" spans="1:8" x14ac:dyDescent="0.3">
      <c r="A1737" s="26" t="s">
        <v>2</v>
      </c>
      <c r="B1737" s="26">
        <v>186.64</v>
      </c>
      <c r="C1737" s="29">
        <f t="shared" si="54"/>
        <v>1.2202397093117849E-2</v>
      </c>
      <c r="D1737" s="26"/>
      <c r="F1737" s="26">
        <v>174054.31</v>
      </c>
      <c r="G1737" s="29">
        <f t="shared" si="55"/>
        <v>-2.3985973744904119E-3</v>
      </c>
      <c r="H1737" s="26"/>
    </row>
  </sheetData>
  <sortState xmlns:xlrd2="http://schemas.microsoft.com/office/spreadsheetml/2017/richdata2" ref="A3:G1737">
    <sortCondition ref="A3:A1737"/>
  </sortState>
  <mergeCells count="5">
    <mergeCell ref="C3:D3"/>
    <mergeCell ref="C2:D2"/>
    <mergeCell ref="G2:H2"/>
    <mergeCell ref="F1:H1"/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2844-6E03-4FCC-824C-6CF9A911735D}">
  <dimension ref="A1:R1733"/>
  <sheetViews>
    <sheetView workbookViewId="0">
      <selection activeCell="C4" sqref="C4"/>
    </sheetView>
  </sheetViews>
  <sheetFormatPr defaultRowHeight="14.4" x14ac:dyDescent="0.3"/>
  <cols>
    <col min="1" max="1" width="11.44140625" style="13" bestFit="1" customWidth="1"/>
    <col min="2" max="3" width="16.77734375" style="13" customWidth="1"/>
    <col min="4" max="4" width="10.109375" customWidth="1"/>
    <col min="5" max="5" width="11.44140625" bestFit="1" customWidth="1"/>
    <col min="6" max="6" width="23.44140625" customWidth="1"/>
    <col min="9" max="9" width="10.77734375" bestFit="1" customWidth="1"/>
    <col min="10" max="10" width="10.6640625" bestFit="1" customWidth="1"/>
    <col min="11" max="11" width="13.5546875" bestFit="1" customWidth="1"/>
  </cols>
  <sheetData>
    <row r="1" spans="1:18" x14ac:dyDescent="0.3">
      <c r="A1" s="68" t="s">
        <v>1074</v>
      </c>
      <c r="B1" s="68"/>
      <c r="C1" s="68"/>
      <c r="D1" s="1"/>
      <c r="E1" s="69" t="s">
        <v>1072</v>
      </c>
      <c r="F1" s="70"/>
      <c r="G1" s="71"/>
      <c r="I1" s="4"/>
      <c r="J1" s="3" t="s">
        <v>1074</v>
      </c>
      <c r="K1" s="3" t="s">
        <v>1072</v>
      </c>
      <c r="L1" s="1"/>
      <c r="M1" s="1"/>
    </row>
    <row r="2" spans="1:18" x14ac:dyDescent="0.3">
      <c r="A2" s="3" t="s">
        <v>0</v>
      </c>
      <c r="B2" s="3" t="s">
        <v>1</v>
      </c>
      <c r="C2" s="3" t="s">
        <v>1073</v>
      </c>
      <c r="E2" s="5" t="s">
        <v>0</v>
      </c>
      <c r="F2" s="5" t="s">
        <v>1</v>
      </c>
      <c r="G2" s="5" t="s">
        <v>1073</v>
      </c>
      <c r="I2" s="3" t="s">
        <v>1068</v>
      </c>
      <c r="J2" s="47">
        <f>AVERAGE(C4:C1733)</f>
        <v>4.3104896420664954E-4</v>
      </c>
      <c r="K2" s="6">
        <f>AVERAGE(G4:G1733)</f>
        <v>9.4930549327680005E-4</v>
      </c>
    </row>
    <row r="3" spans="1:18" x14ac:dyDescent="0.3">
      <c r="A3" s="7">
        <v>43466</v>
      </c>
      <c r="B3" s="8">
        <v>8.8699999999999992</v>
      </c>
      <c r="C3" s="8"/>
      <c r="E3" s="7">
        <v>43466</v>
      </c>
      <c r="F3" s="9">
        <v>37995.760000000002</v>
      </c>
      <c r="G3" s="9"/>
      <c r="I3" s="3" t="s">
        <v>1059</v>
      </c>
      <c r="J3" s="6">
        <f>_xlfn.STDEV.S(C4:C1733)</f>
        <v>3.321681277363174E-2</v>
      </c>
      <c r="K3" s="6">
        <f>_xlfn.STDEV.S(G4:G1733)</f>
        <v>1.1767456373597438E-2</v>
      </c>
    </row>
    <row r="4" spans="1:18" x14ac:dyDescent="0.3">
      <c r="A4" s="7">
        <v>43467</v>
      </c>
      <c r="B4" s="8">
        <v>8.93</v>
      </c>
      <c r="C4" s="10">
        <f>(B4-B3)/B3</f>
        <v>6.7643742953777345E-3</v>
      </c>
      <c r="E4" s="7">
        <v>43467</v>
      </c>
      <c r="F4" s="9">
        <v>37795.25</v>
      </c>
      <c r="G4" s="10">
        <f>(F4-F3)/F3</f>
        <v>-5.277167768193136E-3</v>
      </c>
      <c r="I4" s="3" t="s">
        <v>1060</v>
      </c>
      <c r="J4" s="11">
        <f>(_xlfn.STDEV.S(C4:C1733)/AVERAGE(C4:C1733))</f>
        <v>77.060416639134388</v>
      </c>
      <c r="K4" s="12">
        <f>(_xlfn.STDEV.S(G4:G1733)/AVERAGE(G4:G1733))</f>
        <v>12.395858295287736</v>
      </c>
      <c r="L4" s="13"/>
      <c r="M4" s="13"/>
    </row>
    <row r="5" spans="1:18" x14ac:dyDescent="0.3">
      <c r="A5" s="7">
        <v>43468</v>
      </c>
      <c r="B5" s="8">
        <v>8.9700000000000006</v>
      </c>
      <c r="C5" s="10">
        <f t="shared" ref="C5:C68" si="0">(B5-B4)/B4</f>
        <v>4.4792833146697561E-3</v>
      </c>
      <c r="E5" s="7">
        <v>43468</v>
      </c>
      <c r="F5" s="9">
        <v>37542.01</v>
      </c>
      <c r="G5" s="10">
        <f t="shared" ref="G5:G68" si="1">(F5-F4)/F4</f>
        <v>-6.700312870003452E-3</v>
      </c>
      <c r="L5" s="13"/>
      <c r="M5" s="13"/>
    </row>
    <row r="6" spans="1:18" x14ac:dyDescent="0.3">
      <c r="A6" s="7">
        <v>43469</v>
      </c>
      <c r="B6" s="8">
        <v>8.8800000000000008</v>
      </c>
      <c r="C6" s="10">
        <f t="shared" si="0"/>
        <v>-1.0033444816053495E-2</v>
      </c>
      <c r="E6" s="7">
        <v>43469</v>
      </c>
      <c r="F6" s="9">
        <v>37547.49</v>
      </c>
      <c r="G6" s="10">
        <f t="shared" si="1"/>
        <v>1.4596980822273301E-4</v>
      </c>
      <c r="I6" s="3" t="s">
        <v>1063</v>
      </c>
      <c r="L6" s="13"/>
      <c r="M6" s="13"/>
    </row>
    <row r="7" spans="1:18" x14ac:dyDescent="0.3">
      <c r="A7" s="7">
        <v>43472</v>
      </c>
      <c r="B7" s="8">
        <v>9.09</v>
      </c>
      <c r="C7" s="10">
        <f t="shared" si="0"/>
        <v>2.3648648648648542E-2</v>
      </c>
      <c r="E7" s="7">
        <v>43472</v>
      </c>
      <c r="F7" s="9">
        <v>38562.400000000001</v>
      </c>
      <c r="G7" s="10">
        <f t="shared" si="1"/>
        <v>2.7030035829292545E-2</v>
      </c>
      <c r="I7" s="41">
        <f>SLOPE(C4:C1733,G4:G1733)</f>
        <v>1.7562989895715526</v>
      </c>
      <c r="L7" s="13"/>
      <c r="M7" s="13"/>
    </row>
    <row r="8" spans="1:18" x14ac:dyDescent="0.3">
      <c r="A8" s="7">
        <v>43473</v>
      </c>
      <c r="B8" s="8">
        <v>9.52</v>
      </c>
      <c r="C8" s="10">
        <f t="shared" si="0"/>
        <v>4.7304730473047271E-2</v>
      </c>
      <c r="E8" s="7">
        <v>43473</v>
      </c>
      <c r="F8" s="9">
        <v>39052.5</v>
      </c>
      <c r="G8" s="10">
        <f t="shared" si="1"/>
        <v>1.2709271207186236E-2</v>
      </c>
      <c r="L8" s="13"/>
      <c r="M8" s="13"/>
    </row>
    <row r="9" spans="1:18" x14ac:dyDescent="0.3">
      <c r="A9" s="7">
        <v>43474</v>
      </c>
      <c r="B9" s="8">
        <v>9.61</v>
      </c>
      <c r="C9" s="10">
        <f t="shared" si="0"/>
        <v>9.4537815126050275E-3</v>
      </c>
      <c r="E9" s="7">
        <v>43474</v>
      </c>
      <c r="F9" s="9">
        <v>38921.69</v>
      </c>
      <c r="G9" s="10">
        <f t="shared" si="1"/>
        <v>-3.3495934959348996E-3</v>
      </c>
      <c r="K9" s="13"/>
      <c r="L9" s="13"/>
      <c r="M9" s="13"/>
      <c r="P9" s="2"/>
      <c r="Q9" s="2"/>
      <c r="R9" s="2"/>
    </row>
    <row r="10" spans="1:18" x14ac:dyDescent="0.3">
      <c r="A10" s="7">
        <v>43475</v>
      </c>
      <c r="B10" s="8">
        <v>9.3800000000000008</v>
      </c>
      <c r="C10" s="10">
        <f t="shared" si="0"/>
        <v>-2.3933402705514948E-2</v>
      </c>
      <c r="E10" s="7">
        <v>43475</v>
      </c>
      <c r="F10" s="9">
        <v>39090.28</v>
      </c>
      <c r="G10" s="10">
        <f t="shared" si="1"/>
        <v>4.3315179787927118E-3</v>
      </c>
      <c r="K10" s="13"/>
      <c r="L10" s="13"/>
      <c r="M10" s="13"/>
    </row>
    <row r="11" spans="1:18" x14ac:dyDescent="0.3">
      <c r="A11" s="7">
        <v>43476</v>
      </c>
      <c r="B11" s="8">
        <v>9.4</v>
      </c>
      <c r="C11" s="10">
        <f t="shared" si="0"/>
        <v>2.1321961620468627E-3</v>
      </c>
      <c r="E11" s="7">
        <v>43476</v>
      </c>
      <c r="F11" s="9">
        <v>39049.08</v>
      </c>
      <c r="G11" s="10">
        <f t="shared" si="1"/>
        <v>-1.0539704499429804E-3</v>
      </c>
      <c r="K11" s="13"/>
      <c r="L11" s="13"/>
      <c r="M11" s="13"/>
    </row>
    <row r="12" spans="1:18" x14ac:dyDescent="0.3">
      <c r="A12" s="7">
        <v>43479</v>
      </c>
      <c r="B12" s="8">
        <v>9.4499999999999993</v>
      </c>
      <c r="C12" s="10">
        <f t="shared" si="0"/>
        <v>5.319148936170099E-3</v>
      </c>
      <c r="E12" s="7">
        <v>43479</v>
      </c>
      <c r="F12" s="9">
        <v>39412.550000000003</v>
      </c>
      <c r="G12" s="10">
        <f t="shared" si="1"/>
        <v>9.3080297922512167E-3</v>
      </c>
      <c r="K12" s="13"/>
      <c r="L12" s="13"/>
      <c r="M12" s="13"/>
    </row>
    <row r="13" spans="1:18" x14ac:dyDescent="0.3">
      <c r="A13" s="7">
        <v>43480</v>
      </c>
      <c r="B13" s="8">
        <v>9.3699999999999992</v>
      </c>
      <c r="C13" s="10">
        <f t="shared" si="0"/>
        <v>-8.4656084656084731E-3</v>
      </c>
      <c r="E13" s="7">
        <v>43480</v>
      </c>
      <c r="F13" s="9">
        <v>39614.17</v>
      </c>
      <c r="G13" s="10">
        <f t="shared" si="1"/>
        <v>5.1156294124586037E-3</v>
      </c>
      <c r="K13" s="13"/>
      <c r="L13" s="13"/>
      <c r="M13" s="13"/>
    </row>
    <row r="14" spans="1:18" x14ac:dyDescent="0.3">
      <c r="A14" s="7">
        <v>43481</v>
      </c>
      <c r="B14" s="8">
        <v>9.2799999999999994</v>
      </c>
      <c r="C14" s="10">
        <f t="shared" si="0"/>
        <v>-9.6051227321237841E-3</v>
      </c>
      <c r="E14" s="7">
        <v>43481</v>
      </c>
      <c r="F14" s="9">
        <v>39271.94</v>
      </c>
      <c r="G14" s="10">
        <f t="shared" si="1"/>
        <v>-8.6390804098633381E-3</v>
      </c>
      <c r="K14" s="13"/>
      <c r="L14" s="13"/>
      <c r="M14" s="13"/>
    </row>
    <row r="15" spans="1:18" x14ac:dyDescent="0.3">
      <c r="A15" s="7">
        <v>43482</v>
      </c>
      <c r="B15" s="8">
        <v>9.31</v>
      </c>
      <c r="C15" s="10">
        <f t="shared" si="0"/>
        <v>3.2327586206897779E-3</v>
      </c>
      <c r="E15" s="7">
        <v>43482</v>
      </c>
      <c r="F15" s="9">
        <v>39243.89</v>
      </c>
      <c r="G15" s="10">
        <f t="shared" si="1"/>
        <v>-7.1425042918691847E-4</v>
      </c>
      <c r="K15" s="13"/>
      <c r="L15" s="13"/>
      <c r="M15" s="13"/>
    </row>
    <row r="16" spans="1:18" x14ac:dyDescent="0.3">
      <c r="A16" s="7">
        <v>43483</v>
      </c>
      <c r="B16" s="8">
        <v>9.23</v>
      </c>
      <c r="C16" s="10">
        <f t="shared" si="0"/>
        <v>-8.592910848549953E-3</v>
      </c>
      <c r="E16" s="7">
        <v>43483</v>
      </c>
      <c r="F16" s="9">
        <v>39306.5</v>
      </c>
      <c r="G16" s="10">
        <f t="shared" si="1"/>
        <v>1.5954075908377224E-3</v>
      </c>
      <c r="K16" s="13"/>
      <c r="L16" s="13"/>
      <c r="M16" s="13"/>
    </row>
    <row r="17" spans="1:13" x14ac:dyDescent="0.3">
      <c r="A17" s="7">
        <v>43486</v>
      </c>
      <c r="B17" s="8">
        <v>9.1</v>
      </c>
      <c r="C17" s="10">
        <f t="shared" si="0"/>
        <v>-1.4084507042253605E-2</v>
      </c>
      <c r="E17" s="7">
        <v>43486</v>
      </c>
      <c r="F17" s="9">
        <v>39543.769999999997</v>
      </c>
      <c r="G17" s="10">
        <f t="shared" si="1"/>
        <v>6.0364061923599607E-3</v>
      </c>
      <c r="K17" s="13"/>
      <c r="L17" s="13"/>
      <c r="M17" s="13"/>
    </row>
    <row r="18" spans="1:13" x14ac:dyDescent="0.3">
      <c r="A18" s="7">
        <v>43487</v>
      </c>
      <c r="B18" s="8">
        <v>9.01</v>
      </c>
      <c r="C18" s="10">
        <f t="shared" si="0"/>
        <v>-9.8901098901098741E-3</v>
      </c>
      <c r="E18" s="7">
        <v>43487</v>
      </c>
      <c r="F18" s="9">
        <v>39902.21</v>
      </c>
      <c r="G18" s="10">
        <f t="shared" si="1"/>
        <v>9.0643861220111883E-3</v>
      </c>
      <c r="K18" s="13"/>
      <c r="L18" s="13"/>
      <c r="M18" s="13"/>
    </row>
    <row r="19" spans="1:13" x14ac:dyDescent="0.3">
      <c r="A19" s="7">
        <v>43488</v>
      </c>
      <c r="B19" s="8">
        <v>9.08</v>
      </c>
      <c r="C19" s="10">
        <f t="shared" si="0"/>
        <v>7.7691453940066909E-3</v>
      </c>
      <c r="E19" s="7">
        <v>43488</v>
      </c>
      <c r="F19" s="9">
        <v>40057.85</v>
      </c>
      <c r="G19" s="10">
        <f t="shared" si="1"/>
        <v>3.9005358349825593E-3</v>
      </c>
      <c r="K19" s="13"/>
      <c r="L19" s="13"/>
      <c r="M19" s="13"/>
    </row>
    <row r="20" spans="1:13" x14ac:dyDescent="0.3">
      <c r="A20" s="7">
        <v>43489</v>
      </c>
      <c r="B20" s="8">
        <v>9.2100000000000009</v>
      </c>
      <c r="C20" s="10">
        <f t="shared" si="0"/>
        <v>1.4317180616740173E-2</v>
      </c>
      <c r="E20" s="7">
        <v>43489</v>
      </c>
      <c r="F20" s="9">
        <v>40289.160000000003</v>
      </c>
      <c r="G20" s="10">
        <f t="shared" si="1"/>
        <v>5.7743987757706656E-3</v>
      </c>
      <c r="K20" s="13"/>
      <c r="L20" s="13"/>
      <c r="M20" s="13"/>
    </row>
    <row r="21" spans="1:13" x14ac:dyDescent="0.3">
      <c r="A21" s="7">
        <v>43490</v>
      </c>
      <c r="B21" s="8">
        <v>9.0500000000000007</v>
      </c>
      <c r="C21" s="10">
        <f t="shared" si="0"/>
        <v>-1.7372421281216084E-2</v>
      </c>
      <c r="E21" s="7">
        <v>43490</v>
      </c>
      <c r="F21" s="9">
        <v>40264.78</v>
      </c>
      <c r="G21" s="10">
        <f t="shared" si="1"/>
        <v>-6.0512554741783283E-4</v>
      </c>
      <c r="K21" s="13"/>
      <c r="L21" s="13"/>
      <c r="M21" s="13"/>
    </row>
    <row r="22" spans="1:13" x14ac:dyDescent="0.3">
      <c r="A22" s="7">
        <v>43493</v>
      </c>
      <c r="B22" s="8">
        <v>9.7200000000000006</v>
      </c>
      <c r="C22" s="10">
        <f t="shared" si="0"/>
        <v>7.4033149171270698E-2</v>
      </c>
      <c r="E22" s="7">
        <v>43493</v>
      </c>
      <c r="F22" s="9">
        <v>40420.089999999997</v>
      </c>
      <c r="G22" s="10">
        <f t="shared" si="1"/>
        <v>3.8572171510684442E-3</v>
      </c>
      <c r="K22" s="13"/>
      <c r="L22" s="13"/>
      <c r="M22" s="13"/>
    </row>
    <row r="23" spans="1:13" x14ac:dyDescent="0.3">
      <c r="A23" s="7">
        <v>43494</v>
      </c>
      <c r="B23" s="8">
        <v>9.74</v>
      </c>
      <c r="C23" s="10">
        <f t="shared" si="0"/>
        <v>2.0576131687242358E-3</v>
      </c>
      <c r="E23" s="7">
        <v>43494</v>
      </c>
      <c r="F23" s="9">
        <v>40624.39</v>
      </c>
      <c r="G23" s="10">
        <f t="shared" si="1"/>
        <v>5.0544172464732987E-3</v>
      </c>
      <c r="K23" s="13"/>
      <c r="L23" s="13"/>
      <c r="M23" s="13"/>
    </row>
    <row r="24" spans="1:13" x14ac:dyDescent="0.3">
      <c r="A24" s="7">
        <v>43495</v>
      </c>
      <c r="B24" s="8">
        <v>9.6</v>
      </c>
      <c r="C24" s="10">
        <f t="shared" si="0"/>
        <v>-1.437371663244359E-2</v>
      </c>
      <c r="E24" s="7">
        <v>43495</v>
      </c>
      <c r="F24" s="9">
        <v>40607.120000000003</v>
      </c>
      <c r="G24" s="10">
        <f t="shared" si="1"/>
        <v>-4.2511407555896342E-4</v>
      </c>
      <c r="K24" s="13"/>
      <c r="L24" s="13"/>
      <c r="M24" s="13"/>
    </row>
    <row r="25" spans="1:13" x14ac:dyDescent="0.3">
      <c r="A25" s="7">
        <v>43496</v>
      </c>
      <c r="B25" s="8">
        <v>10.51</v>
      </c>
      <c r="C25" s="10">
        <f t="shared" si="0"/>
        <v>9.4791666666666691E-2</v>
      </c>
      <c r="E25" s="7">
        <v>43496</v>
      </c>
      <c r="F25" s="9">
        <v>40799.519999999997</v>
      </c>
      <c r="G25" s="10">
        <f t="shared" si="1"/>
        <v>4.7380853406987292E-3</v>
      </c>
      <c r="K25" s="13"/>
      <c r="L25" s="13"/>
      <c r="M25" s="13"/>
    </row>
    <row r="26" spans="1:13" x14ac:dyDescent="0.3">
      <c r="A26" s="7">
        <v>43497</v>
      </c>
      <c r="B26" s="8">
        <v>10.220000000000001</v>
      </c>
      <c r="C26" s="10">
        <f t="shared" si="0"/>
        <v>-2.7592768791626941E-2</v>
      </c>
      <c r="E26" s="7">
        <v>43497</v>
      </c>
      <c r="F26" s="9">
        <v>41112.71</v>
      </c>
      <c r="G26" s="10">
        <f t="shared" si="1"/>
        <v>7.6763157997937811E-3</v>
      </c>
      <c r="K26" s="13"/>
      <c r="L26" s="13"/>
      <c r="M26" s="13"/>
    </row>
    <row r="27" spans="1:13" x14ac:dyDescent="0.3">
      <c r="A27" s="7">
        <v>43500</v>
      </c>
      <c r="B27" s="8">
        <v>10.23</v>
      </c>
      <c r="C27" s="10">
        <f t="shared" si="0"/>
        <v>9.7847358121328637E-4</v>
      </c>
      <c r="E27" s="7">
        <v>43500</v>
      </c>
      <c r="F27" s="9">
        <v>41614.39</v>
      </c>
      <c r="G27" s="10">
        <f t="shared" si="1"/>
        <v>1.2202552446676474E-2</v>
      </c>
      <c r="K27" s="13"/>
      <c r="L27" s="13"/>
      <c r="M27" s="13"/>
    </row>
    <row r="28" spans="1:13" x14ac:dyDescent="0.3">
      <c r="A28" s="7">
        <v>43502</v>
      </c>
      <c r="B28" s="8">
        <v>10.1</v>
      </c>
      <c r="C28" s="10">
        <f t="shared" si="0"/>
        <v>-1.2707722385141815E-2</v>
      </c>
      <c r="E28" s="7">
        <v>43502</v>
      </c>
      <c r="F28" s="9">
        <v>41505.68</v>
      </c>
      <c r="G28" s="10">
        <f t="shared" si="1"/>
        <v>-2.6123175180508265E-3</v>
      </c>
      <c r="K28" s="13"/>
      <c r="L28" s="13"/>
      <c r="M28" s="13"/>
    </row>
    <row r="29" spans="1:13" x14ac:dyDescent="0.3">
      <c r="A29" s="7">
        <v>43503</v>
      </c>
      <c r="B29" s="8">
        <v>10.06</v>
      </c>
      <c r="C29" s="10">
        <f t="shared" si="0"/>
        <v>-3.9603960396038763E-3</v>
      </c>
      <c r="E29" s="7">
        <v>43503</v>
      </c>
      <c r="F29" s="9">
        <v>41332.75</v>
      </c>
      <c r="G29" s="10">
        <f t="shared" si="1"/>
        <v>-4.1664177047575244E-3</v>
      </c>
      <c r="K29" s="13"/>
      <c r="L29" s="13"/>
      <c r="M29" s="13"/>
    </row>
    <row r="30" spans="1:13" x14ac:dyDescent="0.3">
      <c r="A30" s="7">
        <v>43504</v>
      </c>
      <c r="B30" s="8">
        <v>10.06</v>
      </c>
      <c r="C30" s="10">
        <f t="shared" si="0"/>
        <v>0</v>
      </c>
      <c r="E30" s="7">
        <v>43504</v>
      </c>
      <c r="F30" s="9">
        <v>40887.35</v>
      </c>
      <c r="G30" s="10">
        <f t="shared" si="1"/>
        <v>-1.0775958531672861E-2</v>
      </c>
      <c r="K30" s="13"/>
      <c r="L30" s="13"/>
      <c r="M30" s="13"/>
    </row>
    <row r="31" spans="1:13" x14ac:dyDescent="0.3">
      <c r="A31" s="7">
        <v>43507</v>
      </c>
      <c r="B31" s="8">
        <v>9.83</v>
      </c>
      <c r="C31" s="10">
        <f t="shared" si="0"/>
        <v>-2.2862823061630261E-2</v>
      </c>
      <c r="E31" s="7">
        <v>43507</v>
      </c>
      <c r="F31" s="9">
        <v>40326.53</v>
      </c>
      <c r="G31" s="10">
        <f t="shared" si="1"/>
        <v>-1.3716222743709233E-2</v>
      </c>
      <c r="K31" s="13"/>
      <c r="L31" s="13"/>
      <c r="M31" s="13"/>
    </row>
    <row r="32" spans="1:13" x14ac:dyDescent="0.3">
      <c r="A32" s="7">
        <v>43508</v>
      </c>
      <c r="B32" s="8">
        <v>9.77</v>
      </c>
      <c r="C32" s="10">
        <f t="shared" si="0"/>
        <v>-6.1037639877925222E-3</v>
      </c>
      <c r="E32" s="7">
        <v>43508</v>
      </c>
      <c r="F32" s="9">
        <v>40596.28</v>
      </c>
      <c r="G32" s="10">
        <f t="shared" si="1"/>
        <v>6.6891448383979485E-3</v>
      </c>
      <c r="K32" s="13"/>
      <c r="L32" s="13"/>
      <c r="M32" s="13"/>
    </row>
    <row r="33" spans="1:13" x14ac:dyDescent="0.3">
      <c r="A33" s="7">
        <v>43509</v>
      </c>
      <c r="B33" s="8">
        <v>9.74</v>
      </c>
      <c r="C33" s="10">
        <f t="shared" si="0"/>
        <v>-3.0706243602865264E-3</v>
      </c>
      <c r="E33" s="7">
        <v>43509</v>
      </c>
      <c r="F33" s="9">
        <v>40544.11</v>
      </c>
      <c r="G33" s="10">
        <f t="shared" si="1"/>
        <v>-1.2850931169062351E-3</v>
      </c>
      <c r="K33" s="13"/>
      <c r="L33" s="13"/>
      <c r="M33" s="13"/>
    </row>
    <row r="34" spans="1:13" x14ac:dyDescent="0.3">
      <c r="A34" s="7">
        <v>43510</v>
      </c>
      <c r="B34" s="8">
        <v>9.7200000000000006</v>
      </c>
      <c r="C34" s="10">
        <f t="shared" si="0"/>
        <v>-2.0533880903490323E-3</v>
      </c>
      <c r="E34" s="7">
        <v>43510</v>
      </c>
      <c r="F34" s="9">
        <v>40506.980000000003</v>
      </c>
      <c r="G34" s="10">
        <f t="shared" si="1"/>
        <v>-9.1579270083860223E-4</v>
      </c>
      <c r="K34" s="13"/>
      <c r="L34" s="13"/>
      <c r="M34" s="13"/>
    </row>
    <row r="35" spans="1:13" x14ac:dyDescent="0.3">
      <c r="A35" s="7">
        <v>43511</v>
      </c>
      <c r="B35" s="8">
        <v>9.77</v>
      </c>
      <c r="C35" s="10">
        <f t="shared" si="0"/>
        <v>5.1440329218105894E-3</v>
      </c>
      <c r="E35" s="7">
        <v>43511</v>
      </c>
      <c r="F35" s="9">
        <v>40486.67</v>
      </c>
      <c r="G35" s="10">
        <f t="shared" si="1"/>
        <v>-5.0139506820811989E-4</v>
      </c>
      <c r="K35" s="13"/>
      <c r="L35" s="13"/>
      <c r="M35" s="13"/>
    </row>
    <row r="36" spans="1:13" x14ac:dyDescent="0.3">
      <c r="A36" s="7">
        <v>43514</v>
      </c>
      <c r="B36" s="8">
        <v>9.73</v>
      </c>
      <c r="C36" s="10">
        <f t="shared" si="0"/>
        <v>-4.094165813715368E-3</v>
      </c>
      <c r="E36" s="7">
        <v>43514</v>
      </c>
      <c r="F36" s="9">
        <v>40219.47</v>
      </c>
      <c r="G36" s="10">
        <f t="shared" si="1"/>
        <v>-6.5997030627610795E-3</v>
      </c>
      <c r="K36" s="13"/>
      <c r="L36" s="13"/>
      <c r="M36" s="13"/>
    </row>
    <row r="37" spans="1:13" x14ac:dyDescent="0.3">
      <c r="A37" s="7">
        <v>43515</v>
      </c>
      <c r="B37" s="8">
        <v>9.6199999999999992</v>
      </c>
      <c r="C37" s="10">
        <f t="shared" si="0"/>
        <v>-1.1305241521068984E-2</v>
      </c>
      <c r="E37" s="7">
        <v>43515</v>
      </c>
      <c r="F37" s="9">
        <v>39957.07</v>
      </c>
      <c r="G37" s="10">
        <f t="shared" si="1"/>
        <v>-6.5242033273934606E-3</v>
      </c>
      <c r="K37" s="13"/>
      <c r="L37" s="13"/>
      <c r="M37" s="13"/>
    </row>
    <row r="38" spans="1:13" x14ac:dyDescent="0.3">
      <c r="A38" s="7">
        <v>43516</v>
      </c>
      <c r="B38" s="8">
        <v>9.6</v>
      </c>
      <c r="C38" s="10">
        <f t="shared" si="0"/>
        <v>-2.0790020790020349E-3</v>
      </c>
      <c r="E38" s="7">
        <v>43516</v>
      </c>
      <c r="F38" s="9">
        <v>40279.379999999997</v>
      </c>
      <c r="G38" s="10">
        <f t="shared" si="1"/>
        <v>8.0664072716041917E-3</v>
      </c>
      <c r="K38" s="13"/>
      <c r="L38" s="13"/>
      <c r="M38" s="13"/>
    </row>
    <row r="39" spans="1:13" x14ac:dyDescent="0.3">
      <c r="A39" s="7">
        <v>43517</v>
      </c>
      <c r="B39" s="8">
        <v>9.41</v>
      </c>
      <c r="C39" s="10">
        <f t="shared" si="0"/>
        <v>-1.9791666666666617E-2</v>
      </c>
      <c r="E39" s="7">
        <v>43517</v>
      </c>
      <c r="F39" s="9">
        <v>40070.71</v>
      </c>
      <c r="G39" s="10">
        <f t="shared" si="1"/>
        <v>-5.1805663344370806E-3</v>
      </c>
      <c r="K39" s="13"/>
      <c r="L39" s="13"/>
      <c r="M39" s="13"/>
    </row>
    <row r="40" spans="1:13" x14ac:dyDescent="0.3">
      <c r="A40" s="7">
        <v>43518</v>
      </c>
      <c r="B40" s="8">
        <v>9.2899999999999991</v>
      </c>
      <c r="C40" s="10">
        <f t="shared" si="0"/>
        <v>-1.2752391073326354E-2</v>
      </c>
      <c r="E40" s="7">
        <v>43518</v>
      </c>
      <c r="F40" s="9">
        <v>40016.129999999997</v>
      </c>
      <c r="G40" s="10">
        <f t="shared" si="1"/>
        <v>-1.3620921615814081E-3</v>
      </c>
      <c r="K40" s="13"/>
      <c r="L40" s="13"/>
      <c r="M40" s="13"/>
    </row>
    <row r="41" spans="1:13" x14ac:dyDescent="0.3">
      <c r="A41" s="7">
        <v>43521</v>
      </c>
      <c r="B41" s="8">
        <v>9.16</v>
      </c>
      <c r="C41" s="10">
        <f t="shared" si="0"/>
        <v>-1.3993541442411089E-2</v>
      </c>
      <c r="E41" s="7">
        <v>43521</v>
      </c>
      <c r="F41" s="9">
        <v>39606.79</v>
      </c>
      <c r="G41" s="10">
        <f t="shared" si="1"/>
        <v>-1.0229375004529338E-2</v>
      </c>
      <c r="K41" s="13"/>
      <c r="L41" s="13"/>
      <c r="M41" s="13"/>
    </row>
    <row r="42" spans="1:13" x14ac:dyDescent="0.3">
      <c r="A42" s="7">
        <v>43522</v>
      </c>
      <c r="B42" s="8">
        <v>8.7100000000000009</v>
      </c>
      <c r="C42" s="10">
        <f t="shared" si="0"/>
        <v>-4.9126637554585073E-2</v>
      </c>
      <c r="E42" s="7">
        <v>43522</v>
      </c>
      <c r="F42" s="9">
        <v>38821.67</v>
      </c>
      <c r="G42" s="10">
        <f t="shared" si="1"/>
        <v>-1.9822863705945434E-2</v>
      </c>
      <c r="K42" s="13"/>
      <c r="L42" s="13"/>
      <c r="M42" s="13"/>
    </row>
    <row r="43" spans="1:13" x14ac:dyDescent="0.3">
      <c r="A43" s="7">
        <v>43523</v>
      </c>
      <c r="B43" s="8">
        <v>8.23</v>
      </c>
      <c r="C43" s="10">
        <f t="shared" si="0"/>
        <v>-5.5109070034443215E-2</v>
      </c>
      <c r="E43" s="7">
        <v>43523</v>
      </c>
      <c r="F43" s="9">
        <v>38692.69</v>
      </c>
      <c r="G43" s="10">
        <f t="shared" si="1"/>
        <v>-3.3223712426589565E-3</v>
      </c>
      <c r="K43" s="13"/>
      <c r="L43" s="13"/>
      <c r="M43" s="13"/>
    </row>
    <row r="44" spans="1:13" x14ac:dyDescent="0.3">
      <c r="A44" s="7">
        <v>43524</v>
      </c>
      <c r="B44" s="8">
        <v>8.44</v>
      </c>
      <c r="C44" s="10">
        <f t="shared" si="0"/>
        <v>2.5516403402187006E-2</v>
      </c>
      <c r="E44" s="7">
        <v>43524</v>
      </c>
      <c r="F44" s="9">
        <v>39054.6</v>
      </c>
      <c r="G44" s="10">
        <f t="shared" si="1"/>
        <v>9.353446348651288E-3</v>
      </c>
      <c r="K44" s="13"/>
      <c r="L44" s="13"/>
      <c r="M44" s="13"/>
    </row>
    <row r="45" spans="1:13" x14ac:dyDescent="0.3">
      <c r="A45" s="7">
        <v>43525</v>
      </c>
      <c r="B45" s="8">
        <v>8.7799999999999994</v>
      </c>
      <c r="C45" s="10">
        <f t="shared" si="0"/>
        <v>4.0284360189573445E-2</v>
      </c>
      <c r="E45" s="7">
        <v>43525</v>
      </c>
      <c r="F45" s="9">
        <v>39539.01</v>
      </c>
      <c r="G45" s="10">
        <f t="shared" si="1"/>
        <v>1.2403404464518994E-2</v>
      </c>
      <c r="K45" s="13"/>
      <c r="L45" s="13"/>
      <c r="M45" s="13"/>
    </row>
    <row r="46" spans="1:13" x14ac:dyDescent="0.3">
      <c r="A46" s="7">
        <v>43528</v>
      </c>
      <c r="B46" s="8">
        <v>8.9600000000000009</v>
      </c>
      <c r="C46" s="10">
        <f t="shared" si="0"/>
        <v>2.0501138952164179E-2</v>
      </c>
      <c r="E46" s="7">
        <v>43528</v>
      </c>
      <c r="F46" s="9">
        <v>39749.74</v>
      </c>
      <c r="G46" s="10">
        <f t="shared" si="1"/>
        <v>5.3296731506427683E-3</v>
      </c>
      <c r="K46" s="13"/>
      <c r="L46" s="13"/>
      <c r="M46" s="13"/>
    </row>
    <row r="47" spans="1:13" x14ac:dyDescent="0.3">
      <c r="A47" s="7">
        <v>43529</v>
      </c>
      <c r="B47" s="8">
        <v>8.9600000000000009</v>
      </c>
      <c r="C47" s="10">
        <f t="shared" si="0"/>
        <v>0</v>
      </c>
      <c r="E47" s="7">
        <v>43529</v>
      </c>
      <c r="F47" s="9">
        <v>39688.51</v>
      </c>
      <c r="G47" s="10">
        <f t="shared" si="1"/>
        <v>-1.5403874339805978E-3</v>
      </c>
      <c r="K47" s="13"/>
      <c r="L47" s="13"/>
      <c r="M47" s="13"/>
    </row>
    <row r="48" spans="1:13" x14ac:dyDescent="0.3">
      <c r="A48" s="7">
        <v>43530</v>
      </c>
      <c r="B48" s="8">
        <v>8.86</v>
      </c>
      <c r="C48" s="10">
        <f t="shared" si="0"/>
        <v>-1.1160714285714444E-2</v>
      </c>
      <c r="E48" s="7">
        <v>43530</v>
      </c>
      <c r="F48" s="9">
        <v>39568.1</v>
      </c>
      <c r="G48" s="10">
        <f t="shared" si="1"/>
        <v>-3.0338755473562368E-3</v>
      </c>
      <c r="K48" s="13"/>
      <c r="L48" s="13"/>
      <c r="M48" s="13"/>
    </row>
    <row r="49" spans="1:13" x14ac:dyDescent="0.3">
      <c r="A49" s="7">
        <v>43531</v>
      </c>
      <c r="B49" s="8">
        <v>8.75</v>
      </c>
      <c r="C49" s="10">
        <f t="shared" si="0"/>
        <v>-1.241534988713312E-2</v>
      </c>
      <c r="E49" s="7">
        <v>43531</v>
      </c>
      <c r="F49" s="9">
        <v>39294.1</v>
      </c>
      <c r="G49" s="10">
        <f t="shared" si="1"/>
        <v>-6.9247702063025517E-3</v>
      </c>
      <c r="K49" s="13"/>
      <c r="L49" s="13"/>
      <c r="M49" s="13"/>
    </row>
    <row r="50" spans="1:13" x14ac:dyDescent="0.3">
      <c r="A50" s="7">
        <v>43532</v>
      </c>
      <c r="B50" s="8">
        <v>8.67</v>
      </c>
      <c r="C50" s="10">
        <f t="shared" si="0"/>
        <v>-9.1428571428571505E-3</v>
      </c>
      <c r="E50" s="7">
        <v>43532</v>
      </c>
      <c r="F50" s="9">
        <v>38950.230000000003</v>
      </c>
      <c r="G50" s="10">
        <f t="shared" si="1"/>
        <v>-8.7511865649040274E-3</v>
      </c>
      <c r="K50" s="13"/>
      <c r="L50" s="13"/>
      <c r="M50" s="13"/>
    </row>
    <row r="51" spans="1:13" x14ac:dyDescent="0.3">
      <c r="A51" s="7">
        <v>43535</v>
      </c>
      <c r="B51" s="8">
        <v>8.68</v>
      </c>
      <c r="C51" s="10">
        <f t="shared" si="0"/>
        <v>1.1534025374855578E-3</v>
      </c>
      <c r="E51" s="7">
        <v>43535</v>
      </c>
      <c r="F51" s="9">
        <v>38924.11</v>
      </c>
      <c r="G51" s="10">
        <f t="shared" si="1"/>
        <v>-6.7059937771876102E-4</v>
      </c>
      <c r="K51" s="13"/>
      <c r="L51" s="13"/>
      <c r="M51" s="13"/>
    </row>
    <row r="52" spans="1:13" x14ac:dyDescent="0.3">
      <c r="A52" s="7">
        <v>43536</v>
      </c>
      <c r="B52" s="8">
        <v>8.51</v>
      </c>
      <c r="C52" s="10">
        <f t="shared" si="0"/>
        <v>-1.958525345622119E-2</v>
      </c>
      <c r="E52" s="7">
        <v>43536</v>
      </c>
      <c r="F52" s="9">
        <v>38896.49</v>
      </c>
      <c r="G52" s="10">
        <f t="shared" si="1"/>
        <v>-7.095859096072491E-4</v>
      </c>
      <c r="K52" s="13"/>
      <c r="L52" s="13"/>
      <c r="M52" s="13"/>
    </row>
    <row r="53" spans="1:13" x14ac:dyDescent="0.3">
      <c r="A53" s="7">
        <v>43537</v>
      </c>
      <c r="B53" s="8">
        <v>8.51</v>
      </c>
      <c r="C53" s="10">
        <f t="shared" si="0"/>
        <v>0</v>
      </c>
      <c r="E53" s="7">
        <v>43537</v>
      </c>
      <c r="F53" s="9">
        <v>38928.93</v>
      </c>
      <c r="G53" s="10">
        <f t="shared" si="1"/>
        <v>8.3400841566944289E-4</v>
      </c>
      <c r="K53" s="13"/>
      <c r="L53" s="13"/>
      <c r="M53" s="13"/>
    </row>
    <row r="54" spans="1:13" x14ac:dyDescent="0.3">
      <c r="A54" s="7">
        <v>43538</v>
      </c>
      <c r="B54" s="8">
        <v>8.32</v>
      </c>
      <c r="C54" s="10">
        <f t="shared" si="0"/>
        <v>-2.2326674500587486E-2</v>
      </c>
      <c r="E54" s="7">
        <v>43538</v>
      </c>
      <c r="F54" s="9">
        <v>38808.61</v>
      </c>
      <c r="G54" s="10">
        <f t="shared" si="1"/>
        <v>-3.0907605218021585E-3</v>
      </c>
      <c r="K54" s="13"/>
      <c r="L54" s="13"/>
      <c r="M54" s="13"/>
    </row>
    <row r="55" spans="1:13" x14ac:dyDescent="0.3">
      <c r="A55" s="7">
        <v>43539</v>
      </c>
      <c r="B55" s="8">
        <v>8.1300000000000008</v>
      </c>
      <c r="C55" s="10">
        <f t="shared" si="0"/>
        <v>-2.2836538461538401E-2</v>
      </c>
      <c r="E55" s="7">
        <v>43539</v>
      </c>
      <c r="F55" s="9">
        <v>38306.949999999997</v>
      </c>
      <c r="G55" s="10">
        <f t="shared" si="1"/>
        <v>-1.2926512956789833E-2</v>
      </c>
      <c r="K55" s="13"/>
      <c r="L55" s="13"/>
      <c r="M55" s="13"/>
    </row>
    <row r="56" spans="1:13" x14ac:dyDescent="0.3">
      <c r="A56" s="7">
        <v>43542</v>
      </c>
      <c r="B56" s="8">
        <v>8.14</v>
      </c>
      <c r="C56" s="10">
        <f t="shared" si="0"/>
        <v>1.2300123001229748E-3</v>
      </c>
      <c r="E56" s="7">
        <v>43542</v>
      </c>
      <c r="F56" s="9">
        <v>38851.949999999997</v>
      </c>
      <c r="G56" s="10">
        <f t="shared" si="1"/>
        <v>1.4227183317909675E-2</v>
      </c>
      <c r="K56" s="13"/>
      <c r="L56" s="13"/>
      <c r="M56" s="13"/>
    </row>
    <row r="57" spans="1:13" x14ac:dyDescent="0.3">
      <c r="A57" s="7">
        <v>43543</v>
      </c>
      <c r="B57" s="8">
        <v>7.96</v>
      </c>
      <c r="C57" s="10">
        <f t="shared" si="0"/>
        <v>-2.2113022113022185E-2</v>
      </c>
      <c r="E57" s="7">
        <v>43543</v>
      </c>
      <c r="F57" s="9">
        <v>38612.370000000003</v>
      </c>
      <c r="G57" s="10">
        <f t="shared" si="1"/>
        <v>-6.1664858520613375E-3</v>
      </c>
      <c r="K57" s="13"/>
      <c r="L57" s="13"/>
      <c r="M57" s="13"/>
    </row>
    <row r="58" spans="1:13" x14ac:dyDescent="0.3">
      <c r="A58" s="7">
        <v>43544</v>
      </c>
      <c r="B58" s="8">
        <v>7.92</v>
      </c>
      <c r="C58" s="10">
        <f t="shared" si="0"/>
        <v>-5.0251256281407079E-3</v>
      </c>
      <c r="E58" s="7">
        <v>43544</v>
      </c>
      <c r="F58" s="9">
        <v>38547.760000000002</v>
      </c>
      <c r="G58" s="10">
        <f t="shared" si="1"/>
        <v>-1.6732979612492209E-3</v>
      </c>
      <c r="K58" s="13"/>
      <c r="L58" s="13"/>
      <c r="M58" s="13"/>
    </row>
    <row r="59" spans="1:13" x14ac:dyDescent="0.3">
      <c r="A59" s="7">
        <v>43545</v>
      </c>
      <c r="B59" s="8">
        <v>7.88</v>
      </c>
      <c r="C59" s="10">
        <f t="shared" si="0"/>
        <v>-5.0505050505050553E-3</v>
      </c>
      <c r="E59" s="7">
        <v>43545</v>
      </c>
      <c r="F59" s="9">
        <v>38384.71</v>
      </c>
      <c r="G59" s="10">
        <f t="shared" si="1"/>
        <v>-4.2298177637300561E-3</v>
      </c>
      <c r="K59" s="13"/>
      <c r="L59" s="13"/>
      <c r="M59" s="13"/>
    </row>
    <row r="60" spans="1:13" x14ac:dyDescent="0.3">
      <c r="A60" s="7">
        <v>43546</v>
      </c>
      <c r="B60" s="8">
        <v>7.97</v>
      </c>
      <c r="C60" s="10">
        <f t="shared" si="0"/>
        <v>1.1421319796954297E-2</v>
      </c>
      <c r="E60" s="7">
        <v>43546</v>
      </c>
      <c r="F60" s="9">
        <v>38531.870000000003</v>
      </c>
      <c r="G60" s="10">
        <f t="shared" si="1"/>
        <v>3.8338182052177414E-3</v>
      </c>
      <c r="K60" s="13"/>
      <c r="L60" s="13"/>
      <c r="M60" s="13"/>
    </row>
    <row r="61" spans="1:13" x14ac:dyDescent="0.3">
      <c r="A61" s="7">
        <v>43549</v>
      </c>
      <c r="B61" s="8">
        <v>7.89</v>
      </c>
      <c r="C61" s="10">
        <f t="shared" si="0"/>
        <v>-1.0037641154328742E-2</v>
      </c>
      <c r="E61" s="7">
        <v>43549</v>
      </c>
      <c r="F61" s="9">
        <v>38128.660000000003</v>
      </c>
      <c r="G61" s="10">
        <f t="shared" si="1"/>
        <v>-1.046432472651857E-2</v>
      </c>
      <c r="K61" s="13"/>
      <c r="L61" s="13"/>
      <c r="M61" s="13"/>
    </row>
    <row r="62" spans="1:13" x14ac:dyDescent="0.3">
      <c r="A62" s="7">
        <v>43550</v>
      </c>
      <c r="B62" s="8">
        <v>7.91</v>
      </c>
      <c r="C62" s="10">
        <f t="shared" si="0"/>
        <v>2.5348542458809207E-3</v>
      </c>
      <c r="E62" s="7">
        <v>43550</v>
      </c>
      <c r="F62" s="9">
        <v>38329.129999999997</v>
      </c>
      <c r="G62" s="10">
        <f t="shared" si="1"/>
        <v>5.2577247666189654E-3</v>
      </c>
      <c r="K62" s="13"/>
      <c r="L62" s="13"/>
      <c r="M62" s="13"/>
    </row>
    <row r="63" spans="1:13" x14ac:dyDescent="0.3">
      <c r="A63" s="7">
        <v>43551</v>
      </c>
      <c r="B63" s="8">
        <v>8.26</v>
      </c>
      <c r="C63" s="10">
        <f t="shared" si="0"/>
        <v>4.4247787610619427E-2</v>
      </c>
      <c r="E63" s="7">
        <v>43551</v>
      </c>
      <c r="F63" s="9">
        <v>38965.01</v>
      </c>
      <c r="G63" s="10">
        <f t="shared" si="1"/>
        <v>1.658999304184584E-2</v>
      </c>
      <c r="K63" s="13"/>
      <c r="L63" s="13"/>
      <c r="M63" s="13"/>
    </row>
    <row r="64" spans="1:13" x14ac:dyDescent="0.3">
      <c r="A64" s="7">
        <v>43552</v>
      </c>
      <c r="B64" s="8">
        <v>8.02</v>
      </c>
      <c r="C64" s="10">
        <f t="shared" si="0"/>
        <v>-2.9055690072639251E-2</v>
      </c>
      <c r="E64" s="7">
        <v>43552</v>
      </c>
      <c r="F64" s="9">
        <v>38552.949999999997</v>
      </c>
      <c r="G64" s="10">
        <f t="shared" si="1"/>
        <v>-1.0575128814287611E-2</v>
      </c>
      <c r="K64" s="13"/>
      <c r="L64" s="13"/>
      <c r="M64" s="13"/>
    </row>
    <row r="65" spans="1:13" x14ac:dyDescent="0.3">
      <c r="A65" s="7">
        <v>43553</v>
      </c>
      <c r="B65" s="8">
        <v>7.95</v>
      </c>
      <c r="C65" s="10">
        <f t="shared" si="0"/>
        <v>-8.7281795511221193E-3</v>
      </c>
      <c r="E65" s="7">
        <v>43553</v>
      </c>
      <c r="F65" s="9">
        <v>38649.339999999997</v>
      </c>
      <c r="G65" s="10">
        <f t="shared" si="1"/>
        <v>2.5001977799364102E-3</v>
      </c>
      <c r="K65" s="13"/>
      <c r="L65" s="13"/>
      <c r="M65" s="13"/>
    </row>
    <row r="66" spans="1:13" x14ac:dyDescent="0.3">
      <c r="A66" s="7">
        <v>43556</v>
      </c>
      <c r="B66" s="8">
        <v>7.9</v>
      </c>
      <c r="C66" s="10">
        <f t="shared" si="0"/>
        <v>-6.2893081761006067E-3</v>
      </c>
      <c r="E66" s="7">
        <v>43556</v>
      </c>
      <c r="F66" s="9">
        <v>38354.85</v>
      </c>
      <c r="G66" s="10">
        <f t="shared" si="1"/>
        <v>-7.6195350295761325E-3</v>
      </c>
      <c r="K66" s="13"/>
      <c r="L66" s="13"/>
      <c r="M66" s="13"/>
    </row>
    <row r="67" spans="1:13" x14ac:dyDescent="0.3">
      <c r="A67" s="7">
        <v>43557</v>
      </c>
      <c r="B67" s="8">
        <v>7.8</v>
      </c>
      <c r="C67" s="10">
        <f t="shared" si="0"/>
        <v>-1.2658227848101333E-2</v>
      </c>
      <c r="E67" s="7">
        <v>43557</v>
      </c>
      <c r="F67" s="9">
        <v>38036.03</v>
      </c>
      <c r="G67" s="10">
        <f t="shared" si="1"/>
        <v>-8.3123777045145449E-3</v>
      </c>
      <c r="K67" s="13"/>
      <c r="L67" s="13"/>
      <c r="M67" s="13"/>
    </row>
    <row r="68" spans="1:13" x14ac:dyDescent="0.3">
      <c r="A68" s="7">
        <v>43558</v>
      </c>
      <c r="B68" s="8">
        <v>7.86</v>
      </c>
      <c r="C68" s="10">
        <f t="shared" si="0"/>
        <v>7.6923076923077561E-3</v>
      </c>
      <c r="E68" s="7">
        <v>43558</v>
      </c>
      <c r="F68" s="9">
        <v>38022.800000000003</v>
      </c>
      <c r="G68" s="10">
        <f t="shared" si="1"/>
        <v>-3.4782809877886638E-4</v>
      </c>
      <c r="K68" s="13"/>
      <c r="L68" s="13"/>
      <c r="M68" s="13"/>
    </row>
    <row r="69" spans="1:13" x14ac:dyDescent="0.3">
      <c r="A69" s="7">
        <v>43559</v>
      </c>
      <c r="B69" s="8">
        <v>7.85</v>
      </c>
      <c r="C69" s="10">
        <f t="shared" ref="C69:C132" si="2">(B69-B68)/B68</f>
        <v>-1.2722646310433427E-3</v>
      </c>
      <c r="E69" s="7">
        <v>43559</v>
      </c>
      <c r="F69" s="9">
        <v>37516.11</v>
      </c>
      <c r="G69" s="10">
        <f t="shared" ref="G69:G132" si="3">(F69-F68)/F68</f>
        <v>-1.3325951797342707E-2</v>
      </c>
      <c r="K69" s="13"/>
      <c r="L69" s="13"/>
      <c r="M69" s="13"/>
    </row>
    <row r="70" spans="1:13" x14ac:dyDescent="0.3">
      <c r="A70" s="7">
        <v>43560</v>
      </c>
      <c r="B70" s="8">
        <v>7.86</v>
      </c>
      <c r="C70" s="10">
        <f t="shared" si="2"/>
        <v>1.2738853503185574E-3</v>
      </c>
      <c r="E70" s="7">
        <v>43560</v>
      </c>
      <c r="F70" s="9">
        <v>37521.81</v>
      </c>
      <c r="G70" s="10">
        <f t="shared" si="3"/>
        <v>1.5193472884041256E-4</v>
      </c>
      <c r="K70" s="13"/>
      <c r="L70" s="13"/>
      <c r="M70" s="13"/>
    </row>
    <row r="71" spans="1:13" x14ac:dyDescent="0.3">
      <c r="A71" s="7">
        <v>43563</v>
      </c>
      <c r="B71" s="8">
        <v>7.54</v>
      </c>
      <c r="C71" s="10">
        <f t="shared" si="2"/>
        <v>-4.0712468193384262E-2</v>
      </c>
      <c r="E71" s="7">
        <v>43563</v>
      </c>
      <c r="F71" s="9">
        <v>36921.910000000003</v>
      </c>
      <c r="G71" s="10">
        <f t="shared" si="3"/>
        <v>-1.5988034692356105E-2</v>
      </c>
      <c r="K71" s="13"/>
      <c r="L71" s="13"/>
      <c r="M71" s="13"/>
    </row>
    <row r="72" spans="1:13" x14ac:dyDescent="0.3">
      <c r="A72" s="7">
        <v>43564</v>
      </c>
      <c r="B72" s="8">
        <v>7.72</v>
      </c>
      <c r="C72" s="10">
        <f t="shared" si="2"/>
        <v>2.3872679045092802E-2</v>
      </c>
      <c r="E72" s="7">
        <v>43564</v>
      </c>
      <c r="F72" s="9">
        <v>37129.97</v>
      </c>
      <c r="G72" s="10">
        <f t="shared" si="3"/>
        <v>5.6351364271241024E-3</v>
      </c>
      <c r="K72" s="13"/>
      <c r="L72" s="13"/>
      <c r="M72" s="13"/>
    </row>
    <row r="73" spans="1:13" x14ac:dyDescent="0.3">
      <c r="A73" s="7">
        <v>43565</v>
      </c>
      <c r="B73" s="8">
        <v>7.41</v>
      </c>
      <c r="C73" s="10">
        <f t="shared" si="2"/>
        <v>-4.015544041450772E-2</v>
      </c>
      <c r="E73" s="7">
        <v>43565</v>
      </c>
      <c r="F73" s="9">
        <v>36579.32</v>
      </c>
      <c r="G73" s="10">
        <f t="shared" si="3"/>
        <v>-1.483033786453373E-2</v>
      </c>
      <c r="K73" s="13"/>
      <c r="L73" s="13"/>
      <c r="M73" s="13"/>
    </row>
    <row r="74" spans="1:13" x14ac:dyDescent="0.3">
      <c r="A74" s="7">
        <v>43566</v>
      </c>
      <c r="B74" s="8">
        <v>7.42</v>
      </c>
      <c r="C74" s="10">
        <f t="shared" si="2"/>
        <v>1.3495276653171101E-3</v>
      </c>
      <c r="E74" s="7">
        <v>43566</v>
      </c>
      <c r="F74" s="9">
        <v>36787.64</v>
      </c>
      <c r="G74" s="10">
        <f t="shared" si="3"/>
        <v>5.6950211212236784E-3</v>
      </c>
      <c r="K74" s="13"/>
      <c r="L74" s="13"/>
      <c r="M74" s="13"/>
    </row>
    <row r="75" spans="1:13" x14ac:dyDescent="0.3">
      <c r="A75" s="7">
        <v>43567</v>
      </c>
      <c r="B75" s="8">
        <v>7.84</v>
      </c>
      <c r="C75" s="10">
        <f t="shared" si="2"/>
        <v>5.6603773584905655E-2</v>
      </c>
      <c r="E75" s="7">
        <v>43567</v>
      </c>
      <c r="F75" s="9">
        <v>37337.870000000003</v>
      </c>
      <c r="G75" s="10">
        <f t="shared" si="3"/>
        <v>1.4956925750061793E-2</v>
      </c>
      <c r="K75" s="13"/>
      <c r="L75" s="13"/>
      <c r="M75" s="13"/>
    </row>
    <row r="76" spans="1:13" x14ac:dyDescent="0.3">
      <c r="A76" s="7">
        <v>43570</v>
      </c>
      <c r="B76" s="8">
        <v>7.98</v>
      </c>
      <c r="C76" s="10">
        <f t="shared" si="2"/>
        <v>1.7857142857142929E-2</v>
      </c>
      <c r="E76" s="7">
        <v>43570</v>
      </c>
      <c r="F76" s="9">
        <v>37504.080000000002</v>
      </c>
      <c r="G76" s="10">
        <f t="shared" si="3"/>
        <v>4.4515126331523226E-3</v>
      </c>
      <c r="K76" s="13"/>
      <c r="L76" s="13"/>
      <c r="M76" s="13"/>
    </row>
    <row r="77" spans="1:13" x14ac:dyDescent="0.3">
      <c r="A77" s="7">
        <v>43571</v>
      </c>
      <c r="B77" s="8">
        <v>7.95</v>
      </c>
      <c r="C77" s="10">
        <f t="shared" si="2"/>
        <v>-3.7593984962406325E-3</v>
      </c>
      <c r="E77" s="7">
        <v>43571</v>
      </c>
      <c r="F77" s="9">
        <v>37381.949999999997</v>
      </c>
      <c r="G77" s="10">
        <f t="shared" si="3"/>
        <v>-3.2564456987081046E-3</v>
      </c>
      <c r="K77" s="13"/>
      <c r="L77" s="13"/>
      <c r="M77" s="13"/>
    </row>
    <row r="78" spans="1:13" x14ac:dyDescent="0.3">
      <c r="A78" s="7">
        <v>43572</v>
      </c>
      <c r="B78" s="8">
        <v>7.69</v>
      </c>
      <c r="C78" s="10">
        <f t="shared" si="2"/>
        <v>-3.2704402515723242E-2</v>
      </c>
      <c r="E78" s="7">
        <v>43572</v>
      </c>
      <c r="F78" s="9">
        <v>36752.57</v>
      </c>
      <c r="G78" s="10">
        <f t="shared" si="3"/>
        <v>-1.6836467867513531E-2</v>
      </c>
      <c r="K78" s="13"/>
      <c r="L78" s="13"/>
      <c r="M78" s="13"/>
    </row>
    <row r="79" spans="1:13" x14ac:dyDescent="0.3">
      <c r="A79" s="7">
        <v>43573</v>
      </c>
      <c r="B79" s="8">
        <v>7.72</v>
      </c>
      <c r="C79" s="10">
        <f t="shared" si="2"/>
        <v>3.9011703511052484E-3</v>
      </c>
      <c r="E79" s="7">
        <v>43573</v>
      </c>
      <c r="F79" s="9">
        <v>36811.86</v>
      </c>
      <c r="G79" s="10">
        <f t="shared" si="3"/>
        <v>1.6132205176400147E-3</v>
      </c>
      <c r="K79" s="13"/>
      <c r="L79" s="13"/>
      <c r="M79" s="13"/>
    </row>
    <row r="80" spans="1:13" x14ac:dyDescent="0.3">
      <c r="A80" s="7">
        <v>43574</v>
      </c>
      <c r="B80" s="8">
        <v>7.9</v>
      </c>
      <c r="C80" s="10">
        <f t="shared" si="2"/>
        <v>2.3316062176165882E-2</v>
      </c>
      <c r="E80" s="7">
        <v>43574</v>
      </c>
      <c r="F80" s="9">
        <v>37292.47</v>
      </c>
      <c r="G80" s="10">
        <f t="shared" si="3"/>
        <v>1.3055846675500792E-2</v>
      </c>
      <c r="K80" s="13"/>
      <c r="L80" s="13"/>
      <c r="M80" s="13"/>
    </row>
    <row r="81" spans="1:13" x14ac:dyDescent="0.3">
      <c r="A81" s="7">
        <v>43577</v>
      </c>
      <c r="B81" s="8">
        <v>7.67</v>
      </c>
      <c r="C81" s="10">
        <f t="shared" si="2"/>
        <v>-2.9113924050632962E-2</v>
      </c>
      <c r="E81" s="7">
        <v>43577</v>
      </c>
      <c r="F81" s="9">
        <v>36901.69</v>
      </c>
      <c r="G81" s="10">
        <f t="shared" si="3"/>
        <v>-1.0478791026713941E-2</v>
      </c>
      <c r="K81" s="13"/>
      <c r="L81" s="13"/>
      <c r="M81" s="13"/>
    </row>
    <row r="82" spans="1:13" x14ac:dyDescent="0.3">
      <c r="A82" s="7">
        <v>43578</v>
      </c>
      <c r="B82" s="8">
        <v>7.47</v>
      </c>
      <c r="C82" s="10">
        <f t="shared" si="2"/>
        <v>-2.6075619295958301E-2</v>
      </c>
      <c r="E82" s="7">
        <v>43578</v>
      </c>
      <c r="F82" s="9">
        <v>36404.03</v>
      </c>
      <c r="G82" s="10">
        <f t="shared" si="3"/>
        <v>-1.3486103210991243E-2</v>
      </c>
      <c r="K82" s="13"/>
      <c r="L82" s="13"/>
      <c r="M82" s="13"/>
    </row>
    <row r="83" spans="1:13" x14ac:dyDescent="0.3">
      <c r="A83" s="7">
        <v>43579</v>
      </c>
      <c r="B83" s="8">
        <v>7.43</v>
      </c>
      <c r="C83" s="10">
        <f t="shared" si="2"/>
        <v>-5.3547523427041549E-3</v>
      </c>
      <c r="E83" s="7">
        <v>43579</v>
      </c>
      <c r="F83" s="9">
        <v>36504.25</v>
      </c>
      <c r="G83" s="10">
        <f t="shared" si="3"/>
        <v>2.7529919077640902E-3</v>
      </c>
      <c r="K83" s="13"/>
      <c r="L83" s="13"/>
      <c r="M83" s="13"/>
    </row>
    <row r="84" spans="1:13" x14ac:dyDescent="0.3">
      <c r="A84" s="7">
        <v>43580</v>
      </c>
      <c r="B84" s="8">
        <v>7.48</v>
      </c>
      <c r="C84" s="10">
        <f t="shared" si="2"/>
        <v>6.729475100942222E-3</v>
      </c>
      <c r="E84" s="7">
        <v>43580</v>
      </c>
      <c r="F84" s="9">
        <v>36796.03</v>
      </c>
      <c r="G84" s="10">
        <f t="shared" si="3"/>
        <v>7.9930419060793966E-3</v>
      </c>
      <c r="K84" s="13"/>
      <c r="L84" s="13"/>
      <c r="M84" s="13"/>
    </row>
    <row r="85" spans="1:13" x14ac:dyDescent="0.3">
      <c r="A85" s="7">
        <v>43581</v>
      </c>
      <c r="B85" s="8">
        <v>7.71</v>
      </c>
      <c r="C85" s="10">
        <f t="shared" si="2"/>
        <v>3.0748663101604214E-2</v>
      </c>
      <c r="E85" s="7">
        <v>43581</v>
      </c>
      <c r="F85" s="9">
        <v>37130.629999999997</v>
      </c>
      <c r="G85" s="10">
        <f t="shared" si="3"/>
        <v>9.0933723013052921E-3</v>
      </c>
      <c r="K85" s="13"/>
      <c r="L85" s="13"/>
      <c r="M85" s="13"/>
    </row>
    <row r="86" spans="1:13" x14ac:dyDescent="0.3">
      <c r="A86" s="7">
        <v>43584</v>
      </c>
      <c r="B86" s="8">
        <v>7.82</v>
      </c>
      <c r="C86" s="10">
        <f t="shared" si="2"/>
        <v>1.4267185473411196E-2</v>
      </c>
      <c r="E86" s="7">
        <v>43584</v>
      </c>
      <c r="F86" s="9">
        <v>37026.269999999997</v>
      </c>
      <c r="G86" s="10">
        <f t="shared" si="3"/>
        <v>-2.8106175413668065E-3</v>
      </c>
      <c r="K86" s="13"/>
      <c r="L86" s="13"/>
      <c r="M86" s="13"/>
    </row>
    <row r="87" spans="1:13" x14ac:dyDescent="0.3">
      <c r="A87" s="7">
        <v>43585</v>
      </c>
      <c r="B87" s="8">
        <v>7.67</v>
      </c>
      <c r="C87" s="10">
        <f t="shared" si="2"/>
        <v>-1.9181585677749406E-2</v>
      </c>
      <c r="E87" s="7">
        <v>43585</v>
      </c>
      <c r="F87" s="9">
        <v>36784.44</v>
      </c>
      <c r="G87" s="10">
        <f t="shared" si="3"/>
        <v>-6.5313087167568999E-3</v>
      </c>
      <c r="K87" s="13"/>
      <c r="L87" s="13"/>
      <c r="M87" s="13"/>
    </row>
    <row r="88" spans="1:13" x14ac:dyDescent="0.3">
      <c r="A88" s="7">
        <v>43587</v>
      </c>
      <c r="B88" s="8">
        <v>7.53</v>
      </c>
      <c r="C88" s="10">
        <f t="shared" si="2"/>
        <v>-1.8252933507170752E-2</v>
      </c>
      <c r="E88" s="7">
        <v>43587</v>
      </c>
      <c r="F88" s="9">
        <v>36547.629999999997</v>
      </c>
      <c r="G88" s="10">
        <f t="shared" si="3"/>
        <v>-6.437776407633362E-3</v>
      </c>
      <c r="K88" s="13"/>
      <c r="L88" s="13"/>
      <c r="M88" s="13"/>
    </row>
    <row r="89" spans="1:13" x14ac:dyDescent="0.3">
      <c r="A89" s="7">
        <v>43588</v>
      </c>
      <c r="B89" s="8">
        <v>7.55</v>
      </c>
      <c r="C89" s="10">
        <f t="shared" si="2"/>
        <v>2.6560424966798903E-3</v>
      </c>
      <c r="E89" s="7">
        <v>43588</v>
      </c>
      <c r="F89" s="9">
        <v>36122.949999999997</v>
      </c>
      <c r="G89" s="10">
        <f t="shared" si="3"/>
        <v>-1.1619905312601674E-2</v>
      </c>
      <c r="K89" s="13"/>
      <c r="L89" s="13"/>
      <c r="M89" s="13"/>
    </row>
    <row r="90" spans="1:13" x14ac:dyDescent="0.3">
      <c r="A90" s="7">
        <v>43591</v>
      </c>
      <c r="B90" s="8">
        <v>7.43</v>
      </c>
      <c r="C90" s="10">
        <f t="shared" si="2"/>
        <v>-1.5894039735099352E-2</v>
      </c>
      <c r="E90" s="7">
        <v>43591</v>
      </c>
      <c r="F90" s="9">
        <v>35605.42</v>
      </c>
      <c r="G90" s="10">
        <f t="shared" si="3"/>
        <v>-1.4326902979961462E-2</v>
      </c>
      <c r="K90" s="13"/>
      <c r="L90" s="13"/>
      <c r="M90" s="13"/>
    </row>
    <row r="91" spans="1:13" x14ac:dyDescent="0.3">
      <c r="A91" s="7">
        <v>43592</v>
      </c>
      <c r="B91" s="8">
        <v>7.43</v>
      </c>
      <c r="C91" s="10">
        <f t="shared" si="2"/>
        <v>0</v>
      </c>
      <c r="E91" s="7">
        <v>43592</v>
      </c>
      <c r="F91" s="9">
        <v>35631.06</v>
      </c>
      <c r="G91" s="10">
        <f t="shared" si="3"/>
        <v>7.2011508360242404E-4</v>
      </c>
      <c r="K91" s="13"/>
      <c r="L91" s="13"/>
      <c r="M91" s="13"/>
    </row>
    <row r="92" spans="1:13" x14ac:dyDescent="0.3">
      <c r="A92" s="7">
        <v>43593</v>
      </c>
      <c r="B92" s="8">
        <v>7.07</v>
      </c>
      <c r="C92" s="10">
        <f t="shared" si="2"/>
        <v>-4.8452220726783235E-2</v>
      </c>
      <c r="E92" s="7">
        <v>43593</v>
      </c>
      <c r="F92" s="9">
        <v>35035.03</v>
      </c>
      <c r="G92" s="10">
        <f t="shared" si="3"/>
        <v>-1.6727821176243392E-2</v>
      </c>
      <c r="K92" s="13"/>
      <c r="L92" s="13"/>
      <c r="M92" s="13"/>
    </row>
    <row r="93" spans="1:13" x14ac:dyDescent="0.3">
      <c r="A93" s="7">
        <v>43594</v>
      </c>
      <c r="B93" s="8">
        <v>7.1</v>
      </c>
      <c r="C93" s="10">
        <f t="shared" si="2"/>
        <v>4.243281471004153E-3</v>
      </c>
      <c r="E93" s="7">
        <v>43594</v>
      </c>
      <c r="F93" s="9">
        <v>34887.64</v>
      </c>
      <c r="G93" s="10">
        <f t="shared" si="3"/>
        <v>-4.2069323188819712E-3</v>
      </c>
      <c r="K93" s="13"/>
      <c r="L93" s="13"/>
      <c r="M93" s="13"/>
    </row>
    <row r="94" spans="1:13" x14ac:dyDescent="0.3">
      <c r="A94" s="7">
        <v>43595</v>
      </c>
      <c r="B94" s="8">
        <v>7.02</v>
      </c>
      <c r="C94" s="10">
        <f t="shared" si="2"/>
        <v>-1.1267605633802828E-2</v>
      </c>
      <c r="E94" s="7">
        <v>43595</v>
      </c>
      <c r="F94" s="9">
        <v>34716.53</v>
      </c>
      <c r="G94" s="10">
        <f t="shared" si="3"/>
        <v>-4.9046023176116411E-3</v>
      </c>
      <c r="K94" s="13"/>
      <c r="L94" s="13"/>
      <c r="M94" s="13"/>
    </row>
    <row r="95" spans="1:13" x14ac:dyDescent="0.3">
      <c r="A95" s="7">
        <v>43598</v>
      </c>
      <c r="B95" s="8">
        <v>6.47</v>
      </c>
      <c r="C95" s="10">
        <f t="shared" si="2"/>
        <v>-7.8347578347578328E-2</v>
      </c>
      <c r="E95" s="7">
        <v>43598</v>
      </c>
      <c r="F95" s="9">
        <v>33900.379999999997</v>
      </c>
      <c r="G95" s="10">
        <f t="shared" si="3"/>
        <v>-2.3508973967156323E-2</v>
      </c>
      <c r="K95" s="13"/>
      <c r="L95" s="13"/>
      <c r="M95" s="13"/>
    </row>
    <row r="96" spans="1:13" x14ac:dyDescent="0.3">
      <c r="A96" s="7">
        <v>43599</v>
      </c>
      <c r="B96" s="8">
        <v>6.31</v>
      </c>
      <c r="C96" s="10">
        <f t="shared" si="2"/>
        <v>-2.4729520865533254E-2</v>
      </c>
      <c r="E96" s="7">
        <v>43599</v>
      </c>
      <c r="F96" s="9">
        <v>33885.089999999997</v>
      </c>
      <c r="G96" s="10">
        <f t="shared" si="3"/>
        <v>-4.5102739261332391E-4</v>
      </c>
      <c r="K96" s="13"/>
      <c r="L96" s="13"/>
      <c r="M96" s="13"/>
    </row>
    <row r="97" spans="1:13" x14ac:dyDescent="0.3">
      <c r="A97" s="7">
        <v>43600</v>
      </c>
      <c r="B97" s="8">
        <v>6.66</v>
      </c>
      <c r="C97" s="10">
        <f t="shared" si="2"/>
        <v>5.5467511885895493E-2</v>
      </c>
      <c r="E97" s="7">
        <v>43600</v>
      </c>
      <c r="F97" s="9">
        <v>34291.65</v>
      </c>
      <c r="G97" s="10">
        <f t="shared" si="3"/>
        <v>1.1998197437280084E-2</v>
      </c>
      <c r="K97" s="13"/>
      <c r="L97" s="13"/>
      <c r="M97" s="13"/>
    </row>
    <row r="98" spans="1:13" x14ac:dyDescent="0.3">
      <c r="A98" s="7">
        <v>43601</v>
      </c>
      <c r="B98" s="8">
        <v>6.64</v>
      </c>
      <c r="C98" s="10">
        <f t="shared" si="2"/>
        <v>-3.0030030030030724E-3</v>
      </c>
      <c r="E98" s="7">
        <v>43601</v>
      </c>
      <c r="F98" s="9">
        <v>33971.120000000003</v>
      </c>
      <c r="G98" s="10">
        <f t="shared" si="3"/>
        <v>-9.3471734372653058E-3</v>
      </c>
      <c r="K98" s="13"/>
      <c r="L98" s="13"/>
      <c r="M98" s="13"/>
    </row>
    <row r="99" spans="1:13" x14ac:dyDescent="0.3">
      <c r="A99" s="7">
        <v>43602</v>
      </c>
      <c r="B99" s="8">
        <v>6.25</v>
      </c>
      <c r="C99" s="10">
        <f t="shared" si="2"/>
        <v>-5.8734939759036098E-2</v>
      </c>
      <c r="E99" s="7">
        <v>43602</v>
      </c>
      <c r="F99" s="9">
        <v>33166.620000000003</v>
      </c>
      <c r="G99" s="10">
        <f t="shared" si="3"/>
        <v>-2.3681880373682115E-2</v>
      </c>
      <c r="K99" s="13"/>
      <c r="L99" s="13"/>
      <c r="M99" s="13"/>
    </row>
    <row r="100" spans="1:13" x14ac:dyDescent="0.3">
      <c r="A100" s="7">
        <v>43605</v>
      </c>
      <c r="B100" s="8">
        <v>6.33</v>
      </c>
      <c r="C100" s="10">
        <f t="shared" si="2"/>
        <v>1.2800000000000011E-2</v>
      </c>
      <c r="E100" s="7">
        <v>43605</v>
      </c>
      <c r="F100" s="9">
        <v>33250.54</v>
      </c>
      <c r="G100" s="10">
        <f t="shared" si="3"/>
        <v>2.5302548164388848E-3</v>
      </c>
      <c r="K100" s="13"/>
      <c r="L100" s="13"/>
      <c r="M100" s="13"/>
    </row>
    <row r="101" spans="1:13" x14ac:dyDescent="0.3">
      <c r="A101" s="7">
        <v>43606</v>
      </c>
      <c r="B101" s="8">
        <v>6.41</v>
      </c>
      <c r="C101" s="10">
        <f t="shared" si="2"/>
        <v>1.2638230647709331E-2</v>
      </c>
      <c r="E101" s="7">
        <v>43606</v>
      </c>
      <c r="F101" s="9">
        <v>33442.1</v>
      </c>
      <c r="G101" s="10">
        <f t="shared" si="3"/>
        <v>5.7611094436360328E-3</v>
      </c>
      <c r="K101" s="13"/>
      <c r="L101" s="13"/>
      <c r="M101" s="13"/>
    </row>
    <row r="102" spans="1:13" x14ac:dyDescent="0.3">
      <c r="A102" s="7">
        <v>43607</v>
      </c>
      <c r="B102" s="8">
        <v>7.1</v>
      </c>
      <c r="C102" s="10">
        <f t="shared" si="2"/>
        <v>0.1076443057722308</v>
      </c>
      <c r="E102" s="7">
        <v>43607</v>
      </c>
      <c r="F102" s="9">
        <v>34637.14</v>
      </c>
      <c r="G102" s="10">
        <f t="shared" si="3"/>
        <v>3.573459800670415E-2</v>
      </c>
      <c r="K102" s="13"/>
      <c r="L102" s="13"/>
      <c r="M102" s="13"/>
    </row>
    <row r="103" spans="1:13" x14ac:dyDescent="0.3">
      <c r="A103" s="7">
        <v>43608</v>
      </c>
      <c r="B103" s="8">
        <v>7.31</v>
      </c>
      <c r="C103" s="10">
        <f t="shared" si="2"/>
        <v>2.957746478873239E-2</v>
      </c>
      <c r="E103" s="7">
        <v>43608</v>
      </c>
      <c r="F103" s="9">
        <v>35581.339999999997</v>
      </c>
      <c r="G103" s="10">
        <f t="shared" si="3"/>
        <v>2.7259756434855682E-2</v>
      </c>
      <c r="K103" s="13"/>
      <c r="L103" s="13"/>
      <c r="M103" s="13"/>
    </row>
    <row r="104" spans="1:13" x14ac:dyDescent="0.3">
      <c r="A104" s="7">
        <v>43609</v>
      </c>
      <c r="B104" s="8">
        <v>7.13</v>
      </c>
      <c r="C104" s="10">
        <f t="shared" si="2"/>
        <v>-2.4623803009575885E-2</v>
      </c>
      <c r="E104" s="7">
        <v>43609</v>
      </c>
      <c r="F104" s="9">
        <v>35703.81</v>
      </c>
      <c r="G104" s="10">
        <f t="shared" si="3"/>
        <v>3.4419726744411867E-3</v>
      </c>
      <c r="K104" s="13"/>
      <c r="L104" s="13"/>
      <c r="M104" s="13"/>
    </row>
    <row r="105" spans="1:13" x14ac:dyDescent="0.3">
      <c r="A105" s="7">
        <v>43612</v>
      </c>
      <c r="B105" s="8">
        <v>7.09</v>
      </c>
      <c r="C105" s="10">
        <f t="shared" si="2"/>
        <v>-5.6100981767180976E-3</v>
      </c>
      <c r="E105" s="7">
        <v>43612</v>
      </c>
      <c r="F105" s="9">
        <v>35697.370000000003</v>
      </c>
      <c r="G105" s="10">
        <f t="shared" si="3"/>
        <v>-1.8037290698093712E-4</v>
      </c>
      <c r="K105" s="13"/>
      <c r="L105" s="13"/>
      <c r="M105" s="13"/>
    </row>
    <row r="106" spans="1:13" x14ac:dyDescent="0.3">
      <c r="A106" s="7">
        <v>43613</v>
      </c>
      <c r="B106" s="8">
        <v>6.82</v>
      </c>
      <c r="C106" s="10">
        <f t="shared" si="2"/>
        <v>-3.8081805359661436E-2</v>
      </c>
      <c r="E106" s="7">
        <v>43613</v>
      </c>
      <c r="F106" s="9">
        <v>34949.279999999999</v>
      </c>
      <c r="G106" s="10">
        <f t="shared" si="3"/>
        <v>-2.0956445810994023E-2</v>
      </c>
      <c r="K106" s="13"/>
      <c r="L106" s="13"/>
      <c r="M106" s="13"/>
    </row>
    <row r="107" spans="1:13" x14ac:dyDescent="0.3">
      <c r="A107" s="7">
        <v>43614</v>
      </c>
      <c r="B107" s="8">
        <v>7.03</v>
      </c>
      <c r="C107" s="10">
        <f t="shared" si="2"/>
        <v>3.0791788856304979E-2</v>
      </c>
      <c r="E107" s="7">
        <v>43614</v>
      </c>
      <c r="F107" s="9">
        <v>35959.43</v>
      </c>
      <c r="G107" s="10">
        <f t="shared" si="3"/>
        <v>2.8903313601882544E-2</v>
      </c>
      <c r="K107" s="13"/>
      <c r="L107" s="13"/>
      <c r="M107" s="13"/>
    </row>
    <row r="108" spans="1:13" x14ac:dyDescent="0.3">
      <c r="A108" s="7">
        <v>43615</v>
      </c>
      <c r="B108" s="8">
        <v>6.96</v>
      </c>
      <c r="C108" s="10">
        <f t="shared" si="2"/>
        <v>-9.9573257467994707E-3</v>
      </c>
      <c r="E108" s="7">
        <v>43615</v>
      </c>
      <c r="F108" s="9">
        <v>35974.79</v>
      </c>
      <c r="G108" s="10">
        <f t="shared" si="3"/>
        <v>4.271480387759367E-4</v>
      </c>
      <c r="K108" s="13"/>
      <c r="L108" s="13"/>
      <c r="M108" s="13"/>
    </row>
    <row r="109" spans="1:13" x14ac:dyDescent="0.3">
      <c r="A109" s="7">
        <v>43619</v>
      </c>
      <c r="B109" s="8">
        <v>6.87</v>
      </c>
      <c r="C109" s="10">
        <f t="shared" si="2"/>
        <v>-1.29310344827586E-2</v>
      </c>
      <c r="E109" s="7">
        <v>43619</v>
      </c>
      <c r="F109" s="9">
        <v>35505.29</v>
      </c>
      <c r="G109" s="10">
        <f t="shared" si="3"/>
        <v>-1.3050805855989708E-2</v>
      </c>
      <c r="K109" s="13"/>
      <c r="L109" s="13"/>
      <c r="M109" s="13"/>
    </row>
    <row r="110" spans="1:13" x14ac:dyDescent="0.3">
      <c r="A110" s="7">
        <v>43626</v>
      </c>
      <c r="B110" s="8">
        <v>6.63</v>
      </c>
      <c r="C110" s="10">
        <f t="shared" si="2"/>
        <v>-3.4934497816593919E-2</v>
      </c>
      <c r="E110" s="7">
        <v>43626</v>
      </c>
      <c r="F110" s="9">
        <v>34567.550000000003</v>
      </c>
      <c r="G110" s="10">
        <f t="shared" si="3"/>
        <v>-2.6411275615549061E-2</v>
      </c>
      <c r="K110" s="13"/>
      <c r="L110" s="13"/>
      <c r="M110" s="13"/>
    </row>
    <row r="111" spans="1:13" x14ac:dyDescent="0.3">
      <c r="A111" s="7">
        <v>43627</v>
      </c>
      <c r="B111" s="8">
        <v>6.75</v>
      </c>
      <c r="C111" s="10">
        <f t="shared" si="2"/>
        <v>1.8099547511312233E-2</v>
      </c>
      <c r="E111" s="7">
        <v>43627</v>
      </c>
      <c r="F111" s="9">
        <v>34659.85</v>
      </c>
      <c r="G111" s="10">
        <f t="shared" si="3"/>
        <v>2.6701342733284721E-3</v>
      </c>
      <c r="K111" s="13"/>
      <c r="L111" s="13"/>
      <c r="M111" s="13"/>
    </row>
    <row r="112" spans="1:13" x14ac:dyDescent="0.3">
      <c r="A112" s="7">
        <v>43628</v>
      </c>
      <c r="B112" s="8">
        <v>6.76</v>
      </c>
      <c r="C112" s="10">
        <f t="shared" si="2"/>
        <v>1.48148148148145E-3</v>
      </c>
      <c r="E112" s="7">
        <v>43628</v>
      </c>
      <c r="F112" s="9">
        <v>34937.93</v>
      </c>
      <c r="G112" s="10">
        <f t="shared" si="3"/>
        <v>8.0231160838838533E-3</v>
      </c>
      <c r="K112" s="13"/>
      <c r="L112" s="13"/>
      <c r="M112" s="13"/>
    </row>
    <row r="113" spans="1:13" x14ac:dyDescent="0.3">
      <c r="A113" s="7">
        <v>43629</v>
      </c>
      <c r="B113" s="8">
        <v>6.87</v>
      </c>
      <c r="C113" s="10">
        <f t="shared" si="2"/>
        <v>1.6272189349112474E-2</v>
      </c>
      <c r="E113" s="7">
        <v>43629</v>
      </c>
      <c r="F113" s="9">
        <v>35403.07</v>
      </c>
      <c r="G113" s="10">
        <f t="shared" si="3"/>
        <v>1.3313324515791274E-2</v>
      </c>
      <c r="K113" s="13"/>
      <c r="L113" s="13"/>
      <c r="M113" s="13"/>
    </row>
    <row r="114" spans="1:13" x14ac:dyDescent="0.3">
      <c r="A114" s="7">
        <v>43630</v>
      </c>
      <c r="B114" s="8">
        <v>6.84</v>
      </c>
      <c r="C114" s="10">
        <f t="shared" si="2"/>
        <v>-4.366812227074272E-3</v>
      </c>
      <c r="E114" s="7">
        <v>43630</v>
      </c>
      <c r="F114" s="9">
        <v>35572.949999999997</v>
      </c>
      <c r="G114" s="10">
        <f t="shared" si="3"/>
        <v>4.798453919391662E-3</v>
      </c>
      <c r="K114" s="13"/>
      <c r="L114" s="13"/>
      <c r="M114" s="13"/>
    </row>
    <row r="115" spans="1:13" x14ac:dyDescent="0.3">
      <c r="A115" s="7">
        <v>43633</v>
      </c>
      <c r="B115" s="8">
        <v>6.73</v>
      </c>
      <c r="C115" s="10">
        <f t="shared" si="2"/>
        <v>-1.6081871345029156E-2</v>
      </c>
      <c r="E115" s="7">
        <v>43633</v>
      </c>
      <c r="F115" s="9">
        <v>35168.82</v>
      </c>
      <c r="G115" s="10">
        <f t="shared" si="3"/>
        <v>-1.1360598432235657E-2</v>
      </c>
      <c r="K115" s="13"/>
      <c r="L115" s="13"/>
      <c r="M115" s="13"/>
    </row>
    <row r="116" spans="1:13" x14ac:dyDescent="0.3">
      <c r="A116" s="7">
        <v>43634</v>
      </c>
      <c r="B116" s="8">
        <v>6.56</v>
      </c>
      <c r="C116" s="10">
        <f t="shared" si="2"/>
        <v>-2.5260029717682139E-2</v>
      </c>
      <c r="E116" s="7">
        <v>43634</v>
      </c>
      <c r="F116" s="9">
        <v>34681.72</v>
      </c>
      <c r="G116" s="10">
        <f t="shared" si="3"/>
        <v>-1.3850336747152692E-2</v>
      </c>
      <c r="K116" s="13"/>
      <c r="L116" s="13"/>
      <c r="M116" s="13"/>
    </row>
    <row r="117" spans="1:13" x14ac:dyDescent="0.3">
      <c r="A117" s="7">
        <v>43635</v>
      </c>
      <c r="B117" s="8">
        <v>6.58</v>
      </c>
      <c r="C117" s="10">
        <f t="shared" si="2"/>
        <v>3.0487804878049488E-3</v>
      </c>
      <c r="E117" s="7">
        <v>43635</v>
      </c>
      <c r="F117" s="9">
        <v>34656.120000000003</v>
      </c>
      <c r="G117" s="10">
        <f t="shared" si="3"/>
        <v>-7.381410149207866E-4</v>
      </c>
      <c r="K117" s="13"/>
      <c r="L117" s="13"/>
      <c r="M117" s="13"/>
    </row>
    <row r="118" spans="1:13" x14ac:dyDescent="0.3">
      <c r="A118" s="7">
        <v>43636</v>
      </c>
      <c r="B118" s="8">
        <v>6.75</v>
      </c>
      <c r="C118" s="10">
        <f t="shared" si="2"/>
        <v>2.5835866261398166E-2</v>
      </c>
      <c r="E118" s="7">
        <v>43636</v>
      </c>
      <c r="F118" s="9">
        <v>34995.910000000003</v>
      </c>
      <c r="G118" s="10">
        <f t="shared" si="3"/>
        <v>9.8046174817031113E-3</v>
      </c>
      <c r="K118" s="13"/>
      <c r="L118" s="13"/>
      <c r="M118" s="13"/>
    </row>
    <row r="119" spans="1:13" x14ac:dyDescent="0.3">
      <c r="A119" s="7">
        <v>43637</v>
      </c>
      <c r="B119" s="8">
        <v>6.73</v>
      </c>
      <c r="C119" s="10">
        <f t="shared" si="2"/>
        <v>-2.9629629629628999E-3</v>
      </c>
      <c r="E119" s="7">
        <v>43637</v>
      </c>
      <c r="F119" s="9">
        <v>35125.25</v>
      </c>
      <c r="G119" s="10">
        <f t="shared" si="3"/>
        <v>3.6958604591221232E-3</v>
      </c>
      <c r="K119" s="13"/>
      <c r="L119" s="13"/>
      <c r="M119" s="13"/>
    </row>
    <row r="120" spans="1:13" x14ac:dyDescent="0.3">
      <c r="A120" s="7">
        <v>43640</v>
      </c>
      <c r="B120" s="8">
        <v>6.51</v>
      </c>
      <c r="C120" s="10">
        <f t="shared" si="2"/>
        <v>-3.2689450222882707E-2</v>
      </c>
      <c r="E120" s="7">
        <v>43640</v>
      </c>
      <c r="F120" s="9">
        <v>34471.949999999997</v>
      </c>
      <c r="G120" s="10">
        <f t="shared" si="3"/>
        <v>-1.8599155877894191E-2</v>
      </c>
      <c r="K120" s="13"/>
      <c r="L120" s="13"/>
      <c r="M120" s="13"/>
    </row>
    <row r="121" spans="1:13" x14ac:dyDescent="0.3">
      <c r="A121" s="7">
        <v>43641</v>
      </c>
      <c r="B121" s="8">
        <v>6.5</v>
      </c>
      <c r="C121" s="10">
        <f t="shared" si="2"/>
        <v>-1.5360983102918259E-3</v>
      </c>
      <c r="E121" s="7">
        <v>43641</v>
      </c>
      <c r="F121" s="9">
        <v>34190.620000000003</v>
      </c>
      <c r="G121" s="10">
        <f t="shared" si="3"/>
        <v>-8.1611281056045426E-3</v>
      </c>
      <c r="K121" s="13"/>
      <c r="L121" s="13"/>
      <c r="M121" s="13"/>
    </row>
    <row r="122" spans="1:13" x14ac:dyDescent="0.3">
      <c r="A122" s="7">
        <v>43642</v>
      </c>
      <c r="B122" s="8">
        <v>6.54</v>
      </c>
      <c r="C122" s="10">
        <f t="shared" si="2"/>
        <v>6.153846153846159E-3</v>
      </c>
      <c r="E122" s="7">
        <v>43642</v>
      </c>
      <c r="F122" s="9">
        <v>34088.559999999998</v>
      </c>
      <c r="G122" s="10">
        <f t="shared" si="3"/>
        <v>-2.9850292273145367E-3</v>
      </c>
      <c r="K122" s="13"/>
      <c r="L122" s="13"/>
      <c r="M122" s="13"/>
    </row>
    <row r="123" spans="1:13" x14ac:dyDescent="0.3">
      <c r="A123" s="7">
        <v>43643</v>
      </c>
      <c r="B123" s="8">
        <v>6.53</v>
      </c>
      <c r="C123" s="10">
        <f t="shared" si="2"/>
        <v>-1.5290519877675516E-3</v>
      </c>
      <c r="E123" s="7">
        <v>43643</v>
      </c>
      <c r="F123" s="9">
        <v>33774.42</v>
      </c>
      <c r="G123" s="10">
        <f t="shared" si="3"/>
        <v>-9.2154083364037499E-3</v>
      </c>
      <c r="K123" s="13"/>
      <c r="L123" s="13"/>
      <c r="M123" s="13"/>
    </row>
    <row r="124" spans="1:13" x14ac:dyDescent="0.3">
      <c r="A124" s="7">
        <v>43644</v>
      </c>
      <c r="B124" s="8">
        <v>6.41</v>
      </c>
      <c r="C124" s="10">
        <f t="shared" si="2"/>
        <v>-1.8376722817764181E-2</v>
      </c>
      <c r="E124" s="7">
        <v>43644</v>
      </c>
      <c r="F124" s="9">
        <v>33901.58</v>
      </c>
      <c r="G124" s="10">
        <f t="shared" si="3"/>
        <v>3.7649795318469865E-3</v>
      </c>
      <c r="K124" s="13"/>
      <c r="L124" s="13"/>
      <c r="M124" s="13"/>
    </row>
    <row r="125" spans="1:13" x14ac:dyDescent="0.3">
      <c r="A125" s="7">
        <v>43647</v>
      </c>
      <c r="B125" s="8">
        <v>6.49</v>
      </c>
      <c r="C125" s="10">
        <f t="shared" si="2"/>
        <v>1.248049921996881E-2</v>
      </c>
      <c r="E125" s="7">
        <v>43647</v>
      </c>
      <c r="F125" s="9">
        <v>33996.33</v>
      </c>
      <c r="G125" s="10">
        <f t="shared" si="3"/>
        <v>2.7948549890595069E-3</v>
      </c>
      <c r="K125" s="13"/>
      <c r="L125" s="13"/>
      <c r="M125" s="13"/>
    </row>
    <row r="126" spans="1:13" x14ac:dyDescent="0.3">
      <c r="A126" s="7">
        <v>43648</v>
      </c>
      <c r="B126" s="8">
        <v>6.62</v>
      </c>
      <c r="C126" s="10">
        <f t="shared" si="2"/>
        <v>2.0030816640986115E-2</v>
      </c>
      <c r="E126" s="7">
        <v>43648</v>
      </c>
      <c r="F126" s="9">
        <v>34307.11</v>
      </c>
      <c r="G126" s="10">
        <f t="shared" si="3"/>
        <v>9.141574987653044E-3</v>
      </c>
      <c r="K126" s="13"/>
      <c r="L126" s="13"/>
      <c r="M126" s="13"/>
    </row>
    <row r="127" spans="1:13" x14ac:dyDescent="0.3">
      <c r="A127" s="7">
        <v>43649</v>
      </c>
      <c r="B127" s="8">
        <v>6.8</v>
      </c>
      <c r="C127" s="10">
        <f t="shared" si="2"/>
        <v>2.7190332326283945E-2</v>
      </c>
      <c r="E127" s="7">
        <v>43649</v>
      </c>
      <c r="F127" s="9">
        <v>34896.550000000003</v>
      </c>
      <c r="G127" s="10">
        <f t="shared" si="3"/>
        <v>1.7181278166537559E-2</v>
      </c>
      <c r="K127" s="13"/>
      <c r="L127" s="13"/>
      <c r="M127" s="13"/>
    </row>
    <row r="128" spans="1:13" x14ac:dyDescent="0.3">
      <c r="A128" s="7">
        <v>43650</v>
      </c>
      <c r="B128" s="8">
        <v>6.68</v>
      </c>
      <c r="C128" s="10">
        <f t="shared" si="2"/>
        <v>-1.7647058823529429E-2</v>
      </c>
      <c r="E128" s="7">
        <v>43650</v>
      </c>
      <c r="F128" s="9">
        <v>34570.620000000003</v>
      </c>
      <c r="G128" s="10">
        <f t="shared" si="3"/>
        <v>-9.3398917658049363E-3</v>
      </c>
      <c r="K128" s="13"/>
      <c r="L128" s="13"/>
      <c r="M128" s="13"/>
    </row>
    <row r="129" spans="1:13" x14ac:dyDescent="0.3">
      <c r="A129" s="7">
        <v>43651</v>
      </c>
      <c r="B129" s="8">
        <v>6.62</v>
      </c>
      <c r="C129" s="10">
        <f t="shared" si="2"/>
        <v>-8.982035928143655E-3</v>
      </c>
      <c r="E129" s="7">
        <v>43651</v>
      </c>
      <c r="F129" s="9">
        <v>34190.019999999997</v>
      </c>
      <c r="G129" s="10">
        <f t="shared" si="3"/>
        <v>-1.1009348400462757E-2</v>
      </c>
      <c r="K129" s="13"/>
      <c r="L129" s="13"/>
      <c r="M129" s="13"/>
    </row>
    <row r="130" spans="1:13" x14ac:dyDescent="0.3">
      <c r="A130" s="7">
        <v>43654</v>
      </c>
      <c r="B130" s="8">
        <v>6.54</v>
      </c>
      <c r="C130" s="10">
        <f t="shared" si="2"/>
        <v>-1.2084592145015116E-2</v>
      </c>
      <c r="E130" s="7">
        <v>43654</v>
      </c>
      <c r="F130" s="9">
        <v>33742.68</v>
      </c>
      <c r="G130" s="10">
        <f t="shared" si="3"/>
        <v>-1.3083935019634283E-2</v>
      </c>
      <c r="K130" s="13"/>
      <c r="L130" s="13"/>
      <c r="M130" s="13"/>
    </row>
    <row r="131" spans="1:13" x14ac:dyDescent="0.3">
      <c r="A131" s="7">
        <v>43655</v>
      </c>
      <c r="B131" s="8">
        <v>6.47</v>
      </c>
      <c r="C131" s="10">
        <f t="shared" si="2"/>
        <v>-1.0703363914373131E-2</v>
      </c>
      <c r="E131" s="7">
        <v>43655</v>
      </c>
      <c r="F131" s="9">
        <v>33855.58</v>
      </c>
      <c r="G131" s="10">
        <f t="shared" si="3"/>
        <v>3.345910876077462E-3</v>
      </c>
      <c r="K131" s="13"/>
      <c r="L131" s="13"/>
      <c r="M131" s="13"/>
    </row>
    <row r="132" spans="1:13" x14ac:dyDescent="0.3">
      <c r="A132" s="7">
        <v>43656</v>
      </c>
      <c r="B132" s="8">
        <v>6.48</v>
      </c>
      <c r="C132" s="10">
        <f t="shared" si="2"/>
        <v>1.5455950540959314E-3</v>
      </c>
      <c r="E132" s="7">
        <v>43656</v>
      </c>
      <c r="F132" s="9">
        <v>33840.050000000003</v>
      </c>
      <c r="G132" s="10">
        <f t="shared" si="3"/>
        <v>-4.5871315747651747E-4</v>
      </c>
      <c r="K132" s="13"/>
      <c r="L132" s="13"/>
      <c r="M132" s="13"/>
    </row>
    <row r="133" spans="1:13" x14ac:dyDescent="0.3">
      <c r="A133" s="7">
        <v>43657</v>
      </c>
      <c r="B133" s="8">
        <v>6.44</v>
      </c>
      <c r="C133" s="10">
        <f t="shared" ref="C133:C196" si="4">(B133-B132)/B132</f>
        <v>-6.1728395061728444E-3</v>
      </c>
      <c r="E133" s="7">
        <v>43657</v>
      </c>
      <c r="F133" s="9">
        <v>33875.4</v>
      </c>
      <c r="G133" s="10">
        <f t="shared" ref="G133:G196" si="5">(F133-F132)/F132</f>
        <v>1.0446202059393689E-3</v>
      </c>
      <c r="K133" s="13"/>
      <c r="L133" s="13"/>
      <c r="M133" s="13"/>
    </row>
    <row r="134" spans="1:13" x14ac:dyDescent="0.3">
      <c r="A134" s="7">
        <v>43658</v>
      </c>
      <c r="B134" s="8">
        <v>6.07</v>
      </c>
      <c r="C134" s="10">
        <f t="shared" si="4"/>
        <v>-5.7453416149068334E-2</v>
      </c>
      <c r="E134" s="7">
        <v>43658</v>
      </c>
      <c r="F134" s="9">
        <v>33672.49</v>
      </c>
      <c r="G134" s="10">
        <f t="shared" si="5"/>
        <v>-5.9898923702746973E-3</v>
      </c>
      <c r="K134" s="13"/>
      <c r="L134" s="13"/>
      <c r="M134" s="13"/>
    </row>
    <row r="135" spans="1:13" x14ac:dyDescent="0.3">
      <c r="A135" s="7">
        <v>43661</v>
      </c>
      <c r="B135" s="8">
        <v>5.56</v>
      </c>
      <c r="C135" s="10">
        <f t="shared" si="4"/>
        <v>-8.4019769357495985E-2</v>
      </c>
      <c r="E135" s="7">
        <v>43661</v>
      </c>
      <c r="F135" s="9">
        <v>32958.35</v>
      </c>
      <c r="G135" s="10">
        <f t="shared" si="5"/>
        <v>-2.1208410782808145E-2</v>
      </c>
      <c r="K135" s="13"/>
      <c r="L135" s="13"/>
      <c r="M135" s="13"/>
    </row>
    <row r="136" spans="1:13" x14ac:dyDescent="0.3">
      <c r="A136" s="7">
        <v>43662</v>
      </c>
      <c r="B136" s="8">
        <v>5.31</v>
      </c>
      <c r="C136" s="10">
        <f t="shared" si="4"/>
        <v>-4.4964028776978422E-2</v>
      </c>
      <c r="E136" s="7">
        <v>43662</v>
      </c>
      <c r="F136" s="9">
        <v>32972.019999999997</v>
      </c>
      <c r="G136" s="10">
        <f t="shared" si="5"/>
        <v>4.14765909094304E-4</v>
      </c>
      <c r="K136" s="13"/>
      <c r="L136" s="13"/>
      <c r="M136" s="13"/>
    </row>
    <row r="137" spans="1:13" x14ac:dyDescent="0.3">
      <c r="A137" s="7">
        <v>43663</v>
      </c>
      <c r="B137" s="8">
        <v>5.44</v>
      </c>
      <c r="C137" s="10">
        <f t="shared" si="4"/>
        <v>2.4482109227872088E-2</v>
      </c>
      <c r="E137" s="7">
        <v>43663</v>
      </c>
      <c r="F137" s="9">
        <v>32981.99</v>
      </c>
      <c r="G137" s="10">
        <f t="shared" si="5"/>
        <v>3.023775916671519E-4</v>
      </c>
      <c r="K137" s="13"/>
      <c r="L137" s="13"/>
      <c r="M137" s="13"/>
    </row>
    <row r="138" spans="1:13" x14ac:dyDescent="0.3">
      <c r="A138" s="7">
        <v>43664</v>
      </c>
      <c r="B138" s="8">
        <v>5.18</v>
      </c>
      <c r="C138" s="10">
        <f t="shared" si="4"/>
        <v>-4.7794117647058945E-2</v>
      </c>
      <c r="E138" s="7">
        <v>43664</v>
      </c>
      <c r="F138" s="9">
        <v>32309.54</v>
      </c>
      <c r="G138" s="10">
        <f t="shared" si="5"/>
        <v>-2.0388399850948872E-2</v>
      </c>
      <c r="K138" s="13"/>
      <c r="L138" s="13"/>
      <c r="M138" s="13"/>
    </row>
    <row r="139" spans="1:13" x14ac:dyDescent="0.3">
      <c r="A139" s="7">
        <v>43665</v>
      </c>
      <c r="B139" s="8">
        <v>5.36</v>
      </c>
      <c r="C139" s="10">
        <f t="shared" si="4"/>
        <v>3.4749034749034867E-2</v>
      </c>
      <c r="E139" s="7">
        <v>43665</v>
      </c>
      <c r="F139" s="9">
        <v>32458.77</v>
      </c>
      <c r="G139" s="10">
        <f t="shared" si="5"/>
        <v>4.6187596604594051E-3</v>
      </c>
      <c r="K139" s="13"/>
      <c r="L139" s="13"/>
      <c r="M139" s="13"/>
    </row>
    <row r="140" spans="1:13" x14ac:dyDescent="0.3">
      <c r="A140" s="7">
        <v>43668</v>
      </c>
      <c r="B140" s="8">
        <v>5.53</v>
      </c>
      <c r="C140" s="10">
        <f t="shared" si="4"/>
        <v>3.1716417910447749E-2</v>
      </c>
      <c r="E140" s="7">
        <v>43668</v>
      </c>
      <c r="F140" s="9">
        <v>32584.55</v>
      </c>
      <c r="G140" s="10">
        <f t="shared" si="5"/>
        <v>3.8750698193430878E-3</v>
      </c>
      <c r="K140" s="13"/>
      <c r="L140" s="13"/>
      <c r="M140" s="13"/>
    </row>
    <row r="141" spans="1:13" x14ac:dyDescent="0.3">
      <c r="A141" s="7">
        <v>43669</v>
      </c>
      <c r="B141" s="8">
        <v>5.61</v>
      </c>
      <c r="C141" s="10">
        <f t="shared" si="4"/>
        <v>1.4466546112115744E-2</v>
      </c>
      <c r="E141" s="7">
        <v>43669</v>
      </c>
      <c r="F141" s="9">
        <v>32715.88</v>
      </c>
      <c r="G141" s="10">
        <f t="shared" si="5"/>
        <v>4.0304377381305484E-3</v>
      </c>
      <c r="K141" s="13"/>
      <c r="L141" s="13"/>
      <c r="M141" s="13"/>
    </row>
    <row r="142" spans="1:13" x14ac:dyDescent="0.3">
      <c r="A142" s="7">
        <v>43670</v>
      </c>
      <c r="B142" s="8">
        <v>5.57</v>
      </c>
      <c r="C142" s="10">
        <f t="shared" si="4"/>
        <v>-7.1301247771836064E-3</v>
      </c>
      <c r="E142" s="7">
        <v>43670</v>
      </c>
      <c r="F142" s="9">
        <v>32401.4</v>
      </c>
      <c r="G142" s="10">
        <f t="shared" si="5"/>
        <v>-9.6124573143072899E-3</v>
      </c>
      <c r="K142" s="13"/>
      <c r="L142" s="13"/>
      <c r="M142" s="13"/>
    </row>
    <row r="143" spans="1:13" x14ac:dyDescent="0.3">
      <c r="A143" s="7">
        <v>43671</v>
      </c>
      <c r="B143" s="8">
        <v>5.42</v>
      </c>
      <c r="C143" s="10">
        <f t="shared" si="4"/>
        <v>-2.6929982046678697E-2</v>
      </c>
      <c r="E143" s="7">
        <v>43671</v>
      </c>
      <c r="F143" s="9">
        <v>32446.400000000001</v>
      </c>
      <c r="G143" s="10">
        <f t="shared" si="5"/>
        <v>1.3888288777645409E-3</v>
      </c>
      <c r="K143" s="13"/>
      <c r="L143" s="13"/>
      <c r="M143" s="13"/>
    </row>
    <row r="144" spans="1:13" x14ac:dyDescent="0.3">
      <c r="A144" s="7">
        <v>43672</v>
      </c>
      <c r="B144" s="8">
        <v>5.3</v>
      </c>
      <c r="C144" s="10">
        <f t="shared" si="4"/>
        <v>-2.2140221402214041E-2</v>
      </c>
      <c r="E144" s="7">
        <v>43672</v>
      </c>
      <c r="F144" s="9">
        <v>32103.27</v>
      </c>
      <c r="G144" s="10">
        <f t="shared" si="5"/>
        <v>-1.0575287242960729E-2</v>
      </c>
      <c r="K144" s="13"/>
      <c r="L144" s="13"/>
      <c r="M144" s="13"/>
    </row>
    <row r="145" spans="1:13" x14ac:dyDescent="0.3">
      <c r="A145" s="7">
        <v>43675</v>
      </c>
      <c r="B145" s="8">
        <v>5.2</v>
      </c>
      <c r="C145" s="10">
        <f t="shared" si="4"/>
        <v>-1.886792452830182E-2</v>
      </c>
      <c r="E145" s="7">
        <v>43675</v>
      </c>
      <c r="F145" s="9">
        <v>31734.23</v>
      </c>
      <c r="G145" s="10">
        <f t="shared" si="5"/>
        <v>-1.1495402181771541E-2</v>
      </c>
      <c r="K145" s="13"/>
      <c r="L145" s="13"/>
      <c r="M145" s="13"/>
    </row>
    <row r="146" spans="1:13" x14ac:dyDescent="0.3">
      <c r="A146" s="7">
        <v>43676</v>
      </c>
      <c r="B146" s="8">
        <v>5.2</v>
      </c>
      <c r="C146" s="10">
        <f t="shared" si="4"/>
        <v>0</v>
      </c>
      <c r="E146" s="7">
        <v>43676</v>
      </c>
      <c r="F146" s="9">
        <v>31658.12</v>
      </c>
      <c r="G146" s="10">
        <f t="shared" si="5"/>
        <v>-2.3983566010582448E-3</v>
      </c>
      <c r="K146" s="13"/>
      <c r="L146" s="13"/>
      <c r="M146" s="13"/>
    </row>
    <row r="147" spans="1:13" x14ac:dyDescent="0.3">
      <c r="A147" s="7">
        <v>43677</v>
      </c>
      <c r="B147" s="8">
        <v>5.33</v>
      </c>
      <c r="C147" s="10">
        <f t="shared" si="4"/>
        <v>2.4999999999999977E-2</v>
      </c>
      <c r="E147" s="7">
        <v>43677</v>
      </c>
      <c r="F147" s="9">
        <v>31938.48</v>
      </c>
      <c r="G147" s="10">
        <f t="shared" si="5"/>
        <v>8.8558638352498695E-3</v>
      </c>
      <c r="K147" s="13"/>
      <c r="L147" s="13"/>
      <c r="M147" s="13"/>
    </row>
    <row r="148" spans="1:13" x14ac:dyDescent="0.3">
      <c r="A148" s="7">
        <v>43678</v>
      </c>
      <c r="B148" s="8">
        <v>5.32</v>
      </c>
      <c r="C148" s="10">
        <f t="shared" si="4"/>
        <v>-1.8761726078798848E-3</v>
      </c>
      <c r="E148" s="7">
        <v>43678</v>
      </c>
      <c r="F148" s="9">
        <v>31839.11</v>
      </c>
      <c r="G148" s="10">
        <f t="shared" si="5"/>
        <v>-3.1112939626431499E-3</v>
      </c>
      <c r="K148" s="13"/>
      <c r="L148" s="13"/>
      <c r="M148" s="13"/>
    </row>
    <row r="149" spans="1:13" x14ac:dyDescent="0.3">
      <c r="A149" s="7">
        <v>43679</v>
      </c>
      <c r="B149" s="8">
        <v>5.31</v>
      </c>
      <c r="C149" s="10">
        <f t="shared" si="4"/>
        <v>-1.8796992481204275E-3</v>
      </c>
      <c r="E149" s="7">
        <v>43679</v>
      </c>
      <c r="F149" s="9">
        <v>31666.41</v>
      </c>
      <c r="G149" s="10">
        <f t="shared" si="5"/>
        <v>-5.4241465920373006E-3</v>
      </c>
      <c r="K149" s="13"/>
      <c r="L149" s="13"/>
      <c r="M149" s="13"/>
    </row>
    <row r="150" spans="1:13" x14ac:dyDescent="0.3">
      <c r="A150" s="7">
        <v>43682</v>
      </c>
      <c r="B150" s="8">
        <v>5.1100000000000003</v>
      </c>
      <c r="C150" s="10">
        <f t="shared" si="4"/>
        <v>-3.7664783427495158E-2</v>
      </c>
      <c r="E150" s="7">
        <v>43682</v>
      </c>
      <c r="F150" s="9">
        <v>31180.799999999999</v>
      </c>
      <c r="G150" s="10">
        <f t="shared" si="5"/>
        <v>-1.5335176927223533E-2</v>
      </c>
      <c r="K150" s="13"/>
      <c r="L150" s="13"/>
      <c r="M150" s="13"/>
    </row>
    <row r="151" spans="1:13" x14ac:dyDescent="0.3">
      <c r="A151" s="7">
        <v>43683</v>
      </c>
      <c r="B151" s="8">
        <v>5.17</v>
      </c>
      <c r="C151" s="10">
        <f t="shared" si="4"/>
        <v>1.174168297455961E-2</v>
      </c>
      <c r="E151" s="7">
        <v>43683</v>
      </c>
      <c r="F151" s="9">
        <v>31000.67</v>
      </c>
      <c r="G151" s="10">
        <f t="shared" si="5"/>
        <v>-5.7769524835796712E-3</v>
      </c>
      <c r="K151" s="13"/>
      <c r="L151" s="13"/>
      <c r="M151" s="13"/>
    </row>
    <row r="152" spans="1:13" x14ac:dyDescent="0.3">
      <c r="A152" s="7">
        <v>43684</v>
      </c>
      <c r="B152" s="8">
        <v>5.0199999999999996</v>
      </c>
      <c r="C152" s="10">
        <f t="shared" si="4"/>
        <v>-2.9013539651837592E-2</v>
      </c>
      <c r="E152" s="7">
        <v>43684</v>
      </c>
      <c r="F152" s="9">
        <v>30277.45</v>
      </c>
      <c r="G152" s="10">
        <f t="shared" si="5"/>
        <v>-2.3329173208191875E-2</v>
      </c>
      <c r="K152" s="13"/>
      <c r="L152" s="13"/>
      <c r="M152" s="13"/>
    </row>
    <row r="153" spans="1:13" x14ac:dyDescent="0.3">
      <c r="A153" s="7">
        <v>43685</v>
      </c>
      <c r="B153" s="8">
        <v>4.8899999999999997</v>
      </c>
      <c r="C153" s="10">
        <f t="shared" si="4"/>
        <v>-2.5896414342629463E-2</v>
      </c>
      <c r="E153" s="7">
        <v>43685</v>
      </c>
      <c r="F153" s="9">
        <v>29737.98</v>
      </c>
      <c r="G153" s="10">
        <f t="shared" si="5"/>
        <v>-1.7817550685411129E-2</v>
      </c>
      <c r="K153" s="13"/>
      <c r="L153" s="13"/>
      <c r="M153" s="13"/>
    </row>
    <row r="154" spans="1:13" x14ac:dyDescent="0.3">
      <c r="A154" s="7">
        <v>43686</v>
      </c>
      <c r="B154" s="8">
        <v>4.88</v>
      </c>
      <c r="C154" s="10">
        <f t="shared" si="4"/>
        <v>-2.0449897750510811E-3</v>
      </c>
      <c r="E154" s="7">
        <v>43686</v>
      </c>
      <c r="F154" s="9">
        <v>29429.07</v>
      </c>
      <c r="G154" s="10">
        <f t="shared" si="5"/>
        <v>-1.0387726402398545E-2</v>
      </c>
      <c r="K154" s="13"/>
      <c r="L154" s="13"/>
      <c r="M154" s="13"/>
    </row>
    <row r="155" spans="1:13" x14ac:dyDescent="0.3">
      <c r="A155" s="7">
        <v>43693</v>
      </c>
      <c r="B155" s="8">
        <v>4.72</v>
      </c>
      <c r="C155" s="10">
        <f t="shared" si="4"/>
        <v>-3.2786885245901669E-2</v>
      </c>
      <c r="E155" s="7">
        <v>43693</v>
      </c>
      <c r="F155" s="9">
        <v>28764.63</v>
      </c>
      <c r="G155" s="10">
        <f t="shared" si="5"/>
        <v>-2.2577675747143852E-2</v>
      </c>
      <c r="K155" s="13"/>
      <c r="L155" s="13"/>
      <c r="M155" s="13"/>
    </row>
    <row r="156" spans="1:13" x14ac:dyDescent="0.3">
      <c r="A156" s="7">
        <v>43696</v>
      </c>
      <c r="B156" s="8">
        <v>4.96</v>
      </c>
      <c r="C156" s="10">
        <f t="shared" si="4"/>
        <v>5.0847457627118689E-2</v>
      </c>
      <c r="E156" s="7">
        <v>43696</v>
      </c>
      <c r="F156" s="9">
        <v>29562.42</v>
      </c>
      <c r="G156" s="10">
        <f t="shared" si="5"/>
        <v>2.7735103841071387E-2</v>
      </c>
      <c r="K156" s="13"/>
      <c r="L156" s="13"/>
      <c r="M156" s="13"/>
    </row>
    <row r="157" spans="1:13" x14ac:dyDescent="0.3">
      <c r="A157" s="7">
        <v>43697</v>
      </c>
      <c r="B157" s="8">
        <v>5.07</v>
      </c>
      <c r="C157" s="10">
        <f t="shared" si="4"/>
        <v>2.2177419354838773E-2</v>
      </c>
      <c r="E157" s="7">
        <v>43697</v>
      </c>
      <c r="F157" s="9">
        <v>30419.22</v>
      </c>
      <c r="G157" s="10">
        <f t="shared" si="5"/>
        <v>2.8982742278879842E-2</v>
      </c>
      <c r="K157" s="13"/>
      <c r="L157" s="13"/>
      <c r="M157" s="13"/>
    </row>
    <row r="158" spans="1:13" x14ac:dyDescent="0.3">
      <c r="A158" s="7">
        <v>43698</v>
      </c>
      <c r="B158" s="8">
        <v>5.16</v>
      </c>
      <c r="C158" s="10">
        <f t="shared" si="4"/>
        <v>1.7751479289940801E-2</v>
      </c>
      <c r="E158" s="7">
        <v>43698</v>
      </c>
      <c r="F158" s="9">
        <v>30972.75</v>
      </c>
      <c r="G158" s="10">
        <f t="shared" si="5"/>
        <v>1.8196719048022888E-2</v>
      </c>
      <c r="K158" s="13"/>
      <c r="L158" s="13"/>
      <c r="M158" s="13"/>
    </row>
    <row r="159" spans="1:13" x14ac:dyDescent="0.3">
      <c r="A159" s="7">
        <v>43699</v>
      </c>
      <c r="B159" s="8">
        <v>5.88</v>
      </c>
      <c r="C159" s="10">
        <f t="shared" si="4"/>
        <v>0.13953488372093018</v>
      </c>
      <c r="E159" s="7">
        <v>43699</v>
      </c>
      <c r="F159" s="9">
        <v>31884.45</v>
      </c>
      <c r="G159" s="10">
        <f t="shared" si="5"/>
        <v>2.9435552219289559E-2</v>
      </c>
      <c r="K159" s="13"/>
      <c r="L159" s="13"/>
      <c r="M159" s="13"/>
    </row>
    <row r="160" spans="1:13" x14ac:dyDescent="0.3">
      <c r="A160" s="7">
        <v>43700</v>
      </c>
      <c r="B160" s="8">
        <v>5.68</v>
      </c>
      <c r="C160" s="10">
        <f t="shared" si="4"/>
        <v>-3.4013605442176902E-2</v>
      </c>
      <c r="E160" s="7">
        <v>43700</v>
      </c>
      <c r="F160" s="9">
        <v>31350.01</v>
      </c>
      <c r="G160" s="10">
        <f t="shared" si="5"/>
        <v>-1.6761775724530369E-2</v>
      </c>
      <c r="K160" s="13"/>
      <c r="L160" s="13"/>
      <c r="M160" s="13"/>
    </row>
    <row r="161" spans="1:13" x14ac:dyDescent="0.3">
      <c r="A161" s="7">
        <v>43703</v>
      </c>
      <c r="B161" s="8">
        <v>5.44</v>
      </c>
      <c r="C161" s="10">
        <f t="shared" si="4"/>
        <v>-4.2253521126760445E-2</v>
      </c>
      <c r="E161" s="7">
        <v>43703</v>
      </c>
      <c r="F161" s="9">
        <v>30520.6</v>
      </c>
      <c r="G161" s="10">
        <f t="shared" si="5"/>
        <v>-2.6456450891084241E-2</v>
      </c>
      <c r="K161" s="13"/>
      <c r="L161" s="13"/>
      <c r="M161" s="13"/>
    </row>
    <row r="162" spans="1:13" x14ac:dyDescent="0.3">
      <c r="A162" s="7">
        <v>43704</v>
      </c>
      <c r="B162" s="8">
        <v>5.39</v>
      </c>
      <c r="C162" s="10">
        <f t="shared" si="4"/>
        <v>-9.1911764705883657E-3</v>
      </c>
      <c r="E162" s="7">
        <v>43704</v>
      </c>
      <c r="F162" s="9">
        <v>30584.85</v>
      </c>
      <c r="G162" s="10">
        <f t="shared" si="5"/>
        <v>2.1051355477939493E-3</v>
      </c>
      <c r="K162" s="13"/>
      <c r="L162" s="13"/>
      <c r="M162" s="13"/>
    </row>
    <row r="163" spans="1:13" x14ac:dyDescent="0.3">
      <c r="A163" s="7">
        <v>43705</v>
      </c>
      <c r="B163" s="8">
        <v>5.32</v>
      </c>
      <c r="C163" s="10">
        <f t="shared" si="4"/>
        <v>-1.2987012987012875E-2</v>
      </c>
      <c r="E163" s="7">
        <v>43705</v>
      </c>
      <c r="F163" s="9">
        <v>30637.71</v>
      </c>
      <c r="G163" s="10">
        <f t="shared" si="5"/>
        <v>1.7283066616315132E-3</v>
      </c>
      <c r="K163" s="13"/>
      <c r="L163" s="13"/>
      <c r="M163" s="13"/>
    </row>
    <row r="164" spans="1:13" x14ac:dyDescent="0.3">
      <c r="A164" s="7">
        <v>43706</v>
      </c>
      <c r="B164" s="8">
        <v>5.12</v>
      </c>
      <c r="C164" s="10">
        <f t="shared" si="4"/>
        <v>-3.7593984962406048E-2</v>
      </c>
      <c r="E164" s="7">
        <v>43706</v>
      </c>
      <c r="F164" s="9">
        <v>30158.959999999999</v>
      </c>
      <c r="G164" s="10">
        <f t="shared" si="5"/>
        <v>-1.5626167882651806E-2</v>
      </c>
      <c r="K164" s="13"/>
      <c r="L164" s="13"/>
      <c r="M164" s="13"/>
    </row>
    <row r="165" spans="1:13" x14ac:dyDescent="0.3">
      <c r="A165" s="7">
        <v>43707</v>
      </c>
      <c r="B165" s="8">
        <v>5.0199999999999996</v>
      </c>
      <c r="C165" s="10">
        <f t="shared" si="4"/>
        <v>-1.9531250000000104E-2</v>
      </c>
      <c r="E165" s="7">
        <v>43707</v>
      </c>
      <c r="F165" s="9">
        <v>29672.12</v>
      </c>
      <c r="G165" s="10">
        <f t="shared" si="5"/>
        <v>-1.6142466451097789E-2</v>
      </c>
      <c r="K165" s="13"/>
      <c r="L165" s="13"/>
      <c r="M165" s="13"/>
    </row>
    <row r="166" spans="1:13" x14ac:dyDescent="0.3">
      <c r="A166" s="7">
        <v>43710</v>
      </c>
      <c r="B166" s="8">
        <v>5.22</v>
      </c>
      <c r="C166" s="10">
        <f t="shared" si="4"/>
        <v>3.9840637450199244E-2</v>
      </c>
      <c r="E166" s="7">
        <v>43710</v>
      </c>
      <c r="F166" s="9">
        <v>30057.29</v>
      </c>
      <c r="G166" s="10">
        <f t="shared" si="5"/>
        <v>1.2980872280106777E-2</v>
      </c>
      <c r="K166" s="13"/>
      <c r="L166" s="13"/>
      <c r="M166" s="13"/>
    </row>
    <row r="167" spans="1:13" x14ac:dyDescent="0.3">
      <c r="A167" s="7">
        <v>43711</v>
      </c>
      <c r="B167" s="8">
        <v>5.07</v>
      </c>
      <c r="C167" s="10">
        <f t="shared" si="4"/>
        <v>-2.8735632183907945E-2</v>
      </c>
      <c r="E167" s="7">
        <v>43711</v>
      </c>
      <c r="F167" s="9">
        <v>29809.68</v>
      </c>
      <c r="G167" s="10">
        <f t="shared" si="5"/>
        <v>-8.2379349568773696E-3</v>
      </c>
      <c r="K167" s="13"/>
      <c r="L167" s="13"/>
      <c r="M167" s="13"/>
    </row>
    <row r="168" spans="1:13" x14ac:dyDescent="0.3">
      <c r="A168" s="7">
        <v>43712</v>
      </c>
      <c r="B168" s="8">
        <v>5.18</v>
      </c>
      <c r="C168" s="10">
        <f t="shared" si="4"/>
        <v>2.169625246548312E-2</v>
      </c>
      <c r="E168" s="7">
        <v>43712</v>
      </c>
      <c r="F168" s="9">
        <v>30244.73</v>
      </c>
      <c r="G168" s="10">
        <f t="shared" si="5"/>
        <v>1.4594252605193992E-2</v>
      </c>
      <c r="K168" s="13"/>
      <c r="L168" s="13"/>
      <c r="M168" s="13"/>
    </row>
    <row r="169" spans="1:13" x14ac:dyDescent="0.3">
      <c r="A169" s="7">
        <v>43713</v>
      </c>
      <c r="B169" s="8">
        <v>5.0599999999999996</v>
      </c>
      <c r="C169" s="10">
        <f t="shared" si="4"/>
        <v>-2.3166023166023189E-2</v>
      </c>
      <c r="E169" s="7">
        <v>43713</v>
      </c>
      <c r="F169" s="9">
        <v>30214.77</v>
      </c>
      <c r="G169" s="10">
        <f t="shared" si="5"/>
        <v>-9.9058579792245228E-4</v>
      </c>
      <c r="K169" s="13"/>
      <c r="L169" s="13"/>
      <c r="M169" s="13"/>
    </row>
    <row r="170" spans="1:13" x14ac:dyDescent="0.3">
      <c r="A170" s="7">
        <v>43714</v>
      </c>
      <c r="B170" s="8">
        <v>5.09</v>
      </c>
      <c r="C170" s="10">
        <f t="shared" si="4"/>
        <v>5.9288537549407614E-3</v>
      </c>
      <c r="E170" s="7">
        <v>43714</v>
      </c>
      <c r="F170" s="9">
        <v>30467.200000000001</v>
      </c>
      <c r="G170" s="10">
        <f t="shared" si="5"/>
        <v>8.354523301021332E-3</v>
      </c>
      <c r="K170" s="13"/>
      <c r="L170" s="13"/>
      <c r="M170" s="13"/>
    </row>
    <row r="171" spans="1:13" x14ac:dyDescent="0.3">
      <c r="A171" s="7">
        <v>43719</v>
      </c>
      <c r="B171" s="8">
        <v>5.05</v>
      </c>
      <c r="C171" s="10">
        <f t="shared" si="4"/>
        <v>-7.858546168958749E-3</v>
      </c>
      <c r="E171" s="7">
        <v>43719</v>
      </c>
      <c r="F171" s="9">
        <v>30954.83</v>
      </c>
      <c r="G171" s="10">
        <f t="shared" si="5"/>
        <v>1.6005080873857821E-2</v>
      </c>
      <c r="K171" s="13"/>
      <c r="L171" s="13"/>
      <c r="M171" s="13"/>
    </row>
    <row r="172" spans="1:13" x14ac:dyDescent="0.3">
      <c r="A172" s="7">
        <v>43720</v>
      </c>
      <c r="B172" s="8">
        <v>5.19</v>
      </c>
      <c r="C172" s="10">
        <f t="shared" si="4"/>
        <v>2.7722772277227838E-2</v>
      </c>
      <c r="E172" s="7">
        <v>43720</v>
      </c>
      <c r="F172" s="9">
        <v>31546.61</v>
      </c>
      <c r="G172" s="10">
        <f t="shared" si="5"/>
        <v>1.9117533515771168E-2</v>
      </c>
      <c r="K172" s="13"/>
      <c r="L172" s="13"/>
      <c r="M172" s="13"/>
    </row>
    <row r="173" spans="1:13" x14ac:dyDescent="0.3">
      <c r="A173" s="7">
        <v>43721</v>
      </c>
      <c r="B173" s="8">
        <v>5.17</v>
      </c>
      <c r="C173" s="10">
        <f t="shared" si="4"/>
        <v>-3.8535645472062546E-3</v>
      </c>
      <c r="E173" s="7">
        <v>43721</v>
      </c>
      <c r="F173" s="9">
        <v>31481.31</v>
      </c>
      <c r="G173" s="10">
        <f t="shared" si="5"/>
        <v>-2.0699529997042243E-3</v>
      </c>
      <c r="K173" s="13"/>
      <c r="L173" s="13"/>
      <c r="M173" s="13"/>
    </row>
    <row r="174" spans="1:13" x14ac:dyDescent="0.3">
      <c r="A174" s="7">
        <v>43724</v>
      </c>
      <c r="B174" s="8">
        <v>5.73</v>
      </c>
      <c r="C174" s="10">
        <f t="shared" si="4"/>
        <v>0.10831721470019352</v>
      </c>
      <c r="E174" s="7">
        <v>43724</v>
      </c>
      <c r="F174" s="9">
        <v>31928.55</v>
      </c>
      <c r="G174" s="10">
        <f t="shared" si="5"/>
        <v>1.4206524442597781E-2</v>
      </c>
      <c r="K174" s="13"/>
      <c r="L174" s="13"/>
      <c r="M174" s="13"/>
    </row>
    <row r="175" spans="1:13" x14ac:dyDescent="0.3">
      <c r="A175" s="7">
        <v>43725</v>
      </c>
      <c r="B175" s="8">
        <v>5.82</v>
      </c>
      <c r="C175" s="10">
        <f t="shared" si="4"/>
        <v>1.5706806282722488E-2</v>
      </c>
      <c r="E175" s="7">
        <v>43725</v>
      </c>
      <c r="F175" s="9">
        <v>31908.92</v>
      </c>
      <c r="G175" s="10">
        <f t="shared" si="5"/>
        <v>-6.1481025602481228E-4</v>
      </c>
      <c r="K175" s="13"/>
      <c r="L175" s="13"/>
      <c r="M175" s="13"/>
    </row>
    <row r="176" spans="1:13" x14ac:dyDescent="0.3">
      <c r="A176" s="7">
        <v>43726</v>
      </c>
      <c r="B176" s="8">
        <v>5.52</v>
      </c>
      <c r="C176" s="10">
        <f t="shared" si="4"/>
        <v>-5.1546391752577442E-2</v>
      </c>
      <c r="E176" s="7">
        <v>43726</v>
      </c>
      <c r="F176" s="9">
        <v>31555.47</v>
      </c>
      <c r="G176" s="10">
        <f t="shared" si="5"/>
        <v>-1.1076839955723889E-2</v>
      </c>
      <c r="K176" s="13"/>
      <c r="L176" s="13"/>
      <c r="M176" s="13"/>
    </row>
    <row r="177" spans="1:13" x14ac:dyDescent="0.3">
      <c r="A177" s="7">
        <v>43727</v>
      </c>
      <c r="B177" s="8">
        <v>5.65</v>
      </c>
      <c r="C177" s="10">
        <f t="shared" si="4"/>
        <v>2.3550724637681302E-2</v>
      </c>
      <c r="E177" s="7">
        <v>43727</v>
      </c>
      <c r="F177" s="9">
        <v>32184.03</v>
      </c>
      <c r="G177" s="10">
        <f t="shared" si="5"/>
        <v>1.9919208935883309E-2</v>
      </c>
      <c r="K177" s="13"/>
      <c r="L177" s="13"/>
      <c r="M177" s="13"/>
    </row>
    <row r="178" spans="1:13" x14ac:dyDescent="0.3">
      <c r="A178" s="7">
        <v>43728</v>
      </c>
      <c r="B178" s="8">
        <v>5.6</v>
      </c>
      <c r="C178" s="10">
        <f t="shared" si="4"/>
        <v>-8.8495575221240186E-3</v>
      </c>
      <c r="E178" s="7">
        <v>43728</v>
      </c>
      <c r="F178" s="9">
        <v>32111.1</v>
      </c>
      <c r="G178" s="10">
        <f t="shared" si="5"/>
        <v>-2.2660306990765389E-3</v>
      </c>
      <c r="K178" s="13"/>
      <c r="L178" s="13"/>
      <c r="M178" s="13"/>
    </row>
    <row r="179" spans="1:13" x14ac:dyDescent="0.3">
      <c r="A179" s="7">
        <v>43731</v>
      </c>
      <c r="B179" s="8">
        <v>5.44</v>
      </c>
      <c r="C179" s="10">
        <f t="shared" si="4"/>
        <v>-2.8571428571428439E-2</v>
      </c>
      <c r="E179" s="7">
        <v>43731</v>
      </c>
      <c r="F179" s="9">
        <v>31751.21</v>
      </c>
      <c r="G179" s="10">
        <f t="shared" si="5"/>
        <v>-1.1207650936903421E-2</v>
      </c>
      <c r="K179" s="13"/>
      <c r="L179" s="13"/>
      <c r="M179" s="13"/>
    </row>
    <row r="180" spans="1:13" x14ac:dyDescent="0.3">
      <c r="A180" s="7">
        <v>43732</v>
      </c>
      <c r="B180" s="8">
        <v>5.42</v>
      </c>
      <c r="C180" s="10">
        <f t="shared" si="4"/>
        <v>-3.6764705882353786E-3</v>
      </c>
      <c r="E180" s="7">
        <v>43732</v>
      </c>
      <c r="F180" s="9">
        <v>31829.24</v>
      </c>
      <c r="G180" s="10">
        <f t="shared" si="5"/>
        <v>2.4575441376880592E-3</v>
      </c>
      <c r="K180" s="13"/>
      <c r="L180" s="13"/>
      <c r="M180" s="13"/>
    </row>
    <row r="181" spans="1:13" x14ac:dyDescent="0.3">
      <c r="A181" s="7">
        <v>43733</v>
      </c>
      <c r="B181" s="8">
        <v>5.24</v>
      </c>
      <c r="C181" s="10">
        <f t="shared" si="4"/>
        <v>-3.3210332103320979E-2</v>
      </c>
      <c r="E181" s="7">
        <v>43733</v>
      </c>
      <c r="F181" s="9">
        <v>31565.21</v>
      </c>
      <c r="G181" s="10">
        <f t="shared" si="5"/>
        <v>-8.295202775812506E-3</v>
      </c>
      <c r="K181" s="13"/>
      <c r="L181" s="13"/>
      <c r="M181" s="13"/>
    </row>
    <row r="182" spans="1:13" x14ac:dyDescent="0.3">
      <c r="A182" s="7">
        <v>43734</v>
      </c>
      <c r="B182" s="8">
        <v>5.19</v>
      </c>
      <c r="C182" s="10">
        <f t="shared" si="4"/>
        <v>-9.5419847328243931E-3</v>
      </c>
      <c r="E182" s="7">
        <v>43734</v>
      </c>
      <c r="F182" s="9">
        <v>31433.89</v>
      </c>
      <c r="G182" s="10">
        <f t="shared" si="5"/>
        <v>-4.1602764562630725E-3</v>
      </c>
      <c r="K182" s="13"/>
      <c r="L182" s="13"/>
      <c r="M182" s="13"/>
    </row>
    <row r="183" spans="1:13" x14ac:dyDescent="0.3">
      <c r="A183" s="7">
        <v>43735</v>
      </c>
      <c r="B183" s="8">
        <v>5.28</v>
      </c>
      <c r="C183" s="10">
        <f t="shared" si="4"/>
        <v>1.7341040462427716E-2</v>
      </c>
      <c r="E183" s="7">
        <v>43735</v>
      </c>
      <c r="F183" s="9">
        <v>32070.81</v>
      </c>
      <c r="G183" s="10">
        <f t="shared" si="5"/>
        <v>2.0262207445530984E-2</v>
      </c>
      <c r="K183" s="13"/>
      <c r="L183" s="13"/>
      <c r="M183" s="13"/>
    </row>
    <row r="184" spans="1:13" x14ac:dyDescent="0.3">
      <c r="A184" s="7">
        <v>43738</v>
      </c>
      <c r="B184" s="8">
        <v>5.27</v>
      </c>
      <c r="C184" s="10">
        <f t="shared" si="4"/>
        <v>-1.8939393939395217E-3</v>
      </c>
      <c r="E184" s="7">
        <v>43738</v>
      </c>
      <c r="F184" s="9">
        <v>32078.85</v>
      </c>
      <c r="G184" s="10">
        <f t="shared" si="5"/>
        <v>2.5069525839843877E-4</v>
      </c>
      <c r="K184" s="13"/>
      <c r="L184" s="13"/>
      <c r="M184" s="13"/>
    </row>
    <row r="185" spans="1:13" x14ac:dyDescent="0.3">
      <c r="A185" s="7">
        <v>43739</v>
      </c>
      <c r="B185" s="8">
        <v>5.49</v>
      </c>
      <c r="C185" s="10">
        <f t="shared" si="4"/>
        <v>4.1745730550284757E-2</v>
      </c>
      <c r="E185" s="7">
        <v>43739</v>
      </c>
      <c r="F185" s="9">
        <v>32254.32</v>
      </c>
      <c r="G185" s="10">
        <f t="shared" si="5"/>
        <v>5.4699591787112437E-3</v>
      </c>
      <c r="K185" s="13"/>
      <c r="L185" s="13"/>
      <c r="M185" s="13"/>
    </row>
    <row r="186" spans="1:13" x14ac:dyDescent="0.3">
      <c r="A186" s="7">
        <v>43740</v>
      </c>
      <c r="B186" s="8">
        <v>5.57</v>
      </c>
      <c r="C186" s="10">
        <f t="shared" si="4"/>
        <v>1.4571948998178519E-2</v>
      </c>
      <c r="E186" s="7">
        <v>43740</v>
      </c>
      <c r="F186" s="9">
        <v>32363.35</v>
      </c>
      <c r="G186" s="10">
        <f t="shared" si="5"/>
        <v>3.3803223878227425E-3</v>
      </c>
      <c r="K186" s="13"/>
      <c r="L186" s="13"/>
      <c r="M186" s="13"/>
    </row>
    <row r="187" spans="1:13" x14ac:dyDescent="0.3">
      <c r="A187" s="7">
        <v>43741</v>
      </c>
      <c r="B187" s="8">
        <v>5.95</v>
      </c>
      <c r="C187" s="10">
        <f t="shared" si="4"/>
        <v>6.8222621184919188E-2</v>
      </c>
      <c r="E187" s="7">
        <v>43741</v>
      </c>
      <c r="F187" s="9">
        <v>32752.25</v>
      </c>
      <c r="G187" s="10">
        <f t="shared" si="5"/>
        <v>1.2016679361067427E-2</v>
      </c>
      <c r="K187" s="13"/>
      <c r="L187" s="13"/>
      <c r="M187" s="13"/>
    </row>
    <row r="188" spans="1:13" x14ac:dyDescent="0.3">
      <c r="A188" s="7">
        <v>43742</v>
      </c>
      <c r="B188" s="8">
        <v>6.06</v>
      </c>
      <c r="C188" s="10">
        <f t="shared" si="4"/>
        <v>1.8487394957983096E-2</v>
      </c>
      <c r="E188" s="7">
        <v>43742</v>
      </c>
      <c r="F188" s="9">
        <v>33033.32</v>
      </c>
      <c r="G188" s="10">
        <f t="shared" si="5"/>
        <v>8.5817004938591908E-3</v>
      </c>
      <c r="K188" s="13"/>
      <c r="L188" s="13"/>
      <c r="M188" s="13"/>
    </row>
    <row r="189" spans="1:13" x14ac:dyDescent="0.3">
      <c r="A189" s="7">
        <v>43745</v>
      </c>
      <c r="B189" s="8">
        <v>6.67</v>
      </c>
      <c r="C189" s="10">
        <f t="shared" si="4"/>
        <v>0.10066006600660071</v>
      </c>
      <c r="E189" s="7">
        <v>43745</v>
      </c>
      <c r="F189" s="9">
        <v>33636.82</v>
      </c>
      <c r="G189" s="10">
        <f t="shared" si="5"/>
        <v>1.8269432197550835E-2</v>
      </c>
      <c r="K189" s="13"/>
      <c r="L189" s="13"/>
      <c r="M189" s="13"/>
    </row>
    <row r="190" spans="1:13" x14ac:dyDescent="0.3">
      <c r="A190" s="7">
        <v>43746</v>
      </c>
      <c r="B190" s="8">
        <v>6.51</v>
      </c>
      <c r="C190" s="10">
        <f t="shared" si="4"/>
        <v>-2.3988005997001519E-2</v>
      </c>
      <c r="E190" s="7">
        <v>43746</v>
      </c>
      <c r="F190" s="9">
        <v>33476.620000000003</v>
      </c>
      <c r="G190" s="10">
        <f t="shared" si="5"/>
        <v>-4.7626380852885944E-3</v>
      </c>
      <c r="K190" s="13"/>
      <c r="L190" s="13"/>
      <c r="M190" s="13"/>
    </row>
    <row r="191" spans="1:13" x14ac:dyDescent="0.3">
      <c r="A191" s="7">
        <v>43747</v>
      </c>
      <c r="B191" s="8">
        <v>6.46</v>
      </c>
      <c r="C191" s="10">
        <f t="shared" si="4"/>
        <v>-7.6804915514592665E-3</v>
      </c>
      <c r="E191" s="7">
        <v>43747</v>
      </c>
      <c r="F191" s="9">
        <v>33523.74</v>
      </c>
      <c r="G191" s="10">
        <f t="shared" si="5"/>
        <v>1.4075495076861207E-3</v>
      </c>
      <c r="K191" s="13"/>
      <c r="L191" s="13"/>
      <c r="M191" s="13"/>
    </row>
    <row r="192" spans="1:13" x14ac:dyDescent="0.3">
      <c r="A192" s="7">
        <v>43748</v>
      </c>
      <c r="B192" s="8">
        <v>6.75</v>
      </c>
      <c r="C192" s="10">
        <f t="shared" si="4"/>
        <v>4.489164086687307E-2</v>
      </c>
      <c r="E192" s="7">
        <v>43748</v>
      </c>
      <c r="F192" s="9">
        <v>34027.699999999997</v>
      </c>
      <c r="G192" s="10">
        <f t="shared" si="5"/>
        <v>1.5032928903517304E-2</v>
      </c>
      <c r="K192" s="13"/>
      <c r="L192" s="13"/>
      <c r="M192" s="13"/>
    </row>
    <row r="193" spans="1:13" x14ac:dyDescent="0.3">
      <c r="A193" s="7">
        <v>43749</v>
      </c>
      <c r="B193" s="8">
        <v>6.66</v>
      </c>
      <c r="C193" s="10">
        <f t="shared" si="4"/>
        <v>-1.3333333333333312E-2</v>
      </c>
      <c r="E193" s="7">
        <v>43749</v>
      </c>
      <c r="F193" s="9">
        <v>34475.69</v>
      </c>
      <c r="G193" s="10">
        <f t="shared" si="5"/>
        <v>1.3165450500621708E-2</v>
      </c>
      <c r="K193" s="13"/>
      <c r="L193" s="13"/>
      <c r="M193" s="13"/>
    </row>
    <row r="194" spans="1:13" x14ac:dyDescent="0.3">
      <c r="A194" s="7">
        <v>43752</v>
      </c>
      <c r="B194" s="8">
        <v>6.47</v>
      </c>
      <c r="C194" s="10">
        <f t="shared" si="4"/>
        <v>-2.8528528528528586E-2</v>
      </c>
      <c r="E194" s="7">
        <v>43752</v>
      </c>
      <c r="F194" s="9">
        <v>34186.26</v>
      </c>
      <c r="G194" s="10">
        <f t="shared" si="5"/>
        <v>-8.3951909301887874E-3</v>
      </c>
      <c r="K194" s="13"/>
      <c r="L194" s="13"/>
      <c r="M194" s="13"/>
    </row>
    <row r="195" spans="1:13" x14ac:dyDescent="0.3">
      <c r="A195" s="7">
        <v>43753</v>
      </c>
      <c r="B195" s="8">
        <v>6.43</v>
      </c>
      <c r="C195" s="10">
        <f t="shared" si="4"/>
        <v>-6.1823802163833135E-3</v>
      </c>
      <c r="E195" s="7">
        <v>43753</v>
      </c>
      <c r="F195" s="9">
        <v>34083.53</v>
      </c>
      <c r="G195" s="10">
        <f t="shared" si="5"/>
        <v>-3.0050084449133423E-3</v>
      </c>
      <c r="K195" s="13"/>
      <c r="L195" s="13"/>
      <c r="M195" s="13"/>
    </row>
    <row r="196" spans="1:13" x14ac:dyDescent="0.3">
      <c r="A196" s="7">
        <v>43754</v>
      </c>
      <c r="B196" s="8">
        <v>6.48</v>
      </c>
      <c r="C196" s="10">
        <f t="shared" si="4"/>
        <v>7.7760497667186176E-3</v>
      </c>
      <c r="E196" s="7">
        <v>43754</v>
      </c>
      <c r="F196" s="9">
        <v>34281.089999999997</v>
      </c>
      <c r="G196" s="10">
        <f t="shared" si="5"/>
        <v>5.7963479721730021E-3</v>
      </c>
      <c r="K196" s="13"/>
      <c r="L196" s="13"/>
      <c r="M196" s="13"/>
    </row>
    <row r="197" spans="1:13" x14ac:dyDescent="0.3">
      <c r="A197" s="7">
        <v>43755</v>
      </c>
      <c r="B197" s="8">
        <v>6.31</v>
      </c>
      <c r="C197" s="10">
        <f t="shared" ref="C197:C260" si="6">(B197-B196)/B196</f>
        <v>-2.6234567901234691E-2</v>
      </c>
      <c r="E197" s="7">
        <v>43755</v>
      </c>
      <c r="F197" s="9">
        <v>33898.559999999998</v>
      </c>
      <c r="G197" s="10">
        <f t="shared" ref="G197:G260" si="7">(F197-F196)/F196</f>
        <v>-1.1158630020223945E-2</v>
      </c>
      <c r="K197" s="13"/>
      <c r="L197" s="13"/>
      <c r="M197" s="13"/>
    </row>
    <row r="198" spans="1:13" x14ac:dyDescent="0.3">
      <c r="A198" s="7">
        <v>43756</v>
      </c>
      <c r="B198" s="8">
        <v>6.26</v>
      </c>
      <c r="C198" s="10">
        <f t="shared" si="6"/>
        <v>-7.9239302694136017E-3</v>
      </c>
      <c r="E198" s="7">
        <v>43756</v>
      </c>
      <c r="F198" s="9">
        <v>33870.15</v>
      </c>
      <c r="G198" s="10">
        <f t="shared" si="7"/>
        <v>-8.3808869757288267E-4</v>
      </c>
      <c r="K198" s="13"/>
      <c r="L198" s="13"/>
      <c r="M198" s="13"/>
    </row>
    <row r="199" spans="1:13" x14ac:dyDescent="0.3">
      <c r="A199" s="7">
        <v>43759</v>
      </c>
      <c r="B199" s="8">
        <v>5.93</v>
      </c>
      <c r="C199" s="10">
        <f t="shared" si="6"/>
        <v>-5.2715654952076689E-2</v>
      </c>
      <c r="E199" s="7">
        <v>43759</v>
      </c>
      <c r="F199" s="9">
        <v>33084.730000000003</v>
      </c>
      <c r="G199" s="10">
        <f t="shared" si="7"/>
        <v>-2.318915032853407E-2</v>
      </c>
      <c r="K199" s="13"/>
      <c r="L199" s="13"/>
      <c r="M199" s="13"/>
    </row>
    <row r="200" spans="1:13" x14ac:dyDescent="0.3">
      <c r="A200" s="7">
        <v>43760</v>
      </c>
      <c r="B200" s="8">
        <v>5.89</v>
      </c>
      <c r="C200" s="10">
        <f t="shared" si="6"/>
        <v>-6.7453625632377806E-3</v>
      </c>
      <c r="E200" s="7">
        <v>43760</v>
      </c>
      <c r="F200" s="9">
        <v>33198.959999999999</v>
      </c>
      <c r="G200" s="10">
        <f t="shared" si="7"/>
        <v>3.4526502105350692E-3</v>
      </c>
      <c r="K200" s="13"/>
      <c r="L200" s="13"/>
      <c r="M200" s="13"/>
    </row>
    <row r="201" spans="1:13" x14ac:dyDescent="0.3">
      <c r="A201" s="7">
        <v>43761</v>
      </c>
      <c r="B201" s="8">
        <v>6.1</v>
      </c>
      <c r="C201" s="10">
        <f t="shared" si="6"/>
        <v>3.5653650254668927E-2</v>
      </c>
      <c r="E201" s="7">
        <v>43761</v>
      </c>
      <c r="F201" s="9">
        <v>33439.69</v>
      </c>
      <c r="G201" s="10">
        <f t="shared" si="7"/>
        <v>7.2511307583130076E-3</v>
      </c>
      <c r="K201" s="13"/>
      <c r="L201" s="13"/>
      <c r="M201" s="13"/>
    </row>
    <row r="202" spans="1:13" x14ac:dyDescent="0.3">
      <c r="A202" s="7">
        <v>43762</v>
      </c>
      <c r="B202" s="8">
        <v>6.22</v>
      </c>
      <c r="C202" s="10">
        <f t="shared" si="6"/>
        <v>1.9672131147541003E-2</v>
      </c>
      <c r="E202" s="7">
        <v>43762</v>
      </c>
      <c r="F202" s="9">
        <v>33762.480000000003</v>
      </c>
      <c r="G202" s="10">
        <f t="shared" si="7"/>
        <v>9.65290049040529E-3</v>
      </c>
      <c r="K202" s="13"/>
      <c r="L202" s="13"/>
      <c r="M202" s="13"/>
    </row>
    <row r="203" spans="1:13" x14ac:dyDescent="0.3">
      <c r="A203" s="7">
        <v>43763</v>
      </c>
      <c r="B203" s="8">
        <v>6.15</v>
      </c>
      <c r="C203" s="10">
        <f t="shared" si="6"/>
        <v>-1.1254019292604405E-2</v>
      </c>
      <c r="E203" s="7">
        <v>43763</v>
      </c>
      <c r="F203" s="9">
        <v>33657.46</v>
      </c>
      <c r="G203" s="10">
        <f t="shared" si="7"/>
        <v>-3.110553490146579E-3</v>
      </c>
      <c r="K203" s="13"/>
      <c r="L203" s="13"/>
      <c r="M203" s="13"/>
    </row>
    <row r="204" spans="1:13" x14ac:dyDescent="0.3">
      <c r="A204" s="7">
        <v>43766</v>
      </c>
      <c r="B204" s="8">
        <v>6.55</v>
      </c>
      <c r="C204" s="10">
        <f t="shared" si="6"/>
        <v>6.5040650406503975E-2</v>
      </c>
      <c r="E204" s="7">
        <v>43766</v>
      </c>
      <c r="F204" s="9">
        <v>33861.589999999997</v>
      </c>
      <c r="G204" s="10">
        <f t="shared" si="7"/>
        <v>6.0649258737883781E-3</v>
      </c>
      <c r="K204" s="13"/>
      <c r="L204" s="13"/>
      <c r="M204" s="13"/>
    </row>
    <row r="205" spans="1:13" x14ac:dyDescent="0.3">
      <c r="A205" s="7">
        <v>43767</v>
      </c>
      <c r="B205" s="8">
        <v>6.72</v>
      </c>
      <c r="C205" s="10">
        <f t="shared" si="6"/>
        <v>2.5954198473282432E-2</v>
      </c>
      <c r="E205" s="7">
        <v>43767</v>
      </c>
      <c r="F205" s="9">
        <v>33797.51</v>
      </c>
      <c r="G205" s="10">
        <f t="shared" si="7"/>
        <v>-1.8924096594399281E-3</v>
      </c>
      <c r="K205" s="13"/>
      <c r="L205" s="13"/>
      <c r="M205" s="13"/>
    </row>
    <row r="206" spans="1:13" x14ac:dyDescent="0.3">
      <c r="A206" s="7">
        <v>43768</v>
      </c>
      <c r="B206" s="8">
        <v>6.68</v>
      </c>
      <c r="C206" s="10">
        <f t="shared" si="6"/>
        <v>-5.9523809523809581E-3</v>
      </c>
      <c r="E206" s="7">
        <v>43768</v>
      </c>
      <c r="F206" s="9">
        <v>33761.410000000003</v>
      </c>
      <c r="G206" s="10">
        <f t="shared" si="7"/>
        <v>-1.0681260246686382E-3</v>
      </c>
      <c r="K206" s="13"/>
      <c r="L206" s="13"/>
      <c r="M206" s="13"/>
    </row>
    <row r="207" spans="1:13" x14ac:dyDescent="0.3">
      <c r="A207" s="7">
        <v>43769</v>
      </c>
      <c r="B207" s="8">
        <v>6.78</v>
      </c>
      <c r="C207" s="10">
        <f t="shared" si="6"/>
        <v>1.4970059880239601E-2</v>
      </c>
      <c r="E207" s="7">
        <v>43769</v>
      </c>
      <c r="F207" s="9">
        <v>34203.68</v>
      </c>
      <c r="G207" s="10">
        <f t="shared" si="7"/>
        <v>1.3099867570696744E-2</v>
      </c>
      <c r="K207" s="13"/>
      <c r="L207" s="13"/>
      <c r="M207" s="13"/>
    </row>
    <row r="208" spans="1:13" x14ac:dyDescent="0.3">
      <c r="A208" s="7">
        <v>43770</v>
      </c>
      <c r="B208" s="8">
        <v>6.59</v>
      </c>
      <c r="C208" s="10">
        <f t="shared" si="6"/>
        <v>-2.8023598820059052E-2</v>
      </c>
      <c r="E208" s="7">
        <v>43770</v>
      </c>
      <c r="F208" s="9">
        <v>34377.61</v>
      </c>
      <c r="G208" s="10">
        <f t="shared" si="7"/>
        <v>5.0851253432379288E-3</v>
      </c>
      <c r="K208" s="13"/>
      <c r="L208" s="13"/>
      <c r="M208" s="13"/>
    </row>
    <row r="209" spans="1:13" x14ac:dyDescent="0.3">
      <c r="A209" s="7">
        <v>43773</v>
      </c>
      <c r="B209" s="8">
        <v>6.63</v>
      </c>
      <c r="C209" s="10">
        <f t="shared" si="6"/>
        <v>6.0698027314112345E-3</v>
      </c>
      <c r="E209" s="7">
        <v>43773</v>
      </c>
      <c r="F209" s="9">
        <v>35277.46</v>
      </c>
      <c r="G209" s="10">
        <f t="shared" si="7"/>
        <v>2.6175467113624201E-2</v>
      </c>
      <c r="K209" s="13"/>
      <c r="L209" s="13"/>
      <c r="M209" s="13"/>
    </row>
    <row r="210" spans="1:13" x14ac:dyDescent="0.3">
      <c r="A210" s="7">
        <v>43774</v>
      </c>
      <c r="B210" s="8">
        <v>6.86</v>
      </c>
      <c r="C210" s="10">
        <f t="shared" si="6"/>
        <v>3.4690799396681814E-2</v>
      </c>
      <c r="E210" s="7">
        <v>43774</v>
      </c>
      <c r="F210" s="9">
        <v>35358.31</v>
      </c>
      <c r="G210" s="10">
        <f t="shared" si="7"/>
        <v>2.2918316681529382E-3</v>
      </c>
      <c r="K210" s="13"/>
      <c r="L210" s="13"/>
      <c r="M210" s="13"/>
    </row>
    <row r="211" spans="1:13" x14ac:dyDescent="0.3">
      <c r="A211" s="7">
        <v>43775</v>
      </c>
      <c r="B211" s="8">
        <v>7.36</v>
      </c>
      <c r="C211" s="10">
        <f t="shared" si="6"/>
        <v>7.2886297376093284E-2</v>
      </c>
      <c r="E211" s="7">
        <v>43775</v>
      </c>
      <c r="F211" s="9">
        <v>35653.33</v>
      </c>
      <c r="G211" s="10">
        <f t="shared" si="7"/>
        <v>8.3437245728091667E-3</v>
      </c>
      <c r="K211" s="13"/>
      <c r="L211" s="13"/>
      <c r="M211" s="13"/>
    </row>
    <row r="212" spans="1:13" x14ac:dyDescent="0.3">
      <c r="A212" s="7">
        <v>43776</v>
      </c>
      <c r="B212" s="8">
        <v>7.75</v>
      </c>
      <c r="C212" s="10">
        <f t="shared" si="6"/>
        <v>5.298913043478256E-2</v>
      </c>
      <c r="E212" s="7">
        <v>43776</v>
      </c>
      <c r="F212" s="9">
        <v>35758.519999999997</v>
      </c>
      <c r="G212" s="10">
        <f t="shared" si="7"/>
        <v>2.9503555488363934E-3</v>
      </c>
      <c r="K212" s="13"/>
      <c r="L212" s="13"/>
      <c r="M212" s="13"/>
    </row>
    <row r="213" spans="1:13" x14ac:dyDescent="0.3">
      <c r="A213" s="7">
        <v>43777</v>
      </c>
      <c r="B213" s="8">
        <v>7.59</v>
      </c>
      <c r="C213" s="10">
        <f t="shared" si="6"/>
        <v>-2.0645161290322598E-2</v>
      </c>
      <c r="E213" s="7">
        <v>43777</v>
      </c>
      <c r="F213" s="9">
        <v>35978.160000000003</v>
      </c>
      <c r="G213" s="10">
        <f t="shared" si="7"/>
        <v>6.14231237758181E-3</v>
      </c>
      <c r="K213" s="13"/>
      <c r="L213" s="13"/>
      <c r="M213" s="13"/>
    </row>
    <row r="214" spans="1:13" x14ac:dyDescent="0.3">
      <c r="A214" s="7">
        <v>43780</v>
      </c>
      <c r="B214" s="8">
        <v>7.67</v>
      </c>
      <c r="C214" s="10">
        <f t="shared" si="6"/>
        <v>1.0540184453227941E-2</v>
      </c>
      <c r="E214" s="7">
        <v>43780</v>
      </c>
      <c r="F214" s="9">
        <v>36803.1</v>
      </c>
      <c r="G214" s="10">
        <f t="shared" si="7"/>
        <v>2.2928910205524546E-2</v>
      </c>
      <c r="K214" s="13"/>
      <c r="L214" s="13"/>
      <c r="M214" s="13"/>
    </row>
    <row r="215" spans="1:13" x14ac:dyDescent="0.3">
      <c r="A215" s="7">
        <v>43781</v>
      </c>
      <c r="B215" s="8">
        <v>7.72</v>
      </c>
      <c r="C215" s="10">
        <f t="shared" si="6"/>
        <v>6.5189048239895466E-3</v>
      </c>
      <c r="E215" s="7">
        <v>43781</v>
      </c>
      <c r="F215" s="9">
        <v>36765.56</v>
      </c>
      <c r="G215" s="10">
        <f t="shared" si="7"/>
        <v>-1.0200227698210444E-3</v>
      </c>
      <c r="K215" s="13"/>
      <c r="L215" s="13"/>
      <c r="M215" s="13"/>
    </row>
    <row r="216" spans="1:13" x14ac:dyDescent="0.3">
      <c r="A216" s="7">
        <v>43782</v>
      </c>
      <c r="B216" s="8">
        <v>7.64</v>
      </c>
      <c r="C216" s="10">
        <f t="shared" si="6"/>
        <v>-1.0362694300518144E-2</v>
      </c>
      <c r="E216" s="7">
        <v>43782</v>
      </c>
      <c r="F216" s="9">
        <v>37166.959999999999</v>
      </c>
      <c r="G216" s="10">
        <f t="shared" si="7"/>
        <v>1.0917826357058113E-2</v>
      </c>
      <c r="K216" s="13"/>
      <c r="L216" s="13"/>
      <c r="M216" s="13"/>
    </row>
    <row r="217" spans="1:13" x14ac:dyDescent="0.3">
      <c r="A217" s="7">
        <v>43783</v>
      </c>
      <c r="B217" s="8">
        <v>7.59</v>
      </c>
      <c r="C217" s="10">
        <f t="shared" si="6"/>
        <v>-6.5445026178010245E-3</v>
      </c>
      <c r="E217" s="7">
        <v>43783</v>
      </c>
      <c r="F217" s="9">
        <v>37243.199999999997</v>
      </c>
      <c r="G217" s="10">
        <f t="shared" si="7"/>
        <v>2.0512842589223861E-3</v>
      </c>
      <c r="K217" s="13"/>
      <c r="L217" s="13"/>
      <c r="M217" s="13"/>
    </row>
    <row r="218" spans="1:13" x14ac:dyDescent="0.3">
      <c r="A218" s="7">
        <v>43784</v>
      </c>
      <c r="B218" s="8">
        <v>7.88</v>
      </c>
      <c r="C218" s="10">
        <f t="shared" si="6"/>
        <v>3.8208168642951255E-2</v>
      </c>
      <c r="E218" s="7">
        <v>43784</v>
      </c>
      <c r="F218" s="9">
        <v>37583.89</v>
      </c>
      <c r="G218" s="10">
        <f t="shared" si="7"/>
        <v>9.1477101860205981E-3</v>
      </c>
      <c r="K218" s="13"/>
      <c r="L218" s="13"/>
      <c r="M218" s="13"/>
    </row>
    <row r="219" spans="1:13" x14ac:dyDescent="0.3">
      <c r="A219" s="7">
        <v>43787</v>
      </c>
      <c r="B219" s="8">
        <v>7.93</v>
      </c>
      <c r="C219" s="10">
        <f t="shared" si="6"/>
        <v>6.3451776649745967E-3</v>
      </c>
      <c r="E219" s="7">
        <v>43787</v>
      </c>
      <c r="F219" s="9">
        <v>38411.56</v>
      </c>
      <c r="G219" s="10">
        <f t="shared" si="7"/>
        <v>2.2021935462241887E-2</v>
      </c>
      <c r="K219" s="13"/>
      <c r="L219" s="13"/>
      <c r="M219" s="13"/>
    </row>
    <row r="220" spans="1:13" x14ac:dyDescent="0.3">
      <c r="A220" s="7">
        <v>43788</v>
      </c>
      <c r="B220" s="8">
        <v>7.52</v>
      </c>
      <c r="C220" s="10">
        <f t="shared" si="6"/>
        <v>-5.1702395964691068E-2</v>
      </c>
      <c r="E220" s="7">
        <v>43788</v>
      </c>
      <c r="F220" s="9">
        <v>38564.370000000003</v>
      </c>
      <c r="G220" s="10">
        <f t="shared" si="7"/>
        <v>3.9782294705032794E-3</v>
      </c>
      <c r="K220" s="13"/>
      <c r="L220" s="13"/>
      <c r="M220" s="13"/>
    </row>
    <row r="221" spans="1:13" x14ac:dyDescent="0.3">
      <c r="A221" s="7">
        <v>43789</v>
      </c>
      <c r="B221" s="8">
        <v>7.35</v>
      </c>
      <c r="C221" s="10">
        <f t="shared" si="6"/>
        <v>-2.2606382978723395E-2</v>
      </c>
      <c r="E221" s="7">
        <v>43789</v>
      </c>
      <c r="F221" s="9">
        <v>38037.68</v>
      </c>
      <c r="G221" s="10">
        <f t="shared" si="7"/>
        <v>-1.3657425234743944E-2</v>
      </c>
      <c r="K221" s="13"/>
      <c r="L221" s="13"/>
      <c r="M221" s="13"/>
    </row>
    <row r="222" spans="1:13" x14ac:dyDescent="0.3">
      <c r="A222" s="7">
        <v>43790</v>
      </c>
      <c r="B222" s="8">
        <v>7.14</v>
      </c>
      <c r="C222" s="10">
        <f t="shared" si="6"/>
        <v>-2.8571428571428567E-2</v>
      </c>
      <c r="E222" s="7">
        <v>43790</v>
      </c>
      <c r="F222" s="9">
        <v>37101.31</v>
      </c>
      <c r="G222" s="10">
        <f t="shared" si="7"/>
        <v>-2.4616906183552799E-2</v>
      </c>
      <c r="K222" s="13"/>
      <c r="L222" s="13"/>
      <c r="M222" s="13"/>
    </row>
    <row r="223" spans="1:13" x14ac:dyDescent="0.3">
      <c r="A223" s="7">
        <v>43791</v>
      </c>
      <c r="B223" s="8">
        <v>7.34</v>
      </c>
      <c r="C223" s="10">
        <f t="shared" si="6"/>
        <v>2.8011204481792742E-2</v>
      </c>
      <c r="E223" s="7">
        <v>43791</v>
      </c>
      <c r="F223" s="9">
        <v>37925.79</v>
      </c>
      <c r="G223" s="10">
        <f t="shared" si="7"/>
        <v>2.2222395920791026E-2</v>
      </c>
      <c r="K223" s="13"/>
      <c r="L223" s="13"/>
      <c r="M223" s="13"/>
    </row>
    <row r="224" spans="1:13" x14ac:dyDescent="0.3">
      <c r="A224" s="7">
        <v>43794</v>
      </c>
      <c r="B224" s="8">
        <v>7.5</v>
      </c>
      <c r="C224" s="10">
        <f t="shared" si="6"/>
        <v>2.1798365122615824E-2</v>
      </c>
      <c r="E224" s="7">
        <v>43794</v>
      </c>
      <c r="F224" s="9">
        <v>38212.28</v>
      </c>
      <c r="G224" s="10">
        <f t="shared" si="7"/>
        <v>7.5539626201589459E-3</v>
      </c>
      <c r="K224" s="13"/>
      <c r="L224" s="13"/>
      <c r="M224" s="13"/>
    </row>
    <row r="225" spans="1:13" x14ac:dyDescent="0.3">
      <c r="A225" s="7">
        <v>43795</v>
      </c>
      <c r="B225" s="8">
        <v>7.16</v>
      </c>
      <c r="C225" s="10">
        <f t="shared" si="6"/>
        <v>-4.5333333333333316E-2</v>
      </c>
      <c r="E225" s="7">
        <v>43795</v>
      </c>
      <c r="F225" s="9">
        <v>37795.050000000003</v>
      </c>
      <c r="G225" s="10">
        <f t="shared" si="7"/>
        <v>-1.0918741305151013E-2</v>
      </c>
      <c r="K225" s="13"/>
      <c r="L225" s="13"/>
      <c r="M225" s="13"/>
    </row>
    <row r="226" spans="1:13" x14ac:dyDescent="0.3">
      <c r="A226" s="7">
        <v>43796</v>
      </c>
      <c r="B226" s="8">
        <v>7.17</v>
      </c>
      <c r="C226" s="10">
        <f t="shared" si="6"/>
        <v>1.3966480446927076E-3</v>
      </c>
      <c r="E226" s="7">
        <v>43796</v>
      </c>
      <c r="F226" s="9">
        <v>38122.720000000001</v>
      </c>
      <c r="G226" s="10">
        <f t="shared" si="7"/>
        <v>8.6696538303295857E-3</v>
      </c>
      <c r="K226" s="13"/>
      <c r="L226" s="13"/>
      <c r="M226" s="13"/>
    </row>
    <row r="227" spans="1:13" x14ac:dyDescent="0.3">
      <c r="A227" s="7">
        <v>43797</v>
      </c>
      <c r="B227" s="8">
        <v>7.34</v>
      </c>
      <c r="C227" s="10">
        <f t="shared" si="6"/>
        <v>2.3709902370990226E-2</v>
      </c>
      <c r="E227" s="7">
        <v>43797</v>
      </c>
      <c r="F227" s="9">
        <v>38706.269999999997</v>
      </c>
      <c r="G227" s="10">
        <f t="shared" si="7"/>
        <v>1.5307144925650521E-2</v>
      </c>
      <c r="K227" s="13"/>
      <c r="L227" s="13"/>
      <c r="M227" s="13"/>
    </row>
    <row r="228" spans="1:13" x14ac:dyDescent="0.3">
      <c r="A228" s="7">
        <v>43798</v>
      </c>
      <c r="B228" s="8">
        <v>7.72</v>
      </c>
      <c r="C228" s="10">
        <f t="shared" si="6"/>
        <v>5.1771117166212521E-2</v>
      </c>
      <c r="E228" s="7">
        <v>43798</v>
      </c>
      <c r="F228" s="9">
        <v>39287.65</v>
      </c>
      <c r="G228" s="10">
        <f t="shared" si="7"/>
        <v>1.5020305495724716E-2</v>
      </c>
      <c r="K228" s="13"/>
      <c r="L228" s="13"/>
      <c r="M228" s="13"/>
    </row>
    <row r="229" spans="1:13" x14ac:dyDescent="0.3">
      <c r="A229" s="7">
        <v>43801</v>
      </c>
      <c r="B229" s="8">
        <v>8.01</v>
      </c>
      <c r="C229" s="10">
        <f t="shared" si="6"/>
        <v>3.7564766839378247E-2</v>
      </c>
      <c r="E229" s="7">
        <v>43801</v>
      </c>
      <c r="F229" s="9">
        <v>40124.22</v>
      </c>
      <c r="G229" s="10">
        <f t="shared" si="7"/>
        <v>2.1293459904066538E-2</v>
      </c>
      <c r="K229" s="13"/>
      <c r="L229" s="13"/>
      <c r="M229" s="13"/>
    </row>
    <row r="230" spans="1:13" x14ac:dyDescent="0.3">
      <c r="A230" s="7">
        <v>43802</v>
      </c>
      <c r="B230" s="8">
        <v>7.92</v>
      </c>
      <c r="C230" s="10">
        <f t="shared" si="6"/>
        <v>-1.1235955056179758E-2</v>
      </c>
      <c r="E230" s="7">
        <v>43802</v>
      </c>
      <c r="F230" s="9">
        <v>39788.730000000003</v>
      </c>
      <c r="G230" s="10">
        <f t="shared" si="7"/>
        <v>-8.3612840324372145E-3</v>
      </c>
      <c r="K230" s="13"/>
      <c r="L230" s="13"/>
      <c r="M230" s="13"/>
    </row>
    <row r="231" spans="1:13" x14ac:dyDescent="0.3">
      <c r="A231" s="7">
        <v>43803</v>
      </c>
      <c r="B231" s="8">
        <v>8.3800000000000008</v>
      </c>
      <c r="C231" s="10">
        <f t="shared" si="6"/>
        <v>5.8080808080808191E-2</v>
      </c>
      <c r="E231" s="7">
        <v>43803</v>
      </c>
      <c r="F231" s="9">
        <v>40270.519999999997</v>
      </c>
      <c r="G231" s="10">
        <f t="shared" si="7"/>
        <v>1.2108705153444041E-2</v>
      </c>
      <c r="K231" s="13"/>
      <c r="L231" s="13"/>
      <c r="M231" s="13"/>
    </row>
    <row r="232" spans="1:13" x14ac:dyDescent="0.3">
      <c r="A232" s="7">
        <v>43804</v>
      </c>
      <c r="B232" s="8">
        <v>8.5</v>
      </c>
      <c r="C232" s="10">
        <f t="shared" si="6"/>
        <v>1.4319809069212316E-2</v>
      </c>
      <c r="E232" s="7">
        <v>43804</v>
      </c>
      <c r="F232" s="9">
        <v>40641.1</v>
      </c>
      <c r="G232" s="10">
        <f t="shared" si="7"/>
        <v>9.2022650812555139E-3</v>
      </c>
      <c r="K232" s="13"/>
      <c r="L232" s="13"/>
      <c r="M232" s="13"/>
    </row>
    <row r="233" spans="1:13" x14ac:dyDescent="0.3">
      <c r="A233" s="7">
        <v>43805</v>
      </c>
      <c r="B233" s="8">
        <v>8.07</v>
      </c>
      <c r="C233" s="10">
        <f t="shared" si="6"/>
        <v>-5.0588235294117614E-2</v>
      </c>
      <c r="E233" s="7">
        <v>43805</v>
      </c>
      <c r="F233" s="9">
        <v>40732.25</v>
      </c>
      <c r="G233" s="10">
        <f t="shared" si="7"/>
        <v>2.2428034674258682E-3</v>
      </c>
      <c r="K233" s="13"/>
      <c r="L233" s="13"/>
      <c r="M233" s="13"/>
    </row>
    <row r="234" spans="1:13" x14ac:dyDescent="0.3">
      <c r="A234" s="7">
        <v>43808</v>
      </c>
      <c r="B234" s="8">
        <v>7.8</v>
      </c>
      <c r="C234" s="10">
        <f t="shared" si="6"/>
        <v>-3.3457249070632029E-2</v>
      </c>
      <c r="E234" s="7">
        <v>43808</v>
      </c>
      <c r="F234" s="9">
        <v>40442.800000000003</v>
      </c>
      <c r="G234" s="10">
        <f t="shared" si="7"/>
        <v>-7.1061628071122287E-3</v>
      </c>
      <c r="K234" s="13"/>
      <c r="L234" s="13"/>
      <c r="M234" s="13"/>
    </row>
    <row r="235" spans="1:13" x14ac:dyDescent="0.3">
      <c r="A235" s="7">
        <v>43809</v>
      </c>
      <c r="B235" s="8">
        <v>7.74</v>
      </c>
      <c r="C235" s="10">
        <f t="shared" si="6"/>
        <v>-7.6923076923076424E-3</v>
      </c>
      <c r="E235" s="7">
        <v>43809</v>
      </c>
      <c r="F235" s="9">
        <v>40664.6</v>
      </c>
      <c r="G235" s="10">
        <f t="shared" si="7"/>
        <v>5.4842889216373649E-3</v>
      </c>
      <c r="K235" s="13"/>
      <c r="L235" s="13"/>
      <c r="M235" s="13"/>
    </row>
    <row r="236" spans="1:13" x14ac:dyDescent="0.3">
      <c r="A236" s="7">
        <v>43810</v>
      </c>
      <c r="B236" s="8">
        <v>7.51</v>
      </c>
      <c r="C236" s="10">
        <f t="shared" si="6"/>
        <v>-2.9715762273901863E-2</v>
      </c>
      <c r="E236" s="7">
        <v>43810</v>
      </c>
      <c r="F236" s="9">
        <v>40531.42</v>
      </c>
      <c r="G236" s="10">
        <f t="shared" si="7"/>
        <v>-3.2750844715059364E-3</v>
      </c>
      <c r="K236" s="13"/>
      <c r="L236" s="13"/>
      <c r="M236" s="13"/>
    </row>
    <row r="237" spans="1:13" x14ac:dyDescent="0.3">
      <c r="A237" s="7">
        <v>43811</v>
      </c>
      <c r="B237" s="8">
        <v>7.37</v>
      </c>
      <c r="C237" s="10">
        <f t="shared" si="6"/>
        <v>-1.8641810918774926E-2</v>
      </c>
      <c r="E237" s="7">
        <v>43811</v>
      </c>
      <c r="F237" s="9">
        <v>40514.17</v>
      </c>
      <c r="G237" s="10">
        <f t="shared" si="7"/>
        <v>-4.2559574769401122E-4</v>
      </c>
      <c r="K237" s="13"/>
      <c r="L237" s="13"/>
      <c r="M237" s="13"/>
    </row>
    <row r="238" spans="1:13" x14ac:dyDescent="0.3">
      <c r="A238" s="7">
        <v>43812</v>
      </c>
      <c r="B238" s="8">
        <v>7.48</v>
      </c>
      <c r="C238" s="10">
        <f t="shared" si="6"/>
        <v>1.4925373134328401E-2</v>
      </c>
      <c r="E238" s="7">
        <v>43812</v>
      </c>
      <c r="F238" s="9">
        <v>40916.589999999997</v>
      </c>
      <c r="G238" s="10">
        <f t="shared" si="7"/>
        <v>9.9328210352081329E-3</v>
      </c>
      <c r="K238" s="13"/>
      <c r="L238" s="13"/>
      <c r="M238" s="13"/>
    </row>
    <row r="239" spans="1:13" x14ac:dyDescent="0.3">
      <c r="A239" s="7">
        <v>43815</v>
      </c>
      <c r="B239" s="8">
        <v>7.61</v>
      </c>
      <c r="C239" s="10">
        <f t="shared" si="6"/>
        <v>1.7379679144385013E-2</v>
      </c>
      <c r="E239" s="7">
        <v>43815</v>
      </c>
      <c r="F239" s="9">
        <v>41644.879999999997</v>
      </c>
      <c r="G239" s="10">
        <f t="shared" si="7"/>
        <v>1.7799381620022609E-2</v>
      </c>
      <c r="K239" s="13"/>
      <c r="L239" s="13"/>
      <c r="M239" s="13"/>
    </row>
    <row r="240" spans="1:13" x14ac:dyDescent="0.3">
      <c r="A240" s="7">
        <v>43816</v>
      </c>
      <c r="B240" s="8">
        <v>7.41</v>
      </c>
      <c r="C240" s="10">
        <f t="shared" si="6"/>
        <v>-2.6281208935611061E-2</v>
      </c>
      <c r="E240" s="7">
        <v>43816</v>
      </c>
      <c r="F240" s="9">
        <v>41768.660000000003</v>
      </c>
      <c r="G240" s="10">
        <f t="shared" si="7"/>
        <v>2.9722741427038839E-3</v>
      </c>
      <c r="K240" s="13"/>
      <c r="L240" s="13"/>
      <c r="M240" s="13"/>
    </row>
    <row r="241" spans="1:13" x14ac:dyDescent="0.3">
      <c r="A241" s="7">
        <v>43817</v>
      </c>
      <c r="B241" s="8">
        <v>7.29</v>
      </c>
      <c r="C241" s="10">
        <f t="shared" si="6"/>
        <v>-1.6194331983805682E-2</v>
      </c>
      <c r="E241" s="7">
        <v>43817</v>
      </c>
      <c r="F241" s="9">
        <v>41603.71</v>
      </c>
      <c r="G241" s="10">
        <f t="shared" si="7"/>
        <v>-3.9491331539006601E-3</v>
      </c>
      <c r="K241" s="13"/>
      <c r="L241" s="13"/>
      <c r="M241" s="13"/>
    </row>
    <row r="242" spans="1:13" x14ac:dyDescent="0.3">
      <c r="A242" s="7">
        <v>43818</v>
      </c>
      <c r="B242" s="8">
        <v>6.87</v>
      </c>
      <c r="C242" s="10">
        <f t="shared" si="6"/>
        <v>-5.7613168724279823E-2</v>
      </c>
      <c r="E242" s="7">
        <v>43818</v>
      </c>
      <c r="F242" s="9">
        <v>40655.370000000003</v>
      </c>
      <c r="G242" s="10">
        <f t="shared" si="7"/>
        <v>-2.2794601731432041E-2</v>
      </c>
      <c r="K242" s="13"/>
      <c r="L242" s="13"/>
      <c r="M242" s="13"/>
    </row>
    <row r="243" spans="1:13" x14ac:dyDescent="0.3">
      <c r="A243" s="7">
        <v>43819</v>
      </c>
      <c r="B243" s="8">
        <v>6.93</v>
      </c>
      <c r="C243" s="10">
        <f t="shared" si="6"/>
        <v>8.7336244541484139E-3</v>
      </c>
      <c r="E243" s="7">
        <v>43819</v>
      </c>
      <c r="F243" s="9">
        <v>40832.99</v>
      </c>
      <c r="G243" s="10">
        <f t="shared" si="7"/>
        <v>4.3689185463075438E-3</v>
      </c>
      <c r="K243" s="13"/>
      <c r="L243" s="13"/>
      <c r="M243" s="13"/>
    </row>
    <row r="244" spans="1:13" x14ac:dyDescent="0.3">
      <c r="A244" s="7">
        <v>43822</v>
      </c>
      <c r="B244" s="8">
        <v>6.65</v>
      </c>
      <c r="C244" s="10">
        <f t="shared" si="6"/>
        <v>-4.040404040404031E-2</v>
      </c>
      <c r="E244" s="7">
        <v>43822</v>
      </c>
      <c r="F244" s="9">
        <v>40008.29</v>
      </c>
      <c r="G244" s="10">
        <f t="shared" si="7"/>
        <v>-2.0196904512748078E-2</v>
      </c>
      <c r="K244" s="13"/>
      <c r="L244" s="13"/>
      <c r="M244" s="13"/>
    </row>
    <row r="245" spans="1:13" x14ac:dyDescent="0.3">
      <c r="A245" s="7">
        <v>43823</v>
      </c>
      <c r="B245" s="8">
        <v>6.73</v>
      </c>
      <c r="C245" s="10">
        <f t="shared" si="6"/>
        <v>1.2030075187969934E-2</v>
      </c>
      <c r="E245" s="7">
        <v>43823</v>
      </c>
      <c r="F245" s="9">
        <v>40328.32</v>
      </c>
      <c r="G245" s="10">
        <f t="shared" si="7"/>
        <v>7.9990921881439771E-3</v>
      </c>
      <c r="K245" s="13"/>
      <c r="L245" s="13"/>
      <c r="M245" s="13"/>
    </row>
    <row r="246" spans="1:13" x14ac:dyDescent="0.3">
      <c r="A246" s="7">
        <v>43825</v>
      </c>
      <c r="B246" s="8">
        <v>6.93</v>
      </c>
      <c r="C246" s="10">
        <f t="shared" si="6"/>
        <v>2.9717682020802268E-2</v>
      </c>
      <c r="E246" s="7">
        <v>43825</v>
      </c>
      <c r="F246" s="9">
        <v>41127.79</v>
      </c>
      <c r="G246" s="10">
        <f t="shared" si="7"/>
        <v>1.9824034326250167E-2</v>
      </c>
      <c r="K246" s="13"/>
      <c r="L246" s="13"/>
      <c r="M246" s="13"/>
    </row>
    <row r="247" spans="1:13" x14ac:dyDescent="0.3">
      <c r="A247" s="7">
        <v>43826</v>
      </c>
      <c r="B247" s="8">
        <v>6.75</v>
      </c>
      <c r="C247" s="10">
        <f t="shared" si="6"/>
        <v>-2.5974025974025934E-2</v>
      </c>
      <c r="E247" s="7">
        <v>43826</v>
      </c>
      <c r="F247" s="9">
        <v>40848.53</v>
      </c>
      <c r="G247" s="10">
        <f t="shared" si="7"/>
        <v>-6.7900560667130917E-3</v>
      </c>
      <c r="K247" s="13"/>
      <c r="L247" s="13"/>
      <c r="M247" s="13"/>
    </row>
    <row r="248" spans="1:13" x14ac:dyDescent="0.3">
      <c r="A248" s="7">
        <v>43829</v>
      </c>
      <c r="B248" s="8">
        <v>6.79</v>
      </c>
      <c r="C248" s="10">
        <f t="shared" si="6"/>
        <v>5.9259259259259308E-3</v>
      </c>
      <c r="E248" s="7">
        <v>43829</v>
      </c>
      <c r="F248" s="9">
        <v>40887.620000000003</v>
      </c>
      <c r="G248" s="10">
        <f t="shared" si="7"/>
        <v>9.5694998081947589E-4</v>
      </c>
      <c r="K248" s="13"/>
      <c r="L248" s="13"/>
      <c r="M248" s="13"/>
    </row>
    <row r="249" spans="1:13" x14ac:dyDescent="0.3">
      <c r="A249" s="7">
        <v>43830</v>
      </c>
      <c r="B249" s="8">
        <v>6.82</v>
      </c>
      <c r="C249" s="10">
        <f t="shared" si="6"/>
        <v>4.4182621502209495E-3</v>
      </c>
      <c r="E249" s="7">
        <v>43830</v>
      </c>
      <c r="F249" s="9">
        <v>40735.08</v>
      </c>
      <c r="G249" s="10">
        <f t="shared" si="7"/>
        <v>-3.7307135998622776E-3</v>
      </c>
      <c r="K249" s="13"/>
      <c r="L249" s="13"/>
      <c r="M249" s="13"/>
    </row>
    <row r="250" spans="1:13" x14ac:dyDescent="0.3">
      <c r="A250" s="7">
        <v>43831</v>
      </c>
      <c r="B250" s="8">
        <v>7.2</v>
      </c>
      <c r="C250" s="10">
        <f t="shared" si="6"/>
        <v>5.5718475073313768E-2</v>
      </c>
      <c r="E250" s="7">
        <v>43831</v>
      </c>
      <c r="F250" s="9">
        <v>41400</v>
      </c>
      <c r="G250" s="10">
        <f t="shared" si="7"/>
        <v>1.6323031647415404E-2</v>
      </c>
      <c r="K250" s="13"/>
      <c r="L250" s="13"/>
      <c r="M250" s="13"/>
    </row>
    <row r="251" spans="1:13" x14ac:dyDescent="0.3">
      <c r="A251" s="7">
        <v>43832</v>
      </c>
      <c r="B251" s="8">
        <v>7.28</v>
      </c>
      <c r="C251" s="10">
        <f t="shared" si="6"/>
        <v>1.111111111111112E-2</v>
      </c>
      <c r="E251" s="7">
        <v>43832</v>
      </c>
      <c r="F251" s="9">
        <v>42480.76</v>
      </c>
      <c r="G251" s="10">
        <f t="shared" si="7"/>
        <v>2.6105314009661883E-2</v>
      </c>
      <c r="K251" s="13"/>
      <c r="L251" s="13"/>
      <c r="M251" s="13"/>
    </row>
    <row r="252" spans="1:13" x14ac:dyDescent="0.3">
      <c r="A252" s="7">
        <v>43833</v>
      </c>
      <c r="B252" s="8">
        <v>7.09</v>
      </c>
      <c r="C252" s="10">
        <f t="shared" si="6"/>
        <v>-2.6098901098901152E-2</v>
      </c>
      <c r="E252" s="7">
        <v>43833</v>
      </c>
      <c r="F252" s="9">
        <v>42323.3</v>
      </c>
      <c r="G252" s="10">
        <f t="shared" si="7"/>
        <v>-3.7066191847791594E-3</v>
      </c>
      <c r="K252" s="13"/>
      <c r="L252" s="13"/>
      <c r="M252" s="13"/>
    </row>
    <row r="253" spans="1:13" x14ac:dyDescent="0.3">
      <c r="A253" s="7">
        <v>43836</v>
      </c>
      <c r="B253" s="8">
        <v>6.74</v>
      </c>
      <c r="C253" s="10">
        <f t="shared" si="6"/>
        <v>-4.9365303244005593E-2</v>
      </c>
      <c r="E253" s="7">
        <v>43836</v>
      </c>
      <c r="F253" s="9">
        <v>41296.239999999998</v>
      </c>
      <c r="G253" s="10">
        <f t="shared" si="7"/>
        <v>-2.4267011315280352E-2</v>
      </c>
      <c r="K253" s="13"/>
      <c r="L253" s="13"/>
      <c r="M253" s="13"/>
    </row>
    <row r="254" spans="1:13" x14ac:dyDescent="0.3">
      <c r="A254" s="7">
        <v>43837</v>
      </c>
      <c r="B254" s="8">
        <v>6.99</v>
      </c>
      <c r="C254" s="10">
        <f t="shared" si="6"/>
        <v>3.7091988130563795E-2</v>
      </c>
      <c r="E254" s="7">
        <v>43837</v>
      </c>
      <c r="F254" s="9">
        <v>41904.47</v>
      </c>
      <c r="G254" s="10">
        <f t="shared" si="7"/>
        <v>1.4728459540142232E-2</v>
      </c>
      <c r="K254" s="13"/>
      <c r="L254" s="13"/>
      <c r="M254" s="13"/>
    </row>
    <row r="255" spans="1:13" x14ac:dyDescent="0.3">
      <c r="A255" s="7">
        <v>43838</v>
      </c>
      <c r="B255" s="8">
        <v>6.64</v>
      </c>
      <c r="C255" s="10">
        <f t="shared" si="6"/>
        <v>-5.007153075822611E-2</v>
      </c>
      <c r="E255" s="7">
        <v>43838</v>
      </c>
      <c r="F255" s="9">
        <v>41357.56</v>
      </c>
      <c r="G255" s="10">
        <f t="shared" si="7"/>
        <v>-1.305135227816993E-2</v>
      </c>
      <c r="K255" s="13"/>
      <c r="L255" s="13"/>
      <c r="M255" s="13"/>
    </row>
    <row r="256" spans="1:13" x14ac:dyDescent="0.3">
      <c r="A256" s="7">
        <v>43839</v>
      </c>
      <c r="B256" s="8">
        <v>6.99</v>
      </c>
      <c r="C256" s="10">
        <f t="shared" si="6"/>
        <v>5.2710843373494055E-2</v>
      </c>
      <c r="E256" s="7">
        <v>43839</v>
      </c>
      <c r="F256" s="9">
        <v>42523.07</v>
      </c>
      <c r="G256" s="10">
        <f t="shared" si="7"/>
        <v>2.8181304699793751E-2</v>
      </c>
      <c r="K256" s="13"/>
      <c r="L256" s="13"/>
      <c r="M256" s="13"/>
    </row>
    <row r="257" spans="1:13" x14ac:dyDescent="0.3">
      <c r="A257" s="7">
        <v>43840</v>
      </c>
      <c r="B257" s="8">
        <v>7.05</v>
      </c>
      <c r="C257" s="10">
        <f t="shared" si="6"/>
        <v>8.583690987124408E-3</v>
      </c>
      <c r="E257" s="7">
        <v>43840</v>
      </c>
      <c r="F257" s="9">
        <v>43207.05</v>
      </c>
      <c r="G257" s="10">
        <f t="shared" si="7"/>
        <v>1.6084915788065236E-2</v>
      </c>
      <c r="K257" s="13"/>
      <c r="L257" s="13"/>
      <c r="M257" s="13"/>
    </row>
    <row r="258" spans="1:13" x14ac:dyDescent="0.3">
      <c r="A258" s="7">
        <v>43843</v>
      </c>
      <c r="B258" s="8">
        <v>8.0500000000000007</v>
      </c>
      <c r="C258" s="10">
        <f t="shared" si="6"/>
        <v>0.1418439716312058</v>
      </c>
      <c r="E258" s="7">
        <v>43843</v>
      </c>
      <c r="F258" s="9">
        <v>43218.67</v>
      </c>
      <c r="G258" s="10">
        <f t="shared" si="7"/>
        <v>2.6893759236039816E-4</v>
      </c>
      <c r="K258" s="13"/>
      <c r="L258" s="13"/>
      <c r="M258" s="13"/>
    </row>
    <row r="259" spans="1:13" x14ac:dyDescent="0.3">
      <c r="A259" s="7">
        <v>43844</v>
      </c>
      <c r="B259" s="8">
        <v>8.58</v>
      </c>
      <c r="C259" s="10">
        <f t="shared" si="6"/>
        <v>6.58385093167701E-2</v>
      </c>
      <c r="E259" s="7">
        <v>43844</v>
      </c>
      <c r="F259" s="9">
        <v>43207.040000000001</v>
      </c>
      <c r="G259" s="10">
        <f t="shared" si="7"/>
        <v>-2.6909666586216979E-4</v>
      </c>
      <c r="K259" s="13"/>
      <c r="L259" s="13"/>
      <c r="M259" s="13"/>
    </row>
    <row r="260" spans="1:13" x14ac:dyDescent="0.3">
      <c r="A260" s="7">
        <v>43845</v>
      </c>
      <c r="B260" s="8">
        <v>8.52</v>
      </c>
      <c r="C260" s="10">
        <f t="shared" si="6"/>
        <v>-6.9930069930070511E-3</v>
      </c>
      <c r="E260" s="7">
        <v>43845</v>
      </c>
      <c r="F260" s="9">
        <v>42993.03</v>
      </c>
      <c r="G260" s="10">
        <f t="shared" si="7"/>
        <v>-4.9531280087689884E-3</v>
      </c>
      <c r="K260" s="13"/>
      <c r="L260" s="13"/>
      <c r="M260" s="13"/>
    </row>
    <row r="261" spans="1:13" x14ac:dyDescent="0.3">
      <c r="A261" s="7">
        <v>43846</v>
      </c>
      <c r="B261" s="8">
        <v>8.69</v>
      </c>
      <c r="C261" s="10">
        <f t="shared" ref="C261:C324" si="8">(B261-B260)/B260</f>
        <v>1.9953051643192481E-2</v>
      </c>
      <c r="E261" s="7">
        <v>43846</v>
      </c>
      <c r="F261" s="9">
        <v>43065.1</v>
      </c>
      <c r="G261" s="10">
        <f t="shared" ref="G261:G324" si="9">(F261-F260)/F260</f>
        <v>1.676318231117921E-3</v>
      </c>
      <c r="K261" s="13"/>
      <c r="L261" s="13"/>
      <c r="M261" s="13"/>
    </row>
    <row r="262" spans="1:13" x14ac:dyDescent="0.3">
      <c r="A262" s="7">
        <v>43847</v>
      </c>
      <c r="B262" s="8">
        <v>8.7899999999999991</v>
      </c>
      <c r="C262" s="10">
        <f t="shared" si="8"/>
        <v>1.1507479861910202E-2</v>
      </c>
      <c r="E262" s="7">
        <v>43847</v>
      </c>
      <c r="F262" s="9">
        <v>43167.77</v>
      </c>
      <c r="G262" s="10">
        <f t="shared" si="9"/>
        <v>2.3840650549980902E-3</v>
      </c>
      <c r="K262" s="13"/>
      <c r="L262" s="13"/>
      <c r="M262" s="13"/>
    </row>
    <row r="263" spans="1:13" x14ac:dyDescent="0.3">
      <c r="A263" s="7">
        <v>43850</v>
      </c>
      <c r="B263" s="8">
        <v>8.57</v>
      </c>
      <c r="C263" s="10">
        <f t="shared" si="8"/>
        <v>-2.5028441410693842E-2</v>
      </c>
      <c r="E263" s="7">
        <v>43850</v>
      </c>
      <c r="F263" s="9">
        <v>42747.63</v>
      </c>
      <c r="G263" s="10">
        <f t="shared" si="9"/>
        <v>-9.7327242060453768E-3</v>
      </c>
      <c r="K263" s="13"/>
      <c r="L263" s="13"/>
      <c r="M263" s="13"/>
    </row>
    <row r="264" spans="1:13" x14ac:dyDescent="0.3">
      <c r="A264" s="7">
        <v>43851</v>
      </c>
      <c r="B264" s="8">
        <v>9.09</v>
      </c>
      <c r="C264" s="10">
        <f t="shared" si="8"/>
        <v>6.0676779463243825E-2</v>
      </c>
      <c r="E264" s="7">
        <v>43851</v>
      </c>
      <c r="F264" s="9">
        <v>42626.48</v>
      </c>
      <c r="G264" s="10">
        <f t="shared" si="9"/>
        <v>-2.8340752458088131E-3</v>
      </c>
      <c r="K264" s="13"/>
      <c r="L264" s="13"/>
      <c r="M264" s="13"/>
    </row>
    <row r="265" spans="1:13" x14ac:dyDescent="0.3">
      <c r="A265" s="7">
        <v>43852</v>
      </c>
      <c r="B265" s="8">
        <v>8.85</v>
      </c>
      <c r="C265" s="10">
        <f t="shared" si="8"/>
        <v>-2.6402640264026427E-2</v>
      </c>
      <c r="E265" s="7">
        <v>43852</v>
      </c>
      <c r="F265" s="9">
        <v>42561.27</v>
      </c>
      <c r="G265" s="10">
        <f t="shared" si="9"/>
        <v>-1.5298002556159082E-3</v>
      </c>
      <c r="K265" s="13"/>
      <c r="L265" s="13"/>
      <c r="M265" s="13"/>
    </row>
    <row r="266" spans="1:13" x14ac:dyDescent="0.3">
      <c r="A266" s="7">
        <v>43853</v>
      </c>
      <c r="B266" s="8">
        <v>8.57</v>
      </c>
      <c r="C266" s="10">
        <f t="shared" si="8"/>
        <v>-3.1638418079095974E-2</v>
      </c>
      <c r="E266" s="7">
        <v>43853</v>
      </c>
      <c r="F266" s="9">
        <v>42506.95</v>
      </c>
      <c r="G266" s="10">
        <f t="shared" si="9"/>
        <v>-1.2762777050590764E-3</v>
      </c>
      <c r="K266" s="13"/>
      <c r="L266" s="13"/>
      <c r="M266" s="13"/>
    </row>
    <row r="267" spans="1:13" x14ac:dyDescent="0.3">
      <c r="A267" s="7">
        <v>43854</v>
      </c>
      <c r="B267" s="8">
        <v>8.76</v>
      </c>
      <c r="C267" s="10">
        <f t="shared" si="8"/>
        <v>2.2170361726954434E-2</v>
      </c>
      <c r="E267" s="7">
        <v>43854</v>
      </c>
      <c r="F267" s="9">
        <v>42633.03</v>
      </c>
      <c r="G267" s="10">
        <f t="shared" si="9"/>
        <v>2.9661031901842346E-3</v>
      </c>
      <c r="K267" s="13"/>
      <c r="L267" s="13"/>
      <c r="M267" s="13"/>
    </row>
    <row r="268" spans="1:13" x14ac:dyDescent="0.3">
      <c r="A268" s="7">
        <v>43857</v>
      </c>
      <c r="B268" s="8">
        <v>8.51</v>
      </c>
      <c r="C268" s="10">
        <f t="shared" si="8"/>
        <v>-2.853881278538813E-2</v>
      </c>
      <c r="E268" s="7">
        <v>43857</v>
      </c>
      <c r="F268" s="9">
        <v>42539.23</v>
      </c>
      <c r="G268" s="10">
        <f t="shared" si="9"/>
        <v>-2.2001720262433996E-3</v>
      </c>
      <c r="K268" s="13"/>
      <c r="L268" s="13"/>
      <c r="M268" s="13"/>
    </row>
    <row r="269" spans="1:13" x14ac:dyDescent="0.3">
      <c r="A269" s="7">
        <v>43858</v>
      </c>
      <c r="B269" s="8">
        <v>8.5399999999999991</v>
      </c>
      <c r="C269" s="10">
        <f t="shared" si="8"/>
        <v>3.5252643948295373E-3</v>
      </c>
      <c r="E269" s="7">
        <v>43858</v>
      </c>
      <c r="F269" s="9">
        <v>42299.19</v>
      </c>
      <c r="G269" s="10">
        <f t="shared" si="9"/>
        <v>-5.6427913716350971E-3</v>
      </c>
      <c r="K269" s="13"/>
      <c r="L269" s="13"/>
      <c r="M269" s="13"/>
    </row>
    <row r="270" spans="1:13" x14ac:dyDescent="0.3">
      <c r="A270" s="7">
        <v>43859</v>
      </c>
      <c r="B270" s="8">
        <v>8.3800000000000008</v>
      </c>
      <c r="C270" s="10">
        <f t="shared" si="8"/>
        <v>-1.8735362997657889E-2</v>
      </c>
      <c r="E270" s="7">
        <v>43859</v>
      </c>
      <c r="F270" s="9">
        <v>41898.699999999997</v>
      </c>
      <c r="G270" s="10">
        <f t="shared" si="9"/>
        <v>-9.4680300024658909E-3</v>
      </c>
      <c r="K270" s="13"/>
      <c r="L270" s="13"/>
      <c r="M270" s="13"/>
    </row>
    <row r="271" spans="1:13" x14ac:dyDescent="0.3">
      <c r="A271" s="7">
        <v>43860</v>
      </c>
      <c r="B271" s="8">
        <v>8.26</v>
      </c>
      <c r="C271" s="10">
        <f t="shared" si="8"/>
        <v>-1.4319809069212527E-2</v>
      </c>
      <c r="E271" s="7">
        <v>43860</v>
      </c>
      <c r="F271" s="9">
        <v>41903.51</v>
      </c>
      <c r="G271" s="10">
        <f t="shared" si="9"/>
        <v>1.1480069787379914E-4</v>
      </c>
      <c r="K271" s="13"/>
      <c r="L271" s="13"/>
      <c r="M271" s="13"/>
    </row>
    <row r="272" spans="1:13" x14ac:dyDescent="0.3">
      <c r="A272" s="7">
        <v>43861</v>
      </c>
      <c r="B272" s="8">
        <v>8.39</v>
      </c>
      <c r="C272" s="10">
        <f t="shared" si="8"/>
        <v>1.5738498789346342E-2</v>
      </c>
      <c r="E272" s="7">
        <v>43861</v>
      </c>
      <c r="F272" s="9">
        <v>41630.94</v>
      </c>
      <c r="G272" s="10">
        <f t="shared" si="9"/>
        <v>-6.5047056917188961E-3</v>
      </c>
      <c r="K272" s="13"/>
      <c r="L272" s="13"/>
      <c r="M272" s="13"/>
    </row>
    <row r="273" spans="1:13" x14ac:dyDescent="0.3">
      <c r="A273" s="7">
        <v>43864</v>
      </c>
      <c r="B273" s="8">
        <v>7.97</v>
      </c>
      <c r="C273" s="10">
        <f t="shared" si="8"/>
        <v>-5.0059594755661595E-2</v>
      </c>
      <c r="E273" s="7">
        <v>43864</v>
      </c>
      <c r="F273" s="9">
        <v>40409.379999999997</v>
      </c>
      <c r="G273" s="10">
        <f t="shared" si="9"/>
        <v>-2.9342599518531288E-2</v>
      </c>
      <c r="K273" s="13"/>
      <c r="L273" s="13"/>
      <c r="M273" s="13"/>
    </row>
    <row r="274" spans="1:13" x14ac:dyDescent="0.3">
      <c r="A274" s="7">
        <v>43865</v>
      </c>
      <c r="B274" s="8">
        <v>8</v>
      </c>
      <c r="C274" s="10">
        <f t="shared" si="8"/>
        <v>3.7641154328733059E-3</v>
      </c>
      <c r="E274" s="7">
        <v>43865</v>
      </c>
      <c r="F274" s="9">
        <v>40884.25</v>
      </c>
      <c r="G274" s="10">
        <f t="shared" si="9"/>
        <v>1.1751479483228959E-2</v>
      </c>
      <c r="K274" s="13"/>
      <c r="L274" s="13"/>
      <c r="M274" s="13"/>
    </row>
    <row r="275" spans="1:13" x14ac:dyDescent="0.3">
      <c r="A275" s="7">
        <v>43867</v>
      </c>
      <c r="B275" s="8">
        <v>7.85</v>
      </c>
      <c r="C275" s="10">
        <f t="shared" si="8"/>
        <v>-1.8750000000000044E-2</v>
      </c>
      <c r="E275" s="7">
        <v>43867</v>
      </c>
      <c r="F275" s="9">
        <v>40724.410000000003</v>
      </c>
      <c r="G275" s="10">
        <f t="shared" si="9"/>
        <v>-3.9095739802001142E-3</v>
      </c>
      <c r="K275" s="13"/>
      <c r="L275" s="13"/>
      <c r="M275" s="13"/>
    </row>
    <row r="276" spans="1:13" x14ac:dyDescent="0.3">
      <c r="A276" s="7">
        <v>43868</v>
      </c>
      <c r="B276" s="8">
        <v>7.47</v>
      </c>
      <c r="C276" s="10">
        <f t="shared" si="8"/>
        <v>-4.84076433121019E-2</v>
      </c>
      <c r="E276" s="7">
        <v>43868</v>
      </c>
      <c r="F276" s="9">
        <v>40143.629999999997</v>
      </c>
      <c r="G276" s="10">
        <f t="shared" si="9"/>
        <v>-1.4261225638382632E-2</v>
      </c>
      <c r="K276" s="13"/>
      <c r="L276" s="13"/>
      <c r="M276" s="13"/>
    </row>
    <row r="277" spans="1:13" x14ac:dyDescent="0.3">
      <c r="A277" s="7">
        <v>43871</v>
      </c>
      <c r="B277" s="8">
        <v>7.12</v>
      </c>
      <c r="C277" s="10">
        <f t="shared" si="8"/>
        <v>-4.6854082998661263E-2</v>
      </c>
      <c r="E277" s="7">
        <v>43871</v>
      </c>
      <c r="F277" s="9">
        <v>39296.699999999997</v>
      </c>
      <c r="G277" s="10">
        <f t="shared" si="9"/>
        <v>-2.109749417279903E-2</v>
      </c>
      <c r="K277" s="13"/>
      <c r="L277" s="13"/>
      <c r="M277" s="13"/>
    </row>
    <row r="278" spans="1:13" x14ac:dyDescent="0.3">
      <c r="A278" s="7">
        <v>43872</v>
      </c>
      <c r="B278" s="8">
        <v>7.43</v>
      </c>
      <c r="C278" s="10">
        <f t="shared" si="8"/>
        <v>4.3539325842696576E-2</v>
      </c>
      <c r="E278" s="7">
        <v>43872</v>
      </c>
      <c r="F278" s="9">
        <v>39714.46</v>
      </c>
      <c r="G278" s="10">
        <f t="shared" si="9"/>
        <v>1.0630918117806382E-2</v>
      </c>
      <c r="K278" s="13"/>
      <c r="L278" s="13"/>
      <c r="M278" s="13"/>
    </row>
    <row r="279" spans="1:13" x14ac:dyDescent="0.3">
      <c r="A279" s="7">
        <v>43873</v>
      </c>
      <c r="B279" s="8">
        <v>7.68</v>
      </c>
      <c r="C279" s="10">
        <f t="shared" si="8"/>
        <v>3.3647375504710635E-2</v>
      </c>
      <c r="E279" s="7">
        <v>43873</v>
      </c>
      <c r="F279" s="9">
        <v>40531.129999999997</v>
      </c>
      <c r="G279" s="10">
        <f t="shared" si="9"/>
        <v>2.0563542850639244E-2</v>
      </c>
      <c r="K279" s="13"/>
      <c r="L279" s="13"/>
      <c r="M279" s="13"/>
    </row>
    <row r="280" spans="1:13" x14ac:dyDescent="0.3">
      <c r="A280" s="7">
        <v>43874</v>
      </c>
      <c r="B280" s="8">
        <v>7.63</v>
      </c>
      <c r="C280" s="10">
        <f t="shared" si="8"/>
        <v>-6.5104166666666435E-3</v>
      </c>
      <c r="E280" s="7">
        <v>43874</v>
      </c>
      <c r="F280" s="9">
        <v>40455.440000000002</v>
      </c>
      <c r="G280" s="10">
        <f t="shared" si="9"/>
        <v>-1.867453485752681E-3</v>
      </c>
      <c r="K280" s="13"/>
      <c r="L280" s="13"/>
      <c r="M280" s="13"/>
    </row>
    <row r="281" spans="1:13" x14ac:dyDescent="0.3">
      <c r="A281" s="7">
        <v>43875</v>
      </c>
      <c r="B281" s="8">
        <v>7.56</v>
      </c>
      <c r="C281" s="10">
        <f t="shared" si="8"/>
        <v>-9.1743119266055415E-3</v>
      </c>
      <c r="E281" s="7">
        <v>43875</v>
      </c>
      <c r="F281" s="9">
        <v>40243.26</v>
      </c>
      <c r="G281" s="10">
        <f t="shared" si="9"/>
        <v>-5.2447829018792101E-3</v>
      </c>
      <c r="K281" s="13"/>
      <c r="L281" s="13"/>
      <c r="M281" s="13"/>
    </row>
    <row r="282" spans="1:13" x14ac:dyDescent="0.3">
      <c r="A282" s="7">
        <v>43878</v>
      </c>
      <c r="B282" s="8">
        <v>7.67</v>
      </c>
      <c r="C282" s="10">
        <f t="shared" si="8"/>
        <v>1.4550264550264593E-2</v>
      </c>
      <c r="E282" s="7">
        <v>43878</v>
      </c>
      <c r="F282" s="9">
        <v>40276.93</v>
      </c>
      <c r="G282" s="10">
        <f t="shared" si="9"/>
        <v>8.3666184101383067E-4</v>
      </c>
      <c r="K282" s="13"/>
      <c r="L282" s="13"/>
      <c r="M282" s="13"/>
    </row>
    <row r="283" spans="1:13" x14ac:dyDescent="0.3">
      <c r="A283" s="7">
        <v>43879</v>
      </c>
      <c r="B283" s="8">
        <v>7.43</v>
      </c>
      <c r="C283" s="10">
        <f t="shared" si="8"/>
        <v>-3.1290743155149965E-2</v>
      </c>
      <c r="E283" s="7">
        <v>43879</v>
      </c>
      <c r="F283" s="9">
        <v>40175.35</v>
      </c>
      <c r="G283" s="10">
        <f t="shared" si="9"/>
        <v>-2.5220392914753371E-3</v>
      </c>
      <c r="K283" s="13"/>
      <c r="L283" s="13"/>
      <c r="M283" s="13"/>
    </row>
    <row r="284" spans="1:13" x14ac:dyDescent="0.3">
      <c r="A284" s="7">
        <v>43880</v>
      </c>
      <c r="B284" s="8">
        <v>7.56</v>
      </c>
      <c r="C284" s="10">
        <f t="shared" si="8"/>
        <v>1.7496635262449517E-2</v>
      </c>
      <c r="E284" s="7">
        <v>43880</v>
      </c>
      <c r="F284" s="9">
        <v>40574.519999999997</v>
      </c>
      <c r="G284" s="10">
        <f t="shared" si="9"/>
        <v>9.9356943996753797E-3</v>
      </c>
      <c r="K284" s="13"/>
      <c r="L284" s="13"/>
      <c r="M284" s="13"/>
    </row>
    <row r="285" spans="1:13" x14ac:dyDescent="0.3">
      <c r="A285" s="7">
        <v>43881</v>
      </c>
      <c r="B285" s="8">
        <v>7.34</v>
      </c>
      <c r="C285" s="10">
        <f t="shared" si="8"/>
        <v>-2.9100529100529068E-2</v>
      </c>
      <c r="E285" s="7">
        <v>43881</v>
      </c>
      <c r="F285" s="9">
        <v>40481.65</v>
      </c>
      <c r="G285" s="10">
        <f t="shared" si="9"/>
        <v>-2.2888748899554537E-3</v>
      </c>
      <c r="K285" s="13"/>
      <c r="L285" s="13"/>
      <c r="M285" s="13"/>
    </row>
    <row r="286" spans="1:13" x14ac:dyDescent="0.3">
      <c r="A286" s="7">
        <v>43882</v>
      </c>
      <c r="B286" s="8">
        <v>7.35</v>
      </c>
      <c r="C286" s="10">
        <f t="shared" si="8"/>
        <v>1.3623978201634586E-3</v>
      </c>
      <c r="E286" s="7">
        <v>43882</v>
      </c>
      <c r="F286" s="9">
        <v>40249.22</v>
      </c>
      <c r="G286" s="10">
        <f t="shared" si="9"/>
        <v>-5.7416137929160562E-3</v>
      </c>
      <c r="K286" s="13"/>
      <c r="L286" s="13"/>
      <c r="M286" s="13"/>
    </row>
    <row r="287" spans="1:13" x14ac:dyDescent="0.3">
      <c r="A287" s="7">
        <v>43885</v>
      </c>
      <c r="B287" s="8">
        <v>7.07</v>
      </c>
      <c r="C287" s="10">
        <f t="shared" si="8"/>
        <v>-3.8095238095238008E-2</v>
      </c>
      <c r="E287" s="7">
        <v>43885</v>
      </c>
      <c r="F287" s="9">
        <v>39143.730000000003</v>
      </c>
      <c r="G287" s="10">
        <f t="shared" si="9"/>
        <v>-2.7466122324854941E-2</v>
      </c>
      <c r="K287" s="13"/>
      <c r="L287" s="13"/>
      <c r="M287" s="13"/>
    </row>
    <row r="288" spans="1:13" x14ac:dyDescent="0.3">
      <c r="A288" s="7">
        <v>43886</v>
      </c>
      <c r="B288" s="8">
        <v>7.06</v>
      </c>
      <c r="C288" s="10">
        <f t="shared" si="8"/>
        <v>-1.4144271570015099E-3</v>
      </c>
      <c r="E288" s="7">
        <v>43886</v>
      </c>
      <c r="F288" s="9">
        <v>38858.449999999997</v>
      </c>
      <c r="G288" s="10">
        <f t="shared" si="9"/>
        <v>-7.2880126651191923E-3</v>
      </c>
      <c r="K288" s="13"/>
      <c r="L288" s="13"/>
      <c r="M288" s="13"/>
    </row>
    <row r="289" spans="1:13" x14ac:dyDescent="0.3">
      <c r="A289" s="7">
        <v>43887</v>
      </c>
      <c r="B289" s="8">
        <v>6.8</v>
      </c>
      <c r="C289" s="10">
        <f t="shared" si="8"/>
        <v>-3.6827195467422066E-2</v>
      </c>
      <c r="E289" s="7">
        <v>43887</v>
      </c>
      <c r="F289" s="9">
        <v>38338.33</v>
      </c>
      <c r="G289" s="10">
        <f t="shared" si="9"/>
        <v>-1.3384990909313043E-2</v>
      </c>
      <c r="K289" s="13"/>
      <c r="L289" s="13"/>
      <c r="M289" s="13"/>
    </row>
    <row r="290" spans="1:13" x14ac:dyDescent="0.3">
      <c r="A290" s="7">
        <v>43888</v>
      </c>
      <c r="B290" s="8">
        <v>6.34</v>
      </c>
      <c r="C290" s="10">
        <f t="shared" si="8"/>
        <v>-6.7647058823529407E-2</v>
      </c>
      <c r="E290" s="7">
        <v>43888</v>
      </c>
      <c r="F290" s="9">
        <v>38087.32</v>
      </c>
      <c r="G290" s="10">
        <f t="shared" si="9"/>
        <v>-6.5472335388631177E-3</v>
      </c>
      <c r="K290" s="13"/>
      <c r="L290" s="13"/>
      <c r="M290" s="13"/>
    </row>
    <row r="291" spans="1:13" x14ac:dyDescent="0.3">
      <c r="A291" s="7">
        <v>43889</v>
      </c>
      <c r="B291" s="8">
        <v>6.46</v>
      </c>
      <c r="C291" s="10">
        <f t="shared" si="8"/>
        <v>1.8927444794952699E-2</v>
      </c>
      <c r="E291" s="7">
        <v>43889</v>
      </c>
      <c r="F291" s="9">
        <v>37983.620000000003</v>
      </c>
      <c r="G291" s="10">
        <f t="shared" si="9"/>
        <v>-2.7226909113058383E-3</v>
      </c>
      <c r="K291" s="13"/>
      <c r="L291" s="13"/>
      <c r="M291" s="13"/>
    </row>
    <row r="292" spans="1:13" x14ac:dyDescent="0.3">
      <c r="A292" s="7">
        <v>43892</v>
      </c>
      <c r="B292" s="8">
        <v>6.9</v>
      </c>
      <c r="C292" s="10">
        <f t="shared" si="8"/>
        <v>6.8111455108359198E-2</v>
      </c>
      <c r="E292" s="7">
        <v>43892</v>
      </c>
      <c r="F292" s="9">
        <v>39296.300000000003</v>
      </c>
      <c r="G292" s="10">
        <f t="shared" si="9"/>
        <v>3.4559107320471301E-2</v>
      </c>
      <c r="K292" s="13"/>
      <c r="L292" s="13"/>
      <c r="M292" s="13"/>
    </row>
    <row r="293" spans="1:13" x14ac:dyDescent="0.3">
      <c r="A293" s="7">
        <v>43893</v>
      </c>
      <c r="B293" s="8">
        <v>6.92</v>
      </c>
      <c r="C293" s="10">
        <f t="shared" si="8"/>
        <v>2.8985507246376192E-3</v>
      </c>
      <c r="E293" s="7">
        <v>43893</v>
      </c>
      <c r="F293" s="9">
        <v>39199.68</v>
      </c>
      <c r="G293" s="10">
        <f t="shared" si="9"/>
        <v>-2.4587556589297874E-3</v>
      </c>
      <c r="K293" s="13"/>
      <c r="L293" s="13"/>
      <c r="M293" s="13"/>
    </row>
    <row r="294" spans="1:13" x14ac:dyDescent="0.3">
      <c r="A294" s="7">
        <v>43894</v>
      </c>
      <c r="B294" s="8">
        <v>6.83</v>
      </c>
      <c r="C294" s="10">
        <f t="shared" si="8"/>
        <v>-1.3005780346820789E-2</v>
      </c>
      <c r="E294" s="7">
        <v>43894</v>
      </c>
      <c r="F294" s="9">
        <v>38906.400000000001</v>
      </c>
      <c r="G294" s="10">
        <f t="shared" si="9"/>
        <v>-7.4816937281120361E-3</v>
      </c>
      <c r="K294" s="13"/>
      <c r="L294" s="13"/>
      <c r="M294" s="13"/>
    </row>
    <row r="295" spans="1:13" x14ac:dyDescent="0.3">
      <c r="A295" s="7">
        <v>43895</v>
      </c>
      <c r="B295" s="8">
        <v>7.14</v>
      </c>
      <c r="C295" s="10">
        <f t="shared" si="8"/>
        <v>4.5387994143484572E-2</v>
      </c>
      <c r="E295" s="7">
        <v>43895</v>
      </c>
      <c r="F295" s="9">
        <v>39382.11</v>
      </c>
      <c r="G295" s="10">
        <f t="shared" si="9"/>
        <v>1.2227037196965001E-2</v>
      </c>
      <c r="K295" s="13"/>
      <c r="L295" s="13"/>
      <c r="M295" s="13"/>
    </row>
    <row r="296" spans="1:13" x14ac:dyDescent="0.3">
      <c r="A296" s="7">
        <v>43896</v>
      </c>
      <c r="B296" s="8">
        <v>6.81</v>
      </c>
      <c r="C296" s="10">
        <f t="shared" si="8"/>
        <v>-4.6218487394957992E-2</v>
      </c>
      <c r="E296" s="7">
        <v>43896</v>
      </c>
      <c r="F296" s="9">
        <v>38219.67</v>
      </c>
      <c r="G296" s="10">
        <f t="shared" si="9"/>
        <v>-2.9516955795410717E-2</v>
      </c>
      <c r="K296" s="13"/>
      <c r="L296" s="13"/>
      <c r="M296" s="13"/>
    </row>
    <row r="297" spans="1:13" x14ac:dyDescent="0.3">
      <c r="A297" s="7">
        <v>43899</v>
      </c>
      <c r="B297" s="8">
        <v>6.75</v>
      </c>
      <c r="C297" s="10">
        <f t="shared" si="8"/>
        <v>-8.8105726872246132E-3</v>
      </c>
      <c r="E297" s="7">
        <v>43899</v>
      </c>
      <c r="F297" s="9">
        <v>37058.949999999997</v>
      </c>
      <c r="G297" s="10">
        <f t="shared" si="9"/>
        <v>-3.0369702302505523E-2</v>
      </c>
      <c r="K297" s="13"/>
      <c r="L297" s="13"/>
      <c r="M297" s="13"/>
    </row>
    <row r="298" spans="1:13" x14ac:dyDescent="0.3">
      <c r="A298" s="7">
        <v>43900</v>
      </c>
      <c r="B298" s="8">
        <v>6.77</v>
      </c>
      <c r="C298" s="10">
        <f t="shared" si="8"/>
        <v>2.9629629629628999E-3</v>
      </c>
      <c r="E298" s="7">
        <v>43900</v>
      </c>
      <c r="F298" s="9">
        <v>37695.75</v>
      </c>
      <c r="G298" s="10">
        <f t="shared" si="9"/>
        <v>1.7183433421616181E-2</v>
      </c>
      <c r="K298" s="13"/>
      <c r="L298" s="13"/>
      <c r="M298" s="13"/>
    </row>
    <row r="299" spans="1:13" x14ac:dyDescent="0.3">
      <c r="A299" s="7">
        <v>43901</v>
      </c>
      <c r="B299" s="8">
        <v>6.4</v>
      </c>
      <c r="C299" s="10">
        <f t="shared" si="8"/>
        <v>-5.4652880354505058E-2</v>
      </c>
      <c r="E299" s="7">
        <v>43901</v>
      </c>
      <c r="F299" s="9">
        <v>37673.25</v>
      </c>
      <c r="G299" s="10">
        <f t="shared" si="9"/>
        <v>-5.9688426414118299E-4</v>
      </c>
      <c r="K299" s="13"/>
      <c r="L299" s="13"/>
      <c r="M299" s="13"/>
    </row>
    <row r="300" spans="1:13" x14ac:dyDescent="0.3">
      <c r="A300" s="7">
        <v>43902</v>
      </c>
      <c r="B300" s="8">
        <v>6.13</v>
      </c>
      <c r="C300" s="10">
        <f t="shared" si="8"/>
        <v>-4.2187500000000072E-2</v>
      </c>
      <c r="E300" s="7">
        <v>43902</v>
      </c>
      <c r="F300" s="9">
        <v>35956.69</v>
      </c>
      <c r="G300" s="10">
        <f t="shared" si="9"/>
        <v>-4.55644256866609E-2</v>
      </c>
      <c r="K300" s="13"/>
      <c r="L300" s="13"/>
      <c r="M300" s="13"/>
    </row>
    <row r="301" spans="1:13" x14ac:dyDescent="0.3">
      <c r="A301" s="7">
        <v>43903</v>
      </c>
      <c r="B301" s="8">
        <v>6.12</v>
      </c>
      <c r="C301" s="10">
        <f t="shared" si="8"/>
        <v>-1.6313213703099162E-3</v>
      </c>
      <c r="E301" s="7">
        <v>43903</v>
      </c>
      <c r="F301" s="9">
        <v>36060.879999999997</v>
      </c>
      <c r="G301" s="10">
        <f t="shared" si="9"/>
        <v>2.8976527038499663E-3</v>
      </c>
      <c r="K301" s="13"/>
      <c r="L301" s="13"/>
      <c r="M301" s="13"/>
    </row>
    <row r="302" spans="1:13" x14ac:dyDescent="0.3">
      <c r="A302" s="7">
        <v>43906</v>
      </c>
      <c r="B302" s="8">
        <v>5.44</v>
      </c>
      <c r="C302" s="10">
        <f t="shared" si="8"/>
        <v>-0.11111111111111106</v>
      </c>
      <c r="E302" s="7">
        <v>43906</v>
      </c>
      <c r="F302" s="9">
        <v>33684.910000000003</v>
      </c>
      <c r="G302" s="10">
        <f t="shared" si="9"/>
        <v>-6.5887743172102123E-2</v>
      </c>
      <c r="K302" s="13"/>
      <c r="L302" s="13"/>
      <c r="M302" s="13"/>
    </row>
    <row r="303" spans="1:13" x14ac:dyDescent="0.3">
      <c r="A303" s="7">
        <v>43907</v>
      </c>
      <c r="B303" s="8">
        <v>5.49</v>
      </c>
      <c r="C303" s="10">
        <f t="shared" si="8"/>
        <v>9.1911764705882026E-3</v>
      </c>
      <c r="E303" s="7">
        <v>43907</v>
      </c>
      <c r="F303" s="9">
        <v>32616.93</v>
      </c>
      <c r="G303" s="10">
        <f t="shared" si="9"/>
        <v>-3.1704997875903577E-2</v>
      </c>
      <c r="K303" s="13"/>
      <c r="L303" s="13"/>
      <c r="M303" s="13"/>
    </row>
    <row r="304" spans="1:13" x14ac:dyDescent="0.3">
      <c r="A304" s="7">
        <v>43908</v>
      </c>
      <c r="B304" s="8">
        <v>4.8899999999999997</v>
      </c>
      <c r="C304" s="10">
        <f t="shared" si="8"/>
        <v>-0.10928961748633889</v>
      </c>
      <c r="E304" s="7">
        <v>43908</v>
      </c>
      <c r="F304" s="9">
        <v>30416.05</v>
      </c>
      <c r="G304" s="10">
        <f t="shared" si="9"/>
        <v>-6.7476614138731045E-2</v>
      </c>
      <c r="K304" s="13"/>
      <c r="L304" s="13"/>
      <c r="M304" s="13"/>
    </row>
    <row r="305" spans="1:13" x14ac:dyDescent="0.3">
      <c r="A305" s="7">
        <v>43909</v>
      </c>
      <c r="B305" s="8">
        <v>4.9800000000000004</v>
      </c>
      <c r="C305" s="10">
        <f t="shared" si="8"/>
        <v>1.8404907975460277E-2</v>
      </c>
      <c r="E305" s="7">
        <v>43909</v>
      </c>
      <c r="F305" s="9">
        <v>30129.83</v>
      </c>
      <c r="G305" s="10">
        <f t="shared" si="9"/>
        <v>-9.4101633841342826E-3</v>
      </c>
      <c r="K305" s="13"/>
      <c r="L305" s="13"/>
      <c r="M305" s="13"/>
    </row>
    <row r="306" spans="1:13" x14ac:dyDescent="0.3">
      <c r="A306" s="7">
        <v>43910</v>
      </c>
      <c r="B306" s="8">
        <v>5.22</v>
      </c>
      <c r="C306" s="10">
        <f t="shared" si="8"/>
        <v>4.8192771084337213E-2</v>
      </c>
      <c r="E306" s="7">
        <v>43910</v>
      </c>
      <c r="F306" s="9">
        <v>30667.41</v>
      </c>
      <c r="G306" s="10">
        <f t="shared" si="9"/>
        <v>1.7842118591442371E-2</v>
      </c>
      <c r="K306" s="13"/>
      <c r="L306" s="13"/>
      <c r="M306" s="13"/>
    </row>
    <row r="307" spans="1:13" x14ac:dyDescent="0.3">
      <c r="A307" s="7">
        <v>43914</v>
      </c>
      <c r="B307" s="8">
        <v>4.71</v>
      </c>
      <c r="C307" s="10">
        <f t="shared" si="8"/>
        <v>-9.770114942528732E-2</v>
      </c>
      <c r="E307" s="7">
        <v>43914</v>
      </c>
      <c r="F307" s="9">
        <v>28564.83</v>
      </c>
      <c r="G307" s="10">
        <f t="shared" si="9"/>
        <v>-6.8560729451883878E-2</v>
      </c>
      <c r="K307" s="13"/>
      <c r="L307" s="13"/>
      <c r="M307" s="13"/>
    </row>
    <row r="308" spans="1:13" x14ac:dyDescent="0.3">
      <c r="A308" s="7">
        <v>43915</v>
      </c>
      <c r="B308" s="8">
        <v>4.84</v>
      </c>
      <c r="C308" s="10">
        <f t="shared" si="8"/>
        <v>2.7600849256900189E-2</v>
      </c>
      <c r="E308" s="7">
        <v>43915</v>
      </c>
      <c r="F308" s="9">
        <v>27228.799999999999</v>
      </c>
      <c r="G308" s="10">
        <f t="shared" si="9"/>
        <v>-4.6771851959210062E-2</v>
      </c>
      <c r="K308" s="13"/>
      <c r="L308" s="13"/>
      <c r="M308" s="13"/>
    </row>
    <row r="309" spans="1:13" x14ac:dyDescent="0.3">
      <c r="A309" s="7">
        <v>43916</v>
      </c>
      <c r="B309" s="8">
        <v>4.79</v>
      </c>
      <c r="C309" s="10">
        <f t="shared" si="8"/>
        <v>-1.0330578512396658E-2</v>
      </c>
      <c r="E309" s="7">
        <v>43916</v>
      </c>
      <c r="F309" s="9">
        <v>27267.200000000001</v>
      </c>
      <c r="G309" s="10">
        <f t="shared" si="9"/>
        <v>1.4102714772594258E-3</v>
      </c>
      <c r="K309" s="13"/>
      <c r="L309" s="13"/>
      <c r="M309" s="13"/>
    </row>
    <row r="310" spans="1:13" x14ac:dyDescent="0.3">
      <c r="A310" s="7">
        <v>43917</v>
      </c>
      <c r="B310" s="8">
        <v>4.9800000000000004</v>
      </c>
      <c r="C310" s="10">
        <f t="shared" si="8"/>
        <v>3.9665970772442667E-2</v>
      </c>
      <c r="E310" s="7">
        <v>43917</v>
      </c>
      <c r="F310" s="9">
        <v>28109.57</v>
      </c>
      <c r="G310" s="10">
        <f t="shared" si="9"/>
        <v>3.089316101396546E-2</v>
      </c>
      <c r="K310" s="13"/>
      <c r="L310" s="13"/>
      <c r="M310" s="13"/>
    </row>
    <row r="311" spans="1:13" x14ac:dyDescent="0.3">
      <c r="A311" s="7">
        <v>43920</v>
      </c>
      <c r="B311" s="8">
        <v>4.96</v>
      </c>
      <c r="C311" s="10">
        <f t="shared" si="8"/>
        <v>-4.0160642570282049E-3</v>
      </c>
      <c r="E311" s="7">
        <v>43920</v>
      </c>
      <c r="F311" s="9">
        <v>28023.39</v>
      </c>
      <c r="G311" s="10">
        <f t="shared" si="9"/>
        <v>-3.0658597765814378E-3</v>
      </c>
      <c r="K311" s="13"/>
      <c r="L311" s="13"/>
      <c r="M311" s="13"/>
    </row>
    <row r="312" spans="1:13" x14ac:dyDescent="0.3">
      <c r="A312" s="7">
        <v>43921</v>
      </c>
      <c r="B312" s="8">
        <v>5.23</v>
      </c>
      <c r="C312" s="10">
        <f t="shared" si="8"/>
        <v>5.4435483870967832E-2</v>
      </c>
      <c r="E312" s="7">
        <v>43921</v>
      </c>
      <c r="F312" s="9">
        <v>29231.63</v>
      </c>
      <c r="G312" s="10">
        <f t="shared" si="9"/>
        <v>4.3115411804210753E-2</v>
      </c>
      <c r="K312" s="13"/>
      <c r="L312" s="13"/>
      <c r="M312" s="13"/>
    </row>
    <row r="313" spans="1:13" x14ac:dyDescent="0.3">
      <c r="A313" s="7">
        <v>43922</v>
      </c>
      <c r="B313" s="8">
        <v>5.2</v>
      </c>
      <c r="C313" s="10">
        <f t="shared" si="8"/>
        <v>-5.7361376673040624E-3</v>
      </c>
      <c r="E313" s="7">
        <v>43922</v>
      </c>
      <c r="F313" s="9">
        <v>29505.57</v>
      </c>
      <c r="G313" s="10">
        <f t="shared" si="9"/>
        <v>9.3713556171858593E-3</v>
      </c>
      <c r="K313" s="13"/>
      <c r="L313" s="13"/>
      <c r="M313" s="13"/>
    </row>
    <row r="314" spans="1:13" x14ac:dyDescent="0.3">
      <c r="A314" s="7">
        <v>43923</v>
      </c>
      <c r="B314" s="8">
        <v>5.68</v>
      </c>
      <c r="C314" s="10">
        <f t="shared" si="8"/>
        <v>9.2307692307692216E-2</v>
      </c>
      <c r="E314" s="7">
        <v>43923</v>
      </c>
      <c r="F314" s="9">
        <v>30782.66</v>
      </c>
      <c r="G314" s="10">
        <f t="shared" si="9"/>
        <v>4.3283014020742527E-2</v>
      </c>
      <c r="K314" s="13"/>
      <c r="L314" s="13"/>
      <c r="M314" s="13"/>
    </row>
    <row r="315" spans="1:13" x14ac:dyDescent="0.3">
      <c r="A315" s="7">
        <v>43924</v>
      </c>
      <c r="B315" s="8">
        <v>6.02</v>
      </c>
      <c r="C315" s="10">
        <f t="shared" si="8"/>
        <v>5.9859154929577441E-2</v>
      </c>
      <c r="E315" s="7">
        <v>43924</v>
      </c>
      <c r="F315" s="9">
        <v>31621.79</v>
      </c>
      <c r="G315" s="10">
        <f t="shared" si="9"/>
        <v>2.7259827448310219E-2</v>
      </c>
      <c r="K315" s="13"/>
      <c r="L315" s="13"/>
      <c r="M315" s="13"/>
    </row>
    <row r="316" spans="1:13" x14ac:dyDescent="0.3">
      <c r="A316" s="7">
        <v>43927</v>
      </c>
      <c r="B316" s="8">
        <v>5.57</v>
      </c>
      <c r="C316" s="10">
        <f t="shared" si="8"/>
        <v>-7.4750830564783946E-2</v>
      </c>
      <c r="E316" s="7">
        <v>43927</v>
      </c>
      <c r="F316" s="9">
        <v>30579.15</v>
      </c>
      <c r="G316" s="10">
        <f t="shared" si="9"/>
        <v>-3.2972200498453737E-2</v>
      </c>
      <c r="K316" s="13"/>
      <c r="L316" s="13"/>
      <c r="M316" s="13"/>
    </row>
    <row r="317" spans="1:13" x14ac:dyDescent="0.3">
      <c r="A317" s="7">
        <v>43928</v>
      </c>
      <c r="B317" s="8">
        <v>5.69</v>
      </c>
      <c r="C317" s="10">
        <f t="shared" si="8"/>
        <v>2.1543985637342927E-2</v>
      </c>
      <c r="E317" s="7">
        <v>43928</v>
      </c>
      <c r="F317" s="9">
        <v>31231.55</v>
      </c>
      <c r="G317" s="10">
        <f t="shared" si="9"/>
        <v>2.1334798383866059E-2</v>
      </c>
      <c r="K317" s="13"/>
      <c r="L317" s="13"/>
      <c r="M317" s="13"/>
    </row>
    <row r="318" spans="1:13" x14ac:dyDescent="0.3">
      <c r="A318" s="7">
        <v>43929</v>
      </c>
      <c r="B318" s="8">
        <v>5.63</v>
      </c>
      <c r="C318" s="10">
        <f t="shared" si="8"/>
        <v>-1.0544815465729437E-2</v>
      </c>
      <c r="E318" s="7">
        <v>43929</v>
      </c>
      <c r="F318" s="9">
        <v>30971.27</v>
      </c>
      <c r="G318" s="10">
        <f t="shared" si="9"/>
        <v>-8.3338803229426276E-3</v>
      </c>
      <c r="K318" s="13"/>
      <c r="L318" s="13"/>
      <c r="M318" s="13"/>
    </row>
    <row r="319" spans="1:13" x14ac:dyDescent="0.3">
      <c r="A319" s="7">
        <v>43930</v>
      </c>
      <c r="B319" s="8">
        <v>5.74</v>
      </c>
      <c r="C319" s="10">
        <f t="shared" si="8"/>
        <v>1.9538188277087091E-2</v>
      </c>
      <c r="E319" s="7">
        <v>43930</v>
      </c>
      <c r="F319" s="9">
        <v>31837.3</v>
      </c>
      <c r="G319" s="10">
        <f t="shared" si="9"/>
        <v>2.7962366412484823E-2</v>
      </c>
      <c r="K319" s="13"/>
      <c r="L319" s="13"/>
      <c r="M319" s="13"/>
    </row>
    <row r="320" spans="1:13" x14ac:dyDescent="0.3">
      <c r="A320" s="7">
        <v>43931</v>
      </c>
      <c r="B320" s="8">
        <v>5.77</v>
      </c>
      <c r="C320" s="10">
        <f t="shared" si="8"/>
        <v>5.2264808362368223E-3</v>
      </c>
      <c r="E320" s="7">
        <v>43931</v>
      </c>
      <c r="F320" s="9">
        <v>32033.200000000001</v>
      </c>
      <c r="G320" s="10">
        <f t="shared" si="9"/>
        <v>6.1531599727364271E-3</v>
      </c>
      <c r="K320" s="13"/>
      <c r="L320" s="13"/>
      <c r="M320" s="13"/>
    </row>
    <row r="321" spans="1:13" x14ac:dyDescent="0.3">
      <c r="A321" s="7">
        <v>43934</v>
      </c>
      <c r="B321" s="8">
        <v>5.65</v>
      </c>
      <c r="C321" s="10">
        <f t="shared" si="8"/>
        <v>-2.0797227036395013E-2</v>
      </c>
      <c r="E321" s="7">
        <v>43934</v>
      </c>
      <c r="F321" s="9">
        <v>31032.99</v>
      </c>
      <c r="G321" s="10">
        <f t="shared" si="9"/>
        <v>-3.1224167426295191E-2</v>
      </c>
      <c r="K321" s="13"/>
      <c r="L321" s="13"/>
      <c r="M321" s="13"/>
    </row>
    <row r="322" spans="1:13" x14ac:dyDescent="0.3">
      <c r="A322" s="7">
        <v>43935</v>
      </c>
      <c r="B322" s="8">
        <v>5.66</v>
      </c>
      <c r="C322" s="10">
        <f t="shared" si="8"/>
        <v>1.769911504424741E-3</v>
      </c>
      <c r="E322" s="7">
        <v>43935</v>
      </c>
      <c r="F322" s="9">
        <v>31222.74</v>
      </c>
      <c r="G322" s="10">
        <f t="shared" si="9"/>
        <v>6.1144607722298109E-3</v>
      </c>
      <c r="K322" s="13"/>
      <c r="L322" s="13"/>
      <c r="M322" s="13"/>
    </row>
    <row r="323" spans="1:13" x14ac:dyDescent="0.3">
      <c r="A323" s="7">
        <v>43936</v>
      </c>
      <c r="B323" s="8">
        <v>5.54</v>
      </c>
      <c r="C323" s="10">
        <f t="shared" si="8"/>
        <v>-2.1201413427561856E-2</v>
      </c>
      <c r="E323" s="7">
        <v>43936</v>
      </c>
      <c r="F323" s="9">
        <v>31242.19</v>
      </c>
      <c r="G323" s="10">
        <f t="shared" si="9"/>
        <v>6.2294340599182158E-4</v>
      </c>
      <c r="K323" s="13"/>
      <c r="L323" s="13"/>
      <c r="M323" s="13"/>
    </row>
    <row r="324" spans="1:13" x14ac:dyDescent="0.3">
      <c r="A324" s="7">
        <v>43937</v>
      </c>
      <c r="B324" s="8">
        <v>5.55</v>
      </c>
      <c r="C324" s="10">
        <f t="shared" si="8"/>
        <v>1.8050541516245102E-3</v>
      </c>
      <c r="E324" s="7">
        <v>43937</v>
      </c>
      <c r="F324" s="9">
        <v>31329.46</v>
      </c>
      <c r="G324" s="10">
        <f t="shared" si="9"/>
        <v>2.7933381110607303E-3</v>
      </c>
      <c r="K324" s="13"/>
      <c r="L324" s="13"/>
      <c r="M324" s="13"/>
    </row>
    <row r="325" spans="1:13" x14ac:dyDescent="0.3">
      <c r="A325" s="7">
        <v>43938</v>
      </c>
      <c r="B325" s="8">
        <v>6.26</v>
      </c>
      <c r="C325" s="10">
        <f t="shared" ref="C325:C388" si="10">(B325-B324)/B324</f>
        <v>0.12792792792792793</v>
      </c>
      <c r="E325" s="7">
        <v>43938</v>
      </c>
      <c r="F325" s="9">
        <v>32831.83</v>
      </c>
      <c r="G325" s="10">
        <f t="shared" ref="G325:G388" si="11">(F325-F324)/F324</f>
        <v>4.7953906642502063E-2</v>
      </c>
      <c r="K325" s="13"/>
      <c r="L325" s="13"/>
      <c r="M325" s="13"/>
    </row>
    <row r="326" spans="1:13" x14ac:dyDescent="0.3">
      <c r="A326" s="7">
        <v>43941</v>
      </c>
      <c r="B326" s="8">
        <v>6.1</v>
      </c>
      <c r="C326" s="10">
        <f t="shared" si="10"/>
        <v>-2.5559105431309927E-2</v>
      </c>
      <c r="E326" s="7">
        <v>43941</v>
      </c>
      <c r="F326" s="9">
        <v>33499.65</v>
      </c>
      <c r="G326" s="10">
        <f t="shared" si="11"/>
        <v>2.0340626763722877E-2</v>
      </c>
      <c r="K326" s="13"/>
      <c r="L326" s="13"/>
      <c r="M326" s="13"/>
    </row>
    <row r="327" spans="1:13" x14ac:dyDescent="0.3">
      <c r="A327" s="7">
        <v>43942</v>
      </c>
      <c r="B327" s="8">
        <v>5.66</v>
      </c>
      <c r="C327" s="10">
        <f t="shared" si="10"/>
        <v>-7.2131147540983528E-2</v>
      </c>
      <c r="E327" s="7">
        <v>43942</v>
      </c>
      <c r="F327" s="9">
        <v>32422.83</v>
      </c>
      <c r="G327" s="10">
        <f t="shared" si="11"/>
        <v>-3.2144216432111967E-2</v>
      </c>
      <c r="K327" s="13"/>
      <c r="L327" s="13"/>
      <c r="M327" s="13"/>
    </row>
    <row r="328" spans="1:13" x14ac:dyDescent="0.3">
      <c r="A328" s="7">
        <v>43943</v>
      </c>
      <c r="B328" s="8">
        <v>5.74</v>
      </c>
      <c r="C328" s="10">
        <f t="shared" si="10"/>
        <v>1.413427561837457E-2</v>
      </c>
      <c r="E328" s="7">
        <v>43943</v>
      </c>
      <c r="F328" s="9">
        <v>32464.23</v>
      </c>
      <c r="G328" s="10">
        <f t="shared" si="11"/>
        <v>1.2768780516690806E-3</v>
      </c>
      <c r="K328" s="13"/>
      <c r="L328" s="13"/>
      <c r="M328" s="13"/>
    </row>
    <row r="329" spans="1:13" x14ac:dyDescent="0.3">
      <c r="A329" s="7">
        <v>43944</v>
      </c>
      <c r="B329" s="8">
        <v>5.83</v>
      </c>
      <c r="C329" s="10">
        <f t="shared" si="10"/>
        <v>1.5679442508710777E-2</v>
      </c>
      <c r="E329" s="7">
        <v>43944</v>
      </c>
      <c r="F329" s="9">
        <v>32850.83</v>
      </c>
      <c r="G329" s="10">
        <f t="shared" si="11"/>
        <v>1.190849128409952E-2</v>
      </c>
      <c r="K329" s="13"/>
      <c r="L329" s="13"/>
      <c r="M329" s="13"/>
    </row>
    <row r="330" spans="1:13" x14ac:dyDescent="0.3">
      <c r="A330" s="7">
        <v>43945</v>
      </c>
      <c r="B330" s="8">
        <v>5.79</v>
      </c>
      <c r="C330" s="10">
        <f t="shared" si="10"/>
        <v>-6.8610634648370557E-3</v>
      </c>
      <c r="E330" s="7">
        <v>43945</v>
      </c>
      <c r="F330" s="9">
        <v>32806.379999999997</v>
      </c>
      <c r="G330" s="10">
        <f t="shared" si="11"/>
        <v>-1.3530860559688861E-3</v>
      </c>
      <c r="K330" s="13"/>
      <c r="L330" s="13"/>
      <c r="M330" s="13"/>
    </row>
    <row r="331" spans="1:13" x14ac:dyDescent="0.3">
      <c r="A331" s="7">
        <v>43948</v>
      </c>
      <c r="B331" s="8">
        <v>6.29</v>
      </c>
      <c r="C331" s="10">
        <f t="shared" si="10"/>
        <v>8.6355785837651119E-2</v>
      </c>
      <c r="E331" s="7">
        <v>43948</v>
      </c>
      <c r="F331" s="9">
        <v>32314.57</v>
      </c>
      <c r="G331" s="10">
        <f t="shared" si="11"/>
        <v>-1.4991291328089162E-2</v>
      </c>
      <c r="K331" s="13"/>
      <c r="L331" s="13"/>
      <c r="M331" s="13"/>
    </row>
    <row r="332" spans="1:13" x14ac:dyDescent="0.3">
      <c r="A332" s="7">
        <v>43949</v>
      </c>
      <c r="B332" s="8">
        <v>6.05</v>
      </c>
      <c r="C332" s="10">
        <f t="shared" si="10"/>
        <v>-3.8155802861685247E-2</v>
      </c>
      <c r="E332" s="7">
        <v>43949</v>
      </c>
      <c r="F332" s="9">
        <v>32553.39</v>
      </c>
      <c r="G332" s="10">
        <f t="shared" si="11"/>
        <v>7.3904743278341541E-3</v>
      </c>
      <c r="K332" s="13"/>
      <c r="L332" s="13"/>
      <c r="M332" s="13"/>
    </row>
    <row r="333" spans="1:13" x14ac:dyDescent="0.3">
      <c r="A333" s="7">
        <v>43950</v>
      </c>
      <c r="B333" s="8">
        <v>6.04</v>
      </c>
      <c r="C333" s="10">
        <f t="shared" si="10"/>
        <v>-1.6528925619834359E-3</v>
      </c>
      <c r="E333" s="7">
        <v>43950</v>
      </c>
      <c r="F333" s="9">
        <v>33158.839999999997</v>
      </c>
      <c r="G333" s="10">
        <f t="shared" si="11"/>
        <v>1.859867743420876E-2</v>
      </c>
      <c r="K333" s="13"/>
      <c r="L333" s="13"/>
      <c r="M333" s="13"/>
    </row>
    <row r="334" spans="1:13" x14ac:dyDescent="0.3">
      <c r="A334" s="7">
        <v>43951</v>
      </c>
      <c r="B334" s="8">
        <v>6.13</v>
      </c>
      <c r="C334" s="10">
        <f t="shared" si="10"/>
        <v>1.4900662251655606E-2</v>
      </c>
      <c r="E334" s="7">
        <v>43951</v>
      </c>
      <c r="F334" s="9">
        <v>34111.64</v>
      </c>
      <c r="G334" s="10">
        <f t="shared" si="11"/>
        <v>2.873441893624756E-2</v>
      </c>
      <c r="K334" s="13"/>
      <c r="L334" s="13"/>
      <c r="M334" s="13"/>
    </row>
    <row r="335" spans="1:13" x14ac:dyDescent="0.3">
      <c r="A335" s="7">
        <v>43955</v>
      </c>
      <c r="B335" s="8">
        <v>6.19</v>
      </c>
      <c r="C335" s="10">
        <f t="shared" si="10"/>
        <v>9.787928221859787E-3</v>
      </c>
      <c r="E335" s="7">
        <v>43955</v>
      </c>
      <c r="F335" s="9">
        <v>33916.639999999999</v>
      </c>
      <c r="G335" s="10">
        <f t="shared" si="11"/>
        <v>-5.7165237438012361E-3</v>
      </c>
      <c r="K335" s="13"/>
      <c r="L335" s="13"/>
      <c r="M335" s="13"/>
    </row>
    <row r="336" spans="1:13" x14ac:dyDescent="0.3">
      <c r="A336" s="7">
        <v>43956</v>
      </c>
      <c r="B336" s="8">
        <v>6.2</v>
      </c>
      <c r="C336" s="10">
        <f t="shared" si="10"/>
        <v>1.6155088852988345E-3</v>
      </c>
      <c r="E336" s="7">
        <v>43956</v>
      </c>
      <c r="F336" s="9">
        <v>33992.75</v>
      </c>
      <c r="G336" s="10">
        <f t="shared" si="11"/>
        <v>2.2440312483783943E-3</v>
      </c>
      <c r="K336" s="13"/>
      <c r="L336" s="13"/>
      <c r="M336" s="13"/>
    </row>
    <row r="337" spans="1:13" x14ac:dyDescent="0.3">
      <c r="A337" s="7">
        <v>43957</v>
      </c>
      <c r="B337" s="8">
        <v>6.28</v>
      </c>
      <c r="C337" s="10">
        <f t="shared" si="10"/>
        <v>1.2903225806451623E-2</v>
      </c>
      <c r="E337" s="7">
        <v>43957</v>
      </c>
      <c r="F337" s="9">
        <v>33728.18</v>
      </c>
      <c r="G337" s="10">
        <f t="shared" si="11"/>
        <v>-7.7831302262982459E-3</v>
      </c>
      <c r="K337" s="13"/>
      <c r="L337" s="13"/>
      <c r="M337" s="13"/>
    </row>
    <row r="338" spans="1:13" x14ac:dyDescent="0.3">
      <c r="A338" s="7">
        <v>43958</v>
      </c>
      <c r="B338" s="8">
        <v>6.1</v>
      </c>
      <c r="C338" s="10">
        <f t="shared" si="10"/>
        <v>-2.8662420382165699E-2</v>
      </c>
      <c r="E338" s="7">
        <v>43958</v>
      </c>
      <c r="F338" s="9">
        <v>33304.160000000003</v>
      </c>
      <c r="G338" s="10">
        <f t="shared" si="11"/>
        <v>-1.2571683381670662E-2</v>
      </c>
      <c r="K338" s="13"/>
      <c r="L338" s="13"/>
      <c r="M338" s="13"/>
    </row>
    <row r="339" spans="1:13" x14ac:dyDescent="0.3">
      <c r="A339" s="7">
        <v>43959</v>
      </c>
      <c r="B339" s="8">
        <v>6.17</v>
      </c>
      <c r="C339" s="10">
        <f t="shared" si="10"/>
        <v>1.1475409836065622E-2</v>
      </c>
      <c r="E339" s="7">
        <v>43959</v>
      </c>
      <c r="F339" s="9">
        <v>33267.69</v>
      </c>
      <c r="G339" s="10">
        <f t="shared" si="11"/>
        <v>-1.0950583951074328E-3</v>
      </c>
      <c r="K339" s="13"/>
      <c r="L339" s="13"/>
      <c r="M339" s="13"/>
    </row>
    <row r="340" spans="1:13" x14ac:dyDescent="0.3">
      <c r="A340" s="7">
        <v>43962</v>
      </c>
      <c r="B340" s="8">
        <v>6.14</v>
      </c>
      <c r="C340" s="10">
        <f t="shared" si="10"/>
        <v>-4.862236628849311E-3</v>
      </c>
      <c r="E340" s="7">
        <v>43962</v>
      </c>
      <c r="F340" s="9">
        <v>33283.79</v>
      </c>
      <c r="G340" s="10">
        <f t="shared" si="11"/>
        <v>4.8395304873883769E-4</v>
      </c>
      <c r="K340" s="13"/>
      <c r="L340" s="13"/>
      <c r="M340" s="13"/>
    </row>
    <row r="341" spans="1:13" x14ac:dyDescent="0.3">
      <c r="A341" s="7">
        <v>43963</v>
      </c>
      <c r="B341" s="8">
        <v>6.24</v>
      </c>
      <c r="C341" s="10">
        <f t="shared" si="10"/>
        <v>1.6286644951140152E-2</v>
      </c>
      <c r="E341" s="7">
        <v>43963</v>
      </c>
      <c r="F341" s="9">
        <v>33603.019999999997</v>
      </c>
      <c r="G341" s="10">
        <f t="shared" si="11"/>
        <v>9.5911553341730595E-3</v>
      </c>
      <c r="K341" s="13"/>
      <c r="L341" s="13"/>
      <c r="M341" s="13"/>
    </row>
    <row r="342" spans="1:13" x14ac:dyDescent="0.3">
      <c r="A342" s="7">
        <v>43964</v>
      </c>
      <c r="B342" s="8">
        <v>6.25</v>
      </c>
      <c r="C342" s="10">
        <f t="shared" si="10"/>
        <v>1.6025641025640682E-3</v>
      </c>
      <c r="E342" s="7">
        <v>43964</v>
      </c>
      <c r="F342" s="9">
        <v>33693.040000000001</v>
      </c>
      <c r="G342" s="10">
        <f t="shared" si="11"/>
        <v>2.6789258822571328E-3</v>
      </c>
      <c r="K342" s="13"/>
      <c r="L342" s="13"/>
      <c r="M342" s="13"/>
    </row>
    <row r="343" spans="1:13" x14ac:dyDescent="0.3">
      <c r="A343" s="7">
        <v>43965</v>
      </c>
      <c r="B343" s="8">
        <v>6.41</v>
      </c>
      <c r="C343" s="10">
        <f t="shared" si="10"/>
        <v>2.5600000000000022E-2</v>
      </c>
      <c r="E343" s="7">
        <v>43965</v>
      </c>
      <c r="F343" s="9">
        <v>33804.9</v>
      </c>
      <c r="G343" s="10">
        <f t="shared" si="11"/>
        <v>3.3199735019458195E-3</v>
      </c>
      <c r="K343" s="13"/>
      <c r="L343" s="13"/>
      <c r="M343" s="13"/>
    </row>
    <row r="344" spans="1:13" x14ac:dyDescent="0.3">
      <c r="A344" s="7">
        <v>43966</v>
      </c>
      <c r="B344" s="8">
        <v>6.28</v>
      </c>
      <c r="C344" s="10">
        <f t="shared" si="10"/>
        <v>-2.0280811232449281E-2</v>
      </c>
      <c r="E344" s="7">
        <v>43966</v>
      </c>
      <c r="F344" s="9">
        <v>34008.33</v>
      </c>
      <c r="G344" s="10">
        <f t="shared" si="11"/>
        <v>6.017766655129886E-3</v>
      </c>
      <c r="K344" s="13"/>
      <c r="L344" s="13"/>
      <c r="M344" s="13"/>
    </row>
    <row r="345" spans="1:13" x14ac:dyDescent="0.3">
      <c r="A345" s="7">
        <v>43969</v>
      </c>
      <c r="B345" s="8">
        <v>6.4</v>
      </c>
      <c r="C345" s="10">
        <f t="shared" si="10"/>
        <v>1.9108280254777087E-2</v>
      </c>
      <c r="E345" s="7">
        <v>43969</v>
      </c>
      <c r="F345" s="9">
        <v>33804.97</v>
      </c>
      <c r="G345" s="10">
        <f t="shared" si="11"/>
        <v>-5.9797114412851373E-3</v>
      </c>
      <c r="K345" s="13"/>
      <c r="L345" s="13"/>
      <c r="M345" s="13"/>
    </row>
    <row r="346" spans="1:13" x14ac:dyDescent="0.3">
      <c r="A346" s="7">
        <v>43970</v>
      </c>
      <c r="B346" s="8">
        <v>6.4</v>
      </c>
      <c r="C346" s="10">
        <f t="shared" si="10"/>
        <v>0</v>
      </c>
      <c r="E346" s="7">
        <v>43970</v>
      </c>
      <c r="F346" s="9">
        <v>34158.550000000003</v>
      </c>
      <c r="G346" s="10">
        <f t="shared" si="11"/>
        <v>1.0459408779241683E-2</v>
      </c>
      <c r="K346" s="13"/>
      <c r="L346" s="13"/>
      <c r="M346" s="13"/>
    </row>
    <row r="347" spans="1:13" x14ac:dyDescent="0.3">
      <c r="A347" s="7">
        <v>43971</v>
      </c>
      <c r="B347" s="8">
        <v>6.49</v>
      </c>
      <c r="C347" s="10">
        <f t="shared" si="10"/>
        <v>1.4062499999999978E-2</v>
      </c>
      <c r="E347" s="7">
        <v>43971</v>
      </c>
      <c r="F347" s="9">
        <v>33932.81</v>
      </c>
      <c r="G347" s="10">
        <f t="shared" si="11"/>
        <v>-6.6085943343615356E-3</v>
      </c>
      <c r="K347" s="13"/>
      <c r="L347" s="13"/>
      <c r="M347" s="13"/>
    </row>
    <row r="348" spans="1:13" x14ac:dyDescent="0.3">
      <c r="A348" s="7">
        <v>43972</v>
      </c>
      <c r="B348" s="8">
        <v>6.4</v>
      </c>
      <c r="C348" s="10">
        <f t="shared" si="10"/>
        <v>-1.3867488443759608E-2</v>
      </c>
      <c r="E348" s="7">
        <v>43972</v>
      </c>
      <c r="F348" s="9">
        <v>33836.61</v>
      </c>
      <c r="G348" s="10">
        <f t="shared" si="11"/>
        <v>-2.8350142531666871E-3</v>
      </c>
      <c r="K348" s="13"/>
      <c r="L348" s="13"/>
      <c r="M348" s="13"/>
    </row>
    <row r="349" spans="1:13" x14ac:dyDescent="0.3">
      <c r="A349" s="7">
        <v>43979</v>
      </c>
      <c r="B349" s="8">
        <v>6.32</v>
      </c>
      <c r="C349" s="10">
        <f t="shared" si="10"/>
        <v>-1.2500000000000011E-2</v>
      </c>
      <c r="E349" s="7">
        <v>43979</v>
      </c>
      <c r="F349" s="9">
        <v>33695.42</v>
      </c>
      <c r="G349" s="10">
        <f t="shared" si="11"/>
        <v>-4.1726993336508094E-3</v>
      </c>
      <c r="K349" s="13"/>
      <c r="L349" s="13"/>
      <c r="M349" s="13"/>
    </row>
    <row r="350" spans="1:13" x14ac:dyDescent="0.3">
      <c r="A350" s="7">
        <v>43980</v>
      </c>
      <c r="B350" s="8">
        <v>6.35</v>
      </c>
      <c r="C350" s="10">
        <f t="shared" si="10"/>
        <v>4.7468354430378733E-3</v>
      </c>
      <c r="E350" s="7">
        <v>43980</v>
      </c>
      <c r="F350" s="9">
        <v>33931.230000000003</v>
      </c>
      <c r="G350" s="10">
        <f t="shared" si="11"/>
        <v>6.9982804784746696E-3</v>
      </c>
      <c r="K350" s="13"/>
      <c r="L350" s="13"/>
      <c r="M350" s="13"/>
    </row>
    <row r="351" spans="1:13" x14ac:dyDescent="0.3">
      <c r="A351" s="7">
        <v>43983</v>
      </c>
      <c r="B351" s="8">
        <v>6.32</v>
      </c>
      <c r="C351" s="10">
        <f t="shared" si="10"/>
        <v>-4.724409448818797E-3</v>
      </c>
      <c r="E351" s="7">
        <v>43983</v>
      </c>
      <c r="F351" s="9">
        <v>34021.97</v>
      </c>
      <c r="G351" s="10">
        <f t="shared" si="11"/>
        <v>2.6742325580298137E-3</v>
      </c>
      <c r="K351" s="13"/>
      <c r="L351" s="13"/>
      <c r="M351" s="13"/>
    </row>
    <row r="352" spans="1:13" x14ac:dyDescent="0.3">
      <c r="A352" s="7">
        <v>43984</v>
      </c>
      <c r="B352" s="8">
        <v>6.25</v>
      </c>
      <c r="C352" s="10">
        <f t="shared" si="10"/>
        <v>-1.1075949367088653E-2</v>
      </c>
      <c r="E352" s="7">
        <v>43984</v>
      </c>
      <c r="F352" s="9">
        <v>34408.050000000003</v>
      </c>
      <c r="G352" s="10">
        <f t="shared" si="11"/>
        <v>1.1347961332045197E-2</v>
      </c>
      <c r="K352" s="13"/>
      <c r="L352" s="13"/>
      <c r="M352" s="13"/>
    </row>
    <row r="353" spans="1:13" x14ac:dyDescent="0.3">
      <c r="A353" s="7">
        <v>43985</v>
      </c>
      <c r="B353" s="8">
        <v>6.15</v>
      </c>
      <c r="C353" s="10">
        <f t="shared" si="10"/>
        <v>-1.5999999999999945E-2</v>
      </c>
      <c r="E353" s="7">
        <v>43985</v>
      </c>
      <c r="F353" s="9">
        <v>34401.42</v>
      </c>
      <c r="G353" s="10">
        <f t="shared" si="11"/>
        <v>-1.9268746703183284E-4</v>
      </c>
      <c r="K353" s="13"/>
      <c r="L353" s="13"/>
      <c r="M353" s="13"/>
    </row>
    <row r="354" spans="1:13" x14ac:dyDescent="0.3">
      <c r="A354" s="7">
        <v>43986</v>
      </c>
      <c r="B354" s="8">
        <v>6.31</v>
      </c>
      <c r="C354" s="10">
        <f t="shared" si="10"/>
        <v>2.6016260162601505E-2</v>
      </c>
      <c r="E354" s="7">
        <v>43986</v>
      </c>
      <c r="F354" s="9">
        <v>34119.39</v>
      </c>
      <c r="G354" s="10">
        <f t="shared" si="11"/>
        <v>-8.1982080972238594E-3</v>
      </c>
      <c r="K354" s="13"/>
      <c r="L354" s="13"/>
      <c r="M354" s="13"/>
    </row>
    <row r="355" spans="1:13" x14ac:dyDescent="0.3">
      <c r="A355" s="7">
        <v>43987</v>
      </c>
      <c r="B355" s="8">
        <v>6.35</v>
      </c>
      <c r="C355" s="10">
        <f t="shared" si="10"/>
        <v>6.3391442155309096E-3</v>
      </c>
      <c r="E355" s="7">
        <v>43987</v>
      </c>
      <c r="F355" s="9">
        <v>34350.42</v>
      </c>
      <c r="G355" s="10">
        <f t="shared" si="11"/>
        <v>6.7712230494155626E-3</v>
      </c>
      <c r="K355" s="13"/>
      <c r="L355" s="13"/>
      <c r="M355" s="13"/>
    </row>
    <row r="356" spans="1:13" x14ac:dyDescent="0.3">
      <c r="A356" s="7">
        <v>43990</v>
      </c>
      <c r="B356" s="8">
        <v>6.36</v>
      </c>
      <c r="C356" s="10">
        <f t="shared" si="10"/>
        <v>1.5748031496064057E-3</v>
      </c>
      <c r="E356" s="7">
        <v>43990</v>
      </c>
      <c r="F356" s="9">
        <v>34749.57</v>
      </c>
      <c r="G356" s="10">
        <f t="shared" si="11"/>
        <v>1.1619945258311296E-2</v>
      </c>
      <c r="K356" s="13"/>
      <c r="L356" s="13"/>
      <c r="M356" s="13"/>
    </row>
    <row r="357" spans="1:13" x14ac:dyDescent="0.3">
      <c r="A357" s="7">
        <v>43991</v>
      </c>
      <c r="B357" s="8">
        <v>6.35</v>
      </c>
      <c r="C357" s="10">
        <f t="shared" si="10"/>
        <v>-1.5723270440252634E-3</v>
      </c>
      <c r="E357" s="7">
        <v>43991</v>
      </c>
      <c r="F357" s="9">
        <v>34803.599999999999</v>
      </c>
      <c r="G357" s="10">
        <f t="shared" si="11"/>
        <v>1.554839383623994E-3</v>
      </c>
      <c r="K357" s="13"/>
      <c r="L357" s="13"/>
      <c r="M357" s="13"/>
    </row>
    <row r="358" spans="1:13" x14ac:dyDescent="0.3">
      <c r="A358" s="7">
        <v>43992</v>
      </c>
      <c r="B358" s="8">
        <v>6.45</v>
      </c>
      <c r="C358" s="10">
        <f t="shared" si="10"/>
        <v>1.5748031496063079E-2</v>
      </c>
      <c r="E358" s="7">
        <v>43992</v>
      </c>
      <c r="F358" s="9">
        <v>35065.08</v>
      </c>
      <c r="G358" s="10">
        <f t="shared" si="11"/>
        <v>7.5130158949075158E-3</v>
      </c>
      <c r="K358" s="13"/>
      <c r="L358" s="13"/>
      <c r="M358" s="13"/>
    </row>
    <row r="359" spans="1:13" x14ac:dyDescent="0.3">
      <c r="A359" s="7">
        <v>43993</v>
      </c>
      <c r="B359" s="8">
        <v>6.35</v>
      </c>
      <c r="C359" s="10">
        <f t="shared" si="10"/>
        <v>-1.5503875968992331E-2</v>
      </c>
      <c r="E359" s="7">
        <v>43993</v>
      </c>
      <c r="F359" s="9">
        <v>35128.58</v>
      </c>
      <c r="G359" s="10">
        <f t="shared" si="11"/>
        <v>1.8109184407963704E-3</v>
      </c>
      <c r="K359" s="13"/>
      <c r="L359" s="13"/>
      <c r="M359" s="13"/>
    </row>
    <row r="360" spans="1:13" x14ac:dyDescent="0.3">
      <c r="A360" s="7">
        <v>43994</v>
      </c>
      <c r="B360" s="8">
        <v>6.06</v>
      </c>
      <c r="C360" s="10">
        <f t="shared" si="10"/>
        <v>-4.5669291338582683E-2</v>
      </c>
      <c r="E360" s="7">
        <v>43994</v>
      </c>
      <c r="F360" s="9">
        <v>34609.089999999997</v>
      </c>
      <c r="G360" s="10">
        <f t="shared" si="11"/>
        <v>-1.4788243646626342E-2</v>
      </c>
      <c r="K360" s="13"/>
      <c r="L360" s="13"/>
      <c r="M360" s="13"/>
    </row>
    <row r="361" spans="1:13" x14ac:dyDescent="0.3">
      <c r="A361" s="7">
        <v>43997</v>
      </c>
      <c r="B361" s="8">
        <v>5.87</v>
      </c>
      <c r="C361" s="10">
        <f t="shared" si="10"/>
        <v>-3.1353135313531275E-2</v>
      </c>
      <c r="E361" s="7">
        <v>43997</v>
      </c>
      <c r="F361" s="9">
        <v>33824.51</v>
      </c>
      <c r="G361" s="10">
        <f t="shared" si="11"/>
        <v>-2.2669766815596553E-2</v>
      </c>
      <c r="K361" s="13"/>
      <c r="L361" s="13"/>
      <c r="M361" s="13"/>
    </row>
    <row r="362" spans="1:13" x14ac:dyDescent="0.3">
      <c r="A362" s="7">
        <v>43998</v>
      </c>
      <c r="B362" s="8">
        <v>6.15</v>
      </c>
      <c r="C362" s="10">
        <f t="shared" si="10"/>
        <v>4.7700170357751322E-2</v>
      </c>
      <c r="E362" s="7">
        <v>43998</v>
      </c>
      <c r="F362" s="9">
        <v>34019.120000000003</v>
      </c>
      <c r="G362" s="10">
        <f t="shared" si="11"/>
        <v>5.7535201544678862E-3</v>
      </c>
      <c r="K362" s="13"/>
      <c r="L362" s="13"/>
      <c r="M362" s="13"/>
    </row>
    <row r="363" spans="1:13" x14ac:dyDescent="0.3">
      <c r="A363" s="7">
        <v>43999</v>
      </c>
      <c r="B363" s="8">
        <v>6.14</v>
      </c>
      <c r="C363" s="10">
        <f t="shared" si="10"/>
        <v>-1.6260162601627113E-3</v>
      </c>
      <c r="E363" s="7">
        <v>43999</v>
      </c>
      <c r="F363" s="9">
        <v>33848.68</v>
      </c>
      <c r="G363" s="10">
        <f t="shared" si="11"/>
        <v>-5.0101237186618089E-3</v>
      </c>
      <c r="K363" s="13"/>
      <c r="L363" s="13"/>
      <c r="M363" s="13"/>
    </row>
    <row r="364" spans="1:13" x14ac:dyDescent="0.3">
      <c r="A364" s="7">
        <v>44000</v>
      </c>
      <c r="B364" s="8">
        <v>6.08</v>
      </c>
      <c r="C364" s="10">
        <f t="shared" si="10"/>
        <v>-9.7719869706839758E-3</v>
      </c>
      <c r="E364" s="7">
        <v>44000</v>
      </c>
      <c r="F364" s="9">
        <v>33539.85</v>
      </c>
      <c r="G364" s="10">
        <f t="shared" si="11"/>
        <v>-9.1238417569016496E-3</v>
      </c>
      <c r="K364" s="13"/>
      <c r="L364" s="13"/>
      <c r="M364" s="13"/>
    </row>
    <row r="365" spans="1:13" x14ac:dyDescent="0.3">
      <c r="A365" s="7">
        <v>44001</v>
      </c>
      <c r="B365" s="8">
        <v>6.01</v>
      </c>
      <c r="C365" s="10">
        <f t="shared" si="10"/>
        <v>-1.1513157894736888E-2</v>
      </c>
      <c r="E365" s="7">
        <v>44001</v>
      </c>
      <c r="F365" s="9">
        <v>33438.94</v>
      </c>
      <c r="G365" s="10">
        <f t="shared" si="11"/>
        <v>-3.0086598479121471E-3</v>
      </c>
      <c r="K365" s="13"/>
      <c r="L365" s="13"/>
      <c r="M365" s="13"/>
    </row>
    <row r="366" spans="1:13" x14ac:dyDescent="0.3">
      <c r="A366" s="7">
        <v>44004</v>
      </c>
      <c r="B366" s="8">
        <v>5.97</v>
      </c>
      <c r="C366" s="10">
        <f t="shared" si="10"/>
        <v>-6.6555740432612375E-3</v>
      </c>
      <c r="E366" s="7">
        <v>44004</v>
      </c>
      <c r="F366" s="9">
        <v>33737.919999999998</v>
      </c>
      <c r="G366" s="10">
        <f t="shared" si="11"/>
        <v>8.9410728928607155E-3</v>
      </c>
      <c r="K366" s="13"/>
      <c r="L366" s="13"/>
      <c r="M366" s="13"/>
    </row>
    <row r="367" spans="1:13" x14ac:dyDescent="0.3">
      <c r="A367" s="7">
        <v>44005</v>
      </c>
      <c r="B367" s="8">
        <v>6.04</v>
      </c>
      <c r="C367" s="10">
        <f t="shared" si="10"/>
        <v>1.1725293132328356E-2</v>
      </c>
      <c r="E367" s="7">
        <v>44005</v>
      </c>
      <c r="F367" s="9">
        <v>34052.61</v>
      </c>
      <c r="G367" s="10">
        <f t="shared" si="11"/>
        <v>9.3274866974609686E-3</v>
      </c>
      <c r="K367" s="13"/>
      <c r="L367" s="13"/>
      <c r="M367" s="13"/>
    </row>
    <row r="368" spans="1:13" x14ac:dyDescent="0.3">
      <c r="A368" s="7">
        <v>44006</v>
      </c>
      <c r="B368" s="8">
        <v>6</v>
      </c>
      <c r="C368" s="10">
        <f t="shared" si="10"/>
        <v>-6.6225165562913968E-3</v>
      </c>
      <c r="E368" s="7">
        <v>44006</v>
      </c>
      <c r="F368" s="9">
        <v>34034.65</v>
      </c>
      <c r="G368" s="10">
        <f t="shared" si="11"/>
        <v>-5.2741919048199617E-4</v>
      </c>
      <c r="K368" s="13"/>
      <c r="L368" s="13"/>
      <c r="M368" s="13"/>
    </row>
    <row r="369" spans="1:13" x14ac:dyDescent="0.3">
      <c r="A369" s="7">
        <v>44007</v>
      </c>
      <c r="B369" s="8">
        <v>5.91</v>
      </c>
      <c r="C369" s="10">
        <f t="shared" si="10"/>
        <v>-1.4999999999999977E-2</v>
      </c>
      <c r="E369" s="7">
        <v>44007</v>
      </c>
      <c r="F369" s="9">
        <v>33709.629999999997</v>
      </c>
      <c r="G369" s="10">
        <f t="shared" si="11"/>
        <v>-9.5496795177856704E-3</v>
      </c>
      <c r="K369" s="13"/>
      <c r="L369" s="13"/>
      <c r="M369" s="13"/>
    </row>
    <row r="370" spans="1:13" x14ac:dyDescent="0.3">
      <c r="A370" s="7">
        <v>44008</v>
      </c>
      <c r="B370" s="8">
        <v>5.85</v>
      </c>
      <c r="C370" s="10">
        <f t="shared" si="10"/>
        <v>-1.0152284263959475E-2</v>
      </c>
      <c r="E370" s="7">
        <v>44008</v>
      </c>
      <c r="F370" s="9">
        <v>33939.49</v>
      </c>
      <c r="G370" s="10">
        <f t="shared" si="11"/>
        <v>6.8188229891577154E-3</v>
      </c>
      <c r="K370" s="13"/>
      <c r="L370" s="13"/>
      <c r="M370" s="13"/>
    </row>
    <row r="371" spans="1:13" x14ac:dyDescent="0.3">
      <c r="A371" s="7">
        <v>44011</v>
      </c>
      <c r="B371" s="8">
        <v>6.07</v>
      </c>
      <c r="C371" s="10">
        <f t="shared" si="10"/>
        <v>3.7606837606837716E-2</v>
      </c>
      <c r="E371" s="7">
        <v>44011</v>
      </c>
      <c r="F371" s="9">
        <v>34181.800000000003</v>
      </c>
      <c r="G371" s="10">
        <f t="shared" si="11"/>
        <v>7.1394708641763609E-3</v>
      </c>
      <c r="K371" s="13"/>
      <c r="L371" s="13"/>
      <c r="M371" s="13"/>
    </row>
    <row r="372" spans="1:13" x14ac:dyDescent="0.3">
      <c r="A372" s="7">
        <v>44012</v>
      </c>
      <c r="B372" s="8">
        <v>6.02</v>
      </c>
      <c r="C372" s="10">
        <f t="shared" si="10"/>
        <v>-8.2372322899506925E-3</v>
      </c>
      <c r="E372" s="7">
        <v>44012</v>
      </c>
      <c r="F372" s="9">
        <v>34421.919999999998</v>
      </c>
      <c r="G372" s="10">
        <f t="shared" si="11"/>
        <v>7.0247909706333579E-3</v>
      </c>
      <c r="K372" s="13"/>
      <c r="L372" s="13"/>
      <c r="M372" s="13"/>
    </row>
    <row r="373" spans="1:13" x14ac:dyDescent="0.3">
      <c r="A373" s="7">
        <v>44013</v>
      </c>
      <c r="B373" s="8">
        <v>6.07</v>
      </c>
      <c r="C373" s="10">
        <f t="shared" si="10"/>
        <v>8.3056478405316801E-3</v>
      </c>
      <c r="E373" s="7">
        <v>44013</v>
      </c>
      <c r="F373" s="9">
        <v>34889.410000000003</v>
      </c>
      <c r="G373" s="10">
        <f t="shared" si="11"/>
        <v>1.3581171532558476E-2</v>
      </c>
      <c r="K373" s="13"/>
      <c r="L373" s="13"/>
      <c r="M373" s="13"/>
    </row>
    <row r="374" spans="1:13" x14ac:dyDescent="0.3">
      <c r="A374" s="7">
        <v>44014</v>
      </c>
      <c r="B374" s="8">
        <v>6.1</v>
      </c>
      <c r="C374" s="10">
        <f t="shared" si="10"/>
        <v>4.9423393739702406E-3</v>
      </c>
      <c r="E374" s="7">
        <v>44014</v>
      </c>
      <c r="F374" s="9">
        <v>34978.18</v>
      </c>
      <c r="G374" s="10">
        <f t="shared" si="11"/>
        <v>2.5443250545078518E-3</v>
      </c>
      <c r="K374" s="13"/>
      <c r="L374" s="13"/>
      <c r="M374" s="13"/>
    </row>
    <row r="375" spans="1:13" x14ac:dyDescent="0.3">
      <c r="A375" s="7">
        <v>44015</v>
      </c>
      <c r="B375" s="8">
        <v>6.12</v>
      </c>
      <c r="C375" s="10">
        <f t="shared" si="10"/>
        <v>3.2786885245902398E-3</v>
      </c>
      <c r="E375" s="7">
        <v>44015</v>
      </c>
      <c r="F375" s="9">
        <v>35051.379999999997</v>
      </c>
      <c r="G375" s="10">
        <f t="shared" si="11"/>
        <v>2.0927332411233828E-3</v>
      </c>
      <c r="K375" s="13"/>
      <c r="L375" s="13"/>
      <c r="M375" s="13"/>
    </row>
    <row r="376" spans="1:13" x14ac:dyDescent="0.3">
      <c r="A376" s="7">
        <v>44018</v>
      </c>
      <c r="B376" s="8">
        <v>6.36</v>
      </c>
      <c r="C376" s="10">
        <f t="shared" si="10"/>
        <v>3.9215686274509838E-2</v>
      </c>
      <c r="E376" s="7">
        <v>44018</v>
      </c>
      <c r="F376" s="9">
        <v>35202.769999999997</v>
      </c>
      <c r="G376" s="10">
        <f t="shared" si="11"/>
        <v>4.3190881500243198E-3</v>
      </c>
      <c r="K376" s="13"/>
      <c r="L376" s="13"/>
      <c r="M376" s="13"/>
    </row>
    <row r="377" spans="1:13" x14ac:dyDescent="0.3">
      <c r="A377" s="7">
        <v>44019</v>
      </c>
      <c r="B377" s="8">
        <v>6.29</v>
      </c>
      <c r="C377" s="10">
        <f t="shared" si="10"/>
        <v>-1.1006289308176145E-2</v>
      </c>
      <c r="E377" s="7">
        <v>44019</v>
      </c>
      <c r="F377" s="9">
        <v>35373.35</v>
      </c>
      <c r="G377" s="10">
        <f t="shared" si="11"/>
        <v>4.8456414083324056E-3</v>
      </c>
      <c r="K377" s="13"/>
      <c r="L377" s="13"/>
      <c r="M377" s="13"/>
    </row>
    <row r="378" spans="1:13" x14ac:dyDescent="0.3">
      <c r="A378" s="7">
        <v>44020</v>
      </c>
      <c r="B378" s="8">
        <v>6.29</v>
      </c>
      <c r="C378" s="10">
        <f t="shared" si="10"/>
        <v>0</v>
      </c>
      <c r="E378" s="7">
        <v>44020</v>
      </c>
      <c r="F378" s="9">
        <v>35694.89</v>
      </c>
      <c r="G378" s="10">
        <f t="shared" si="11"/>
        <v>9.0898939455833529E-3</v>
      </c>
      <c r="K378" s="13"/>
      <c r="L378" s="13"/>
      <c r="M378" s="13"/>
    </row>
    <row r="379" spans="1:13" x14ac:dyDescent="0.3">
      <c r="A379" s="7">
        <v>44021</v>
      </c>
      <c r="B379" s="8">
        <v>6.49</v>
      </c>
      <c r="C379" s="10">
        <f t="shared" si="10"/>
        <v>3.1796502384737704E-2</v>
      </c>
      <c r="E379" s="7">
        <v>44021</v>
      </c>
      <c r="F379" s="9">
        <v>36142.17</v>
      </c>
      <c r="G379" s="10">
        <f t="shared" si="11"/>
        <v>1.2530645142764099E-2</v>
      </c>
      <c r="K379" s="13"/>
      <c r="L379" s="13"/>
      <c r="M379" s="13"/>
    </row>
    <row r="380" spans="1:13" x14ac:dyDescent="0.3">
      <c r="A380" s="7">
        <v>44022</v>
      </c>
      <c r="B380" s="8">
        <v>6.45</v>
      </c>
      <c r="C380" s="10">
        <f t="shared" si="10"/>
        <v>-6.1633281972265077E-3</v>
      </c>
      <c r="E380" s="7">
        <v>44022</v>
      </c>
      <c r="F380" s="9">
        <v>36190.400000000001</v>
      </c>
      <c r="G380" s="10">
        <f t="shared" si="11"/>
        <v>1.3344522478866987E-3</v>
      </c>
      <c r="K380" s="13"/>
      <c r="L380" s="13"/>
      <c r="M380" s="13"/>
    </row>
    <row r="381" spans="1:13" x14ac:dyDescent="0.3">
      <c r="A381" s="7">
        <v>44025</v>
      </c>
      <c r="B381" s="8">
        <v>6.37</v>
      </c>
      <c r="C381" s="10">
        <f t="shared" si="10"/>
        <v>-1.2403100775193809E-2</v>
      </c>
      <c r="E381" s="7">
        <v>44025</v>
      </c>
      <c r="F381" s="9">
        <v>36618.57</v>
      </c>
      <c r="G381" s="10">
        <f t="shared" si="11"/>
        <v>1.1831038065343247E-2</v>
      </c>
      <c r="K381" s="13"/>
      <c r="L381" s="13"/>
      <c r="M381" s="13"/>
    </row>
    <row r="382" spans="1:13" x14ac:dyDescent="0.3">
      <c r="A382" s="7">
        <v>44026</v>
      </c>
      <c r="B382" s="8">
        <v>6.4</v>
      </c>
      <c r="C382" s="10">
        <f t="shared" si="10"/>
        <v>4.7095761381476054E-3</v>
      </c>
      <c r="E382" s="7">
        <v>44026</v>
      </c>
      <c r="F382" s="9">
        <v>36745.22</v>
      </c>
      <c r="G382" s="10">
        <f t="shared" si="11"/>
        <v>3.4586276853520348E-3</v>
      </c>
      <c r="K382" s="13"/>
      <c r="L382" s="13"/>
      <c r="M382" s="13"/>
    </row>
    <row r="383" spans="1:13" x14ac:dyDescent="0.3">
      <c r="A383" s="7">
        <v>44027</v>
      </c>
      <c r="B383" s="8">
        <v>6.34</v>
      </c>
      <c r="C383" s="10">
        <f t="shared" si="10"/>
        <v>-9.3750000000000777E-3</v>
      </c>
      <c r="E383" s="7">
        <v>44027</v>
      </c>
      <c r="F383" s="9">
        <v>36679.03</v>
      </c>
      <c r="G383" s="10">
        <f t="shared" si="11"/>
        <v>-1.801322729868057E-3</v>
      </c>
      <c r="K383" s="13"/>
      <c r="L383" s="13"/>
      <c r="M383" s="13"/>
    </row>
    <row r="384" spans="1:13" x14ac:dyDescent="0.3">
      <c r="A384" s="7">
        <v>44028</v>
      </c>
      <c r="B384" s="8">
        <v>6.45</v>
      </c>
      <c r="C384" s="10">
        <f t="shared" si="10"/>
        <v>1.7350157728706676E-2</v>
      </c>
      <c r="E384" s="7">
        <v>44028</v>
      </c>
      <c r="F384" s="9">
        <v>37001.440000000002</v>
      </c>
      <c r="G384" s="10">
        <f t="shared" si="11"/>
        <v>8.790036159625909E-3</v>
      </c>
      <c r="K384" s="13"/>
      <c r="L384" s="13"/>
      <c r="M384" s="13"/>
    </row>
    <row r="385" spans="1:13" x14ac:dyDescent="0.3">
      <c r="A385" s="7">
        <v>44029</v>
      </c>
      <c r="B385" s="8">
        <v>6.89</v>
      </c>
      <c r="C385" s="10">
        <f t="shared" si="10"/>
        <v>6.8217054263565807E-2</v>
      </c>
      <c r="E385" s="7">
        <v>44029</v>
      </c>
      <c r="F385" s="9">
        <v>37330.85</v>
      </c>
      <c r="G385" s="10">
        <f t="shared" si="11"/>
        <v>8.9026264923742476E-3</v>
      </c>
      <c r="K385" s="13"/>
      <c r="L385" s="13"/>
      <c r="M385" s="13"/>
    </row>
    <row r="386" spans="1:13" x14ac:dyDescent="0.3">
      <c r="A386" s="7">
        <v>44032</v>
      </c>
      <c r="B386" s="8">
        <v>7.16</v>
      </c>
      <c r="C386" s="10">
        <f t="shared" si="10"/>
        <v>3.9187227866473218E-2</v>
      </c>
      <c r="E386" s="7">
        <v>44032</v>
      </c>
      <c r="F386" s="9">
        <v>37650.57</v>
      </c>
      <c r="G386" s="10">
        <f t="shared" si="11"/>
        <v>8.5644982635005949E-3</v>
      </c>
      <c r="K386" s="13"/>
      <c r="L386" s="13"/>
      <c r="M386" s="13"/>
    </row>
    <row r="387" spans="1:13" x14ac:dyDescent="0.3">
      <c r="A387" s="7">
        <v>44033</v>
      </c>
      <c r="B387" s="8">
        <v>6.91</v>
      </c>
      <c r="C387" s="10">
        <f t="shared" si="10"/>
        <v>-3.4916201117318434E-2</v>
      </c>
      <c r="E387" s="7">
        <v>44033</v>
      </c>
      <c r="F387" s="9">
        <v>37700.31</v>
      </c>
      <c r="G387" s="10">
        <f t="shared" si="11"/>
        <v>1.3210955371989843E-3</v>
      </c>
      <c r="K387" s="13"/>
      <c r="L387" s="13"/>
      <c r="M387" s="13"/>
    </row>
    <row r="388" spans="1:13" x14ac:dyDescent="0.3">
      <c r="A388" s="7">
        <v>44034</v>
      </c>
      <c r="B388" s="8">
        <v>6.88</v>
      </c>
      <c r="C388" s="10">
        <f t="shared" si="10"/>
        <v>-4.3415340086831039E-3</v>
      </c>
      <c r="E388" s="7">
        <v>44034</v>
      </c>
      <c r="F388" s="9">
        <v>37804.61</v>
      </c>
      <c r="G388" s="10">
        <f t="shared" si="11"/>
        <v>2.7665555004720895E-3</v>
      </c>
      <c r="K388" s="13"/>
      <c r="L388" s="13"/>
      <c r="M388" s="13"/>
    </row>
    <row r="389" spans="1:13" x14ac:dyDescent="0.3">
      <c r="A389" s="7">
        <v>44035</v>
      </c>
      <c r="B389" s="8">
        <v>7.16</v>
      </c>
      <c r="C389" s="10">
        <f t="shared" ref="C389:C452" si="12">(B389-B388)/B388</f>
        <v>4.0697674418604689E-2</v>
      </c>
      <c r="E389" s="7">
        <v>44035</v>
      </c>
      <c r="F389" s="9">
        <v>37578.21</v>
      </c>
      <c r="G389" s="10">
        <f t="shared" ref="G389:G452" si="13">(F389-F388)/F388</f>
        <v>-5.9886876230174427E-3</v>
      </c>
      <c r="K389" s="13"/>
      <c r="L389" s="13"/>
      <c r="M389" s="13"/>
    </row>
    <row r="390" spans="1:13" x14ac:dyDescent="0.3">
      <c r="A390" s="7">
        <v>44036</v>
      </c>
      <c r="B390" s="8">
        <v>7.04</v>
      </c>
      <c r="C390" s="10">
        <f t="shared" si="12"/>
        <v>-1.6759776536312863E-2</v>
      </c>
      <c r="E390" s="7">
        <v>44036</v>
      </c>
      <c r="F390" s="9">
        <v>37607.620000000003</v>
      </c>
      <c r="G390" s="10">
        <f t="shared" si="13"/>
        <v>7.8263440435304111E-4</v>
      </c>
      <c r="K390" s="13"/>
      <c r="L390" s="13"/>
      <c r="M390" s="13"/>
    </row>
    <row r="391" spans="1:13" x14ac:dyDescent="0.3">
      <c r="A391" s="7">
        <v>44039</v>
      </c>
      <c r="B391" s="8">
        <v>6.95</v>
      </c>
      <c r="C391" s="10">
        <f t="shared" si="12"/>
        <v>-1.2784090909090889E-2</v>
      </c>
      <c r="E391" s="7">
        <v>44039</v>
      </c>
      <c r="F391" s="9">
        <v>38221.160000000003</v>
      </c>
      <c r="G391" s="10">
        <f t="shared" si="13"/>
        <v>1.6314246953144092E-2</v>
      </c>
      <c r="K391" s="13"/>
      <c r="L391" s="13"/>
      <c r="M391" s="13"/>
    </row>
    <row r="392" spans="1:13" x14ac:dyDescent="0.3">
      <c r="A392" s="7">
        <v>44040</v>
      </c>
      <c r="B392" s="8">
        <v>7.12</v>
      </c>
      <c r="C392" s="10">
        <f t="shared" si="12"/>
        <v>2.4460431654676248E-2</v>
      </c>
      <c r="E392" s="7">
        <v>44040</v>
      </c>
      <c r="F392" s="9">
        <v>38627.269999999997</v>
      </c>
      <c r="G392" s="10">
        <f t="shared" si="13"/>
        <v>1.0625266213793439E-2</v>
      </c>
      <c r="K392" s="13"/>
      <c r="L392" s="13"/>
      <c r="M392" s="13"/>
    </row>
    <row r="393" spans="1:13" x14ac:dyDescent="0.3">
      <c r="A393" s="7">
        <v>44041</v>
      </c>
      <c r="B393" s="8">
        <v>7.08</v>
      </c>
      <c r="C393" s="10">
        <f t="shared" si="12"/>
        <v>-5.6179775280898927E-3</v>
      </c>
      <c r="E393" s="7">
        <v>44041</v>
      </c>
      <c r="F393" s="9">
        <v>38836.269999999997</v>
      </c>
      <c r="G393" s="10">
        <f t="shared" si="13"/>
        <v>5.4106852490481468E-3</v>
      </c>
      <c r="K393" s="13"/>
      <c r="L393" s="13"/>
      <c r="M393" s="13"/>
    </row>
    <row r="394" spans="1:13" x14ac:dyDescent="0.3">
      <c r="A394" s="7">
        <v>44042</v>
      </c>
      <c r="B394" s="8">
        <v>7.23</v>
      </c>
      <c r="C394" s="10">
        <f t="shared" si="12"/>
        <v>2.1186440677966153E-2</v>
      </c>
      <c r="E394" s="7">
        <v>44042</v>
      </c>
      <c r="F394" s="9">
        <v>39258.44</v>
      </c>
      <c r="G394" s="10">
        <f t="shared" si="13"/>
        <v>1.0870508419063046E-2</v>
      </c>
      <c r="K394" s="13"/>
      <c r="L394" s="13"/>
      <c r="M394" s="13"/>
    </row>
    <row r="395" spans="1:13" x14ac:dyDescent="0.3">
      <c r="A395" s="7">
        <v>44046</v>
      </c>
      <c r="B395" s="8">
        <v>7.27</v>
      </c>
      <c r="C395" s="10">
        <f t="shared" si="12"/>
        <v>5.5325034578145426E-3</v>
      </c>
      <c r="E395" s="7">
        <v>44046</v>
      </c>
      <c r="F395" s="9">
        <v>39871.61</v>
      </c>
      <c r="G395" s="10">
        <f t="shared" si="13"/>
        <v>1.5618807064162464E-2</v>
      </c>
      <c r="K395" s="13"/>
      <c r="L395" s="13"/>
      <c r="M395" s="13"/>
    </row>
    <row r="396" spans="1:13" x14ac:dyDescent="0.3">
      <c r="A396" s="7">
        <v>44047</v>
      </c>
      <c r="B396" s="8">
        <v>7.03</v>
      </c>
      <c r="C396" s="10">
        <f t="shared" si="12"/>
        <v>-3.3012379642365794E-2</v>
      </c>
      <c r="E396" s="7">
        <v>44047</v>
      </c>
      <c r="F396" s="9">
        <v>39577.620000000003</v>
      </c>
      <c r="G396" s="10">
        <f t="shared" si="13"/>
        <v>-7.3734168246528788E-3</v>
      </c>
      <c r="K396" s="13"/>
      <c r="L396" s="13"/>
      <c r="M396" s="13"/>
    </row>
    <row r="397" spans="1:13" x14ac:dyDescent="0.3">
      <c r="A397" s="7">
        <v>44048</v>
      </c>
      <c r="B397" s="8">
        <v>7.19</v>
      </c>
      <c r="C397" s="10">
        <f t="shared" si="12"/>
        <v>2.2759601706970146E-2</v>
      </c>
      <c r="E397" s="7">
        <v>44048</v>
      </c>
      <c r="F397" s="9">
        <v>39882.78</v>
      </c>
      <c r="G397" s="10">
        <f t="shared" si="13"/>
        <v>7.7104181605664058E-3</v>
      </c>
      <c r="K397" s="13"/>
      <c r="L397" s="13"/>
      <c r="M397" s="13"/>
    </row>
    <row r="398" spans="1:13" x14ac:dyDescent="0.3">
      <c r="A398" s="7">
        <v>44049</v>
      </c>
      <c r="B398" s="8">
        <v>7.35</v>
      </c>
      <c r="C398" s="10">
        <f t="shared" si="12"/>
        <v>2.225312934631422E-2</v>
      </c>
      <c r="E398" s="7">
        <v>44049</v>
      </c>
      <c r="F398" s="9">
        <v>40166.120000000003</v>
      </c>
      <c r="G398" s="10">
        <f t="shared" si="13"/>
        <v>7.1043192074374904E-3</v>
      </c>
      <c r="K398" s="13"/>
      <c r="L398" s="13"/>
      <c r="M398" s="13"/>
    </row>
    <row r="399" spans="1:13" x14ac:dyDescent="0.3">
      <c r="A399" s="7">
        <v>44050</v>
      </c>
      <c r="B399" s="8">
        <v>7.48</v>
      </c>
      <c r="C399" s="10">
        <f t="shared" si="12"/>
        <v>1.7687074829932078E-2</v>
      </c>
      <c r="E399" s="7">
        <v>44050</v>
      </c>
      <c r="F399" s="9">
        <v>40029.69</v>
      </c>
      <c r="G399" s="10">
        <f t="shared" si="13"/>
        <v>-3.3966437385537932E-3</v>
      </c>
      <c r="K399" s="13"/>
      <c r="L399" s="13"/>
      <c r="M399" s="13"/>
    </row>
    <row r="400" spans="1:13" x14ac:dyDescent="0.3">
      <c r="A400" s="7">
        <v>44053</v>
      </c>
      <c r="B400" s="8">
        <v>7.62</v>
      </c>
      <c r="C400" s="10">
        <f t="shared" si="12"/>
        <v>1.8716577540106909E-2</v>
      </c>
      <c r="E400" s="7">
        <v>44053</v>
      </c>
      <c r="F400" s="9">
        <v>39914.76</v>
      </c>
      <c r="G400" s="10">
        <f t="shared" si="13"/>
        <v>-2.8711189119875842E-3</v>
      </c>
      <c r="K400" s="13"/>
      <c r="L400" s="13"/>
      <c r="M400" s="13"/>
    </row>
    <row r="401" spans="1:13" x14ac:dyDescent="0.3">
      <c r="A401" s="7">
        <v>44054</v>
      </c>
      <c r="B401" s="8">
        <v>7.84</v>
      </c>
      <c r="C401" s="10">
        <f t="shared" si="12"/>
        <v>2.8871391076115454E-2</v>
      </c>
      <c r="E401" s="7">
        <v>44054</v>
      </c>
      <c r="F401" s="9">
        <v>40559.15</v>
      </c>
      <c r="G401" s="10">
        <f t="shared" si="13"/>
        <v>1.6144153190448832E-2</v>
      </c>
      <c r="K401" s="13"/>
      <c r="L401" s="13"/>
      <c r="M401" s="13"/>
    </row>
    <row r="402" spans="1:13" x14ac:dyDescent="0.3">
      <c r="A402" s="7">
        <v>44055</v>
      </c>
      <c r="B402" s="8">
        <v>7.73</v>
      </c>
      <c r="C402" s="10">
        <f t="shared" si="12"/>
        <v>-1.4030612244897886E-2</v>
      </c>
      <c r="E402" s="7">
        <v>44055</v>
      </c>
      <c r="F402" s="9">
        <v>40473.18</v>
      </c>
      <c r="G402" s="10">
        <f t="shared" si="13"/>
        <v>-2.1196203569355167E-3</v>
      </c>
      <c r="K402" s="13"/>
      <c r="L402" s="13"/>
      <c r="M402" s="13"/>
    </row>
    <row r="403" spans="1:13" x14ac:dyDescent="0.3">
      <c r="A403" s="7">
        <v>44056</v>
      </c>
      <c r="B403" s="8">
        <v>7.75</v>
      </c>
      <c r="C403" s="10">
        <f t="shared" si="12"/>
        <v>2.5873221216040844E-3</v>
      </c>
      <c r="E403" s="7">
        <v>44056</v>
      </c>
      <c r="F403" s="9">
        <v>40290.74</v>
      </c>
      <c r="G403" s="10">
        <f t="shared" si="13"/>
        <v>-4.507676441534921E-3</v>
      </c>
      <c r="K403" s="13"/>
      <c r="L403" s="13"/>
      <c r="M403" s="13"/>
    </row>
    <row r="404" spans="1:13" x14ac:dyDescent="0.3">
      <c r="A404" s="7">
        <v>44060</v>
      </c>
      <c r="B404" s="8">
        <v>7.88</v>
      </c>
      <c r="C404" s="10">
        <f t="shared" si="12"/>
        <v>1.6774193548387082E-2</v>
      </c>
      <c r="E404" s="7">
        <v>44060</v>
      </c>
      <c r="F404" s="9">
        <v>40122.5</v>
      </c>
      <c r="G404" s="10">
        <f t="shared" si="13"/>
        <v>-4.1756492931129575E-3</v>
      </c>
      <c r="K404" s="13"/>
      <c r="L404" s="13"/>
      <c r="M404" s="13"/>
    </row>
    <row r="405" spans="1:13" x14ac:dyDescent="0.3">
      <c r="A405" s="7">
        <v>44061</v>
      </c>
      <c r="B405" s="8">
        <v>7.78</v>
      </c>
      <c r="C405" s="10">
        <f t="shared" si="12"/>
        <v>-1.2690355329949193E-2</v>
      </c>
      <c r="E405" s="7">
        <v>44061</v>
      </c>
      <c r="F405" s="9">
        <v>40184.01</v>
      </c>
      <c r="G405" s="10">
        <f t="shared" si="13"/>
        <v>1.5330550190043501E-3</v>
      </c>
      <c r="K405" s="13"/>
      <c r="L405" s="13"/>
      <c r="M405" s="13"/>
    </row>
    <row r="406" spans="1:13" x14ac:dyDescent="0.3">
      <c r="A406" s="7">
        <v>44062</v>
      </c>
      <c r="B406" s="8">
        <v>7.76</v>
      </c>
      <c r="C406" s="10">
        <f t="shared" si="12"/>
        <v>-2.5706940874036582E-3</v>
      </c>
      <c r="E406" s="7">
        <v>44062</v>
      </c>
      <c r="F406" s="9">
        <v>40154.11</v>
      </c>
      <c r="G406" s="10">
        <f t="shared" si="13"/>
        <v>-7.4407705950703905E-4</v>
      </c>
      <c r="K406" s="13"/>
      <c r="L406" s="13"/>
      <c r="M406" s="13"/>
    </row>
    <row r="407" spans="1:13" x14ac:dyDescent="0.3">
      <c r="A407" s="7">
        <v>44063</v>
      </c>
      <c r="B407" s="8">
        <v>7.71</v>
      </c>
      <c r="C407" s="10">
        <f t="shared" si="12"/>
        <v>-6.4432989690721421E-3</v>
      </c>
      <c r="E407" s="7">
        <v>44063</v>
      </c>
      <c r="F407" s="9">
        <v>39868.550000000003</v>
      </c>
      <c r="G407" s="10">
        <f t="shared" si="13"/>
        <v>-7.1116007800944327E-3</v>
      </c>
      <c r="K407" s="13"/>
      <c r="L407" s="13"/>
      <c r="M407" s="13"/>
    </row>
    <row r="408" spans="1:13" x14ac:dyDescent="0.3">
      <c r="A408" s="7">
        <v>44064</v>
      </c>
      <c r="B408" s="8">
        <v>7.61</v>
      </c>
      <c r="C408" s="10">
        <f t="shared" si="12"/>
        <v>-1.2970168612191912E-2</v>
      </c>
      <c r="E408" s="7">
        <v>44064</v>
      </c>
      <c r="F408" s="9">
        <v>39621.589999999997</v>
      </c>
      <c r="G408" s="10">
        <f t="shared" si="13"/>
        <v>-6.1943562030725065E-3</v>
      </c>
      <c r="K408" s="13"/>
      <c r="L408" s="13"/>
      <c r="M408" s="13"/>
    </row>
    <row r="409" spans="1:13" x14ac:dyDescent="0.3">
      <c r="A409" s="7">
        <v>44067</v>
      </c>
      <c r="B409" s="8">
        <v>7.81</v>
      </c>
      <c r="C409" s="10">
        <f t="shared" si="12"/>
        <v>2.6281208935610943E-2</v>
      </c>
      <c r="E409" s="7">
        <v>44067</v>
      </c>
      <c r="F409" s="9">
        <v>39802.6</v>
      </c>
      <c r="G409" s="10">
        <f t="shared" si="13"/>
        <v>4.568468857509304E-3</v>
      </c>
      <c r="K409" s="13"/>
      <c r="L409" s="13"/>
      <c r="M409" s="13"/>
    </row>
    <row r="410" spans="1:13" x14ac:dyDescent="0.3">
      <c r="A410" s="7">
        <v>44068</v>
      </c>
      <c r="B410" s="8">
        <v>7.98</v>
      </c>
      <c r="C410" s="10">
        <f t="shared" si="12"/>
        <v>2.1766965428937364E-2</v>
      </c>
      <c r="E410" s="7">
        <v>44068</v>
      </c>
      <c r="F410" s="9">
        <v>40292.82</v>
      </c>
      <c r="G410" s="10">
        <f t="shared" si="13"/>
        <v>1.2316280845974916E-2</v>
      </c>
      <c r="K410" s="13"/>
      <c r="L410" s="13"/>
      <c r="M410" s="13"/>
    </row>
    <row r="411" spans="1:13" x14ac:dyDescent="0.3">
      <c r="A411" s="7">
        <v>44069</v>
      </c>
      <c r="B411" s="8">
        <v>8.26</v>
      </c>
      <c r="C411" s="10">
        <f t="shared" si="12"/>
        <v>3.5087719298245529E-2</v>
      </c>
      <c r="E411" s="7">
        <v>44069</v>
      </c>
      <c r="F411" s="9">
        <v>40862.589999999997</v>
      </c>
      <c r="G411" s="10">
        <f t="shared" si="13"/>
        <v>1.4140732765787969E-2</v>
      </c>
      <c r="K411" s="13"/>
      <c r="L411" s="13"/>
      <c r="M411" s="13"/>
    </row>
    <row r="412" spans="1:13" x14ac:dyDescent="0.3">
      <c r="A412" s="7">
        <v>44070</v>
      </c>
      <c r="B412" s="8">
        <v>8.26</v>
      </c>
      <c r="C412" s="10">
        <f t="shared" si="12"/>
        <v>0</v>
      </c>
      <c r="E412" s="7">
        <v>44070</v>
      </c>
      <c r="F412" s="9">
        <v>41081.94</v>
      </c>
      <c r="G412" s="10">
        <f t="shared" si="13"/>
        <v>5.367990624187205E-3</v>
      </c>
      <c r="K412" s="13"/>
      <c r="L412" s="13"/>
      <c r="M412" s="13"/>
    </row>
    <row r="413" spans="1:13" x14ac:dyDescent="0.3">
      <c r="A413" s="7">
        <v>44071</v>
      </c>
      <c r="B413" s="8">
        <v>8.2100000000000009</v>
      </c>
      <c r="C413" s="10">
        <f t="shared" si="12"/>
        <v>-6.0532687651330434E-3</v>
      </c>
      <c r="E413" s="7">
        <v>44071</v>
      </c>
      <c r="F413" s="9">
        <v>41056.22</v>
      </c>
      <c r="G413" s="10">
        <f t="shared" si="13"/>
        <v>-6.2606585764939928E-4</v>
      </c>
      <c r="K413" s="13"/>
      <c r="L413" s="13"/>
      <c r="M413" s="13"/>
    </row>
    <row r="414" spans="1:13" x14ac:dyDescent="0.3">
      <c r="A414" s="7">
        <v>44074</v>
      </c>
      <c r="B414" s="8">
        <v>8.2100000000000009</v>
      </c>
      <c r="C414" s="10">
        <f t="shared" si="12"/>
        <v>0</v>
      </c>
      <c r="E414" s="7">
        <v>44074</v>
      </c>
      <c r="F414" s="9">
        <v>41110.93</v>
      </c>
      <c r="G414" s="10">
        <f t="shared" si="13"/>
        <v>1.3325630075052971E-3</v>
      </c>
      <c r="K414" s="13"/>
      <c r="L414" s="13"/>
      <c r="M414" s="13"/>
    </row>
    <row r="415" spans="1:13" x14ac:dyDescent="0.3">
      <c r="A415" s="7">
        <v>44075</v>
      </c>
      <c r="B415" s="8">
        <v>8.44</v>
      </c>
      <c r="C415" s="10">
        <f t="shared" si="12"/>
        <v>2.8014616321558907E-2</v>
      </c>
      <c r="E415" s="7">
        <v>44075</v>
      </c>
      <c r="F415" s="9">
        <v>41377.26</v>
      </c>
      <c r="G415" s="10">
        <f t="shared" si="13"/>
        <v>6.4783258369489997E-3</v>
      </c>
      <c r="K415" s="13"/>
      <c r="L415" s="13"/>
      <c r="M415" s="13"/>
    </row>
    <row r="416" spans="1:13" x14ac:dyDescent="0.3">
      <c r="A416" s="7">
        <v>44076</v>
      </c>
      <c r="B416" s="8">
        <v>8.57</v>
      </c>
      <c r="C416" s="10">
        <f t="shared" si="12"/>
        <v>1.5402843601895828E-2</v>
      </c>
      <c r="E416" s="7">
        <v>44076</v>
      </c>
      <c r="F416" s="9">
        <v>41834.85</v>
      </c>
      <c r="G416" s="10">
        <f t="shared" si="13"/>
        <v>1.1058972972110684E-2</v>
      </c>
      <c r="K416" s="13"/>
      <c r="L416" s="13"/>
      <c r="M416" s="13"/>
    </row>
    <row r="417" spans="1:13" x14ac:dyDescent="0.3">
      <c r="A417" s="7">
        <v>44077</v>
      </c>
      <c r="B417" s="8">
        <v>9.0500000000000007</v>
      </c>
      <c r="C417" s="10">
        <f t="shared" si="12"/>
        <v>5.6009334889148242E-2</v>
      </c>
      <c r="E417" s="7">
        <v>44077</v>
      </c>
      <c r="F417" s="9">
        <v>42188.11</v>
      </c>
      <c r="G417" s="10">
        <f t="shared" si="13"/>
        <v>8.4441560086865874E-3</v>
      </c>
      <c r="K417" s="13"/>
      <c r="L417" s="13"/>
      <c r="M417" s="13"/>
    </row>
    <row r="418" spans="1:13" x14ac:dyDescent="0.3">
      <c r="A418" s="7">
        <v>44078</v>
      </c>
      <c r="B418" s="8">
        <v>8.9</v>
      </c>
      <c r="C418" s="10">
        <f t="shared" si="12"/>
        <v>-1.6574585635359153E-2</v>
      </c>
      <c r="E418" s="7">
        <v>44078</v>
      </c>
      <c r="F418" s="9">
        <v>42023</v>
      </c>
      <c r="G418" s="10">
        <f t="shared" si="13"/>
        <v>-3.9136619298660354E-3</v>
      </c>
      <c r="K418" s="13"/>
      <c r="L418" s="13"/>
      <c r="M418" s="13"/>
    </row>
    <row r="419" spans="1:13" x14ac:dyDescent="0.3">
      <c r="A419" s="7">
        <v>44081</v>
      </c>
      <c r="B419" s="8">
        <v>9.1</v>
      </c>
      <c r="C419" s="10">
        <f t="shared" si="12"/>
        <v>2.247191011235947E-2</v>
      </c>
      <c r="E419" s="7">
        <v>44081</v>
      </c>
      <c r="F419" s="9">
        <v>42295.75</v>
      </c>
      <c r="G419" s="10">
        <f t="shared" si="13"/>
        <v>6.49049330128739E-3</v>
      </c>
      <c r="K419" s="13"/>
      <c r="L419" s="13"/>
      <c r="M419" s="13"/>
    </row>
    <row r="420" spans="1:13" x14ac:dyDescent="0.3">
      <c r="A420" s="7">
        <v>44082</v>
      </c>
      <c r="B420" s="8">
        <v>9.99</v>
      </c>
      <c r="C420" s="10">
        <f t="shared" si="12"/>
        <v>9.7802197802197871E-2</v>
      </c>
      <c r="E420" s="7">
        <v>44082</v>
      </c>
      <c r="F420" s="9">
        <v>41985.19</v>
      </c>
      <c r="G420" s="10">
        <f t="shared" si="13"/>
        <v>-7.3425817014711329E-3</v>
      </c>
      <c r="K420" s="13"/>
      <c r="L420" s="13"/>
      <c r="M420" s="13"/>
    </row>
    <row r="421" spans="1:13" x14ac:dyDescent="0.3">
      <c r="A421" s="7">
        <v>44083</v>
      </c>
      <c r="B421" s="8">
        <v>10.99</v>
      </c>
      <c r="C421" s="10">
        <f t="shared" si="12"/>
        <v>0.10010010010010009</v>
      </c>
      <c r="E421" s="7">
        <v>44083</v>
      </c>
      <c r="F421" s="9">
        <v>42022.25</v>
      </c>
      <c r="G421" s="10">
        <f t="shared" si="13"/>
        <v>8.8269220646608167E-4</v>
      </c>
      <c r="K421" s="13"/>
      <c r="L421" s="13"/>
      <c r="M421" s="13"/>
    </row>
    <row r="422" spans="1:13" x14ac:dyDescent="0.3">
      <c r="A422" s="7">
        <v>44084</v>
      </c>
      <c r="B422" s="8">
        <v>11.99</v>
      </c>
      <c r="C422" s="10">
        <f t="shared" si="12"/>
        <v>9.0991810737033663E-2</v>
      </c>
      <c r="E422" s="7">
        <v>44084</v>
      </c>
      <c r="F422" s="9">
        <v>42647.35</v>
      </c>
      <c r="G422" s="10">
        <f t="shared" si="13"/>
        <v>1.4875452885078704E-2</v>
      </c>
      <c r="K422" s="13"/>
      <c r="L422" s="13"/>
      <c r="M422" s="13"/>
    </row>
    <row r="423" spans="1:13" x14ac:dyDescent="0.3">
      <c r="A423" s="7">
        <v>44085</v>
      </c>
      <c r="B423" s="8">
        <v>11.29</v>
      </c>
      <c r="C423" s="10">
        <f t="shared" si="12"/>
        <v>-5.8381984987489664E-2</v>
      </c>
      <c r="E423" s="7">
        <v>44085</v>
      </c>
      <c r="F423" s="9">
        <v>42530.67</v>
      </c>
      <c r="G423" s="10">
        <f t="shared" si="13"/>
        <v>-2.735926147814584E-3</v>
      </c>
      <c r="K423" s="13"/>
      <c r="L423" s="13"/>
      <c r="M423" s="13"/>
    </row>
    <row r="424" spans="1:13" x14ac:dyDescent="0.3">
      <c r="A424" s="7">
        <v>44088</v>
      </c>
      <c r="B424" s="8">
        <v>10.97</v>
      </c>
      <c r="C424" s="10">
        <f t="shared" si="12"/>
        <v>-2.8343666961913067E-2</v>
      </c>
      <c r="E424" s="7">
        <v>44088</v>
      </c>
      <c r="F424" s="9">
        <v>42531.31</v>
      </c>
      <c r="G424" s="10">
        <f t="shared" si="13"/>
        <v>1.5047964210284436E-5</v>
      </c>
      <c r="K424" s="13"/>
      <c r="L424" s="13"/>
      <c r="M424" s="13"/>
    </row>
    <row r="425" spans="1:13" x14ac:dyDescent="0.3">
      <c r="A425" s="7">
        <v>44089</v>
      </c>
      <c r="B425" s="8">
        <v>11.38</v>
      </c>
      <c r="C425" s="10">
        <f t="shared" si="12"/>
        <v>3.7374658158614411E-2</v>
      </c>
      <c r="E425" s="7">
        <v>44089</v>
      </c>
      <c r="F425" s="9">
        <v>42346.42</v>
      </c>
      <c r="G425" s="10">
        <f t="shared" si="13"/>
        <v>-4.3471503699274586E-3</v>
      </c>
      <c r="K425" s="13"/>
      <c r="L425" s="13"/>
      <c r="M425" s="13"/>
    </row>
    <row r="426" spans="1:13" x14ac:dyDescent="0.3">
      <c r="A426" s="7">
        <v>44090</v>
      </c>
      <c r="B426" s="8">
        <v>11.16</v>
      </c>
      <c r="C426" s="10">
        <f t="shared" si="12"/>
        <v>-1.9332161687170529E-2</v>
      </c>
      <c r="E426" s="7">
        <v>44090</v>
      </c>
      <c r="F426" s="9">
        <v>42282.28</v>
      </c>
      <c r="G426" s="10">
        <f t="shared" si="13"/>
        <v>-1.5146498806746691E-3</v>
      </c>
      <c r="K426" s="13"/>
      <c r="L426" s="13"/>
      <c r="M426" s="13"/>
    </row>
    <row r="427" spans="1:13" x14ac:dyDescent="0.3">
      <c r="A427" s="7">
        <v>44091</v>
      </c>
      <c r="B427" s="8">
        <v>11.06</v>
      </c>
      <c r="C427" s="10">
        <f t="shared" si="12"/>
        <v>-8.9605734767024773E-3</v>
      </c>
      <c r="E427" s="7">
        <v>44091</v>
      </c>
      <c r="F427" s="9">
        <v>42334.76</v>
      </c>
      <c r="G427" s="10">
        <f t="shared" si="13"/>
        <v>1.2411818851775071E-3</v>
      </c>
      <c r="K427" s="13"/>
      <c r="L427" s="13"/>
      <c r="M427" s="13"/>
    </row>
    <row r="428" spans="1:13" x14ac:dyDescent="0.3">
      <c r="A428" s="7">
        <v>44092</v>
      </c>
      <c r="B428" s="8">
        <v>10.85</v>
      </c>
      <c r="C428" s="10">
        <f t="shared" si="12"/>
        <v>-1.8987341772151976E-2</v>
      </c>
      <c r="E428" s="7">
        <v>44092</v>
      </c>
      <c r="F428" s="9">
        <v>42504.76</v>
      </c>
      <c r="G428" s="10">
        <f t="shared" si="13"/>
        <v>4.0156127021860992E-3</v>
      </c>
      <c r="K428" s="13"/>
      <c r="L428" s="13"/>
      <c r="M428" s="13"/>
    </row>
    <row r="429" spans="1:13" x14ac:dyDescent="0.3">
      <c r="A429" s="7">
        <v>44095</v>
      </c>
      <c r="B429" s="8">
        <v>10.57</v>
      </c>
      <c r="C429" s="10">
        <f t="shared" si="12"/>
        <v>-2.5806451612903167E-2</v>
      </c>
      <c r="E429" s="7">
        <v>44095</v>
      </c>
      <c r="F429" s="9">
        <v>42174.13</v>
      </c>
      <c r="G429" s="10">
        <f t="shared" si="13"/>
        <v>-7.7786582020461861E-3</v>
      </c>
      <c r="K429" s="13"/>
      <c r="L429" s="13"/>
      <c r="M429" s="13"/>
    </row>
    <row r="430" spans="1:13" x14ac:dyDescent="0.3">
      <c r="A430" s="7">
        <v>44096</v>
      </c>
      <c r="B430" s="8">
        <v>10.43</v>
      </c>
      <c r="C430" s="10">
        <f t="shared" si="12"/>
        <v>-1.3245033112582835E-2</v>
      </c>
      <c r="E430" s="7">
        <v>44096</v>
      </c>
      <c r="F430" s="9">
        <v>41828.910000000003</v>
      </c>
      <c r="G430" s="10">
        <f t="shared" si="13"/>
        <v>-8.1855867566205612E-3</v>
      </c>
      <c r="K430" s="13"/>
      <c r="L430" s="13"/>
      <c r="M430" s="13"/>
    </row>
    <row r="431" spans="1:13" x14ac:dyDescent="0.3">
      <c r="A431" s="7">
        <v>44097</v>
      </c>
      <c r="B431" s="8">
        <v>10.14</v>
      </c>
      <c r="C431" s="10">
        <f t="shared" si="12"/>
        <v>-2.7804410354745845E-2</v>
      </c>
      <c r="E431" s="7">
        <v>44097</v>
      </c>
      <c r="F431" s="9">
        <v>41876.26</v>
      </c>
      <c r="G431" s="10">
        <f t="shared" si="13"/>
        <v>1.1319922034783727E-3</v>
      </c>
      <c r="K431" s="13"/>
      <c r="L431" s="13"/>
      <c r="M431" s="13"/>
    </row>
    <row r="432" spans="1:13" x14ac:dyDescent="0.3">
      <c r="A432" s="7">
        <v>44098</v>
      </c>
      <c r="B432" s="8">
        <v>10.01</v>
      </c>
      <c r="C432" s="10">
        <f t="shared" si="12"/>
        <v>-1.2820512820512896E-2</v>
      </c>
      <c r="E432" s="7">
        <v>44098</v>
      </c>
      <c r="F432" s="9">
        <v>41806.370000000003</v>
      </c>
      <c r="G432" s="10">
        <f t="shared" si="13"/>
        <v>-1.6689647069723851E-3</v>
      </c>
      <c r="K432" s="13"/>
      <c r="L432" s="13"/>
      <c r="M432" s="13"/>
    </row>
    <row r="433" spans="1:13" x14ac:dyDescent="0.3">
      <c r="A433" s="7">
        <v>44099</v>
      </c>
      <c r="B433" s="8">
        <v>11.01</v>
      </c>
      <c r="C433" s="10">
        <f t="shared" si="12"/>
        <v>9.9900099900099903E-2</v>
      </c>
      <c r="E433" s="7">
        <v>44099</v>
      </c>
      <c r="F433" s="9">
        <v>41701.230000000003</v>
      </c>
      <c r="G433" s="10">
        <f t="shared" si="13"/>
        <v>-2.5149277490487554E-3</v>
      </c>
      <c r="K433" s="13"/>
      <c r="L433" s="13"/>
      <c r="M433" s="13"/>
    </row>
    <row r="434" spans="1:13" x14ac:dyDescent="0.3">
      <c r="A434" s="7">
        <v>44102</v>
      </c>
      <c r="B434" s="8">
        <v>10.15</v>
      </c>
      <c r="C434" s="10">
        <f t="shared" si="12"/>
        <v>-7.811080835603991E-2</v>
      </c>
      <c r="E434" s="7">
        <v>44102</v>
      </c>
      <c r="F434" s="9">
        <v>40740.949999999997</v>
      </c>
      <c r="G434" s="10">
        <f t="shared" si="13"/>
        <v>-2.3027618130208774E-2</v>
      </c>
      <c r="K434" s="13"/>
      <c r="L434" s="13"/>
      <c r="M434" s="13"/>
    </row>
    <row r="435" spans="1:13" x14ac:dyDescent="0.3">
      <c r="A435" s="7">
        <v>44103</v>
      </c>
      <c r="B435" s="8">
        <v>10.95</v>
      </c>
      <c r="C435" s="10">
        <f t="shared" si="12"/>
        <v>7.8817733990147673E-2</v>
      </c>
      <c r="E435" s="7">
        <v>44103</v>
      </c>
      <c r="F435" s="9">
        <v>41204.36</v>
      </c>
      <c r="G435" s="10">
        <f t="shared" si="13"/>
        <v>1.1374550667080751E-2</v>
      </c>
      <c r="K435" s="13"/>
      <c r="L435" s="13"/>
      <c r="M435" s="13"/>
    </row>
    <row r="436" spans="1:13" x14ac:dyDescent="0.3">
      <c r="A436" s="7">
        <v>44104</v>
      </c>
      <c r="B436" s="8">
        <v>10.18</v>
      </c>
      <c r="C436" s="10">
        <f t="shared" si="12"/>
        <v>-7.0319634703196313E-2</v>
      </c>
      <c r="E436" s="7">
        <v>44104</v>
      </c>
      <c r="F436" s="9">
        <v>40571.480000000003</v>
      </c>
      <c r="G436" s="10">
        <f t="shared" si="13"/>
        <v>-1.5359539621535133E-2</v>
      </c>
      <c r="K436" s="13"/>
      <c r="L436" s="13"/>
      <c r="M436" s="13"/>
    </row>
    <row r="437" spans="1:13" x14ac:dyDescent="0.3">
      <c r="A437" s="7">
        <v>44105</v>
      </c>
      <c r="B437" s="8">
        <v>10.039999999999999</v>
      </c>
      <c r="C437" s="10">
        <f t="shared" si="12"/>
        <v>-1.3752455795677855E-2</v>
      </c>
      <c r="E437" s="7">
        <v>44105</v>
      </c>
      <c r="F437" s="9">
        <v>40676.92</v>
      </c>
      <c r="G437" s="10">
        <f t="shared" si="13"/>
        <v>2.5988699450943138E-3</v>
      </c>
      <c r="K437" s="13"/>
      <c r="L437" s="13"/>
      <c r="M437" s="13"/>
    </row>
    <row r="438" spans="1:13" x14ac:dyDescent="0.3">
      <c r="A438" s="7">
        <v>44106</v>
      </c>
      <c r="B438" s="8">
        <v>9.67</v>
      </c>
      <c r="C438" s="10">
        <f t="shared" si="12"/>
        <v>-3.6852589641434189E-2</v>
      </c>
      <c r="E438" s="7">
        <v>44106</v>
      </c>
      <c r="F438" s="9">
        <v>40070.83</v>
      </c>
      <c r="G438" s="10">
        <f t="shared" si="13"/>
        <v>-1.490009568079384E-2</v>
      </c>
      <c r="K438" s="13"/>
      <c r="L438" s="13"/>
      <c r="M438" s="13"/>
    </row>
    <row r="439" spans="1:13" x14ac:dyDescent="0.3">
      <c r="A439" s="7">
        <v>44109</v>
      </c>
      <c r="B439" s="8">
        <v>8.99</v>
      </c>
      <c r="C439" s="10">
        <f t="shared" si="12"/>
        <v>-7.0320579110651468E-2</v>
      </c>
      <c r="E439" s="7">
        <v>44109</v>
      </c>
      <c r="F439" s="9">
        <v>39072.47</v>
      </c>
      <c r="G439" s="10">
        <f t="shared" si="13"/>
        <v>-2.4914881972746772E-2</v>
      </c>
      <c r="K439" s="13"/>
      <c r="L439" s="13"/>
      <c r="M439" s="13"/>
    </row>
    <row r="440" spans="1:13" x14ac:dyDescent="0.3">
      <c r="A440" s="7">
        <v>44110</v>
      </c>
      <c r="B440" s="8">
        <v>9.17</v>
      </c>
      <c r="C440" s="10">
        <f t="shared" si="12"/>
        <v>2.0022246941045575E-2</v>
      </c>
      <c r="E440" s="7">
        <v>44110</v>
      </c>
      <c r="F440" s="9">
        <v>39127.480000000003</v>
      </c>
      <c r="G440" s="10">
        <f t="shared" si="13"/>
        <v>1.4078966597197986E-3</v>
      </c>
      <c r="K440" s="13"/>
      <c r="L440" s="13"/>
      <c r="M440" s="13"/>
    </row>
    <row r="441" spans="1:13" x14ac:dyDescent="0.3">
      <c r="A441" s="7">
        <v>44111</v>
      </c>
      <c r="B441" s="8">
        <v>10.039999999999999</v>
      </c>
      <c r="C441" s="10">
        <f t="shared" si="12"/>
        <v>9.4874591057797081E-2</v>
      </c>
      <c r="E441" s="7">
        <v>44111</v>
      </c>
      <c r="F441" s="9">
        <v>39849.96</v>
      </c>
      <c r="G441" s="10">
        <f t="shared" si="13"/>
        <v>1.8464772073233337E-2</v>
      </c>
      <c r="K441" s="13"/>
      <c r="L441" s="13"/>
      <c r="M441" s="13"/>
    </row>
    <row r="442" spans="1:13" x14ac:dyDescent="0.3">
      <c r="A442" s="7">
        <v>44112</v>
      </c>
      <c r="B442" s="8">
        <v>9.9700000000000006</v>
      </c>
      <c r="C442" s="10">
        <f t="shared" si="12"/>
        <v>-6.9721115537847121E-3</v>
      </c>
      <c r="E442" s="7">
        <v>44112</v>
      </c>
      <c r="F442" s="9">
        <v>40353.620000000003</v>
      </c>
      <c r="G442" s="10">
        <f t="shared" si="13"/>
        <v>1.2638908545955969E-2</v>
      </c>
      <c r="K442" s="13"/>
      <c r="L442" s="13"/>
      <c r="M442" s="13"/>
    </row>
    <row r="443" spans="1:13" x14ac:dyDescent="0.3">
      <c r="A443" s="7">
        <v>44113</v>
      </c>
      <c r="B443" s="8">
        <v>9.9499999999999993</v>
      </c>
      <c r="C443" s="10">
        <f t="shared" si="12"/>
        <v>-2.0060180541626228E-3</v>
      </c>
      <c r="E443" s="7">
        <v>44113</v>
      </c>
      <c r="F443" s="9">
        <v>40798.43</v>
      </c>
      <c r="G443" s="10">
        <f t="shared" si="13"/>
        <v>1.1022802910866426E-2</v>
      </c>
      <c r="K443" s="13"/>
      <c r="L443" s="13"/>
      <c r="M443" s="13"/>
    </row>
    <row r="444" spans="1:13" x14ac:dyDescent="0.3">
      <c r="A444" s="7">
        <v>44116</v>
      </c>
      <c r="B444" s="8">
        <v>9.51</v>
      </c>
      <c r="C444" s="10">
        <f t="shared" si="12"/>
        <v>-4.4221105527638145E-2</v>
      </c>
      <c r="E444" s="7">
        <v>44116</v>
      </c>
      <c r="F444" s="9">
        <v>40209.82</v>
      </c>
      <c r="G444" s="10">
        <f t="shared" si="13"/>
        <v>-1.4427270853314713E-2</v>
      </c>
      <c r="K444" s="13"/>
      <c r="L444" s="13"/>
      <c r="M444" s="13"/>
    </row>
    <row r="445" spans="1:13" x14ac:dyDescent="0.3">
      <c r="A445" s="7">
        <v>44117</v>
      </c>
      <c r="B445" s="8">
        <v>9.27</v>
      </c>
      <c r="C445" s="10">
        <f t="shared" si="12"/>
        <v>-2.5236593059936932E-2</v>
      </c>
      <c r="E445" s="7">
        <v>44117</v>
      </c>
      <c r="F445" s="9">
        <v>40006.67</v>
      </c>
      <c r="G445" s="10">
        <f t="shared" si="13"/>
        <v>-5.0522484308559816E-3</v>
      </c>
      <c r="K445" s="13"/>
      <c r="L445" s="13"/>
      <c r="M445" s="13"/>
    </row>
    <row r="446" spans="1:13" x14ac:dyDescent="0.3">
      <c r="A446" s="7">
        <v>44118</v>
      </c>
      <c r="B446" s="8">
        <v>9.5</v>
      </c>
      <c r="C446" s="10">
        <f t="shared" si="12"/>
        <v>2.4811218985976314E-2</v>
      </c>
      <c r="E446" s="7">
        <v>44118</v>
      </c>
      <c r="F446" s="9">
        <v>40144.29</v>
      </c>
      <c r="G446" s="10">
        <f t="shared" si="13"/>
        <v>3.439926392274154E-3</v>
      </c>
      <c r="K446" s="13"/>
      <c r="L446" s="13"/>
      <c r="M446" s="13"/>
    </row>
    <row r="447" spans="1:13" x14ac:dyDescent="0.3">
      <c r="A447" s="7">
        <v>44119</v>
      </c>
      <c r="B447" s="8">
        <v>9.36</v>
      </c>
      <c r="C447" s="10">
        <f t="shared" si="12"/>
        <v>-1.4736842105263218E-2</v>
      </c>
      <c r="E447" s="7">
        <v>44119</v>
      </c>
      <c r="F447" s="9">
        <v>40068.49</v>
      </c>
      <c r="G447" s="10">
        <f t="shared" si="13"/>
        <v>-1.8881888308400251E-3</v>
      </c>
      <c r="K447" s="13"/>
      <c r="L447" s="13"/>
      <c r="M447" s="13"/>
    </row>
    <row r="448" spans="1:13" x14ac:dyDescent="0.3">
      <c r="A448" s="7">
        <v>44120</v>
      </c>
      <c r="B448" s="8">
        <v>9.26</v>
      </c>
      <c r="C448" s="10">
        <f t="shared" si="12"/>
        <v>-1.0683760683760646E-2</v>
      </c>
      <c r="E448" s="7">
        <v>44120</v>
      </c>
      <c r="F448" s="9">
        <v>40164.019999999997</v>
      </c>
      <c r="G448" s="10">
        <f t="shared" si="13"/>
        <v>2.3841677088405088E-3</v>
      </c>
      <c r="K448" s="13"/>
      <c r="L448" s="13"/>
      <c r="M448" s="13"/>
    </row>
    <row r="449" spans="1:13" x14ac:dyDescent="0.3">
      <c r="A449" s="7">
        <v>44123</v>
      </c>
      <c r="B449" s="8">
        <v>9.3000000000000007</v>
      </c>
      <c r="C449" s="10">
        <f t="shared" si="12"/>
        <v>4.3196544276458883E-3</v>
      </c>
      <c r="E449" s="7">
        <v>44123</v>
      </c>
      <c r="F449" s="9">
        <v>40340.17</v>
      </c>
      <c r="G449" s="10">
        <f t="shared" si="13"/>
        <v>4.3857661658370222E-3</v>
      </c>
      <c r="K449" s="13"/>
      <c r="L449" s="13"/>
      <c r="M449" s="13"/>
    </row>
    <row r="450" spans="1:13" x14ac:dyDescent="0.3">
      <c r="A450" s="7">
        <v>44124</v>
      </c>
      <c r="B450" s="8">
        <v>10.17</v>
      </c>
      <c r="C450" s="10">
        <f t="shared" si="12"/>
        <v>9.3548387096774099E-2</v>
      </c>
      <c r="E450" s="7">
        <v>44124</v>
      </c>
      <c r="F450" s="9">
        <v>40956.58</v>
      </c>
      <c r="G450" s="10">
        <f t="shared" si="13"/>
        <v>1.5280302487570169E-2</v>
      </c>
      <c r="K450" s="13"/>
      <c r="L450" s="13"/>
      <c r="M450" s="13"/>
    </row>
    <row r="451" spans="1:13" x14ac:dyDescent="0.3">
      <c r="A451" s="7">
        <v>44125</v>
      </c>
      <c r="B451" s="8">
        <v>10.25</v>
      </c>
      <c r="C451" s="10">
        <f t="shared" si="12"/>
        <v>7.8662733529990241E-3</v>
      </c>
      <c r="E451" s="7">
        <v>44125</v>
      </c>
      <c r="F451" s="9">
        <v>41535.919999999998</v>
      </c>
      <c r="G451" s="10">
        <f t="shared" si="13"/>
        <v>1.4145224039702448E-2</v>
      </c>
      <c r="K451" s="13"/>
      <c r="L451" s="13"/>
      <c r="M451" s="13"/>
    </row>
    <row r="452" spans="1:13" x14ac:dyDescent="0.3">
      <c r="A452" s="7">
        <v>44126</v>
      </c>
      <c r="B452" s="8">
        <v>9.8699999999999992</v>
      </c>
      <c r="C452" s="10">
        <f t="shared" si="12"/>
        <v>-3.7073170731707392E-2</v>
      </c>
      <c r="E452" s="7">
        <v>44126</v>
      </c>
      <c r="F452" s="9">
        <v>41199.019999999997</v>
      </c>
      <c r="G452" s="10">
        <f t="shared" si="13"/>
        <v>-8.1110518317639643E-3</v>
      </c>
      <c r="K452" s="13"/>
      <c r="L452" s="13"/>
      <c r="M452" s="13"/>
    </row>
    <row r="453" spans="1:13" x14ac:dyDescent="0.3">
      <c r="A453" s="7">
        <v>44127</v>
      </c>
      <c r="B453" s="8">
        <v>10.08</v>
      </c>
      <c r="C453" s="10">
        <f t="shared" ref="C453:C516" si="14">(B453-B452)/B452</f>
        <v>2.1276595744680941E-2</v>
      </c>
      <c r="E453" s="7">
        <v>44127</v>
      </c>
      <c r="F453" s="9">
        <v>41266</v>
      </c>
      <c r="G453" s="10">
        <f t="shared" ref="G453:G516" si="15">(F453-F452)/F452</f>
        <v>1.6257668264925526E-3</v>
      </c>
      <c r="K453" s="13"/>
      <c r="L453" s="13"/>
      <c r="M453" s="13"/>
    </row>
    <row r="454" spans="1:13" x14ac:dyDescent="0.3">
      <c r="A454" s="7">
        <v>44130</v>
      </c>
      <c r="B454" s="8">
        <v>10.119999999999999</v>
      </c>
      <c r="C454" s="10">
        <f t="shared" si="14"/>
        <v>3.9682539682538839E-3</v>
      </c>
      <c r="E454" s="7">
        <v>44130</v>
      </c>
      <c r="F454" s="9">
        <v>41850.47</v>
      </c>
      <c r="G454" s="10">
        <f t="shared" si="15"/>
        <v>1.4163475985072485E-2</v>
      </c>
      <c r="K454" s="13"/>
      <c r="L454" s="13"/>
      <c r="M454" s="13"/>
    </row>
    <row r="455" spans="1:13" x14ac:dyDescent="0.3">
      <c r="A455" s="7">
        <v>44131</v>
      </c>
      <c r="B455" s="8">
        <v>9.92</v>
      </c>
      <c r="C455" s="10">
        <f t="shared" si="14"/>
        <v>-1.9762845849802303E-2</v>
      </c>
      <c r="E455" s="7">
        <v>44131</v>
      </c>
      <c r="F455" s="9">
        <v>41381.83</v>
      </c>
      <c r="G455" s="10">
        <f t="shared" si="15"/>
        <v>-1.119796265131549E-2</v>
      </c>
      <c r="K455" s="13"/>
      <c r="L455" s="13"/>
      <c r="M455" s="13"/>
    </row>
    <row r="456" spans="1:13" x14ac:dyDescent="0.3">
      <c r="A456" s="7">
        <v>44132</v>
      </c>
      <c r="B456" s="8">
        <v>9.67</v>
      </c>
      <c r="C456" s="10">
        <f t="shared" si="14"/>
        <v>-2.5201612903225808E-2</v>
      </c>
      <c r="E456" s="7">
        <v>44132</v>
      </c>
      <c r="F456" s="9">
        <v>41186.86</v>
      </c>
      <c r="G456" s="10">
        <f t="shared" si="15"/>
        <v>-4.7114881096365522E-3</v>
      </c>
      <c r="K456" s="13"/>
      <c r="L456" s="13"/>
      <c r="M456" s="13"/>
    </row>
    <row r="457" spans="1:13" x14ac:dyDescent="0.3">
      <c r="A457" s="7">
        <v>44133</v>
      </c>
      <c r="B457" s="8">
        <v>9.0299999999999994</v>
      </c>
      <c r="C457" s="10">
        <f t="shared" si="14"/>
        <v>-6.6184074457083825E-2</v>
      </c>
      <c r="E457" s="7">
        <v>44133</v>
      </c>
      <c r="F457" s="9">
        <v>39888</v>
      </c>
      <c r="G457" s="10">
        <f t="shared" si="15"/>
        <v>-3.153578592784205E-2</v>
      </c>
      <c r="K457" s="13"/>
      <c r="L457" s="13"/>
      <c r="M457" s="13"/>
    </row>
    <row r="458" spans="1:13" x14ac:dyDescent="0.3">
      <c r="A458" s="7">
        <v>44137</v>
      </c>
      <c r="B458" s="8">
        <v>8.3800000000000008</v>
      </c>
      <c r="C458" s="10">
        <f t="shared" si="14"/>
        <v>-7.1982281284606708E-2</v>
      </c>
      <c r="E458" s="7">
        <v>44137</v>
      </c>
      <c r="F458" s="9">
        <v>39112.18</v>
      </c>
      <c r="G458" s="10">
        <f t="shared" si="15"/>
        <v>-1.9449959887685511E-2</v>
      </c>
      <c r="K458" s="13"/>
      <c r="L458" s="13"/>
      <c r="M458" s="13"/>
    </row>
    <row r="459" spans="1:13" x14ac:dyDescent="0.3">
      <c r="A459" s="7">
        <v>44138</v>
      </c>
      <c r="B459" s="8">
        <v>9.36</v>
      </c>
      <c r="C459" s="10">
        <f t="shared" si="14"/>
        <v>0.11694510739856785</v>
      </c>
      <c r="E459" s="7">
        <v>44138</v>
      </c>
      <c r="F459" s="9">
        <v>40480.879999999997</v>
      </c>
      <c r="G459" s="10">
        <f t="shared" si="15"/>
        <v>3.4994214078581075E-2</v>
      </c>
      <c r="K459" s="13"/>
      <c r="L459" s="13"/>
      <c r="M459" s="13"/>
    </row>
    <row r="460" spans="1:13" x14ac:dyDescent="0.3">
      <c r="A460" s="7">
        <v>44139</v>
      </c>
      <c r="B460" s="8">
        <v>9.32</v>
      </c>
      <c r="C460" s="10">
        <f t="shared" si="14"/>
        <v>-4.2735042735041829E-3</v>
      </c>
      <c r="E460" s="7">
        <v>44139</v>
      </c>
      <c r="F460" s="9">
        <v>40281.96</v>
      </c>
      <c r="G460" s="10">
        <f t="shared" si="15"/>
        <v>-4.9139247961012275E-3</v>
      </c>
      <c r="K460" s="13"/>
      <c r="L460" s="13"/>
      <c r="M460" s="13"/>
    </row>
    <row r="461" spans="1:13" x14ac:dyDescent="0.3">
      <c r="A461" s="7">
        <v>44140</v>
      </c>
      <c r="B461" s="8">
        <v>9.83</v>
      </c>
      <c r="C461" s="10">
        <f t="shared" si="14"/>
        <v>5.472103004291843E-2</v>
      </c>
      <c r="E461" s="7">
        <v>44140</v>
      </c>
      <c r="F461" s="9">
        <v>41071.300000000003</v>
      </c>
      <c r="G461" s="10">
        <f t="shared" si="15"/>
        <v>1.9595372221212767E-2</v>
      </c>
      <c r="K461" s="13"/>
      <c r="L461" s="13"/>
      <c r="M461" s="13"/>
    </row>
    <row r="462" spans="1:13" x14ac:dyDescent="0.3">
      <c r="A462" s="7">
        <v>44141</v>
      </c>
      <c r="B462" s="8">
        <v>9.57</v>
      </c>
      <c r="C462" s="10">
        <f t="shared" si="14"/>
        <v>-2.6449643947100691E-2</v>
      </c>
      <c r="E462" s="7">
        <v>44141</v>
      </c>
      <c r="F462" s="9">
        <v>40731.61</v>
      </c>
      <c r="G462" s="10">
        <f t="shared" si="15"/>
        <v>-8.2707389344871558E-3</v>
      </c>
      <c r="K462" s="13"/>
      <c r="L462" s="13"/>
      <c r="M462" s="13"/>
    </row>
    <row r="463" spans="1:13" x14ac:dyDescent="0.3">
      <c r="A463" s="7">
        <v>44144</v>
      </c>
      <c r="B463" s="8">
        <v>9.6</v>
      </c>
      <c r="C463" s="10">
        <f t="shared" si="14"/>
        <v>3.1347962382444472E-3</v>
      </c>
      <c r="E463" s="7">
        <v>44144</v>
      </c>
      <c r="F463" s="9">
        <v>40784.04</v>
      </c>
      <c r="G463" s="10">
        <f t="shared" si="15"/>
        <v>1.2872066682362983E-3</v>
      </c>
      <c r="K463" s="13"/>
      <c r="L463" s="13"/>
      <c r="M463" s="13"/>
    </row>
    <row r="464" spans="1:13" x14ac:dyDescent="0.3">
      <c r="A464" s="7">
        <v>44145</v>
      </c>
      <c r="B464" s="8">
        <v>9.61</v>
      </c>
      <c r="C464" s="10">
        <f t="shared" si="14"/>
        <v>1.0416666666666445E-3</v>
      </c>
      <c r="E464" s="7">
        <v>44145</v>
      </c>
      <c r="F464" s="9">
        <v>41153.050000000003</v>
      </c>
      <c r="G464" s="10">
        <f t="shared" si="15"/>
        <v>9.0479020714966454E-3</v>
      </c>
      <c r="K464" s="13"/>
      <c r="L464" s="13"/>
      <c r="M464" s="13"/>
    </row>
    <row r="465" spans="1:13" x14ac:dyDescent="0.3">
      <c r="A465" s="7">
        <v>44146</v>
      </c>
      <c r="B465" s="8">
        <v>9.43</v>
      </c>
      <c r="C465" s="10">
        <f t="shared" si="14"/>
        <v>-1.8730489073881345E-2</v>
      </c>
      <c r="E465" s="7">
        <v>44146</v>
      </c>
      <c r="F465" s="9">
        <v>41197.32</v>
      </c>
      <c r="G465" s="10">
        <f t="shared" si="15"/>
        <v>1.0757404372214647E-3</v>
      </c>
      <c r="K465" s="13"/>
      <c r="L465" s="13"/>
      <c r="M465" s="13"/>
    </row>
    <row r="466" spans="1:13" x14ac:dyDescent="0.3">
      <c r="A466" s="7">
        <v>44147</v>
      </c>
      <c r="B466" s="8">
        <v>9.0299999999999994</v>
      </c>
      <c r="C466" s="10">
        <f t="shared" si="14"/>
        <v>-4.2417815482502688E-2</v>
      </c>
      <c r="E466" s="7">
        <v>44147</v>
      </c>
      <c r="F466" s="9">
        <v>40564.550000000003</v>
      </c>
      <c r="G466" s="10">
        <f t="shared" si="15"/>
        <v>-1.5359494258364302E-2</v>
      </c>
      <c r="K466" s="13"/>
      <c r="L466" s="13"/>
      <c r="M466" s="13"/>
    </row>
    <row r="467" spans="1:13" x14ac:dyDescent="0.3">
      <c r="A467" s="7">
        <v>44148</v>
      </c>
      <c r="B467" s="8">
        <v>9.39</v>
      </c>
      <c r="C467" s="10">
        <f t="shared" si="14"/>
        <v>3.9867109634551631E-2</v>
      </c>
      <c r="E467" s="7">
        <v>44148</v>
      </c>
      <c r="F467" s="9">
        <v>40569.35</v>
      </c>
      <c r="G467" s="10">
        <f t="shared" si="15"/>
        <v>1.1832992107630022E-4</v>
      </c>
      <c r="K467" s="13"/>
      <c r="L467" s="13"/>
      <c r="M467" s="13"/>
    </row>
    <row r="468" spans="1:13" x14ac:dyDescent="0.3">
      <c r="A468" s="7">
        <v>44151</v>
      </c>
      <c r="B468" s="8">
        <v>9.2100000000000009</v>
      </c>
      <c r="C468" s="10">
        <f t="shared" si="14"/>
        <v>-1.9169329073482396E-2</v>
      </c>
      <c r="E468" s="7">
        <v>44151</v>
      </c>
      <c r="F468" s="9">
        <v>40504.75</v>
      </c>
      <c r="G468" s="10">
        <f t="shared" si="15"/>
        <v>-1.5923351002665447E-3</v>
      </c>
      <c r="K468" s="13"/>
      <c r="L468" s="13"/>
      <c r="M468" s="13"/>
    </row>
    <row r="469" spans="1:13" x14ac:dyDescent="0.3">
      <c r="A469" s="7">
        <v>44152</v>
      </c>
      <c r="B469" s="8">
        <v>9.24</v>
      </c>
      <c r="C469" s="10">
        <f t="shared" si="14"/>
        <v>3.2573289902279434E-3</v>
      </c>
      <c r="E469" s="7">
        <v>44152</v>
      </c>
      <c r="F469" s="9">
        <v>40652.67</v>
      </c>
      <c r="G469" s="10">
        <f t="shared" si="15"/>
        <v>3.6519173677160891E-3</v>
      </c>
      <c r="K469" s="13"/>
      <c r="L469" s="13"/>
      <c r="M469" s="13"/>
    </row>
    <row r="470" spans="1:13" x14ac:dyDescent="0.3">
      <c r="A470" s="7">
        <v>44153</v>
      </c>
      <c r="B470" s="8">
        <v>9.18</v>
      </c>
      <c r="C470" s="10">
        <f t="shared" si="14"/>
        <v>-6.4935064935065468E-3</v>
      </c>
      <c r="E470" s="7">
        <v>44153</v>
      </c>
      <c r="F470" s="9">
        <v>40514.67</v>
      </c>
      <c r="G470" s="10">
        <f t="shared" si="15"/>
        <v>-3.3946109812713408E-3</v>
      </c>
      <c r="K470" s="13"/>
      <c r="L470" s="13"/>
      <c r="M470" s="13"/>
    </row>
    <row r="471" spans="1:13" x14ac:dyDescent="0.3">
      <c r="A471" s="7">
        <v>44154</v>
      </c>
      <c r="B471" s="8">
        <v>9.1</v>
      </c>
      <c r="C471" s="10">
        <f t="shared" si="14"/>
        <v>-8.7145969498910753E-3</v>
      </c>
      <c r="E471" s="7">
        <v>44154</v>
      </c>
      <c r="F471" s="9">
        <v>40540.699999999997</v>
      </c>
      <c r="G471" s="10">
        <f t="shared" si="15"/>
        <v>6.4248332764400742E-4</v>
      </c>
      <c r="K471" s="13"/>
      <c r="L471" s="13"/>
      <c r="M471" s="13"/>
    </row>
    <row r="472" spans="1:13" x14ac:dyDescent="0.3">
      <c r="A472" s="7">
        <v>44155</v>
      </c>
      <c r="B472" s="8">
        <v>9.0500000000000007</v>
      </c>
      <c r="C472" s="10">
        <f t="shared" si="14"/>
        <v>-5.4945054945053778E-3</v>
      </c>
      <c r="E472" s="7">
        <v>44155</v>
      </c>
      <c r="F472" s="9">
        <v>40187.18</v>
      </c>
      <c r="G472" s="10">
        <f t="shared" si="15"/>
        <v>-8.7201257008388319E-3</v>
      </c>
      <c r="K472" s="13"/>
      <c r="L472" s="13"/>
      <c r="M472" s="13"/>
    </row>
    <row r="473" spans="1:13" x14ac:dyDescent="0.3">
      <c r="A473" s="7">
        <v>44158</v>
      </c>
      <c r="B473" s="8">
        <v>8.6199999999999992</v>
      </c>
      <c r="C473" s="10">
        <f t="shared" si="14"/>
        <v>-4.7513812154696293E-2</v>
      </c>
      <c r="E473" s="7">
        <v>44158</v>
      </c>
      <c r="F473" s="9">
        <v>39632.519999999997</v>
      </c>
      <c r="G473" s="10">
        <f t="shared" si="15"/>
        <v>-1.380191394370054E-2</v>
      </c>
      <c r="K473" s="13"/>
      <c r="L473" s="13"/>
      <c r="M473" s="13"/>
    </row>
    <row r="474" spans="1:13" x14ac:dyDescent="0.3">
      <c r="A474" s="7">
        <v>44159</v>
      </c>
      <c r="B474" s="8">
        <v>8.69</v>
      </c>
      <c r="C474" s="10">
        <f t="shared" si="14"/>
        <v>8.1206496519721921E-3</v>
      </c>
      <c r="E474" s="7">
        <v>44159</v>
      </c>
      <c r="F474" s="9">
        <v>39863.360000000001</v>
      </c>
      <c r="G474" s="10">
        <f t="shared" si="15"/>
        <v>5.824509771268741E-3</v>
      </c>
      <c r="K474" s="13"/>
      <c r="L474" s="13"/>
      <c r="M474" s="13"/>
    </row>
    <row r="475" spans="1:13" x14ac:dyDescent="0.3">
      <c r="A475" s="7">
        <v>44160</v>
      </c>
      <c r="B475" s="8">
        <v>8.8800000000000008</v>
      </c>
      <c r="C475" s="10">
        <f t="shared" si="14"/>
        <v>2.1864211737629608E-2</v>
      </c>
      <c r="E475" s="7">
        <v>44160</v>
      </c>
      <c r="F475" s="9">
        <v>40377.53</v>
      </c>
      <c r="G475" s="10">
        <f t="shared" si="15"/>
        <v>1.2898310629108992E-2</v>
      </c>
      <c r="K475" s="13"/>
      <c r="L475" s="13"/>
      <c r="M475" s="13"/>
    </row>
    <row r="476" spans="1:13" x14ac:dyDescent="0.3">
      <c r="A476" s="7">
        <v>44161</v>
      </c>
      <c r="B476" s="8">
        <v>9.1300000000000008</v>
      </c>
      <c r="C476" s="10">
        <f t="shared" si="14"/>
        <v>2.815315315315315E-2</v>
      </c>
      <c r="E476" s="7">
        <v>44161</v>
      </c>
      <c r="F476" s="9">
        <v>41031.03</v>
      </c>
      <c r="G476" s="10">
        <f t="shared" si="15"/>
        <v>1.6184744336763542E-2</v>
      </c>
      <c r="K476" s="13"/>
      <c r="L476" s="13"/>
      <c r="M476" s="13"/>
    </row>
    <row r="477" spans="1:13" x14ac:dyDescent="0.3">
      <c r="A477" s="7">
        <v>44162</v>
      </c>
      <c r="B477" s="8">
        <v>9.11</v>
      </c>
      <c r="C477" s="10">
        <f t="shared" si="14"/>
        <v>-2.1905805038336637E-3</v>
      </c>
      <c r="E477" s="7">
        <v>44162</v>
      </c>
      <c r="F477" s="9">
        <v>40807.089999999997</v>
      </c>
      <c r="G477" s="10">
        <f t="shared" si="15"/>
        <v>-5.4578205811553438E-3</v>
      </c>
      <c r="K477" s="13"/>
      <c r="L477" s="13"/>
      <c r="M477" s="13"/>
    </row>
    <row r="478" spans="1:13" x14ac:dyDescent="0.3">
      <c r="A478" s="7">
        <v>44165</v>
      </c>
      <c r="B478" s="8">
        <v>9.31</v>
      </c>
      <c r="C478" s="10">
        <f t="shared" si="14"/>
        <v>2.1953896816685081E-2</v>
      </c>
      <c r="E478" s="7">
        <v>44165</v>
      </c>
      <c r="F478" s="9">
        <v>41068.82</v>
      </c>
      <c r="G478" s="10">
        <f t="shared" si="15"/>
        <v>6.4138364191125424E-3</v>
      </c>
      <c r="K478" s="13"/>
      <c r="L478" s="13"/>
      <c r="M478" s="13"/>
    </row>
    <row r="479" spans="1:13" x14ac:dyDescent="0.3">
      <c r="A479" s="7">
        <v>44166</v>
      </c>
      <c r="B479" s="8">
        <v>9.25</v>
      </c>
      <c r="C479" s="10">
        <f t="shared" si="14"/>
        <v>-6.4446831364125129E-3</v>
      </c>
      <c r="E479" s="7">
        <v>44166</v>
      </c>
      <c r="F479" s="9">
        <v>41665.269999999997</v>
      </c>
      <c r="G479" s="10">
        <f t="shared" si="15"/>
        <v>1.4523183281136325E-2</v>
      </c>
      <c r="K479" s="13"/>
      <c r="L479" s="13"/>
      <c r="M479" s="13"/>
    </row>
    <row r="480" spans="1:13" x14ac:dyDescent="0.3">
      <c r="A480" s="7">
        <v>44167</v>
      </c>
      <c r="B480" s="8">
        <v>9.41</v>
      </c>
      <c r="C480" s="10">
        <f t="shared" si="14"/>
        <v>1.7297297297297311E-2</v>
      </c>
      <c r="E480" s="7">
        <v>44167</v>
      </c>
      <c r="F480" s="9">
        <v>42027.38</v>
      </c>
      <c r="G480" s="10">
        <f t="shared" si="15"/>
        <v>8.6909313200178619E-3</v>
      </c>
      <c r="K480" s="13"/>
      <c r="L480" s="13"/>
      <c r="M480" s="13"/>
    </row>
    <row r="481" spans="1:13" x14ac:dyDescent="0.3">
      <c r="A481" s="7">
        <v>44168</v>
      </c>
      <c r="B481" s="8">
        <v>9.3699999999999992</v>
      </c>
      <c r="C481" s="10">
        <f t="shared" si="14"/>
        <v>-4.2507970244421807E-3</v>
      </c>
      <c r="E481" s="7">
        <v>44168</v>
      </c>
      <c r="F481" s="9">
        <v>42047.72</v>
      </c>
      <c r="G481" s="10">
        <f t="shared" si="15"/>
        <v>4.8397021180011186E-4</v>
      </c>
      <c r="K481" s="13"/>
      <c r="L481" s="13"/>
      <c r="M481" s="13"/>
    </row>
    <row r="482" spans="1:13" x14ac:dyDescent="0.3">
      <c r="A482" s="7">
        <v>44169</v>
      </c>
      <c r="B482" s="8">
        <v>9.42</v>
      </c>
      <c r="C482" s="10">
        <f t="shared" si="14"/>
        <v>5.3361792956244094E-3</v>
      </c>
      <c r="E482" s="7">
        <v>44169</v>
      </c>
      <c r="F482" s="9">
        <v>42207</v>
      </c>
      <c r="G482" s="10">
        <f t="shared" si="15"/>
        <v>3.7880769753984005E-3</v>
      </c>
      <c r="K482" s="13"/>
      <c r="L482" s="13"/>
      <c r="M482" s="13"/>
    </row>
    <row r="483" spans="1:13" x14ac:dyDescent="0.3">
      <c r="A483" s="7">
        <v>44172</v>
      </c>
      <c r="B483" s="8">
        <v>9.43</v>
      </c>
      <c r="C483" s="10">
        <f t="shared" si="14"/>
        <v>1.0615711252653702E-3</v>
      </c>
      <c r="E483" s="7">
        <v>44172</v>
      </c>
      <c r="F483" s="9">
        <v>42115.31</v>
      </c>
      <c r="G483" s="10">
        <f t="shared" si="15"/>
        <v>-2.1723884663681931E-3</v>
      </c>
      <c r="K483" s="13"/>
      <c r="L483" s="13"/>
      <c r="M483" s="13"/>
    </row>
    <row r="484" spans="1:13" x14ac:dyDescent="0.3">
      <c r="A484" s="7">
        <v>44173</v>
      </c>
      <c r="B484" s="8">
        <v>9.4700000000000006</v>
      </c>
      <c r="C484" s="10">
        <f t="shared" si="14"/>
        <v>4.2417815482503635E-3</v>
      </c>
      <c r="E484" s="7">
        <v>44173</v>
      </c>
      <c r="F484" s="9">
        <v>42101.78</v>
      </c>
      <c r="G484" s="10">
        <f t="shared" si="15"/>
        <v>-3.2126084314703697E-4</v>
      </c>
      <c r="K484" s="13"/>
      <c r="L484" s="13"/>
      <c r="M484" s="13"/>
    </row>
    <row r="485" spans="1:13" x14ac:dyDescent="0.3">
      <c r="A485" s="7">
        <v>44174</v>
      </c>
      <c r="B485" s="8">
        <v>9.51</v>
      </c>
      <c r="C485" s="10">
        <f t="shared" si="14"/>
        <v>4.2238648363251471E-3</v>
      </c>
      <c r="E485" s="7">
        <v>44174</v>
      </c>
      <c r="F485" s="9">
        <v>42204.03</v>
      </c>
      <c r="G485" s="10">
        <f t="shared" si="15"/>
        <v>2.428638409112394E-3</v>
      </c>
      <c r="K485" s="13"/>
      <c r="L485" s="13"/>
      <c r="M485" s="13"/>
    </row>
    <row r="486" spans="1:13" x14ac:dyDescent="0.3">
      <c r="A486" s="7">
        <v>44175</v>
      </c>
      <c r="B486" s="8">
        <v>9.6999999999999993</v>
      </c>
      <c r="C486" s="10">
        <f t="shared" si="14"/>
        <v>1.9978969505783335E-2</v>
      </c>
      <c r="E486" s="7">
        <v>44175</v>
      </c>
      <c r="F486" s="9">
        <v>42305.84</v>
      </c>
      <c r="G486" s="10">
        <f t="shared" si="15"/>
        <v>2.4123288700154386E-3</v>
      </c>
      <c r="K486" s="13"/>
      <c r="L486" s="13"/>
      <c r="M486" s="13"/>
    </row>
    <row r="487" spans="1:13" x14ac:dyDescent="0.3">
      <c r="A487" s="7">
        <v>44176</v>
      </c>
      <c r="B487" s="8">
        <v>9.94</v>
      </c>
      <c r="C487" s="10">
        <f t="shared" si="14"/>
        <v>2.4742268041237137E-2</v>
      </c>
      <c r="E487" s="7">
        <v>44176</v>
      </c>
      <c r="F487" s="9">
        <v>42470.39</v>
      </c>
      <c r="G487" s="10">
        <f t="shared" si="15"/>
        <v>3.8895339272309194E-3</v>
      </c>
      <c r="K487" s="13"/>
      <c r="L487" s="13"/>
      <c r="M487" s="13"/>
    </row>
    <row r="488" spans="1:13" x14ac:dyDescent="0.3">
      <c r="A488" s="7">
        <v>44179</v>
      </c>
      <c r="B488" s="8">
        <v>10.17</v>
      </c>
      <c r="C488" s="10">
        <f t="shared" si="14"/>
        <v>2.3138832997987972E-2</v>
      </c>
      <c r="E488" s="7">
        <v>44179</v>
      </c>
      <c r="F488" s="9">
        <v>43266.22</v>
      </c>
      <c r="G488" s="10">
        <f t="shared" si="15"/>
        <v>1.8738466964866623E-2</v>
      </c>
      <c r="K488" s="13"/>
      <c r="L488" s="13"/>
      <c r="M488" s="13"/>
    </row>
    <row r="489" spans="1:13" x14ac:dyDescent="0.3">
      <c r="A489" s="7">
        <v>44180</v>
      </c>
      <c r="B489" s="8">
        <v>9.7200000000000006</v>
      </c>
      <c r="C489" s="10">
        <f t="shared" si="14"/>
        <v>-4.4247787610619399E-2</v>
      </c>
      <c r="E489" s="7">
        <v>44180</v>
      </c>
      <c r="F489" s="9">
        <v>43250.84</v>
      </c>
      <c r="G489" s="10">
        <f t="shared" si="15"/>
        <v>-3.5547362353366337E-4</v>
      </c>
      <c r="K489" s="13"/>
      <c r="L489" s="13"/>
      <c r="M489" s="13"/>
    </row>
    <row r="490" spans="1:13" x14ac:dyDescent="0.3">
      <c r="A490" s="7">
        <v>44181</v>
      </c>
      <c r="B490" s="8">
        <v>9.0500000000000007</v>
      </c>
      <c r="C490" s="10">
        <f t="shared" si="14"/>
        <v>-6.8930041152263366E-2</v>
      </c>
      <c r="E490" s="7">
        <v>44181</v>
      </c>
      <c r="F490" s="9">
        <v>43360.19</v>
      </c>
      <c r="G490" s="10">
        <f t="shared" si="15"/>
        <v>2.5282745953605947E-3</v>
      </c>
      <c r="K490" s="13"/>
      <c r="L490" s="13"/>
      <c r="M490" s="13"/>
    </row>
    <row r="491" spans="1:13" x14ac:dyDescent="0.3">
      <c r="A491" s="7">
        <v>44182</v>
      </c>
      <c r="B491" s="8">
        <v>9.0299999999999994</v>
      </c>
      <c r="C491" s="10">
        <f t="shared" si="14"/>
        <v>-2.2099447513813644E-3</v>
      </c>
      <c r="E491" s="7">
        <v>44182</v>
      </c>
      <c r="F491" s="9">
        <v>43766.69</v>
      </c>
      <c r="G491" s="10">
        <f t="shared" si="15"/>
        <v>9.3749589196910794E-3</v>
      </c>
      <c r="K491" s="13"/>
      <c r="L491" s="13"/>
      <c r="M491" s="13"/>
    </row>
    <row r="492" spans="1:13" x14ac:dyDescent="0.3">
      <c r="A492" s="7">
        <v>44183</v>
      </c>
      <c r="B492" s="8">
        <v>8.74</v>
      </c>
      <c r="C492" s="10">
        <f t="shared" si="14"/>
        <v>-3.2115171650055278E-2</v>
      </c>
      <c r="E492" s="7">
        <v>44183</v>
      </c>
      <c r="F492" s="9">
        <v>43740.55</v>
      </c>
      <c r="G492" s="10">
        <f t="shared" si="15"/>
        <v>-5.9725786894095523E-4</v>
      </c>
      <c r="K492" s="13"/>
      <c r="L492" s="13"/>
      <c r="M492" s="13"/>
    </row>
    <row r="493" spans="1:13" x14ac:dyDescent="0.3">
      <c r="A493" s="7">
        <v>44186</v>
      </c>
      <c r="B493" s="8">
        <v>8.4700000000000006</v>
      </c>
      <c r="C493" s="10">
        <f t="shared" si="14"/>
        <v>-3.0892448512585761E-2</v>
      </c>
      <c r="E493" s="7">
        <v>44186</v>
      </c>
      <c r="F493" s="9">
        <v>43333.760000000002</v>
      </c>
      <c r="G493" s="10">
        <f t="shared" si="15"/>
        <v>-9.3000659571038959E-3</v>
      </c>
      <c r="K493" s="13"/>
      <c r="L493" s="13"/>
      <c r="M493" s="13"/>
    </row>
    <row r="494" spans="1:13" x14ac:dyDescent="0.3">
      <c r="A494" s="7">
        <v>44187</v>
      </c>
      <c r="B494" s="8">
        <v>8.18</v>
      </c>
      <c r="C494" s="10">
        <f t="shared" si="14"/>
        <v>-3.4238488783943435E-2</v>
      </c>
      <c r="E494" s="7">
        <v>44187</v>
      </c>
      <c r="F494" s="9">
        <v>42906.94</v>
      </c>
      <c r="G494" s="10">
        <f t="shared" si="15"/>
        <v>-9.8495953270613876E-3</v>
      </c>
      <c r="K494" s="13"/>
      <c r="L494" s="13"/>
      <c r="M494" s="13"/>
    </row>
    <row r="495" spans="1:13" x14ac:dyDescent="0.3">
      <c r="A495" s="7">
        <v>44188</v>
      </c>
      <c r="B495" s="8">
        <v>8.25</v>
      </c>
      <c r="C495" s="10">
        <f t="shared" si="14"/>
        <v>8.5574572127139707E-3</v>
      </c>
      <c r="E495" s="7">
        <v>44188</v>
      </c>
      <c r="F495" s="9">
        <v>43087.7</v>
      </c>
      <c r="G495" s="10">
        <f t="shared" si="15"/>
        <v>4.2128382960890422E-3</v>
      </c>
      <c r="K495" s="13"/>
      <c r="L495" s="13"/>
      <c r="M495" s="13"/>
    </row>
    <row r="496" spans="1:13" x14ac:dyDescent="0.3">
      <c r="A496" s="7">
        <v>44189</v>
      </c>
      <c r="B496" s="8">
        <v>8.3000000000000007</v>
      </c>
      <c r="C496" s="10">
        <f t="shared" si="14"/>
        <v>6.0606060606061465E-3</v>
      </c>
      <c r="E496" s="7">
        <v>44189</v>
      </c>
      <c r="F496" s="9">
        <v>43416.77</v>
      </c>
      <c r="G496" s="10">
        <f t="shared" si="15"/>
        <v>7.6372143326285625E-3</v>
      </c>
      <c r="K496" s="13"/>
      <c r="L496" s="13"/>
      <c r="M496" s="13"/>
    </row>
    <row r="497" spans="1:13" x14ac:dyDescent="0.3">
      <c r="A497" s="7">
        <v>44193</v>
      </c>
      <c r="B497" s="8">
        <v>8.56</v>
      </c>
      <c r="C497" s="10">
        <f t="shared" si="14"/>
        <v>3.1325301204819252E-2</v>
      </c>
      <c r="E497" s="7">
        <v>44193</v>
      </c>
      <c r="F497" s="9">
        <v>43674.28</v>
      </c>
      <c r="G497" s="10">
        <f t="shared" si="15"/>
        <v>5.9311183213307224E-3</v>
      </c>
      <c r="K497" s="13"/>
      <c r="L497" s="13"/>
      <c r="M497" s="13"/>
    </row>
    <row r="498" spans="1:13" x14ac:dyDescent="0.3">
      <c r="A498" s="7">
        <v>44194</v>
      </c>
      <c r="B498" s="8">
        <v>8.66</v>
      </c>
      <c r="C498" s="10">
        <f t="shared" si="14"/>
        <v>1.1682242990654164E-2</v>
      </c>
      <c r="E498" s="7">
        <v>44194</v>
      </c>
      <c r="F498" s="9">
        <v>43255.55</v>
      </c>
      <c r="G498" s="10">
        <f t="shared" si="15"/>
        <v>-9.5875650382787284E-3</v>
      </c>
      <c r="K498" s="13"/>
      <c r="L498" s="13"/>
      <c r="M498" s="13"/>
    </row>
    <row r="499" spans="1:13" x14ac:dyDescent="0.3">
      <c r="A499" s="7">
        <v>44195</v>
      </c>
      <c r="B499" s="8">
        <v>8.85</v>
      </c>
      <c r="C499" s="10">
        <f t="shared" si="14"/>
        <v>2.1939953810623501E-2</v>
      </c>
      <c r="E499" s="7">
        <v>44195</v>
      </c>
      <c r="F499" s="9">
        <v>43694.76</v>
      </c>
      <c r="G499" s="10">
        <f t="shared" si="15"/>
        <v>1.0153841530162005E-2</v>
      </c>
      <c r="K499" s="13"/>
      <c r="L499" s="13"/>
      <c r="M499" s="13"/>
    </row>
    <row r="500" spans="1:13" x14ac:dyDescent="0.3">
      <c r="A500" s="7">
        <v>44196</v>
      </c>
      <c r="B500" s="8">
        <v>8.85</v>
      </c>
      <c r="C500" s="10">
        <f t="shared" si="14"/>
        <v>0</v>
      </c>
      <c r="E500" s="7">
        <v>44196</v>
      </c>
      <c r="F500" s="9">
        <v>43755.38</v>
      </c>
      <c r="G500" s="10">
        <f t="shared" si="15"/>
        <v>1.3873517099074429E-3</v>
      </c>
      <c r="K500" s="13"/>
      <c r="L500" s="13"/>
      <c r="M500" s="13"/>
    </row>
    <row r="501" spans="1:13" x14ac:dyDescent="0.3">
      <c r="A501" s="7">
        <v>44197</v>
      </c>
      <c r="B501" s="8">
        <v>8.83</v>
      </c>
      <c r="C501" s="10">
        <f t="shared" si="14"/>
        <v>-2.2598870056496695E-3</v>
      </c>
      <c r="E501" s="7">
        <v>44197</v>
      </c>
      <c r="F501" s="9">
        <v>44434.8</v>
      </c>
      <c r="G501" s="10">
        <f t="shared" si="15"/>
        <v>1.552769053771229E-2</v>
      </c>
      <c r="K501" s="13"/>
      <c r="L501" s="13"/>
      <c r="M501" s="13"/>
    </row>
    <row r="502" spans="1:13" x14ac:dyDescent="0.3">
      <c r="A502" s="7">
        <v>44200</v>
      </c>
      <c r="B502" s="8">
        <v>8.81</v>
      </c>
      <c r="C502" s="10">
        <f t="shared" si="14"/>
        <v>-2.2650056625141079E-3</v>
      </c>
      <c r="E502" s="7">
        <v>44200</v>
      </c>
      <c r="F502" s="9">
        <v>44686.46</v>
      </c>
      <c r="G502" s="10">
        <f t="shared" si="15"/>
        <v>5.6635789966421862E-3</v>
      </c>
      <c r="K502" s="13"/>
      <c r="L502" s="13"/>
      <c r="M502" s="13"/>
    </row>
    <row r="503" spans="1:13" x14ac:dyDescent="0.3">
      <c r="A503" s="7">
        <v>44201</v>
      </c>
      <c r="B503" s="8">
        <v>8.7899999999999991</v>
      </c>
      <c r="C503" s="10">
        <f t="shared" si="14"/>
        <v>-2.2701475595915265E-3</v>
      </c>
      <c r="E503" s="7">
        <v>44201</v>
      </c>
      <c r="F503" s="9">
        <v>44650.43</v>
      </c>
      <c r="G503" s="10">
        <f t="shared" si="15"/>
        <v>-8.0628449870495081E-4</v>
      </c>
      <c r="K503" s="13"/>
      <c r="L503" s="13"/>
      <c r="M503" s="13"/>
    </row>
    <row r="504" spans="1:13" x14ac:dyDescent="0.3">
      <c r="A504" s="7">
        <v>44202</v>
      </c>
      <c r="B504" s="8">
        <v>9.7899999999999991</v>
      </c>
      <c r="C504" s="10">
        <f t="shared" si="14"/>
        <v>0.11376564277588169</v>
      </c>
      <c r="E504" s="7">
        <v>44202</v>
      </c>
      <c r="F504" s="9">
        <v>45153.42</v>
      </c>
      <c r="G504" s="10">
        <f t="shared" si="15"/>
        <v>1.1265065084479544E-2</v>
      </c>
      <c r="K504" s="13"/>
      <c r="L504" s="13"/>
      <c r="M504" s="13"/>
    </row>
    <row r="505" spans="1:13" x14ac:dyDescent="0.3">
      <c r="A505" s="7">
        <v>44203</v>
      </c>
      <c r="B505" s="8">
        <v>9.81</v>
      </c>
      <c r="C505" s="10">
        <f t="shared" si="14"/>
        <v>2.0429009193055517E-3</v>
      </c>
      <c r="E505" s="7">
        <v>44203</v>
      </c>
      <c r="F505" s="9">
        <v>45344.54</v>
      </c>
      <c r="G505" s="10">
        <f t="shared" si="15"/>
        <v>4.2326804924190152E-3</v>
      </c>
      <c r="K505" s="13"/>
      <c r="L505" s="13"/>
      <c r="M505" s="13"/>
    </row>
    <row r="506" spans="1:13" x14ac:dyDescent="0.3">
      <c r="A506" s="7">
        <v>44204</v>
      </c>
      <c r="B506" s="8">
        <v>10.41</v>
      </c>
      <c r="C506" s="10">
        <f t="shared" si="14"/>
        <v>6.1162079510703328E-2</v>
      </c>
      <c r="E506" s="7">
        <v>44204</v>
      </c>
      <c r="F506" s="9">
        <v>45654.34</v>
      </c>
      <c r="G506" s="10">
        <f t="shared" si="15"/>
        <v>6.8321345855530922E-3</v>
      </c>
      <c r="K506" s="13"/>
      <c r="L506" s="13"/>
      <c r="M506" s="13"/>
    </row>
    <row r="507" spans="1:13" x14ac:dyDescent="0.3">
      <c r="A507" s="7">
        <v>44207</v>
      </c>
      <c r="B507" s="8">
        <v>9.9</v>
      </c>
      <c r="C507" s="10">
        <f t="shared" si="14"/>
        <v>-4.8991354466858768E-2</v>
      </c>
      <c r="E507" s="7">
        <v>44207</v>
      </c>
      <c r="F507" s="9">
        <v>45605.42</v>
      </c>
      <c r="G507" s="10">
        <f t="shared" si="15"/>
        <v>-1.0715301108284176E-3</v>
      </c>
      <c r="K507" s="13"/>
      <c r="L507" s="13"/>
      <c r="M507" s="13"/>
    </row>
    <row r="508" spans="1:13" x14ac:dyDescent="0.3">
      <c r="A508" s="7">
        <v>44208</v>
      </c>
      <c r="B508" s="8">
        <v>9.9499999999999993</v>
      </c>
      <c r="C508" s="10">
        <f t="shared" si="14"/>
        <v>5.0505050505049425E-3</v>
      </c>
      <c r="E508" s="7">
        <v>44208</v>
      </c>
      <c r="F508" s="9">
        <v>45922.04</v>
      </c>
      <c r="G508" s="10">
        <f t="shared" si="15"/>
        <v>6.9425958581239384E-3</v>
      </c>
      <c r="K508" s="13"/>
      <c r="L508" s="13"/>
      <c r="M508" s="13"/>
    </row>
    <row r="509" spans="1:13" x14ac:dyDescent="0.3">
      <c r="A509" s="7">
        <v>44209</v>
      </c>
      <c r="B509" s="8">
        <v>9.9600000000000009</v>
      </c>
      <c r="C509" s="10">
        <f t="shared" si="14"/>
        <v>1.0050251256282978E-3</v>
      </c>
      <c r="E509" s="7">
        <v>44209</v>
      </c>
      <c r="F509" s="9">
        <v>46091.96</v>
      </c>
      <c r="G509" s="10">
        <f t="shared" si="15"/>
        <v>3.7001840510569269E-3</v>
      </c>
      <c r="K509" s="13"/>
      <c r="L509" s="13"/>
      <c r="M509" s="13"/>
    </row>
    <row r="510" spans="1:13" x14ac:dyDescent="0.3">
      <c r="A510" s="7">
        <v>44210</v>
      </c>
      <c r="B510" s="8">
        <v>9.94</v>
      </c>
      <c r="C510" s="10">
        <f t="shared" si="14"/>
        <v>-2.0080321285141918E-3</v>
      </c>
      <c r="E510" s="7">
        <v>44210</v>
      </c>
      <c r="F510" s="9">
        <v>45989.35</v>
      </c>
      <c r="G510" s="10">
        <f t="shared" si="15"/>
        <v>-2.2262017063279711E-3</v>
      </c>
      <c r="K510" s="13"/>
      <c r="L510" s="13"/>
      <c r="M510" s="13"/>
    </row>
    <row r="511" spans="1:13" x14ac:dyDescent="0.3">
      <c r="A511" s="7">
        <v>44211</v>
      </c>
      <c r="B511" s="8">
        <v>9.84</v>
      </c>
      <c r="C511" s="10">
        <f t="shared" si="14"/>
        <v>-1.0060362173038195E-2</v>
      </c>
      <c r="E511" s="7">
        <v>44211</v>
      </c>
      <c r="F511" s="9">
        <v>45931</v>
      </c>
      <c r="G511" s="10">
        <f t="shared" si="15"/>
        <v>-1.268772009171657E-3</v>
      </c>
      <c r="K511" s="13"/>
      <c r="L511" s="13"/>
      <c r="M511" s="13"/>
    </row>
    <row r="512" spans="1:13" x14ac:dyDescent="0.3">
      <c r="A512" s="7">
        <v>44214</v>
      </c>
      <c r="B512" s="8">
        <v>9.61</v>
      </c>
      <c r="C512" s="10">
        <f t="shared" si="14"/>
        <v>-2.3373983739837442E-2</v>
      </c>
      <c r="E512" s="7">
        <v>44214</v>
      </c>
      <c r="F512" s="9">
        <v>45726.68</v>
      </c>
      <c r="G512" s="10">
        <f t="shared" si="15"/>
        <v>-4.4484117480568615E-3</v>
      </c>
      <c r="K512" s="13"/>
      <c r="L512" s="13"/>
      <c r="M512" s="13"/>
    </row>
    <row r="513" spans="1:13" x14ac:dyDescent="0.3">
      <c r="A513" s="7">
        <v>44215</v>
      </c>
      <c r="B513" s="8">
        <v>9.61</v>
      </c>
      <c r="C513" s="10">
        <f t="shared" si="14"/>
        <v>0</v>
      </c>
      <c r="E513" s="7">
        <v>44215</v>
      </c>
      <c r="F513" s="9">
        <v>45903.23</v>
      </c>
      <c r="G513" s="10">
        <f t="shared" si="15"/>
        <v>3.8609844405936076E-3</v>
      </c>
      <c r="K513" s="13"/>
      <c r="L513" s="13"/>
      <c r="M513" s="13"/>
    </row>
    <row r="514" spans="1:13" x14ac:dyDescent="0.3">
      <c r="A514" s="7">
        <v>44216</v>
      </c>
      <c r="B514" s="8">
        <v>9.69</v>
      </c>
      <c r="C514" s="10">
        <f t="shared" si="14"/>
        <v>8.3246618106139515E-3</v>
      </c>
      <c r="E514" s="7">
        <v>44216</v>
      </c>
      <c r="F514" s="9">
        <v>45676.94</v>
      </c>
      <c r="G514" s="10">
        <f t="shared" si="15"/>
        <v>-4.9297184533637576E-3</v>
      </c>
      <c r="K514" s="13"/>
      <c r="L514" s="13"/>
      <c r="M514" s="13"/>
    </row>
    <row r="515" spans="1:13" x14ac:dyDescent="0.3">
      <c r="A515" s="7">
        <v>44217</v>
      </c>
      <c r="B515" s="8">
        <v>9.65</v>
      </c>
      <c r="C515" s="10">
        <f t="shared" si="14"/>
        <v>-4.127966976264102E-3</v>
      </c>
      <c r="E515" s="7">
        <v>44217</v>
      </c>
      <c r="F515" s="9">
        <v>45984.46</v>
      </c>
      <c r="G515" s="10">
        <f t="shared" si="15"/>
        <v>6.7325000317446128E-3</v>
      </c>
      <c r="K515" s="13"/>
      <c r="L515" s="13"/>
      <c r="M515" s="13"/>
    </row>
    <row r="516" spans="1:13" x14ac:dyDescent="0.3">
      <c r="A516" s="7">
        <v>44218</v>
      </c>
      <c r="B516" s="8">
        <v>9.4600000000000009</v>
      </c>
      <c r="C516" s="10">
        <f t="shared" si="14"/>
        <v>-1.9689119170984405E-2</v>
      </c>
      <c r="E516" s="7">
        <v>44218</v>
      </c>
      <c r="F516" s="9">
        <v>45868.04</v>
      </c>
      <c r="G516" s="10">
        <f t="shared" si="15"/>
        <v>-2.5317248479159752E-3</v>
      </c>
      <c r="K516" s="13"/>
      <c r="L516" s="13"/>
      <c r="M516" s="13"/>
    </row>
    <row r="517" spans="1:13" x14ac:dyDescent="0.3">
      <c r="A517" s="7">
        <v>44221</v>
      </c>
      <c r="B517" s="8">
        <v>9.4499999999999993</v>
      </c>
      <c r="C517" s="10">
        <f t="shared" ref="C517:C580" si="16">(B517-B516)/B516</f>
        <v>-1.0570824524314547E-3</v>
      </c>
      <c r="E517" s="7">
        <v>44221</v>
      </c>
      <c r="F517" s="9">
        <v>46087.64</v>
      </c>
      <c r="G517" s="10">
        <f t="shared" ref="G517:G580" si="17">(F517-F516)/F516</f>
        <v>4.7876473466055783E-3</v>
      </c>
      <c r="K517" s="13"/>
      <c r="L517" s="13"/>
      <c r="M517" s="13"/>
    </row>
    <row r="518" spans="1:13" x14ac:dyDescent="0.3">
      <c r="A518" s="7">
        <v>44222</v>
      </c>
      <c r="B518" s="8">
        <v>9.73</v>
      </c>
      <c r="C518" s="10">
        <f t="shared" si="16"/>
        <v>2.9629629629629752E-2</v>
      </c>
      <c r="E518" s="7">
        <v>44222</v>
      </c>
      <c r="F518" s="9">
        <v>46287.38</v>
      </c>
      <c r="G518" s="10">
        <f t="shared" si="17"/>
        <v>4.3339168592706843E-3</v>
      </c>
      <c r="K518" s="13"/>
      <c r="L518" s="13"/>
      <c r="M518" s="13"/>
    </row>
    <row r="519" spans="1:13" x14ac:dyDescent="0.3">
      <c r="A519" s="7">
        <v>44223</v>
      </c>
      <c r="B519" s="8">
        <v>9.84</v>
      </c>
      <c r="C519" s="10">
        <f t="shared" si="16"/>
        <v>1.13052415210688E-2</v>
      </c>
      <c r="E519" s="7">
        <v>44223</v>
      </c>
      <c r="F519" s="9">
        <v>46458.13</v>
      </c>
      <c r="G519" s="10">
        <f t="shared" si="17"/>
        <v>3.6889104546422805E-3</v>
      </c>
      <c r="K519" s="13"/>
      <c r="L519" s="13"/>
      <c r="M519" s="13"/>
    </row>
    <row r="520" spans="1:13" x14ac:dyDescent="0.3">
      <c r="A520" s="7">
        <v>44224</v>
      </c>
      <c r="B520" s="8">
        <v>9.58</v>
      </c>
      <c r="C520" s="10">
        <f t="shared" si="16"/>
        <v>-2.6422764227642254E-2</v>
      </c>
      <c r="E520" s="7">
        <v>44224</v>
      </c>
      <c r="F520" s="9">
        <v>46166.05</v>
      </c>
      <c r="G520" s="10">
        <f t="shared" si="17"/>
        <v>-6.2869512828001147E-3</v>
      </c>
      <c r="K520" s="13"/>
      <c r="L520" s="13"/>
      <c r="M520" s="13"/>
    </row>
    <row r="521" spans="1:13" x14ac:dyDescent="0.3">
      <c r="A521" s="7">
        <v>44225</v>
      </c>
      <c r="B521" s="8">
        <v>9.66</v>
      </c>
      <c r="C521" s="10">
        <f t="shared" si="16"/>
        <v>8.3507306889352897E-3</v>
      </c>
      <c r="E521" s="7">
        <v>44225</v>
      </c>
      <c r="F521" s="9">
        <v>46385.54</v>
      </c>
      <c r="G521" s="10">
        <f t="shared" si="17"/>
        <v>4.7543595347663047E-3</v>
      </c>
      <c r="K521" s="13"/>
      <c r="L521" s="13"/>
      <c r="M521" s="13"/>
    </row>
    <row r="522" spans="1:13" x14ac:dyDescent="0.3">
      <c r="A522" s="7">
        <v>44228</v>
      </c>
      <c r="B522" s="8">
        <v>9.6199999999999992</v>
      </c>
      <c r="C522" s="10">
        <f t="shared" si="16"/>
        <v>-4.1407867494824974E-3</v>
      </c>
      <c r="E522" s="7">
        <v>44228</v>
      </c>
      <c r="F522" s="9">
        <v>46248.45</v>
      </c>
      <c r="G522" s="10">
        <f t="shared" si="17"/>
        <v>-2.9554468914235726E-3</v>
      </c>
      <c r="K522" s="13"/>
      <c r="L522" s="13"/>
      <c r="M522" s="13"/>
    </row>
    <row r="523" spans="1:13" x14ac:dyDescent="0.3">
      <c r="A523" s="7">
        <v>44229</v>
      </c>
      <c r="B523" s="8">
        <v>9.41</v>
      </c>
      <c r="C523" s="10">
        <f t="shared" si="16"/>
        <v>-2.1829521829521734E-2</v>
      </c>
      <c r="E523" s="7">
        <v>44229</v>
      </c>
      <c r="F523" s="9">
        <v>46580.34</v>
      </c>
      <c r="G523" s="10">
        <f t="shared" si="17"/>
        <v>7.1762405010329959E-3</v>
      </c>
      <c r="K523" s="13"/>
      <c r="L523" s="13"/>
      <c r="M523" s="13"/>
    </row>
    <row r="524" spans="1:13" x14ac:dyDescent="0.3">
      <c r="A524" s="7">
        <v>44230</v>
      </c>
      <c r="B524" s="8">
        <v>9.3800000000000008</v>
      </c>
      <c r="C524" s="10">
        <f t="shared" si="16"/>
        <v>-3.1880977683314943E-3</v>
      </c>
      <c r="E524" s="7">
        <v>44230</v>
      </c>
      <c r="F524" s="9">
        <v>46933.63</v>
      </c>
      <c r="G524" s="10">
        <f t="shared" si="17"/>
        <v>7.5845302975461517E-3</v>
      </c>
      <c r="K524" s="13"/>
      <c r="L524" s="13"/>
      <c r="M524" s="13"/>
    </row>
    <row r="525" spans="1:13" x14ac:dyDescent="0.3">
      <c r="A525" s="7">
        <v>44231</v>
      </c>
      <c r="B525" s="8">
        <v>9.16</v>
      </c>
      <c r="C525" s="10">
        <f t="shared" si="16"/>
        <v>-2.3454157782516059E-2</v>
      </c>
      <c r="E525" s="7">
        <v>44231</v>
      </c>
      <c r="F525" s="9">
        <v>46905.79</v>
      </c>
      <c r="G525" s="10">
        <f t="shared" si="17"/>
        <v>-5.9317806868969031E-4</v>
      </c>
      <c r="K525" s="13"/>
      <c r="L525" s="13"/>
      <c r="M525" s="13"/>
    </row>
    <row r="526" spans="1:13" x14ac:dyDescent="0.3">
      <c r="A526" s="7">
        <v>44235</v>
      </c>
      <c r="B526" s="8">
        <v>9.2100000000000009</v>
      </c>
      <c r="C526" s="10">
        <f t="shared" si="16"/>
        <v>5.4585152838428725E-3</v>
      </c>
      <c r="E526" s="7">
        <v>44235</v>
      </c>
      <c r="F526" s="9">
        <v>46721.87</v>
      </c>
      <c r="G526" s="10">
        <f t="shared" si="17"/>
        <v>-3.9210511111740839E-3</v>
      </c>
      <c r="K526" s="13"/>
      <c r="L526" s="13"/>
      <c r="M526" s="13"/>
    </row>
    <row r="527" spans="1:13" x14ac:dyDescent="0.3">
      <c r="A527" s="7">
        <v>44236</v>
      </c>
      <c r="B527" s="8">
        <v>9.52</v>
      </c>
      <c r="C527" s="10">
        <f t="shared" si="16"/>
        <v>3.365906623235599E-2</v>
      </c>
      <c r="E527" s="7">
        <v>44236</v>
      </c>
      <c r="F527" s="9">
        <v>46674.77</v>
      </c>
      <c r="G527" s="10">
        <f t="shared" si="17"/>
        <v>-1.0080932120226742E-3</v>
      </c>
      <c r="K527" s="13"/>
      <c r="L527" s="13"/>
      <c r="M527" s="13"/>
    </row>
    <row r="528" spans="1:13" x14ac:dyDescent="0.3">
      <c r="A528" s="7">
        <v>44237</v>
      </c>
      <c r="B528" s="8">
        <v>9.35</v>
      </c>
      <c r="C528" s="10">
        <f t="shared" si="16"/>
        <v>-1.7857142857142849E-2</v>
      </c>
      <c r="E528" s="7">
        <v>44237</v>
      </c>
      <c r="F528" s="9">
        <v>46644.29</v>
      </c>
      <c r="G528" s="10">
        <f t="shared" si="17"/>
        <v>-6.5302946324097429E-4</v>
      </c>
      <c r="K528" s="13"/>
      <c r="L528" s="13"/>
      <c r="M528" s="13"/>
    </row>
    <row r="529" spans="1:13" x14ac:dyDescent="0.3">
      <c r="A529" s="7">
        <v>44238</v>
      </c>
      <c r="B529" s="8">
        <v>9.1199999999999992</v>
      </c>
      <c r="C529" s="10">
        <f t="shared" si="16"/>
        <v>-2.4598930481283469E-2</v>
      </c>
      <c r="E529" s="7">
        <v>44238</v>
      </c>
      <c r="F529" s="9">
        <v>46055.519999999997</v>
      </c>
      <c r="G529" s="10">
        <f t="shared" si="17"/>
        <v>-1.2622552513930517E-2</v>
      </c>
      <c r="K529" s="13"/>
      <c r="L529" s="13"/>
      <c r="M529" s="13"/>
    </row>
    <row r="530" spans="1:13" x14ac:dyDescent="0.3">
      <c r="A530" s="7">
        <v>44239</v>
      </c>
      <c r="B530" s="8">
        <v>9.31</v>
      </c>
      <c r="C530" s="10">
        <f t="shared" si="16"/>
        <v>2.0833333333333474E-2</v>
      </c>
      <c r="E530" s="7">
        <v>44239</v>
      </c>
      <c r="F530" s="9">
        <v>45808.36</v>
      </c>
      <c r="G530" s="10">
        <f t="shared" si="17"/>
        <v>-5.3665662661065653E-3</v>
      </c>
      <c r="K530" s="13"/>
      <c r="L530" s="13"/>
      <c r="M530" s="13"/>
    </row>
    <row r="531" spans="1:13" x14ac:dyDescent="0.3">
      <c r="A531" s="7">
        <v>44242</v>
      </c>
      <c r="B531" s="8">
        <v>9.17</v>
      </c>
      <c r="C531" s="10">
        <f t="shared" si="16"/>
        <v>-1.5037593984962466E-2</v>
      </c>
      <c r="E531" s="7">
        <v>44242</v>
      </c>
      <c r="F531" s="9">
        <v>46375.59</v>
      </c>
      <c r="G531" s="10">
        <f t="shared" si="17"/>
        <v>1.238267425421901E-2</v>
      </c>
      <c r="K531" s="13"/>
      <c r="L531" s="13"/>
      <c r="M531" s="13"/>
    </row>
    <row r="532" spans="1:13" x14ac:dyDescent="0.3">
      <c r="A532" s="7">
        <v>44243</v>
      </c>
      <c r="B532" s="8">
        <v>9.27</v>
      </c>
      <c r="C532" s="10">
        <f t="shared" si="16"/>
        <v>1.0905125408942165E-2</v>
      </c>
      <c r="E532" s="7">
        <v>44243</v>
      </c>
      <c r="F532" s="9">
        <v>46867.95</v>
      </c>
      <c r="G532" s="10">
        <f t="shared" si="17"/>
        <v>1.0616792152940816E-2</v>
      </c>
      <c r="K532" s="13"/>
      <c r="L532" s="13"/>
      <c r="M532" s="13"/>
    </row>
    <row r="533" spans="1:13" x14ac:dyDescent="0.3">
      <c r="A533" s="7">
        <v>44244</v>
      </c>
      <c r="B533" s="8">
        <v>9.15</v>
      </c>
      <c r="C533" s="10">
        <f t="shared" si="16"/>
        <v>-1.2944983818770142E-2</v>
      </c>
      <c r="E533" s="7">
        <v>44244</v>
      </c>
      <c r="F533" s="9">
        <v>46768.14</v>
      </c>
      <c r="G533" s="10">
        <f t="shared" si="17"/>
        <v>-2.1296002918838497E-3</v>
      </c>
      <c r="K533" s="13"/>
      <c r="L533" s="13"/>
      <c r="M533" s="13"/>
    </row>
    <row r="534" spans="1:13" x14ac:dyDescent="0.3">
      <c r="A534" s="7">
        <v>44245</v>
      </c>
      <c r="B534" s="8">
        <v>9.4</v>
      </c>
      <c r="C534" s="10">
        <f t="shared" si="16"/>
        <v>2.7322404371584699E-2</v>
      </c>
      <c r="E534" s="7">
        <v>44245</v>
      </c>
      <c r="F534" s="9">
        <v>46142.74</v>
      </c>
      <c r="G534" s="10">
        <f t="shared" si="17"/>
        <v>-1.3372351348589049E-2</v>
      </c>
      <c r="K534" s="13"/>
      <c r="L534" s="13"/>
      <c r="M534" s="13"/>
    </row>
    <row r="535" spans="1:13" x14ac:dyDescent="0.3">
      <c r="A535" s="7">
        <v>44246</v>
      </c>
      <c r="B535" s="8">
        <v>10.3</v>
      </c>
      <c r="C535" s="10">
        <f t="shared" si="16"/>
        <v>9.5744680851063871E-2</v>
      </c>
      <c r="E535" s="7">
        <v>44246</v>
      </c>
      <c r="F535" s="9">
        <v>46227.65</v>
      </c>
      <c r="G535" s="10">
        <f t="shared" si="17"/>
        <v>1.8401594703739634E-3</v>
      </c>
      <c r="K535" s="13"/>
      <c r="L535" s="13"/>
      <c r="M535" s="13"/>
    </row>
    <row r="536" spans="1:13" x14ac:dyDescent="0.3">
      <c r="A536" s="7">
        <v>44249</v>
      </c>
      <c r="B536" s="8">
        <v>10.97</v>
      </c>
      <c r="C536" s="10">
        <f t="shared" si="16"/>
        <v>6.5048543689320379E-2</v>
      </c>
      <c r="E536" s="7">
        <v>44249</v>
      </c>
      <c r="F536" s="9">
        <v>45890.04</v>
      </c>
      <c r="G536" s="10">
        <f t="shared" si="17"/>
        <v>-7.3032049000976811E-3</v>
      </c>
      <c r="K536" s="13"/>
      <c r="L536" s="13"/>
      <c r="M536" s="13"/>
    </row>
    <row r="537" spans="1:13" x14ac:dyDescent="0.3">
      <c r="A537" s="7">
        <v>44250</v>
      </c>
      <c r="B537" s="8">
        <v>10.42</v>
      </c>
      <c r="C537" s="10">
        <f t="shared" si="16"/>
        <v>-5.0136736554238892E-2</v>
      </c>
      <c r="E537" s="7">
        <v>44250</v>
      </c>
      <c r="F537" s="9">
        <v>45728.75</v>
      </c>
      <c r="G537" s="10">
        <f t="shared" si="17"/>
        <v>-3.5147060233549779E-3</v>
      </c>
      <c r="K537" s="13"/>
      <c r="L537" s="13"/>
      <c r="M537" s="13"/>
    </row>
    <row r="538" spans="1:13" x14ac:dyDescent="0.3">
      <c r="A538" s="7">
        <v>44251</v>
      </c>
      <c r="B538" s="8">
        <v>10.039999999999999</v>
      </c>
      <c r="C538" s="10">
        <f t="shared" si="16"/>
        <v>-3.6468330134357081E-2</v>
      </c>
      <c r="E538" s="7">
        <v>44251</v>
      </c>
      <c r="F538" s="9">
        <v>45362.58</v>
      </c>
      <c r="G538" s="10">
        <f t="shared" si="17"/>
        <v>-8.0074351474728311E-3</v>
      </c>
      <c r="K538" s="13"/>
      <c r="L538" s="13"/>
      <c r="M538" s="13"/>
    </row>
    <row r="539" spans="1:13" x14ac:dyDescent="0.3">
      <c r="A539" s="7">
        <v>44252</v>
      </c>
      <c r="B539" s="8">
        <v>10.39</v>
      </c>
      <c r="C539" s="10">
        <f t="shared" si="16"/>
        <v>3.4860557768924445E-2</v>
      </c>
      <c r="E539" s="7">
        <v>44252</v>
      </c>
      <c r="F539" s="9">
        <v>45965.62</v>
      </c>
      <c r="G539" s="10">
        <f t="shared" si="17"/>
        <v>1.329377650036662E-2</v>
      </c>
      <c r="K539" s="13"/>
      <c r="L539" s="13"/>
      <c r="M539" s="13"/>
    </row>
    <row r="540" spans="1:13" x14ac:dyDescent="0.3">
      <c r="A540" s="7">
        <v>44253</v>
      </c>
      <c r="B540" s="8">
        <v>10.26</v>
      </c>
      <c r="C540" s="10">
        <f t="shared" si="16"/>
        <v>-1.2512030798845117E-2</v>
      </c>
      <c r="E540" s="7">
        <v>44253</v>
      </c>
      <c r="F540" s="9">
        <v>45865.02</v>
      </c>
      <c r="G540" s="10">
        <f t="shared" si="17"/>
        <v>-2.1885922565605732E-3</v>
      </c>
      <c r="K540" s="13"/>
      <c r="L540" s="13"/>
      <c r="M540" s="13"/>
    </row>
    <row r="541" spans="1:13" x14ac:dyDescent="0.3">
      <c r="A541" s="7">
        <v>44256</v>
      </c>
      <c r="B541" s="8">
        <v>9.7899999999999991</v>
      </c>
      <c r="C541" s="10">
        <f t="shared" si="16"/>
        <v>-4.58089668615985E-2</v>
      </c>
      <c r="E541" s="7">
        <v>44256</v>
      </c>
      <c r="F541" s="9">
        <v>45593.43</v>
      </c>
      <c r="G541" s="10">
        <f t="shared" si="17"/>
        <v>-5.9215061936089101E-3</v>
      </c>
      <c r="K541" s="13"/>
      <c r="L541" s="13"/>
      <c r="M541" s="13"/>
    </row>
    <row r="542" spans="1:13" x14ac:dyDescent="0.3">
      <c r="A542" s="7">
        <v>44257</v>
      </c>
      <c r="B542" s="8">
        <v>9.9700000000000006</v>
      </c>
      <c r="C542" s="10">
        <f t="shared" si="16"/>
        <v>1.8386108273748876E-2</v>
      </c>
      <c r="E542" s="7">
        <v>44257</v>
      </c>
      <c r="F542" s="9">
        <v>45964.27</v>
      </c>
      <c r="G542" s="10">
        <f t="shared" si="17"/>
        <v>8.133628024914916E-3</v>
      </c>
      <c r="K542" s="13"/>
      <c r="L542" s="13"/>
      <c r="M542" s="13"/>
    </row>
    <row r="543" spans="1:13" x14ac:dyDescent="0.3">
      <c r="A543" s="7">
        <v>44258</v>
      </c>
      <c r="B543" s="8">
        <v>10.24</v>
      </c>
      <c r="C543" s="10">
        <f t="shared" si="16"/>
        <v>2.7081243731193538E-2</v>
      </c>
      <c r="E543" s="7">
        <v>44258</v>
      </c>
      <c r="F543" s="9">
        <v>46160.78</v>
      </c>
      <c r="G543" s="10">
        <f t="shared" si="17"/>
        <v>4.275277296909144E-3</v>
      </c>
      <c r="K543" s="13"/>
      <c r="L543" s="13"/>
      <c r="M543" s="13"/>
    </row>
    <row r="544" spans="1:13" x14ac:dyDescent="0.3">
      <c r="A544" s="7">
        <v>44259</v>
      </c>
      <c r="B544" s="8">
        <v>9.67</v>
      </c>
      <c r="C544" s="10">
        <f t="shared" si="16"/>
        <v>-5.5664062500000028E-2</v>
      </c>
      <c r="E544" s="7">
        <v>44259</v>
      </c>
      <c r="F544" s="9">
        <v>45278.53</v>
      </c>
      <c r="G544" s="10">
        <f t="shared" si="17"/>
        <v>-1.9112545325273966E-2</v>
      </c>
      <c r="K544" s="13"/>
      <c r="L544" s="13"/>
      <c r="M544" s="13"/>
    </row>
    <row r="545" spans="1:13" x14ac:dyDescent="0.3">
      <c r="A545" s="7">
        <v>44260</v>
      </c>
      <c r="B545" s="8">
        <v>9.82</v>
      </c>
      <c r="C545" s="10">
        <f t="shared" si="16"/>
        <v>1.5511892450879044E-2</v>
      </c>
      <c r="E545" s="7">
        <v>44260</v>
      </c>
      <c r="F545" s="9">
        <v>45837.35</v>
      </c>
      <c r="G545" s="10">
        <f t="shared" si="17"/>
        <v>1.2341831768831711E-2</v>
      </c>
      <c r="K545" s="13"/>
      <c r="L545" s="13"/>
      <c r="M545" s="13"/>
    </row>
    <row r="546" spans="1:13" x14ac:dyDescent="0.3">
      <c r="A546" s="7">
        <v>44263</v>
      </c>
      <c r="B546" s="8">
        <v>9.56</v>
      </c>
      <c r="C546" s="10">
        <f t="shared" si="16"/>
        <v>-2.6476578411405272E-2</v>
      </c>
      <c r="E546" s="7">
        <v>44263</v>
      </c>
      <c r="F546" s="9">
        <v>45051.05</v>
      </c>
      <c r="G546" s="10">
        <f t="shared" si="17"/>
        <v>-1.7154133037795501E-2</v>
      </c>
      <c r="K546" s="13"/>
      <c r="L546" s="13"/>
      <c r="M546" s="13"/>
    </row>
    <row r="547" spans="1:13" x14ac:dyDescent="0.3">
      <c r="A547" s="7">
        <v>44264</v>
      </c>
      <c r="B547" s="8">
        <v>9.01</v>
      </c>
      <c r="C547" s="10">
        <f t="shared" si="16"/>
        <v>-5.7531380753138149E-2</v>
      </c>
      <c r="E547" s="7">
        <v>44264</v>
      </c>
      <c r="F547" s="9">
        <v>44222.91</v>
      </c>
      <c r="G547" s="10">
        <f t="shared" si="17"/>
        <v>-1.8382257461257826E-2</v>
      </c>
      <c r="K547" s="13"/>
      <c r="L547" s="13"/>
      <c r="M547" s="13"/>
    </row>
    <row r="548" spans="1:13" x14ac:dyDescent="0.3">
      <c r="A548" s="7">
        <v>44265</v>
      </c>
      <c r="B548" s="8">
        <v>8.83</v>
      </c>
      <c r="C548" s="10">
        <f t="shared" si="16"/>
        <v>-1.997780244173138E-2</v>
      </c>
      <c r="E548" s="7">
        <v>44265</v>
      </c>
      <c r="F548" s="9">
        <v>43691.68</v>
      </c>
      <c r="G548" s="10">
        <f t="shared" si="17"/>
        <v>-1.2012551865085385E-2</v>
      </c>
      <c r="K548" s="13"/>
      <c r="L548" s="13"/>
      <c r="M548" s="13"/>
    </row>
    <row r="549" spans="1:13" x14ac:dyDescent="0.3">
      <c r="A549" s="7">
        <v>44266</v>
      </c>
      <c r="B549" s="8">
        <v>8.3699999999999992</v>
      </c>
      <c r="C549" s="10">
        <f t="shared" si="16"/>
        <v>-5.2095130237825693E-2</v>
      </c>
      <c r="E549" s="7">
        <v>44266</v>
      </c>
      <c r="F549" s="9">
        <v>42779.76</v>
      </c>
      <c r="G549" s="10">
        <f t="shared" si="17"/>
        <v>-2.0871708297781139E-2</v>
      </c>
      <c r="K549" s="13"/>
      <c r="L549" s="13"/>
      <c r="M549" s="13"/>
    </row>
    <row r="550" spans="1:13" x14ac:dyDescent="0.3">
      <c r="A550" s="7">
        <v>44267</v>
      </c>
      <c r="B550" s="8">
        <v>8.59</v>
      </c>
      <c r="C550" s="10">
        <f t="shared" si="16"/>
        <v>2.6284348864994107E-2</v>
      </c>
      <c r="E550" s="7">
        <v>44267</v>
      </c>
      <c r="F550" s="9">
        <v>43788.08</v>
      </c>
      <c r="G550" s="10">
        <f t="shared" si="17"/>
        <v>2.3570024703270884E-2</v>
      </c>
      <c r="K550" s="13"/>
      <c r="L550" s="13"/>
      <c r="M550" s="13"/>
    </row>
    <row r="551" spans="1:13" x14ac:dyDescent="0.3">
      <c r="A551" s="7">
        <v>44270</v>
      </c>
      <c r="B551" s="8">
        <v>9.3699999999999992</v>
      </c>
      <c r="C551" s="10">
        <f t="shared" si="16"/>
        <v>9.0803259604190847E-2</v>
      </c>
      <c r="E551" s="7">
        <v>44270</v>
      </c>
      <c r="F551" s="9">
        <v>44766.59</v>
      </c>
      <c r="G551" s="10">
        <f t="shared" si="17"/>
        <v>2.2346492470096763E-2</v>
      </c>
      <c r="K551" s="13"/>
      <c r="L551" s="13"/>
      <c r="M551" s="13"/>
    </row>
    <row r="552" spans="1:13" x14ac:dyDescent="0.3">
      <c r="A552" s="7">
        <v>44271</v>
      </c>
      <c r="B552" s="8">
        <v>9.1</v>
      </c>
      <c r="C552" s="10">
        <f t="shared" si="16"/>
        <v>-2.8815368196371354E-2</v>
      </c>
      <c r="E552" s="7">
        <v>44271</v>
      </c>
      <c r="F552" s="9">
        <v>44857.06</v>
      </c>
      <c r="G552" s="10">
        <f t="shared" si="17"/>
        <v>2.0209267670376761E-3</v>
      </c>
      <c r="K552" s="13"/>
      <c r="L552" s="13"/>
      <c r="M552" s="13"/>
    </row>
    <row r="553" spans="1:13" x14ac:dyDescent="0.3">
      <c r="A553" s="7">
        <v>44272</v>
      </c>
      <c r="B553" s="8">
        <v>10.1</v>
      </c>
      <c r="C553" s="10">
        <f t="shared" si="16"/>
        <v>0.10989010989010989</v>
      </c>
      <c r="E553" s="7">
        <v>44272</v>
      </c>
      <c r="F553" s="9">
        <v>45450.31</v>
      </c>
      <c r="G553" s="10">
        <f t="shared" si="17"/>
        <v>1.3225342900314912E-2</v>
      </c>
      <c r="K553" s="13"/>
      <c r="L553" s="13"/>
      <c r="M553" s="13"/>
    </row>
    <row r="554" spans="1:13" x14ac:dyDescent="0.3">
      <c r="A554" s="7">
        <v>44273</v>
      </c>
      <c r="B554" s="8">
        <v>10.039999999999999</v>
      </c>
      <c r="C554" s="10">
        <f t="shared" si="16"/>
        <v>-5.9405940594059901E-3</v>
      </c>
      <c r="E554" s="7">
        <v>44273</v>
      </c>
      <c r="F554" s="9">
        <v>44724.09</v>
      </c>
      <c r="G554" s="10">
        <f t="shared" si="17"/>
        <v>-1.5978328860683264E-2</v>
      </c>
      <c r="K554" s="13"/>
      <c r="L554" s="13"/>
      <c r="M554" s="13"/>
    </row>
    <row r="555" spans="1:13" x14ac:dyDescent="0.3">
      <c r="A555" s="7">
        <v>44274</v>
      </c>
      <c r="B555" s="8">
        <v>11.04</v>
      </c>
      <c r="C555" s="10">
        <f t="shared" si="16"/>
        <v>9.9601593625498017E-2</v>
      </c>
      <c r="E555" s="7">
        <v>44274</v>
      </c>
      <c r="F555" s="9">
        <v>44901.31</v>
      </c>
      <c r="G555" s="10">
        <f t="shared" si="17"/>
        <v>3.9625177393212739E-3</v>
      </c>
      <c r="K555" s="13"/>
      <c r="L555" s="13"/>
      <c r="M555" s="13"/>
    </row>
    <row r="556" spans="1:13" x14ac:dyDescent="0.3">
      <c r="A556" s="7">
        <v>44277</v>
      </c>
      <c r="B556" s="8">
        <v>11.14</v>
      </c>
      <c r="C556" s="10">
        <f t="shared" si="16"/>
        <v>9.0579710144928823E-3</v>
      </c>
      <c r="E556" s="7">
        <v>44277</v>
      </c>
      <c r="F556" s="9">
        <v>45407.33</v>
      </c>
      <c r="G556" s="10">
        <f t="shared" si="17"/>
        <v>1.1269604383480217E-2</v>
      </c>
      <c r="K556" s="13"/>
      <c r="L556" s="13"/>
      <c r="M556" s="13"/>
    </row>
    <row r="557" spans="1:13" x14ac:dyDescent="0.3">
      <c r="A557" s="7">
        <v>44279</v>
      </c>
      <c r="B557" s="8">
        <v>10.89</v>
      </c>
      <c r="C557" s="10">
        <f t="shared" si="16"/>
        <v>-2.244165170556553E-2</v>
      </c>
      <c r="E557" s="7">
        <v>44279</v>
      </c>
      <c r="F557" s="9">
        <v>45544.19</v>
      </c>
      <c r="G557" s="10">
        <f t="shared" si="17"/>
        <v>3.014050815143735E-3</v>
      </c>
      <c r="K557" s="13"/>
      <c r="L557" s="13"/>
      <c r="M557" s="13"/>
    </row>
    <row r="558" spans="1:13" x14ac:dyDescent="0.3">
      <c r="A558" s="7">
        <v>44280</v>
      </c>
      <c r="B558" s="8">
        <v>11</v>
      </c>
      <c r="C558" s="10">
        <f t="shared" si="16"/>
        <v>1.0101010101010048E-2</v>
      </c>
      <c r="E558" s="7">
        <v>44280</v>
      </c>
      <c r="F558" s="9">
        <v>45726.16</v>
      </c>
      <c r="G558" s="10">
        <f t="shared" si="17"/>
        <v>3.9954602332372396E-3</v>
      </c>
      <c r="K558" s="13"/>
      <c r="L558" s="13"/>
      <c r="M558" s="13"/>
    </row>
    <row r="559" spans="1:13" x14ac:dyDescent="0.3">
      <c r="A559" s="7">
        <v>44281</v>
      </c>
      <c r="B559" s="8">
        <v>11.54</v>
      </c>
      <c r="C559" s="10">
        <f t="shared" si="16"/>
        <v>4.9090909090909012E-2</v>
      </c>
      <c r="E559" s="7">
        <v>44281</v>
      </c>
      <c r="F559" s="9">
        <v>45521.63</v>
      </c>
      <c r="G559" s="10">
        <f t="shared" si="17"/>
        <v>-4.4729319059375657E-3</v>
      </c>
      <c r="K559" s="13"/>
      <c r="L559" s="13"/>
      <c r="M559" s="13"/>
    </row>
    <row r="560" spans="1:13" x14ac:dyDescent="0.3">
      <c r="A560" s="7">
        <v>44284</v>
      </c>
      <c r="B560" s="8">
        <v>10.63</v>
      </c>
      <c r="C560" s="10">
        <f t="shared" si="16"/>
        <v>-7.8856152512998129E-2</v>
      </c>
      <c r="E560" s="7">
        <v>44284</v>
      </c>
      <c r="F560" s="9">
        <v>44431.8</v>
      </c>
      <c r="G560" s="10">
        <f t="shared" si="17"/>
        <v>-2.3940926544150431E-2</v>
      </c>
      <c r="K560" s="13"/>
      <c r="L560" s="13"/>
      <c r="M560" s="13"/>
    </row>
    <row r="561" spans="1:13" x14ac:dyDescent="0.3">
      <c r="A561" s="7">
        <v>44285</v>
      </c>
      <c r="B561" s="8">
        <v>10.63</v>
      </c>
      <c r="C561" s="10">
        <f t="shared" si="16"/>
        <v>0</v>
      </c>
      <c r="E561" s="7">
        <v>44285</v>
      </c>
      <c r="F561" s="9">
        <v>44491.03</v>
      </c>
      <c r="G561" s="10">
        <f t="shared" si="17"/>
        <v>1.3330542539351528E-3</v>
      </c>
      <c r="K561" s="13"/>
      <c r="L561" s="13"/>
      <c r="M561" s="13"/>
    </row>
    <row r="562" spans="1:13" x14ac:dyDescent="0.3">
      <c r="A562" s="7">
        <v>44286</v>
      </c>
      <c r="B562" s="8">
        <v>10.46</v>
      </c>
      <c r="C562" s="10">
        <f t="shared" si="16"/>
        <v>-1.5992474129821254E-2</v>
      </c>
      <c r="E562" s="7">
        <v>44286</v>
      </c>
      <c r="F562" s="9">
        <v>44587.85</v>
      </c>
      <c r="G562" s="10">
        <f t="shared" si="17"/>
        <v>2.1761689940646397E-3</v>
      </c>
      <c r="K562" s="13"/>
      <c r="L562" s="13"/>
      <c r="M562" s="13"/>
    </row>
    <row r="563" spans="1:13" x14ac:dyDescent="0.3">
      <c r="A563" s="7">
        <v>44287</v>
      </c>
      <c r="B563" s="8">
        <v>10.06</v>
      </c>
      <c r="C563" s="10">
        <f t="shared" si="16"/>
        <v>-3.8240917782026797E-2</v>
      </c>
      <c r="E563" s="7">
        <v>44287</v>
      </c>
      <c r="F563" s="9">
        <v>44428.1</v>
      </c>
      <c r="G563" s="10">
        <f t="shared" si="17"/>
        <v>-3.5828146008385696E-3</v>
      </c>
      <c r="K563" s="13"/>
      <c r="L563" s="13"/>
      <c r="M563" s="13"/>
    </row>
    <row r="564" spans="1:13" x14ac:dyDescent="0.3">
      <c r="A564" s="7">
        <v>44288</v>
      </c>
      <c r="B564" s="8">
        <v>10.23</v>
      </c>
      <c r="C564" s="10">
        <f t="shared" si="16"/>
        <v>1.689860834990059E-2</v>
      </c>
      <c r="E564" s="7">
        <v>44288</v>
      </c>
      <c r="F564" s="9">
        <v>44300.95</v>
      </c>
      <c r="G564" s="10">
        <f t="shared" si="17"/>
        <v>-2.8619274738285335E-3</v>
      </c>
      <c r="K564" s="13"/>
      <c r="L564" s="13"/>
      <c r="M564" s="13"/>
    </row>
    <row r="565" spans="1:13" x14ac:dyDescent="0.3">
      <c r="A565" s="7">
        <v>44291</v>
      </c>
      <c r="B565" s="8">
        <v>9.91</v>
      </c>
      <c r="C565" s="10">
        <f t="shared" si="16"/>
        <v>-3.1280547409579695E-2</v>
      </c>
      <c r="E565" s="7">
        <v>44291</v>
      </c>
      <c r="F565" s="9">
        <v>43548.21</v>
      </c>
      <c r="G565" s="10">
        <f t="shared" si="17"/>
        <v>-1.69915092114277E-2</v>
      </c>
      <c r="K565" s="13"/>
      <c r="L565" s="13"/>
      <c r="M565" s="13"/>
    </row>
    <row r="566" spans="1:13" x14ac:dyDescent="0.3">
      <c r="A566" s="7">
        <v>44292</v>
      </c>
      <c r="B566" s="8">
        <v>10.19</v>
      </c>
      <c r="C566" s="10">
        <f t="shared" si="16"/>
        <v>2.8254288597376321E-2</v>
      </c>
      <c r="E566" s="7">
        <v>44292</v>
      </c>
      <c r="F566" s="9">
        <v>44404.7</v>
      </c>
      <c r="G566" s="10">
        <f t="shared" si="17"/>
        <v>1.9667628129835829E-2</v>
      </c>
      <c r="K566" s="13"/>
      <c r="L566" s="13"/>
      <c r="M566" s="13"/>
    </row>
    <row r="567" spans="1:13" x14ac:dyDescent="0.3">
      <c r="A567" s="7">
        <v>44293</v>
      </c>
      <c r="B567" s="8">
        <v>9.84</v>
      </c>
      <c r="C567" s="10">
        <f t="shared" si="16"/>
        <v>-3.4347399411187404E-2</v>
      </c>
      <c r="E567" s="7">
        <v>44293</v>
      </c>
      <c r="F567" s="9">
        <v>43953.58</v>
      </c>
      <c r="G567" s="10">
        <f t="shared" si="17"/>
        <v>-1.015928494055799E-2</v>
      </c>
      <c r="K567" s="13"/>
      <c r="L567" s="13"/>
      <c r="M567" s="13"/>
    </row>
    <row r="568" spans="1:13" x14ac:dyDescent="0.3">
      <c r="A568" s="7">
        <v>44294</v>
      </c>
      <c r="B568" s="8">
        <v>9.77</v>
      </c>
      <c r="C568" s="10">
        <f t="shared" si="16"/>
        <v>-7.1138211382114113E-3</v>
      </c>
      <c r="E568" s="7">
        <v>44294</v>
      </c>
      <c r="F568" s="9">
        <v>44741.36</v>
      </c>
      <c r="G568" s="10">
        <f t="shared" si="17"/>
        <v>1.7922999673746685E-2</v>
      </c>
      <c r="K568" s="13"/>
      <c r="L568" s="13"/>
      <c r="M568" s="13"/>
    </row>
    <row r="569" spans="1:13" x14ac:dyDescent="0.3">
      <c r="A569" s="7">
        <v>44295</v>
      </c>
      <c r="B569" s="8">
        <v>10.32</v>
      </c>
      <c r="C569" s="10">
        <f t="shared" si="16"/>
        <v>5.6294779938587586E-2</v>
      </c>
      <c r="E569" s="7">
        <v>44295</v>
      </c>
      <c r="F569" s="9">
        <v>45186.48</v>
      </c>
      <c r="G569" s="10">
        <f t="shared" si="17"/>
        <v>9.948736471131021E-3</v>
      </c>
      <c r="K569" s="13"/>
      <c r="L569" s="13"/>
      <c r="M569" s="13"/>
    </row>
    <row r="570" spans="1:13" x14ac:dyDescent="0.3">
      <c r="A570" s="7">
        <v>44298</v>
      </c>
      <c r="B570" s="8">
        <v>10.01</v>
      </c>
      <c r="C570" s="10">
        <f t="shared" si="16"/>
        <v>-3.0038759689922527E-2</v>
      </c>
      <c r="E570" s="7">
        <v>44298</v>
      </c>
      <c r="F570" s="9">
        <v>44978.05</v>
      </c>
      <c r="G570" s="10">
        <f t="shared" si="17"/>
        <v>-4.6126629027089579E-3</v>
      </c>
      <c r="K570" s="13"/>
      <c r="L570" s="13"/>
      <c r="M570" s="13"/>
    </row>
    <row r="571" spans="1:13" x14ac:dyDescent="0.3">
      <c r="A571" s="7">
        <v>44299</v>
      </c>
      <c r="B571" s="8">
        <v>10.130000000000001</v>
      </c>
      <c r="C571" s="10">
        <f t="shared" si="16"/>
        <v>1.1988011988012087E-2</v>
      </c>
      <c r="E571" s="7">
        <v>44299</v>
      </c>
      <c r="F571" s="9">
        <v>45048.57</v>
      </c>
      <c r="G571" s="10">
        <f t="shared" si="17"/>
        <v>1.5678758861266062E-3</v>
      </c>
      <c r="K571" s="13"/>
      <c r="L571" s="13"/>
      <c r="M571" s="13"/>
    </row>
    <row r="572" spans="1:13" x14ac:dyDescent="0.3">
      <c r="A572" s="7">
        <v>44300</v>
      </c>
      <c r="B572" s="8">
        <v>10.24</v>
      </c>
      <c r="C572" s="10">
        <f t="shared" si="16"/>
        <v>1.0858835143139133E-2</v>
      </c>
      <c r="E572" s="7">
        <v>44300</v>
      </c>
      <c r="F572" s="9">
        <v>45311.22</v>
      </c>
      <c r="G572" s="10">
        <f t="shared" si="17"/>
        <v>5.8303737499326054E-3</v>
      </c>
      <c r="K572" s="13"/>
      <c r="L572" s="13"/>
      <c r="M572" s="13"/>
    </row>
    <row r="573" spans="1:13" x14ac:dyDescent="0.3">
      <c r="A573" s="7">
        <v>44301</v>
      </c>
      <c r="B573" s="8">
        <v>10.07</v>
      </c>
      <c r="C573" s="10">
        <f t="shared" si="16"/>
        <v>-1.6601562499999993E-2</v>
      </c>
      <c r="E573" s="7">
        <v>44301</v>
      </c>
      <c r="F573" s="9">
        <v>45230.18</v>
      </c>
      <c r="G573" s="10">
        <f t="shared" si="17"/>
        <v>-1.7885194881091455E-3</v>
      </c>
      <c r="K573" s="13"/>
      <c r="L573" s="13"/>
      <c r="M573" s="13"/>
    </row>
    <row r="574" spans="1:13" x14ac:dyDescent="0.3">
      <c r="A574" s="7">
        <v>44302</v>
      </c>
      <c r="B574" s="8">
        <v>10.02</v>
      </c>
      <c r="C574" s="10">
        <f t="shared" si="16"/>
        <v>-4.9652432969216195E-3</v>
      </c>
      <c r="E574" s="7">
        <v>44302</v>
      </c>
      <c r="F574" s="9">
        <v>45305.63</v>
      </c>
      <c r="G574" s="10">
        <f t="shared" si="17"/>
        <v>1.6681339760309839E-3</v>
      </c>
      <c r="K574" s="13"/>
      <c r="L574" s="13"/>
      <c r="M574" s="13"/>
    </row>
    <row r="575" spans="1:13" x14ac:dyDescent="0.3">
      <c r="A575" s="7">
        <v>44305</v>
      </c>
      <c r="B575" s="8">
        <v>10.19</v>
      </c>
      <c r="C575" s="10">
        <f t="shared" si="16"/>
        <v>1.6966067864271451E-2</v>
      </c>
      <c r="E575" s="7">
        <v>44305</v>
      </c>
      <c r="F575" s="9">
        <v>44913.57</v>
      </c>
      <c r="G575" s="10">
        <f t="shared" si="17"/>
        <v>-8.653670636519074E-3</v>
      </c>
      <c r="K575" s="13"/>
      <c r="L575" s="13"/>
      <c r="M575" s="13"/>
    </row>
    <row r="576" spans="1:13" x14ac:dyDescent="0.3">
      <c r="A576" s="7">
        <v>44306</v>
      </c>
      <c r="B576" s="8">
        <v>10.19</v>
      </c>
      <c r="C576" s="10">
        <f t="shared" si="16"/>
        <v>0</v>
      </c>
      <c r="E576" s="7">
        <v>44306</v>
      </c>
      <c r="F576" s="9">
        <v>45399.78</v>
      </c>
      <c r="G576" s="10">
        <f t="shared" si="17"/>
        <v>1.0825458764466934E-2</v>
      </c>
      <c r="K576" s="13"/>
      <c r="L576" s="13"/>
      <c r="M576" s="13"/>
    </row>
    <row r="577" spans="1:13" x14ac:dyDescent="0.3">
      <c r="A577" s="7">
        <v>44307</v>
      </c>
      <c r="B577" s="8">
        <v>9.9700000000000006</v>
      </c>
      <c r="C577" s="10">
        <f t="shared" si="16"/>
        <v>-2.1589793915603422E-2</v>
      </c>
      <c r="E577" s="7">
        <v>44307</v>
      </c>
      <c r="F577" s="9">
        <v>45306.54</v>
      </c>
      <c r="G577" s="10">
        <f t="shared" si="17"/>
        <v>-2.0537544455060787E-3</v>
      </c>
      <c r="K577" s="13"/>
      <c r="L577" s="13"/>
      <c r="M577" s="13"/>
    </row>
    <row r="578" spans="1:13" x14ac:dyDescent="0.3">
      <c r="A578" s="7">
        <v>44308</v>
      </c>
      <c r="B578" s="8">
        <v>9.99</v>
      </c>
      <c r="C578" s="10">
        <f t="shared" si="16"/>
        <v>2.0060180541624445E-3</v>
      </c>
      <c r="E578" s="7">
        <v>44308</v>
      </c>
      <c r="F578" s="9">
        <v>44929.61</v>
      </c>
      <c r="G578" s="10">
        <f t="shared" si="17"/>
        <v>-8.3195494513595668E-3</v>
      </c>
      <c r="K578" s="13"/>
      <c r="L578" s="13"/>
      <c r="M578" s="13"/>
    </row>
    <row r="579" spans="1:13" x14ac:dyDescent="0.3">
      <c r="A579" s="7">
        <v>44309</v>
      </c>
      <c r="B579" s="8">
        <v>9.94</v>
      </c>
      <c r="C579" s="10">
        <f t="shared" si="16"/>
        <v>-5.0050050050050761E-3</v>
      </c>
      <c r="E579" s="7">
        <v>44309</v>
      </c>
      <c r="F579" s="9">
        <v>44706.76</v>
      </c>
      <c r="G579" s="10">
        <f t="shared" si="17"/>
        <v>-4.9599807343085897E-3</v>
      </c>
      <c r="K579" s="13"/>
      <c r="L579" s="13"/>
      <c r="M579" s="13"/>
    </row>
    <row r="580" spans="1:13" x14ac:dyDescent="0.3">
      <c r="A580" s="7">
        <v>44312</v>
      </c>
      <c r="B580" s="8">
        <v>9.89</v>
      </c>
      <c r="C580" s="10">
        <f t="shared" si="16"/>
        <v>-5.030181086519008E-3</v>
      </c>
      <c r="E580" s="7">
        <v>44312</v>
      </c>
      <c r="F580" s="9">
        <v>45682.77</v>
      </c>
      <c r="G580" s="10">
        <f t="shared" si="17"/>
        <v>2.1831374047235692E-2</v>
      </c>
      <c r="K580" s="13"/>
      <c r="L580" s="13"/>
      <c r="M580" s="13"/>
    </row>
    <row r="581" spans="1:13" x14ac:dyDescent="0.3">
      <c r="A581" s="7">
        <v>44313</v>
      </c>
      <c r="B581" s="8">
        <v>9.91</v>
      </c>
      <c r="C581" s="10">
        <f t="shared" ref="C581:C644" si="18">(B581-B580)/B580</f>
        <v>2.0222446916076412E-3</v>
      </c>
      <c r="E581" s="7">
        <v>44313</v>
      </c>
      <c r="F581" s="9">
        <v>45292.87</v>
      </c>
      <c r="G581" s="10">
        <f t="shared" ref="G581:G644" si="19">(F581-F580)/F580</f>
        <v>-8.5349465454917506E-3</v>
      </c>
      <c r="K581" s="13"/>
      <c r="L581" s="13"/>
      <c r="M581" s="13"/>
    </row>
    <row r="582" spans="1:13" x14ac:dyDescent="0.3">
      <c r="A582" s="7">
        <v>44314</v>
      </c>
      <c r="B582" s="8">
        <v>9.85</v>
      </c>
      <c r="C582" s="10">
        <f t="shared" si="18"/>
        <v>-6.0544904137235615E-3</v>
      </c>
      <c r="E582" s="7">
        <v>44314</v>
      </c>
      <c r="F582" s="9">
        <v>45059.12</v>
      </c>
      <c r="G582" s="10">
        <f t="shared" si="19"/>
        <v>-5.1608564438508754E-3</v>
      </c>
      <c r="K582" s="13"/>
      <c r="L582" s="13"/>
      <c r="M582" s="13"/>
    </row>
    <row r="583" spans="1:13" x14ac:dyDescent="0.3">
      <c r="A583" s="7">
        <v>44315</v>
      </c>
      <c r="B583" s="8">
        <v>9.74</v>
      </c>
      <c r="C583" s="10">
        <f t="shared" si="18"/>
        <v>-1.1167512690355272E-2</v>
      </c>
      <c r="E583" s="7">
        <v>44315</v>
      </c>
      <c r="F583" s="9">
        <v>44863.11</v>
      </c>
      <c r="G583" s="10">
        <f t="shared" si="19"/>
        <v>-4.3500627619891827E-3</v>
      </c>
      <c r="K583" s="13"/>
      <c r="L583" s="13"/>
      <c r="M583" s="13"/>
    </row>
    <row r="584" spans="1:13" x14ac:dyDescent="0.3">
      <c r="A584" s="7">
        <v>44316</v>
      </c>
      <c r="B584" s="8">
        <v>9.49</v>
      </c>
      <c r="C584" s="10">
        <f t="shared" si="18"/>
        <v>-2.5667351129363448E-2</v>
      </c>
      <c r="E584" s="7">
        <v>44316</v>
      </c>
      <c r="F584" s="9">
        <v>44262.35</v>
      </c>
      <c r="G584" s="10">
        <f t="shared" si="19"/>
        <v>-1.3390957514982845E-2</v>
      </c>
      <c r="K584" s="13"/>
      <c r="L584" s="13"/>
      <c r="M584" s="13"/>
    </row>
    <row r="585" spans="1:13" x14ac:dyDescent="0.3">
      <c r="A585" s="7">
        <v>44319</v>
      </c>
      <c r="B585" s="8">
        <v>9.34</v>
      </c>
      <c r="C585" s="10">
        <f t="shared" si="18"/>
        <v>-1.5806111696522691E-2</v>
      </c>
      <c r="E585" s="7">
        <v>44319</v>
      </c>
      <c r="F585" s="9">
        <v>44076.2</v>
      </c>
      <c r="G585" s="10">
        <f t="shared" si="19"/>
        <v>-4.2056058930445735E-3</v>
      </c>
      <c r="K585" s="13"/>
      <c r="L585" s="13"/>
      <c r="M585" s="13"/>
    </row>
    <row r="586" spans="1:13" x14ac:dyDescent="0.3">
      <c r="A586" s="7">
        <v>44320</v>
      </c>
      <c r="B586" s="8">
        <v>9.2799999999999994</v>
      </c>
      <c r="C586" s="10">
        <f t="shared" si="18"/>
        <v>-6.4239828693790687E-3</v>
      </c>
      <c r="E586" s="7">
        <v>44320</v>
      </c>
      <c r="F586" s="9">
        <v>44563.59</v>
      </c>
      <c r="G586" s="10">
        <f t="shared" si="19"/>
        <v>1.1057895190601718E-2</v>
      </c>
      <c r="K586" s="13"/>
      <c r="L586" s="13"/>
      <c r="M586" s="13"/>
    </row>
    <row r="587" spans="1:13" x14ac:dyDescent="0.3">
      <c r="A587" s="7">
        <v>44321</v>
      </c>
      <c r="B587" s="8">
        <v>9.36</v>
      </c>
      <c r="C587" s="10">
        <f t="shared" si="18"/>
        <v>8.6206896551724223E-3</v>
      </c>
      <c r="E587" s="7">
        <v>44321</v>
      </c>
      <c r="F587" s="9">
        <v>44943.61</v>
      </c>
      <c r="G587" s="10">
        <f t="shared" si="19"/>
        <v>8.5275894513885467E-3</v>
      </c>
      <c r="K587" s="13"/>
      <c r="L587" s="13"/>
      <c r="M587" s="13"/>
    </row>
    <row r="588" spans="1:13" x14ac:dyDescent="0.3">
      <c r="A588" s="7">
        <v>44322</v>
      </c>
      <c r="B588" s="8">
        <v>9.4</v>
      </c>
      <c r="C588" s="10">
        <f t="shared" si="18"/>
        <v>4.2735042735043728E-3</v>
      </c>
      <c r="E588" s="7">
        <v>44322</v>
      </c>
      <c r="F588" s="9">
        <v>45174.67</v>
      </c>
      <c r="G588" s="10">
        <f t="shared" si="19"/>
        <v>5.1411090475375178E-3</v>
      </c>
      <c r="K588" s="13"/>
      <c r="L588" s="13"/>
      <c r="M588" s="13"/>
    </row>
    <row r="589" spans="1:13" x14ac:dyDescent="0.3">
      <c r="A589" s="7">
        <v>44333</v>
      </c>
      <c r="B589" s="8">
        <v>9.68</v>
      </c>
      <c r="C589" s="10">
        <f t="shared" si="18"/>
        <v>2.9787234042553123E-2</v>
      </c>
      <c r="E589" s="7">
        <v>44333</v>
      </c>
      <c r="F589" s="9">
        <v>45796.31</v>
      </c>
      <c r="G589" s="10">
        <f t="shared" si="19"/>
        <v>1.376080887807259E-2</v>
      </c>
      <c r="K589" s="13"/>
      <c r="L589" s="13"/>
      <c r="M589" s="13"/>
    </row>
    <row r="590" spans="1:13" x14ac:dyDescent="0.3">
      <c r="A590" s="7">
        <v>44334</v>
      </c>
      <c r="B590" s="8">
        <v>9.7200000000000006</v>
      </c>
      <c r="C590" s="10">
        <f t="shared" si="18"/>
        <v>4.1322314049587732E-3</v>
      </c>
      <c r="E590" s="7">
        <v>44334</v>
      </c>
      <c r="F590" s="9">
        <v>45981.82</v>
      </c>
      <c r="G590" s="10">
        <f t="shared" si="19"/>
        <v>4.0507630418259036E-3</v>
      </c>
      <c r="K590" s="13"/>
      <c r="L590" s="13"/>
      <c r="M590" s="13"/>
    </row>
    <row r="591" spans="1:13" x14ac:dyDescent="0.3">
      <c r="A591" s="7">
        <v>44335</v>
      </c>
      <c r="B591" s="8">
        <v>9.58</v>
      </c>
      <c r="C591" s="10">
        <f t="shared" si="18"/>
        <v>-1.4403292181070016E-2</v>
      </c>
      <c r="E591" s="7">
        <v>44335</v>
      </c>
      <c r="F591" s="9">
        <v>45682.11</v>
      </c>
      <c r="G591" s="10">
        <f t="shared" si="19"/>
        <v>-6.5180108138390156E-3</v>
      </c>
      <c r="K591" s="13"/>
      <c r="L591" s="13"/>
      <c r="M591" s="13"/>
    </row>
    <row r="592" spans="1:13" x14ac:dyDescent="0.3">
      <c r="A592" s="7">
        <v>44336</v>
      </c>
      <c r="B592" s="8">
        <v>10.26</v>
      </c>
      <c r="C592" s="10">
        <f t="shared" si="18"/>
        <v>7.0981210855949869E-2</v>
      </c>
      <c r="E592" s="7">
        <v>44336</v>
      </c>
      <c r="F592" s="9">
        <v>45574.07</v>
      </c>
      <c r="G592" s="10">
        <f t="shared" si="19"/>
        <v>-2.3650396183539E-3</v>
      </c>
      <c r="K592" s="13"/>
      <c r="L592" s="13"/>
      <c r="M592" s="13"/>
    </row>
    <row r="593" spans="1:13" x14ac:dyDescent="0.3">
      <c r="A593" s="7">
        <v>44337</v>
      </c>
      <c r="B593" s="8">
        <v>10.119999999999999</v>
      </c>
      <c r="C593" s="10">
        <f t="shared" si="18"/>
        <v>-1.3645224171540018E-2</v>
      </c>
      <c r="E593" s="7">
        <v>44337</v>
      </c>
      <c r="F593" s="9">
        <v>45914.98</v>
      </c>
      <c r="G593" s="10">
        <f t="shared" si="19"/>
        <v>7.4803501201451501E-3</v>
      </c>
      <c r="K593" s="13"/>
      <c r="L593" s="13"/>
      <c r="M593" s="13"/>
    </row>
    <row r="594" spans="1:13" x14ac:dyDescent="0.3">
      <c r="A594" s="7">
        <v>44340</v>
      </c>
      <c r="B594" s="8">
        <v>10.06</v>
      </c>
      <c r="C594" s="10">
        <f t="shared" si="18"/>
        <v>-5.9288537549405853E-3</v>
      </c>
      <c r="E594" s="7">
        <v>44340</v>
      </c>
      <c r="F594" s="9">
        <v>46097.11</v>
      </c>
      <c r="G594" s="10">
        <f t="shared" si="19"/>
        <v>3.966679284189983E-3</v>
      </c>
      <c r="K594" s="13"/>
      <c r="L594" s="13"/>
      <c r="M594" s="13"/>
    </row>
    <row r="595" spans="1:13" x14ac:dyDescent="0.3">
      <c r="A595" s="7">
        <v>44341</v>
      </c>
      <c r="B595" s="8">
        <v>10.130000000000001</v>
      </c>
      <c r="C595" s="10">
        <f t="shared" si="18"/>
        <v>6.9582504970179208E-3</v>
      </c>
      <c r="E595" s="7">
        <v>44341</v>
      </c>
      <c r="F595" s="9">
        <v>46300.66</v>
      </c>
      <c r="G595" s="10">
        <f t="shared" si="19"/>
        <v>4.4156781195177509E-3</v>
      </c>
      <c r="K595" s="13"/>
      <c r="L595" s="13"/>
      <c r="M595" s="13"/>
    </row>
    <row r="596" spans="1:13" x14ac:dyDescent="0.3">
      <c r="A596" s="7">
        <v>44342</v>
      </c>
      <c r="B596" s="8">
        <v>10.27</v>
      </c>
      <c r="C596" s="10">
        <f t="shared" si="18"/>
        <v>1.3820335636722485E-2</v>
      </c>
      <c r="E596" s="7">
        <v>44342</v>
      </c>
      <c r="F596" s="9">
        <v>46812.31</v>
      </c>
      <c r="G596" s="10">
        <f t="shared" si="19"/>
        <v>1.1050598414795689E-2</v>
      </c>
      <c r="K596" s="13"/>
      <c r="L596" s="13"/>
      <c r="M596" s="13"/>
    </row>
    <row r="597" spans="1:13" x14ac:dyDescent="0.3">
      <c r="A597" s="7">
        <v>44343</v>
      </c>
      <c r="B597" s="8">
        <v>10.49</v>
      </c>
      <c r="C597" s="10">
        <f t="shared" si="18"/>
        <v>2.1421616358325284E-2</v>
      </c>
      <c r="E597" s="7">
        <v>44343</v>
      </c>
      <c r="F597" s="9">
        <v>46790.75</v>
      </c>
      <c r="G597" s="10">
        <f t="shared" si="19"/>
        <v>-4.6056261696971742E-4</v>
      </c>
      <c r="K597" s="13"/>
      <c r="L597" s="13"/>
      <c r="M597" s="13"/>
    </row>
    <row r="598" spans="1:13" x14ac:dyDescent="0.3">
      <c r="A598" s="7">
        <v>44344</v>
      </c>
      <c r="B598" s="8">
        <v>10.76</v>
      </c>
      <c r="C598" s="10">
        <f t="shared" si="18"/>
        <v>2.5738798856053343E-2</v>
      </c>
      <c r="E598" s="7">
        <v>44344</v>
      </c>
      <c r="F598" s="9">
        <v>47126.29</v>
      </c>
      <c r="G598" s="10">
        <f t="shared" si="19"/>
        <v>7.171075479662131E-3</v>
      </c>
      <c r="K598" s="13"/>
      <c r="L598" s="13"/>
      <c r="M598" s="13"/>
    </row>
    <row r="599" spans="1:13" x14ac:dyDescent="0.3">
      <c r="A599" s="7">
        <v>44347</v>
      </c>
      <c r="B599" s="8">
        <v>11.25</v>
      </c>
      <c r="C599" s="10">
        <f t="shared" si="18"/>
        <v>4.5539033457249092E-2</v>
      </c>
      <c r="E599" s="7">
        <v>44347</v>
      </c>
      <c r="F599" s="9">
        <v>47896.34</v>
      </c>
      <c r="G599" s="10">
        <f t="shared" si="19"/>
        <v>1.6340136259399916E-2</v>
      </c>
      <c r="K599" s="13"/>
      <c r="L599" s="13"/>
      <c r="M599" s="13"/>
    </row>
    <row r="600" spans="1:13" x14ac:dyDescent="0.3">
      <c r="A600" s="7">
        <v>44348</v>
      </c>
      <c r="B600" s="8">
        <v>11.5</v>
      </c>
      <c r="C600" s="10">
        <f t="shared" si="18"/>
        <v>2.2222222222222223E-2</v>
      </c>
      <c r="E600" s="7">
        <v>44348</v>
      </c>
      <c r="F600" s="9">
        <v>48191.26</v>
      </c>
      <c r="G600" s="10">
        <f t="shared" si="19"/>
        <v>6.157464223780054E-3</v>
      </c>
      <c r="K600" s="13"/>
      <c r="L600" s="13"/>
      <c r="M600" s="13"/>
    </row>
    <row r="601" spans="1:13" x14ac:dyDescent="0.3">
      <c r="A601" s="7">
        <v>44349</v>
      </c>
      <c r="B601" s="8">
        <v>11.41</v>
      </c>
      <c r="C601" s="10">
        <f t="shared" si="18"/>
        <v>-7.8260869565217276E-3</v>
      </c>
      <c r="E601" s="7">
        <v>44349</v>
      </c>
      <c r="F601" s="9">
        <v>48126.9</v>
      </c>
      <c r="G601" s="10">
        <f t="shared" si="19"/>
        <v>-1.3355118749748519E-3</v>
      </c>
      <c r="K601" s="13"/>
      <c r="L601" s="13"/>
      <c r="M601" s="13"/>
    </row>
    <row r="602" spans="1:13" x14ac:dyDescent="0.3">
      <c r="A602" s="7">
        <v>44350</v>
      </c>
      <c r="B602" s="8">
        <v>11.17</v>
      </c>
      <c r="C602" s="10">
        <f t="shared" si="18"/>
        <v>-2.1034180543383015E-2</v>
      </c>
      <c r="E602" s="7">
        <v>44350</v>
      </c>
      <c r="F602" s="9">
        <v>48093.53</v>
      </c>
      <c r="G602" s="10">
        <f t="shared" si="19"/>
        <v>-6.9337522258866905E-4</v>
      </c>
      <c r="K602" s="13"/>
      <c r="L602" s="13"/>
      <c r="M602" s="13"/>
    </row>
    <row r="603" spans="1:13" x14ac:dyDescent="0.3">
      <c r="A603" s="7">
        <v>44351</v>
      </c>
      <c r="B603" s="8">
        <v>11.44</v>
      </c>
      <c r="C603" s="10">
        <f t="shared" si="18"/>
        <v>2.4171888988361645E-2</v>
      </c>
      <c r="E603" s="7">
        <v>44351</v>
      </c>
      <c r="F603" s="9">
        <v>48211.7</v>
      </c>
      <c r="G603" s="10">
        <f t="shared" si="19"/>
        <v>2.4570872630891986E-3</v>
      </c>
      <c r="K603" s="13"/>
      <c r="L603" s="13"/>
      <c r="M603" s="13"/>
    </row>
    <row r="604" spans="1:13" x14ac:dyDescent="0.3">
      <c r="A604" s="7">
        <v>44354</v>
      </c>
      <c r="B604" s="8">
        <v>11.49</v>
      </c>
      <c r="C604" s="10">
        <f t="shared" si="18"/>
        <v>4.3706293706294325E-3</v>
      </c>
      <c r="E604" s="7">
        <v>44354</v>
      </c>
      <c r="F604" s="9">
        <v>48302.66</v>
      </c>
      <c r="G604" s="10">
        <f t="shared" si="19"/>
        <v>1.8866789596717478E-3</v>
      </c>
      <c r="K604" s="13"/>
      <c r="L604" s="13"/>
      <c r="M604" s="13"/>
    </row>
    <row r="605" spans="1:13" x14ac:dyDescent="0.3">
      <c r="A605" s="7">
        <v>44355</v>
      </c>
      <c r="B605" s="8">
        <v>11.25</v>
      </c>
      <c r="C605" s="10">
        <f t="shared" si="18"/>
        <v>-2.0887728459530044E-2</v>
      </c>
      <c r="E605" s="7">
        <v>44355</v>
      </c>
      <c r="F605" s="9">
        <v>48147.98</v>
      </c>
      <c r="G605" s="10">
        <f t="shared" si="19"/>
        <v>-3.2023081130521649E-3</v>
      </c>
      <c r="K605" s="13"/>
      <c r="L605" s="13"/>
      <c r="M605" s="13"/>
    </row>
    <row r="606" spans="1:13" x14ac:dyDescent="0.3">
      <c r="A606" s="7">
        <v>44356</v>
      </c>
      <c r="B606" s="8">
        <v>11.19</v>
      </c>
      <c r="C606" s="10">
        <f t="shared" si="18"/>
        <v>-5.3333333333333774E-3</v>
      </c>
      <c r="E606" s="7">
        <v>44356</v>
      </c>
      <c r="F606" s="9">
        <v>47777.62</v>
      </c>
      <c r="G606" s="10">
        <f t="shared" si="19"/>
        <v>-7.6921191709392704E-3</v>
      </c>
      <c r="K606" s="13"/>
      <c r="L606" s="13"/>
      <c r="M606" s="13"/>
    </row>
    <row r="607" spans="1:13" x14ac:dyDescent="0.3">
      <c r="A607" s="7">
        <v>44357</v>
      </c>
      <c r="B607" s="8">
        <v>11.34</v>
      </c>
      <c r="C607" s="10">
        <f t="shared" si="18"/>
        <v>1.3404825737265447E-2</v>
      </c>
      <c r="E607" s="7">
        <v>44357</v>
      </c>
      <c r="F607" s="9">
        <v>48251.49</v>
      </c>
      <c r="G607" s="10">
        <f t="shared" si="19"/>
        <v>9.9182420555899466E-3</v>
      </c>
      <c r="K607" s="13"/>
      <c r="L607" s="13"/>
      <c r="M607" s="13"/>
    </row>
    <row r="608" spans="1:13" x14ac:dyDescent="0.3">
      <c r="A608" s="7">
        <v>44358</v>
      </c>
      <c r="B608" s="8">
        <v>11.83</v>
      </c>
      <c r="C608" s="10">
        <f t="shared" si="18"/>
        <v>4.3209876543209895E-2</v>
      </c>
      <c r="E608" s="7">
        <v>44358</v>
      </c>
      <c r="F608" s="9">
        <v>48304.72</v>
      </c>
      <c r="G608" s="10">
        <f t="shared" si="19"/>
        <v>1.1031783681706658E-3</v>
      </c>
      <c r="K608" s="13"/>
      <c r="L608" s="13"/>
      <c r="M608" s="13"/>
    </row>
    <row r="609" spans="1:13" x14ac:dyDescent="0.3">
      <c r="A609" s="7">
        <v>44361</v>
      </c>
      <c r="B609" s="8">
        <v>12.83</v>
      </c>
      <c r="C609" s="10">
        <f t="shared" si="18"/>
        <v>8.453085376162299E-2</v>
      </c>
      <c r="E609" s="7">
        <v>44361</v>
      </c>
      <c r="F609" s="9">
        <v>48726.080000000002</v>
      </c>
      <c r="G609" s="10">
        <f t="shared" si="19"/>
        <v>8.7229570940479638E-3</v>
      </c>
      <c r="K609" s="13"/>
      <c r="L609" s="13"/>
      <c r="M609" s="13"/>
    </row>
    <row r="610" spans="1:13" x14ac:dyDescent="0.3">
      <c r="A610" s="7">
        <v>44362</v>
      </c>
      <c r="B610" s="8">
        <v>13.02</v>
      </c>
      <c r="C610" s="10">
        <f t="shared" si="18"/>
        <v>1.4809041309430983E-2</v>
      </c>
      <c r="E610" s="7">
        <v>44362</v>
      </c>
      <c r="F610" s="9">
        <v>48632.56</v>
      </c>
      <c r="G610" s="10">
        <f t="shared" si="19"/>
        <v>-1.9193007112413736E-3</v>
      </c>
      <c r="K610" s="13"/>
      <c r="L610" s="13"/>
      <c r="M610" s="13"/>
    </row>
    <row r="611" spans="1:13" x14ac:dyDescent="0.3">
      <c r="A611" s="7">
        <v>44363</v>
      </c>
      <c r="B611" s="8">
        <v>12.86</v>
      </c>
      <c r="C611" s="10">
        <f t="shared" si="18"/>
        <v>-1.2288786482334882E-2</v>
      </c>
      <c r="E611" s="7">
        <v>44363</v>
      </c>
      <c r="F611" s="9">
        <v>48480.9</v>
      </c>
      <c r="G611" s="10">
        <f t="shared" si="19"/>
        <v>-3.1184868738145027E-3</v>
      </c>
      <c r="K611" s="13"/>
      <c r="L611" s="13"/>
      <c r="M611" s="13"/>
    </row>
    <row r="612" spans="1:13" x14ac:dyDescent="0.3">
      <c r="A612" s="7">
        <v>44364</v>
      </c>
      <c r="B612" s="8">
        <v>12.36</v>
      </c>
      <c r="C612" s="10">
        <f t="shared" si="18"/>
        <v>-3.8880248833592534E-2</v>
      </c>
      <c r="E612" s="7">
        <v>44364</v>
      </c>
      <c r="F612" s="9">
        <v>48131.25</v>
      </c>
      <c r="G612" s="10">
        <f t="shared" si="19"/>
        <v>-7.2121185869074515E-3</v>
      </c>
      <c r="K612" s="13"/>
      <c r="L612" s="13"/>
      <c r="M612" s="13"/>
    </row>
    <row r="613" spans="1:13" x14ac:dyDescent="0.3">
      <c r="A613" s="7">
        <v>44365</v>
      </c>
      <c r="B613" s="8">
        <v>12.86</v>
      </c>
      <c r="C613" s="10">
        <f t="shared" si="18"/>
        <v>4.0453074433656963E-2</v>
      </c>
      <c r="E613" s="7">
        <v>44365</v>
      </c>
      <c r="F613" s="9">
        <v>48238.67</v>
      </c>
      <c r="G613" s="10">
        <f t="shared" si="19"/>
        <v>2.2318140501233243E-3</v>
      </c>
      <c r="K613" s="13"/>
      <c r="L613" s="13"/>
      <c r="M613" s="13"/>
    </row>
    <row r="614" spans="1:13" x14ac:dyDescent="0.3">
      <c r="A614" s="7">
        <v>44368</v>
      </c>
      <c r="B614" s="8">
        <v>12.46</v>
      </c>
      <c r="C614" s="10">
        <f t="shared" si="18"/>
        <v>-3.1104199066873919E-2</v>
      </c>
      <c r="E614" s="7">
        <v>44368</v>
      </c>
      <c r="F614" s="9">
        <v>48012.52</v>
      </c>
      <c r="G614" s="10">
        <f t="shared" si="19"/>
        <v>-4.6881474966038962E-3</v>
      </c>
      <c r="K614" s="13"/>
      <c r="L614" s="13"/>
      <c r="M614" s="13"/>
    </row>
    <row r="615" spans="1:13" x14ac:dyDescent="0.3">
      <c r="A615" s="7">
        <v>44369</v>
      </c>
      <c r="B615" s="8">
        <v>12.51</v>
      </c>
      <c r="C615" s="10">
        <f t="shared" si="18"/>
        <v>4.0128410914926907E-3</v>
      </c>
      <c r="E615" s="7">
        <v>44369</v>
      </c>
      <c r="F615" s="9">
        <v>47987.14</v>
      </c>
      <c r="G615" s="10">
        <f t="shared" si="19"/>
        <v>-5.2861212033855718E-4</v>
      </c>
      <c r="K615" s="13"/>
      <c r="L615" s="13"/>
      <c r="M615" s="13"/>
    </row>
    <row r="616" spans="1:13" x14ac:dyDescent="0.3">
      <c r="A616" s="7">
        <v>44370</v>
      </c>
      <c r="B616" s="8">
        <v>12.68</v>
      </c>
      <c r="C616" s="10">
        <f t="shared" si="18"/>
        <v>1.358912869704236E-2</v>
      </c>
      <c r="E616" s="7">
        <v>44370</v>
      </c>
      <c r="F616" s="9">
        <v>47900.7</v>
      </c>
      <c r="G616" s="10">
        <f t="shared" si="19"/>
        <v>-1.8013159358945402E-3</v>
      </c>
      <c r="K616" s="13"/>
      <c r="L616" s="13"/>
      <c r="M616" s="13"/>
    </row>
    <row r="617" spans="1:13" x14ac:dyDescent="0.3">
      <c r="A617" s="7">
        <v>44371</v>
      </c>
      <c r="B617" s="8">
        <v>12.5</v>
      </c>
      <c r="C617" s="10">
        <f t="shared" si="18"/>
        <v>-1.4195583596214489E-2</v>
      </c>
      <c r="E617" s="7">
        <v>44371</v>
      </c>
      <c r="F617" s="9">
        <v>47962.54</v>
      </c>
      <c r="G617" s="10">
        <f t="shared" si="19"/>
        <v>1.2910040980612764E-3</v>
      </c>
      <c r="K617" s="13"/>
      <c r="L617" s="13"/>
      <c r="M617" s="13"/>
    </row>
    <row r="618" spans="1:13" x14ac:dyDescent="0.3">
      <c r="A618" s="7">
        <v>44372</v>
      </c>
      <c r="B618" s="8">
        <v>12.15</v>
      </c>
      <c r="C618" s="10">
        <f t="shared" si="18"/>
        <v>-2.7999999999999973E-2</v>
      </c>
      <c r="E618" s="7">
        <v>44372</v>
      </c>
      <c r="F618" s="9">
        <v>47703.94</v>
      </c>
      <c r="G618" s="10">
        <f t="shared" si="19"/>
        <v>-5.3917077786121946E-3</v>
      </c>
      <c r="K618" s="13"/>
      <c r="L618" s="13"/>
      <c r="M618" s="13"/>
    </row>
    <row r="619" spans="1:13" x14ac:dyDescent="0.3">
      <c r="A619" s="7">
        <v>44375</v>
      </c>
      <c r="B619" s="8">
        <v>11.4</v>
      </c>
      <c r="C619" s="10">
        <f t="shared" si="18"/>
        <v>-6.1728395061728392E-2</v>
      </c>
      <c r="E619" s="7">
        <v>44375</v>
      </c>
      <c r="F619" s="9">
        <v>47002.35</v>
      </c>
      <c r="G619" s="10">
        <f t="shared" si="19"/>
        <v>-1.4707170938081923E-2</v>
      </c>
      <c r="K619" s="13"/>
      <c r="L619" s="13"/>
      <c r="M619" s="13"/>
    </row>
    <row r="620" spans="1:13" x14ac:dyDescent="0.3">
      <c r="A620" s="7">
        <v>44376</v>
      </c>
      <c r="B620" s="8">
        <v>11.42</v>
      </c>
      <c r="C620" s="10">
        <f t="shared" si="18"/>
        <v>1.7543859649122432E-3</v>
      </c>
      <c r="E620" s="7">
        <v>44376</v>
      </c>
      <c r="F620" s="9">
        <v>47137.77</v>
      </c>
      <c r="G620" s="10">
        <f t="shared" si="19"/>
        <v>2.8811325391176878E-3</v>
      </c>
      <c r="K620" s="13"/>
      <c r="L620" s="13"/>
      <c r="M620" s="13"/>
    </row>
    <row r="621" spans="1:13" x14ac:dyDescent="0.3">
      <c r="A621" s="7">
        <v>44377</v>
      </c>
      <c r="B621" s="8">
        <v>11.61</v>
      </c>
      <c r="C621" s="10">
        <f t="shared" si="18"/>
        <v>1.6637478108581391E-2</v>
      </c>
      <c r="E621" s="7">
        <v>44377</v>
      </c>
      <c r="F621" s="9">
        <v>47356.02</v>
      </c>
      <c r="G621" s="10">
        <f t="shared" si="19"/>
        <v>4.6300450785007443E-3</v>
      </c>
      <c r="K621" s="13"/>
      <c r="L621" s="13"/>
      <c r="M621" s="13"/>
    </row>
    <row r="622" spans="1:13" x14ac:dyDescent="0.3">
      <c r="A622" s="7">
        <v>44378</v>
      </c>
      <c r="B622" s="8">
        <v>11.7</v>
      </c>
      <c r="C622" s="10">
        <f t="shared" si="18"/>
        <v>7.7519379844961118E-3</v>
      </c>
      <c r="E622" s="7">
        <v>44378</v>
      </c>
      <c r="F622" s="9">
        <v>47800.57</v>
      </c>
      <c r="G622" s="10">
        <f t="shared" si="19"/>
        <v>9.3874020663054659E-3</v>
      </c>
      <c r="K622" s="13"/>
      <c r="L622" s="13"/>
      <c r="M622" s="13"/>
    </row>
    <row r="623" spans="1:13" x14ac:dyDescent="0.3">
      <c r="A623" s="7">
        <v>44379</v>
      </c>
      <c r="B623" s="8">
        <v>11.34</v>
      </c>
      <c r="C623" s="10">
        <f t="shared" si="18"/>
        <v>-3.0769230769230722E-2</v>
      </c>
      <c r="E623" s="7">
        <v>44379</v>
      </c>
      <c r="F623" s="9">
        <v>47686.18</v>
      </c>
      <c r="G623" s="10">
        <f t="shared" si="19"/>
        <v>-2.3930676977282784E-3</v>
      </c>
      <c r="K623" s="13"/>
      <c r="L623" s="13"/>
      <c r="M623" s="13"/>
    </row>
    <row r="624" spans="1:13" x14ac:dyDescent="0.3">
      <c r="A624" s="7">
        <v>44382</v>
      </c>
      <c r="B624" s="8">
        <v>10.9</v>
      </c>
      <c r="C624" s="10">
        <f t="shared" si="18"/>
        <v>-3.880070546737209E-2</v>
      </c>
      <c r="E624" s="7">
        <v>44382</v>
      </c>
      <c r="F624" s="9">
        <v>47429.120000000003</v>
      </c>
      <c r="G624" s="10">
        <f t="shared" si="19"/>
        <v>-5.3906603548448976E-3</v>
      </c>
      <c r="K624" s="13"/>
      <c r="L624" s="13"/>
      <c r="M624" s="13"/>
    </row>
    <row r="625" spans="1:13" x14ac:dyDescent="0.3">
      <c r="A625" s="7">
        <v>44383</v>
      </c>
      <c r="B625" s="8">
        <v>10.8</v>
      </c>
      <c r="C625" s="10">
        <f t="shared" si="18"/>
        <v>-9.1743119266054721E-3</v>
      </c>
      <c r="E625" s="7">
        <v>44383</v>
      </c>
      <c r="F625" s="9">
        <v>47346.16</v>
      </c>
      <c r="G625" s="10">
        <f t="shared" si="19"/>
        <v>-1.7491363955308285E-3</v>
      </c>
      <c r="K625" s="13"/>
      <c r="L625" s="13"/>
      <c r="M625" s="13"/>
    </row>
    <row r="626" spans="1:13" x14ac:dyDescent="0.3">
      <c r="A626" s="7">
        <v>44384</v>
      </c>
      <c r="B626" s="8">
        <v>10.84</v>
      </c>
      <c r="C626" s="10">
        <f t="shared" si="18"/>
        <v>3.7037037037036245E-3</v>
      </c>
      <c r="E626" s="7">
        <v>44384</v>
      </c>
      <c r="F626" s="9">
        <v>47247.92</v>
      </c>
      <c r="G626" s="10">
        <f t="shared" si="19"/>
        <v>-2.0749306807564803E-3</v>
      </c>
      <c r="K626" s="13"/>
      <c r="L626" s="13"/>
      <c r="M626" s="13"/>
    </row>
    <row r="627" spans="1:13" x14ac:dyDescent="0.3">
      <c r="A627" s="7">
        <v>44385</v>
      </c>
      <c r="B627" s="8">
        <v>11.04</v>
      </c>
      <c r="C627" s="10">
        <f t="shared" si="18"/>
        <v>1.8450184501844952E-2</v>
      </c>
      <c r="E627" s="7">
        <v>44385</v>
      </c>
      <c r="F627" s="9">
        <v>48053.17</v>
      </c>
      <c r="G627" s="10">
        <f t="shared" si="19"/>
        <v>1.7043078298473246E-2</v>
      </c>
      <c r="K627" s="13"/>
      <c r="L627" s="13"/>
      <c r="M627" s="13"/>
    </row>
    <row r="628" spans="1:13" x14ac:dyDescent="0.3">
      <c r="A628" s="7">
        <v>44386</v>
      </c>
      <c r="B628" s="8">
        <v>10.92</v>
      </c>
      <c r="C628" s="10">
        <f t="shared" si="18"/>
        <v>-1.0869565217391235E-2</v>
      </c>
      <c r="E628" s="7">
        <v>44386</v>
      </c>
      <c r="F628" s="9">
        <v>47563.45</v>
      </c>
      <c r="G628" s="10">
        <f t="shared" si="19"/>
        <v>-1.0191211110526135E-2</v>
      </c>
      <c r="K628" s="13"/>
      <c r="L628" s="13"/>
      <c r="M628" s="13"/>
    </row>
    <row r="629" spans="1:13" x14ac:dyDescent="0.3">
      <c r="A629" s="7">
        <v>44389</v>
      </c>
      <c r="B629" s="8">
        <v>10.74</v>
      </c>
      <c r="C629" s="10">
        <f t="shared" si="18"/>
        <v>-1.6483516483516456E-2</v>
      </c>
      <c r="E629" s="7">
        <v>44389</v>
      </c>
      <c r="F629" s="9">
        <v>47447.08</v>
      </c>
      <c r="G629" s="10">
        <f t="shared" si="19"/>
        <v>-2.4466265588386745E-3</v>
      </c>
      <c r="K629" s="13"/>
      <c r="L629" s="13"/>
      <c r="M629" s="13"/>
    </row>
    <row r="630" spans="1:13" x14ac:dyDescent="0.3">
      <c r="A630" s="7">
        <v>44390</v>
      </c>
      <c r="B630" s="8">
        <v>10.62</v>
      </c>
      <c r="C630" s="10">
        <f t="shared" si="18"/>
        <v>-1.1173184357541992E-2</v>
      </c>
      <c r="E630" s="7">
        <v>44390</v>
      </c>
      <c r="F630" s="9">
        <v>47480.49</v>
      </c>
      <c r="G630" s="10">
        <f t="shared" si="19"/>
        <v>7.0415292152849478E-4</v>
      </c>
      <c r="K630" s="13"/>
      <c r="L630" s="13"/>
      <c r="M630" s="13"/>
    </row>
    <row r="631" spans="1:13" x14ac:dyDescent="0.3">
      <c r="A631" s="7">
        <v>44391</v>
      </c>
      <c r="B631" s="8">
        <v>10.51</v>
      </c>
      <c r="C631" s="10">
        <f t="shared" si="18"/>
        <v>-1.0357815442561152E-2</v>
      </c>
      <c r="E631" s="7">
        <v>44391</v>
      </c>
      <c r="F631" s="9">
        <v>47491.47</v>
      </c>
      <c r="G631" s="10">
        <f t="shared" si="19"/>
        <v>2.3125287881408136E-4</v>
      </c>
      <c r="K631" s="13"/>
      <c r="L631" s="13"/>
      <c r="M631" s="13"/>
    </row>
    <row r="632" spans="1:13" x14ac:dyDescent="0.3">
      <c r="A632" s="7">
        <v>44392</v>
      </c>
      <c r="B632" s="8">
        <v>10.62</v>
      </c>
      <c r="C632" s="10">
        <f t="shared" si="18"/>
        <v>1.0466222645099851E-2</v>
      </c>
      <c r="E632" s="7">
        <v>44392</v>
      </c>
      <c r="F632" s="9">
        <v>47628.26</v>
      </c>
      <c r="G632" s="10">
        <f t="shared" si="19"/>
        <v>2.8803067161324099E-3</v>
      </c>
      <c r="K632" s="13"/>
      <c r="L632" s="13"/>
      <c r="M632" s="13"/>
    </row>
    <row r="633" spans="1:13" x14ac:dyDescent="0.3">
      <c r="A633" s="7">
        <v>44393</v>
      </c>
      <c r="B633" s="8">
        <v>10.64</v>
      </c>
      <c r="C633" s="10">
        <f t="shared" si="18"/>
        <v>1.8832391713748918E-3</v>
      </c>
      <c r="E633" s="7">
        <v>44393</v>
      </c>
      <c r="F633" s="9">
        <v>47834.33</v>
      </c>
      <c r="G633" s="10">
        <f t="shared" si="19"/>
        <v>4.3266329695856977E-3</v>
      </c>
      <c r="K633" s="13"/>
      <c r="L633" s="13"/>
      <c r="M633" s="13"/>
    </row>
    <row r="634" spans="1:13" x14ac:dyDescent="0.3">
      <c r="A634" s="7">
        <v>44396</v>
      </c>
      <c r="B634" s="8">
        <v>10.77</v>
      </c>
      <c r="C634" s="10">
        <f t="shared" si="18"/>
        <v>1.2218045112781861E-2</v>
      </c>
      <c r="E634" s="7">
        <v>44396</v>
      </c>
      <c r="F634" s="9">
        <v>47873.26</v>
      </c>
      <c r="G634" s="10">
        <f t="shared" si="19"/>
        <v>8.1385063823409445E-4</v>
      </c>
      <c r="K634" s="13"/>
      <c r="L634" s="13"/>
      <c r="M634" s="13"/>
    </row>
    <row r="635" spans="1:13" x14ac:dyDescent="0.3">
      <c r="A635" s="7">
        <v>44400</v>
      </c>
      <c r="B635" s="8">
        <v>10.45</v>
      </c>
      <c r="C635" s="10">
        <f t="shared" si="18"/>
        <v>-2.9712163416898821E-2</v>
      </c>
      <c r="E635" s="7">
        <v>44400</v>
      </c>
      <c r="F635" s="9">
        <v>47793.07</v>
      </c>
      <c r="G635" s="10">
        <f t="shared" si="19"/>
        <v>-1.6750478241925101E-3</v>
      </c>
      <c r="K635" s="13"/>
      <c r="L635" s="13"/>
      <c r="M635" s="13"/>
    </row>
    <row r="636" spans="1:13" x14ac:dyDescent="0.3">
      <c r="A636" s="7">
        <v>44403</v>
      </c>
      <c r="B636" s="8">
        <v>10.27</v>
      </c>
      <c r="C636" s="10">
        <f t="shared" si="18"/>
        <v>-1.7224880382775094E-2</v>
      </c>
      <c r="E636" s="7">
        <v>44403</v>
      </c>
      <c r="F636" s="9">
        <v>47672.68</v>
      </c>
      <c r="G636" s="10">
        <f t="shared" si="19"/>
        <v>-2.5189844469082948E-3</v>
      </c>
      <c r="K636" s="13"/>
      <c r="L636" s="13"/>
      <c r="M636" s="13"/>
    </row>
    <row r="637" spans="1:13" x14ac:dyDescent="0.3">
      <c r="A637" s="7">
        <v>44404</v>
      </c>
      <c r="B637" s="8">
        <v>10.06</v>
      </c>
      <c r="C637" s="10">
        <f t="shared" si="18"/>
        <v>-2.0447906523855801E-2</v>
      </c>
      <c r="E637" s="7">
        <v>44404</v>
      </c>
      <c r="F637" s="9">
        <v>47686.99</v>
      </c>
      <c r="G637" s="10">
        <f t="shared" si="19"/>
        <v>3.0017192236722737E-4</v>
      </c>
      <c r="K637" s="13"/>
      <c r="L637" s="13"/>
      <c r="M637" s="13"/>
    </row>
    <row r="638" spans="1:13" x14ac:dyDescent="0.3">
      <c r="A638" s="7">
        <v>44405</v>
      </c>
      <c r="B638" s="8">
        <v>9.9</v>
      </c>
      <c r="C638" s="10">
        <f t="shared" si="18"/>
        <v>-1.5904572564612338E-2</v>
      </c>
      <c r="E638" s="7">
        <v>44405</v>
      </c>
      <c r="F638" s="9">
        <v>47318.03</v>
      </c>
      <c r="G638" s="10">
        <f t="shared" si="19"/>
        <v>-7.7371207534801239E-3</v>
      </c>
      <c r="K638" s="13"/>
      <c r="L638" s="13"/>
      <c r="M638" s="13"/>
    </row>
    <row r="639" spans="1:13" x14ac:dyDescent="0.3">
      <c r="A639" s="7">
        <v>44406</v>
      </c>
      <c r="B639" s="8">
        <v>9.99</v>
      </c>
      <c r="C639" s="10">
        <f t="shared" si="18"/>
        <v>9.0909090909090766E-3</v>
      </c>
      <c r="E639" s="7">
        <v>44406</v>
      </c>
      <c r="F639" s="9">
        <v>47312.33</v>
      </c>
      <c r="G639" s="10">
        <f t="shared" si="19"/>
        <v>-1.2046148159585447E-4</v>
      </c>
      <c r="K639" s="13"/>
      <c r="L639" s="13"/>
      <c r="M639" s="13"/>
    </row>
    <row r="640" spans="1:13" x14ac:dyDescent="0.3">
      <c r="A640" s="7">
        <v>44407</v>
      </c>
      <c r="B640" s="8">
        <v>9.77</v>
      </c>
      <c r="C640" s="10">
        <f t="shared" si="18"/>
        <v>-2.2022022022022084E-2</v>
      </c>
      <c r="E640" s="7">
        <v>44407</v>
      </c>
      <c r="F640" s="9">
        <v>47055.29</v>
      </c>
      <c r="G640" s="10">
        <f t="shared" si="19"/>
        <v>-5.4328332593216368E-3</v>
      </c>
      <c r="K640" s="13"/>
      <c r="L640" s="13"/>
      <c r="M640" s="13"/>
    </row>
    <row r="641" spans="1:13" x14ac:dyDescent="0.3">
      <c r="A641" s="7">
        <v>44410</v>
      </c>
      <c r="B641" s="8">
        <v>10.08</v>
      </c>
      <c r="C641" s="10">
        <f t="shared" si="18"/>
        <v>3.1729785056294833E-2</v>
      </c>
      <c r="E641" s="7">
        <v>44410</v>
      </c>
      <c r="F641" s="9">
        <v>47453.25</v>
      </c>
      <c r="G641" s="10">
        <f t="shared" si="19"/>
        <v>8.4572850363901515E-3</v>
      </c>
      <c r="K641" s="13"/>
      <c r="L641" s="13"/>
      <c r="M641" s="13"/>
    </row>
    <row r="642" spans="1:13" x14ac:dyDescent="0.3">
      <c r="A642" s="7">
        <v>44411</v>
      </c>
      <c r="B642" s="8">
        <v>10.32</v>
      </c>
      <c r="C642" s="10">
        <f t="shared" si="18"/>
        <v>2.3809523809523829E-2</v>
      </c>
      <c r="E642" s="7">
        <v>44411</v>
      </c>
      <c r="F642" s="9">
        <v>47758.32</v>
      </c>
      <c r="G642" s="10">
        <f t="shared" si="19"/>
        <v>6.428853661234999E-3</v>
      </c>
      <c r="K642" s="13"/>
      <c r="L642" s="13"/>
      <c r="M642" s="13"/>
    </row>
    <row r="643" spans="1:13" x14ac:dyDescent="0.3">
      <c r="A643" s="7">
        <v>44412</v>
      </c>
      <c r="B643" s="8">
        <v>10.06</v>
      </c>
      <c r="C643" s="10">
        <f t="shared" si="18"/>
        <v>-2.5193798449612382E-2</v>
      </c>
      <c r="E643" s="7">
        <v>44412</v>
      </c>
      <c r="F643" s="9">
        <v>47789.88</v>
      </c>
      <c r="G643" s="10">
        <f t="shared" si="19"/>
        <v>6.6082726528063948E-4</v>
      </c>
      <c r="K643" s="13"/>
      <c r="L643" s="13"/>
      <c r="M643" s="13"/>
    </row>
    <row r="644" spans="1:13" x14ac:dyDescent="0.3">
      <c r="A644" s="7">
        <v>44413</v>
      </c>
      <c r="B644" s="8">
        <v>10.050000000000001</v>
      </c>
      <c r="C644" s="10">
        <f t="shared" si="18"/>
        <v>-9.9403578528824924E-4</v>
      </c>
      <c r="E644" s="7">
        <v>44413</v>
      </c>
      <c r="F644" s="9">
        <v>47640.88</v>
      </c>
      <c r="G644" s="10">
        <f t="shared" si="19"/>
        <v>-3.1178149013975347E-3</v>
      </c>
      <c r="K644" s="13"/>
      <c r="L644" s="13"/>
      <c r="M644" s="13"/>
    </row>
    <row r="645" spans="1:13" x14ac:dyDescent="0.3">
      <c r="A645" s="7">
        <v>44414</v>
      </c>
      <c r="B645" s="8">
        <v>9.89</v>
      </c>
      <c r="C645" s="10">
        <f t="shared" ref="C645:C708" si="20">(B645-B644)/B644</f>
        <v>-1.5920398009950262E-2</v>
      </c>
      <c r="E645" s="7">
        <v>44414</v>
      </c>
      <c r="F645" s="9">
        <v>47489.95</v>
      </c>
      <c r="G645" s="10">
        <f t="shared" ref="G645:G708" si="21">(F645-F644)/F644</f>
        <v>-3.1680774998278853E-3</v>
      </c>
      <c r="K645" s="13"/>
      <c r="L645" s="13"/>
      <c r="M645" s="13"/>
    </row>
    <row r="646" spans="1:13" x14ac:dyDescent="0.3">
      <c r="A646" s="7">
        <v>44417</v>
      </c>
      <c r="B646" s="8">
        <v>9.92</v>
      </c>
      <c r="C646" s="10">
        <f t="shared" si="20"/>
        <v>3.0333670374114619E-3</v>
      </c>
      <c r="E646" s="7">
        <v>44417</v>
      </c>
      <c r="F646" s="9">
        <v>47123.62</v>
      </c>
      <c r="G646" s="10">
        <f t="shared" si="21"/>
        <v>-7.7138426130159013E-3</v>
      </c>
      <c r="K646" s="13"/>
      <c r="L646" s="13"/>
      <c r="M646" s="13"/>
    </row>
    <row r="647" spans="1:13" x14ac:dyDescent="0.3">
      <c r="A647" s="7">
        <v>44418</v>
      </c>
      <c r="B647" s="8">
        <v>9.82</v>
      </c>
      <c r="C647" s="10">
        <f t="shared" si="20"/>
        <v>-1.0080645161290288E-2</v>
      </c>
      <c r="E647" s="7">
        <v>44418</v>
      </c>
      <c r="F647" s="9">
        <v>47135.48</v>
      </c>
      <c r="G647" s="10">
        <f t="shared" si="21"/>
        <v>2.5167845763972676E-4</v>
      </c>
      <c r="K647" s="13"/>
      <c r="L647" s="13"/>
      <c r="M647" s="13"/>
    </row>
    <row r="648" spans="1:13" x14ac:dyDescent="0.3">
      <c r="A648" s="7">
        <v>44419</v>
      </c>
      <c r="B648" s="8">
        <v>9.89</v>
      </c>
      <c r="C648" s="10">
        <f t="shared" si="20"/>
        <v>7.1283095723014547E-3</v>
      </c>
      <c r="E648" s="7">
        <v>44419</v>
      </c>
      <c r="F648" s="9">
        <v>47377.38</v>
      </c>
      <c r="G648" s="10">
        <f t="shared" si="21"/>
        <v>5.1320152038335908E-3</v>
      </c>
      <c r="K648" s="13"/>
      <c r="L648" s="13"/>
      <c r="M648" s="13"/>
    </row>
    <row r="649" spans="1:13" x14ac:dyDescent="0.3">
      <c r="A649" s="7">
        <v>44420</v>
      </c>
      <c r="B649" s="8">
        <v>9.81</v>
      </c>
      <c r="C649" s="10">
        <f t="shared" si="20"/>
        <v>-8.0889787664307454E-3</v>
      </c>
      <c r="E649" s="7">
        <v>44420</v>
      </c>
      <c r="F649" s="9">
        <v>47270.76</v>
      </c>
      <c r="G649" s="10">
        <f t="shared" si="21"/>
        <v>-2.2504410332524795E-3</v>
      </c>
      <c r="K649" s="13"/>
      <c r="L649" s="13"/>
      <c r="M649" s="13"/>
    </row>
    <row r="650" spans="1:13" x14ac:dyDescent="0.3">
      <c r="A650" s="7">
        <v>44421</v>
      </c>
      <c r="B650" s="8">
        <v>9.82</v>
      </c>
      <c r="C650" s="10">
        <f t="shared" si="20"/>
        <v>1.0193679918450342E-3</v>
      </c>
      <c r="E650" s="7">
        <v>44421</v>
      </c>
      <c r="F650" s="9">
        <v>47169.84</v>
      </c>
      <c r="G650" s="10">
        <f t="shared" si="21"/>
        <v>-2.1349349999874243E-3</v>
      </c>
      <c r="K650" s="13"/>
      <c r="L650" s="13"/>
      <c r="M650" s="13"/>
    </row>
    <row r="651" spans="1:13" x14ac:dyDescent="0.3">
      <c r="A651" s="7">
        <v>44424</v>
      </c>
      <c r="B651" s="8">
        <v>9.6999999999999993</v>
      </c>
      <c r="C651" s="10">
        <f t="shared" si="20"/>
        <v>-1.2219959266802544E-2</v>
      </c>
      <c r="E651" s="7">
        <v>44424</v>
      </c>
      <c r="F651" s="9">
        <v>46912.79</v>
      </c>
      <c r="G651" s="10">
        <f t="shared" si="21"/>
        <v>-5.4494566867302422E-3</v>
      </c>
      <c r="K651" s="13"/>
      <c r="L651" s="13"/>
      <c r="M651" s="13"/>
    </row>
    <row r="652" spans="1:13" x14ac:dyDescent="0.3">
      <c r="A652" s="7">
        <v>44425</v>
      </c>
      <c r="B652" s="8">
        <v>9.75</v>
      </c>
      <c r="C652" s="10">
        <f t="shared" si="20"/>
        <v>5.1546391752578056E-3</v>
      </c>
      <c r="E652" s="7">
        <v>44425</v>
      </c>
      <c r="F652" s="9">
        <v>47258.45</v>
      </c>
      <c r="G652" s="10">
        <f t="shared" si="21"/>
        <v>7.3681399038512995E-3</v>
      </c>
      <c r="K652" s="13"/>
      <c r="L652" s="13"/>
      <c r="M652" s="13"/>
    </row>
    <row r="653" spans="1:13" x14ac:dyDescent="0.3">
      <c r="A653" s="7">
        <v>44428</v>
      </c>
      <c r="B653" s="8">
        <v>9.92</v>
      </c>
      <c r="C653" s="10">
        <f t="shared" si="20"/>
        <v>1.7435897435897428E-2</v>
      </c>
      <c r="E653" s="7">
        <v>44428</v>
      </c>
      <c r="F653" s="9">
        <v>47599.82</v>
      </c>
      <c r="G653" s="10">
        <f t="shared" si="21"/>
        <v>7.2234700884181062E-3</v>
      </c>
      <c r="K653" s="13"/>
      <c r="L653" s="13"/>
      <c r="M653" s="13"/>
    </row>
    <row r="654" spans="1:13" x14ac:dyDescent="0.3">
      <c r="A654" s="7">
        <v>44431</v>
      </c>
      <c r="B654" s="8">
        <v>9.9499999999999993</v>
      </c>
      <c r="C654" s="10">
        <f t="shared" si="20"/>
        <v>3.0241935483870325E-3</v>
      </c>
      <c r="E654" s="7">
        <v>44431</v>
      </c>
      <c r="F654" s="9">
        <v>48112.21</v>
      </c>
      <c r="G654" s="10">
        <f t="shared" si="21"/>
        <v>1.0764536504549794E-2</v>
      </c>
      <c r="K654" s="13"/>
      <c r="L654" s="13"/>
      <c r="M654" s="13"/>
    </row>
    <row r="655" spans="1:13" x14ac:dyDescent="0.3">
      <c r="A655" s="7">
        <v>44432</v>
      </c>
      <c r="B655" s="8">
        <v>9.84</v>
      </c>
      <c r="C655" s="10">
        <f t="shared" si="20"/>
        <v>-1.1055276381909491E-2</v>
      </c>
      <c r="E655" s="7">
        <v>44432</v>
      </c>
      <c r="F655" s="9">
        <v>47828.71</v>
      </c>
      <c r="G655" s="10">
        <f t="shared" si="21"/>
        <v>-5.8924751118271225E-3</v>
      </c>
      <c r="K655" s="13"/>
      <c r="L655" s="13"/>
      <c r="M655" s="13"/>
    </row>
    <row r="656" spans="1:13" x14ac:dyDescent="0.3">
      <c r="A656" s="7">
        <v>44433</v>
      </c>
      <c r="B656" s="8">
        <v>9.76</v>
      </c>
      <c r="C656" s="10">
        <f t="shared" si="20"/>
        <v>-8.1300813008130159E-3</v>
      </c>
      <c r="E656" s="7">
        <v>44433</v>
      </c>
      <c r="F656" s="9">
        <v>47635.9</v>
      </c>
      <c r="G656" s="10">
        <f t="shared" si="21"/>
        <v>-4.0312607218550879E-3</v>
      </c>
      <c r="K656" s="13"/>
      <c r="L656" s="13"/>
      <c r="M656" s="13"/>
    </row>
    <row r="657" spans="1:13" x14ac:dyDescent="0.3">
      <c r="A657" s="7">
        <v>44434</v>
      </c>
      <c r="B657" s="8">
        <v>9.64</v>
      </c>
      <c r="C657" s="10">
        <f t="shared" si="20"/>
        <v>-1.2295081967213035E-2</v>
      </c>
      <c r="E657" s="7">
        <v>44434</v>
      </c>
      <c r="F657" s="9">
        <v>47363.27</v>
      </c>
      <c r="G657" s="10">
        <f t="shared" si="21"/>
        <v>-5.7232045579070547E-3</v>
      </c>
      <c r="K657" s="13"/>
      <c r="L657" s="13"/>
      <c r="M657" s="13"/>
    </row>
    <row r="658" spans="1:13" x14ac:dyDescent="0.3">
      <c r="A658" s="7">
        <v>44435</v>
      </c>
      <c r="B658" s="8">
        <v>9.44</v>
      </c>
      <c r="C658" s="10">
        <f t="shared" si="20"/>
        <v>-2.0746887966805089E-2</v>
      </c>
      <c r="E658" s="7">
        <v>44435</v>
      </c>
      <c r="F658" s="9">
        <v>47136.53</v>
      </c>
      <c r="G658" s="10">
        <f t="shared" si="21"/>
        <v>-4.7872539206013009E-3</v>
      </c>
      <c r="K658" s="13"/>
      <c r="L658" s="13"/>
      <c r="M658" s="13"/>
    </row>
    <row r="659" spans="1:13" x14ac:dyDescent="0.3">
      <c r="A659" s="7">
        <v>44438</v>
      </c>
      <c r="B659" s="8">
        <v>10.029999999999999</v>
      </c>
      <c r="C659" s="10">
        <f t="shared" si="20"/>
        <v>6.2499999999999986E-2</v>
      </c>
      <c r="E659" s="7">
        <v>44438</v>
      </c>
      <c r="F659" s="9">
        <v>47365.7</v>
      </c>
      <c r="G659" s="10">
        <f t="shared" si="21"/>
        <v>4.8618343352809009E-3</v>
      </c>
      <c r="K659" s="13"/>
      <c r="L659" s="13"/>
      <c r="M659" s="13"/>
    </row>
    <row r="660" spans="1:13" x14ac:dyDescent="0.3">
      <c r="A660" s="7">
        <v>44439</v>
      </c>
      <c r="B660" s="8">
        <v>9.93</v>
      </c>
      <c r="C660" s="10">
        <f t="shared" si="20"/>
        <v>-9.9700897308075426E-3</v>
      </c>
      <c r="E660" s="7">
        <v>44439</v>
      </c>
      <c r="F660" s="9">
        <v>47419.74</v>
      </c>
      <c r="G660" s="10">
        <f t="shared" si="21"/>
        <v>1.1409099833846197E-3</v>
      </c>
      <c r="K660" s="13"/>
      <c r="L660" s="13"/>
      <c r="M660" s="13"/>
    </row>
    <row r="661" spans="1:13" x14ac:dyDescent="0.3">
      <c r="A661" s="7">
        <v>44440</v>
      </c>
      <c r="B661" s="8">
        <v>9.82</v>
      </c>
      <c r="C661" s="10">
        <f t="shared" si="20"/>
        <v>-1.1077542799597124E-2</v>
      </c>
      <c r="E661" s="7">
        <v>44440</v>
      </c>
      <c r="F661" s="9">
        <v>47413.46</v>
      </c>
      <c r="G661" s="10">
        <f t="shared" si="21"/>
        <v>-1.3243429845880293E-4</v>
      </c>
      <c r="K661" s="13"/>
      <c r="L661" s="13"/>
      <c r="M661" s="13"/>
    </row>
    <row r="662" spans="1:13" x14ac:dyDescent="0.3">
      <c r="A662" s="7">
        <v>44441</v>
      </c>
      <c r="B662" s="8">
        <v>10.050000000000001</v>
      </c>
      <c r="C662" s="10">
        <f t="shared" si="20"/>
        <v>2.3421588594704727E-2</v>
      </c>
      <c r="E662" s="7">
        <v>44441</v>
      </c>
      <c r="F662" s="9">
        <v>46903.06</v>
      </c>
      <c r="G662" s="10">
        <f t="shared" si="21"/>
        <v>-1.0764875628144445E-2</v>
      </c>
      <c r="K662" s="13"/>
      <c r="L662" s="13"/>
      <c r="M662" s="13"/>
    </row>
    <row r="663" spans="1:13" x14ac:dyDescent="0.3">
      <c r="A663" s="7">
        <v>44442</v>
      </c>
      <c r="B663" s="8">
        <v>10.02</v>
      </c>
      <c r="C663" s="10">
        <f t="shared" si="20"/>
        <v>-2.9850746268657844E-3</v>
      </c>
      <c r="E663" s="7">
        <v>44442</v>
      </c>
      <c r="F663" s="9">
        <v>46957.47</v>
      </c>
      <c r="G663" s="10">
        <f t="shared" si="21"/>
        <v>1.1600522439261637E-3</v>
      </c>
      <c r="K663" s="13"/>
      <c r="L663" s="13"/>
      <c r="M663" s="13"/>
    </row>
    <row r="664" spans="1:13" x14ac:dyDescent="0.3">
      <c r="A664" s="7">
        <v>44445</v>
      </c>
      <c r="B664" s="8">
        <v>9.81</v>
      </c>
      <c r="C664" s="10">
        <f t="shared" si="20"/>
        <v>-2.0958083832335238E-2</v>
      </c>
      <c r="E664" s="7">
        <v>44445</v>
      </c>
      <c r="F664" s="9">
        <v>46918.52</v>
      </c>
      <c r="G664" s="10">
        <f t="shared" si="21"/>
        <v>-8.2947398997442509E-4</v>
      </c>
      <c r="K664" s="13"/>
      <c r="L664" s="13"/>
      <c r="M664" s="13"/>
    </row>
    <row r="665" spans="1:13" x14ac:dyDescent="0.3">
      <c r="A665" s="7">
        <v>44446</v>
      </c>
      <c r="B665" s="8">
        <v>9.6999999999999993</v>
      </c>
      <c r="C665" s="10">
        <f t="shared" si="20"/>
        <v>-1.121304791029574E-2</v>
      </c>
      <c r="E665" s="7">
        <v>44446</v>
      </c>
      <c r="F665" s="9">
        <v>46729.96</v>
      </c>
      <c r="G665" s="10">
        <f t="shared" si="21"/>
        <v>-4.018882096025145E-3</v>
      </c>
      <c r="K665" s="13"/>
      <c r="L665" s="13"/>
      <c r="M665" s="13"/>
    </row>
    <row r="666" spans="1:13" x14ac:dyDescent="0.3">
      <c r="A666" s="7">
        <v>44447</v>
      </c>
      <c r="B666" s="8">
        <v>9.69</v>
      </c>
      <c r="C666" s="10">
        <f t="shared" si="20"/>
        <v>-1.0309278350515245E-3</v>
      </c>
      <c r="E666" s="7">
        <v>44447</v>
      </c>
      <c r="F666" s="9">
        <v>46396.71</v>
      </c>
      <c r="G666" s="10">
        <f t="shared" si="21"/>
        <v>-7.1313992136950262E-3</v>
      </c>
      <c r="K666" s="13"/>
      <c r="L666" s="13"/>
      <c r="M666" s="13"/>
    </row>
    <row r="667" spans="1:13" x14ac:dyDescent="0.3">
      <c r="A667" s="7">
        <v>44448</v>
      </c>
      <c r="B667" s="8">
        <v>9.6</v>
      </c>
      <c r="C667" s="10">
        <f t="shared" si="20"/>
        <v>-9.2879256965944131E-3</v>
      </c>
      <c r="E667" s="7">
        <v>44448</v>
      </c>
      <c r="F667" s="9">
        <v>46625.120000000003</v>
      </c>
      <c r="G667" s="10">
        <f t="shared" si="21"/>
        <v>4.9229783749753699E-3</v>
      </c>
      <c r="K667" s="13"/>
      <c r="L667" s="13"/>
      <c r="M667" s="13"/>
    </row>
    <row r="668" spans="1:13" x14ac:dyDescent="0.3">
      <c r="A668" s="7">
        <v>44449</v>
      </c>
      <c r="B668" s="8">
        <v>9.7799999999999994</v>
      </c>
      <c r="C668" s="10">
        <f t="shared" si="20"/>
        <v>1.8749999999999972E-2</v>
      </c>
      <c r="E668" s="7">
        <v>44449</v>
      </c>
      <c r="F668" s="9">
        <v>47198.29</v>
      </c>
      <c r="G668" s="10">
        <f t="shared" si="21"/>
        <v>1.2293158709296582E-2</v>
      </c>
      <c r="K668" s="13"/>
      <c r="L668" s="13"/>
      <c r="M668" s="13"/>
    </row>
    <row r="669" spans="1:13" x14ac:dyDescent="0.3">
      <c r="A669" s="7">
        <v>44452</v>
      </c>
      <c r="B669" s="8">
        <v>9.7899999999999991</v>
      </c>
      <c r="C669" s="10">
        <f t="shared" si="20"/>
        <v>1.0224948875255406E-3</v>
      </c>
      <c r="E669" s="7">
        <v>44452</v>
      </c>
      <c r="F669" s="9">
        <v>47270.46</v>
      </c>
      <c r="G669" s="10">
        <f t="shared" si="21"/>
        <v>1.5290808205127399E-3</v>
      </c>
      <c r="K669" s="13"/>
      <c r="L669" s="13"/>
      <c r="M669" s="13"/>
    </row>
    <row r="670" spans="1:13" x14ac:dyDescent="0.3">
      <c r="A670" s="7">
        <v>44453</v>
      </c>
      <c r="B670" s="8">
        <v>9.08</v>
      </c>
      <c r="C670" s="10">
        <f t="shared" si="20"/>
        <v>-7.2522982635342098E-2</v>
      </c>
      <c r="E670" s="7">
        <v>44453</v>
      </c>
      <c r="F670" s="9">
        <v>46891.34</v>
      </c>
      <c r="G670" s="10">
        <f t="shared" si="21"/>
        <v>-8.0202308164549832E-3</v>
      </c>
      <c r="K670" s="13"/>
      <c r="L670" s="13"/>
      <c r="M670" s="13"/>
    </row>
    <row r="671" spans="1:13" x14ac:dyDescent="0.3">
      <c r="A671" s="7">
        <v>44454</v>
      </c>
      <c r="B671" s="8">
        <v>8.9700000000000006</v>
      </c>
      <c r="C671" s="10">
        <f t="shared" si="20"/>
        <v>-1.2114537444933859E-2</v>
      </c>
      <c r="E671" s="7">
        <v>44454</v>
      </c>
      <c r="F671" s="9">
        <v>46716.72</v>
      </c>
      <c r="G671" s="10">
        <f t="shared" si="21"/>
        <v>-3.7239285548247365E-3</v>
      </c>
      <c r="K671" s="13"/>
      <c r="L671" s="13"/>
      <c r="M671" s="13"/>
    </row>
    <row r="672" spans="1:13" x14ac:dyDescent="0.3">
      <c r="A672" s="7">
        <v>44455</v>
      </c>
      <c r="B672" s="8">
        <v>8.7899999999999991</v>
      </c>
      <c r="C672" s="10">
        <f t="shared" si="20"/>
        <v>-2.0066889632107187E-2</v>
      </c>
      <c r="E672" s="7">
        <v>44455</v>
      </c>
      <c r="F672" s="9">
        <v>46920.46</v>
      </c>
      <c r="G672" s="10">
        <f t="shared" si="21"/>
        <v>4.3611794663666022E-3</v>
      </c>
      <c r="K672" s="13"/>
      <c r="L672" s="13"/>
      <c r="M672" s="13"/>
    </row>
    <row r="673" spans="1:13" x14ac:dyDescent="0.3">
      <c r="A673" s="7">
        <v>44456</v>
      </c>
      <c r="B673" s="8">
        <v>8.93</v>
      </c>
      <c r="C673" s="10">
        <f t="shared" si="20"/>
        <v>1.59271899886235E-2</v>
      </c>
      <c r="E673" s="7">
        <v>44456</v>
      </c>
      <c r="F673" s="9">
        <v>46636.08</v>
      </c>
      <c r="G673" s="10">
        <f t="shared" si="21"/>
        <v>-6.0608953961661374E-3</v>
      </c>
      <c r="K673" s="13"/>
      <c r="L673" s="13"/>
      <c r="M673" s="13"/>
    </row>
    <row r="674" spans="1:13" x14ac:dyDescent="0.3">
      <c r="A674" s="7">
        <v>44459</v>
      </c>
      <c r="B674" s="8">
        <v>8.8000000000000007</v>
      </c>
      <c r="C674" s="10">
        <f t="shared" si="20"/>
        <v>-1.4557670772676262E-2</v>
      </c>
      <c r="E674" s="7">
        <v>44459</v>
      </c>
      <c r="F674" s="9">
        <v>46528.21</v>
      </c>
      <c r="G674" s="10">
        <f t="shared" si="21"/>
        <v>-2.3130160167836281E-3</v>
      </c>
      <c r="K674" s="13"/>
      <c r="L674" s="13"/>
      <c r="M674" s="13"/>
    </row>
    <row r="675" spans="1:13" x14ac:dyDescent="0.3">
      <c r="A675" s="7">
        <v>44460</v>
      </c>
      <c r="B675" s="8">
        <v>8.5399999999999991</v>
      </c>
      <c r="C675" s="10">
        <f t="shared" si="20"/>
        <v>-2.9545454545454722E-2</v>
      </c>
      <c r="E675" s="7">
        <v>44460</v>
      </c>
      <c r="F675" s="9">
        <v>46008.85</v>
      </c>
      <c r="G675" s="10">
        <f t="shared" si="21"/>
        <v>-1.1162260486702595E-2</v>
      </c>
      <c r="K675" s="13"/>
      <c r="L675" s="13"/>
      <c r="M675" s="13"/>
    </row>
    <row r="676" spans="1:13" x14ac:dyDescent="0.3">
      <c r="A676" s="7">
        <v>44461</v>
      </c>
      <c r="B676" s="8">
        <v>8.14</v>
      </c>
      <c r="C676" s="10">
        <f t="shared" si="20"/>
        <v>-4.6838407494145036E-2</v>
      </c>
      <c r="E676" s="7">
        <v>44461</v>
      </c>
      <c r="F676" s="9">
        <v>45597.24</v>
      </c>
      <c r="G676" s="10">
        <f t="shared" si="21"/>
        <v>-8.9463222836476154E-3</v>
      </c>
      <c r="K676" s="13"/>
      <c r="L676" s="13"/>
      <c r="M676" s="13"/>
    </row>
    <row r="677" spans="1:13" x14ac:dyDescent="0.3">
      <c r="A677" s="7">
        <v>44462</v>
      </c>
      <c r="B677" s="8">
        <v>7.82</v>
      </c>
      <c r="C677" s="10">
        <f t="shared" si="20"/>
        <v>-3.9312039312039346E-2</v>
      </c>
      <c r="E677" s="7">
        <v>44462</v>
      </c>
      <c r="F677" s="9">
        <v>45296.88</v>
      </c>
      <c r="G677" s="10">
        <f t="shared" si="21"/>
        <v>-6.5872408066804172E-3</v>
      </c>
      <c r="K677" s="13"/>
      <c r="L677" s="13"/>
      <c r="M677" s="13"/>
    </row>
    <row r="678" spans="1:13" x14ac:dyDescent="0.3">
      <c r="A678" s="7">
        <v>44463</v>
      </c>
      <c r="B678" s="8">
        <v>7.56</v>
      </c>
      <c r="C678" s="10">
        <f t="shared" si="20"/>
        <v>-3.3248081841432311E-2</v>
      </c>
      <c r="E678" s="7">
        <v>44463</v>
      </c>
      <c r="F678" s="9">
        <v>45073.52</v>
      </c>
      <c r="G678" s="10">
        <f t="shared" si="21"/>
        <v>-4.9310239469031996E-3</v>
      </c>
      <c r="K678" s="13"/>
      <c r="L678" s="13"/>
      <c r="M678" s="13"/>
    </row>
    <row r="679" spans="1:13" x14ac:dyDescent="0.3">
      <c r="A679" s="7">
        <v>44466</v>
      </c>
      <c r="B679" s="8">
        <v>7.01</v>
      </c>
      <c r="C679" s="10">
        <f t="shared" si="20"/>
        <v>-7.2751322751322733E-2</v>
      </c>
      <c r="E679" s="7">
        <v>44466</v>
      </c>
      <c r="F679" s="9">
        <v>44817.760000000002</v>
      </c>
      <c r="G679" s="10">
        <f t="shared" si="21"/>
        <v>-5.6742850347608698E-3</v>
      </c>
      <c r="K679" s="13"/>
      <c r="L679" s="13"/>
      <c r="M679" s="13"/>
    </row>
    <row r="680" spans="1:13" x14ac:dyDescent="0.3">
      <c r="A680" s="7">
        <v>44467</v>
      </c>
      <c r="B680" s="8">
        <v>7.84</v>
      </c>
      <c r="C680" s="10">
        <f t="shared" si="20"/>
        <v>0.11840228245363768</v>
      </c>
      <c r="E680" s="7">
        <v>44467</v>
      </c>
      <c r="F680" s="9">
        <v>45274.93</v>
      </c>
      <c r="G680" s="10">
        <f t="shared" si="21"/>
        <v>1.0200643673400862E-2</v>
      </c>
      <c r="K680" s="13"/>
      <c r="L680" s="13"/>
      <c r="M680" s="13"/>
    </row>
    <row r="681" spans="1:13" x14ac:dyDescent="0.3">
      <c r="A681" s="7">
        <v>44468</v>
      </c>
      <c r="B681" s="8">
        <v>7.73</v>
      </c>
      <c r="C681" s="10">
        <f t="shared" si="20"/>
        <v>-1.4030612244897886E-2</v>
      </c>
      <c r="E681" s="7">
        <v>44468</v>
      </c>
      <c r="F681" s="9">
        <v>44366.74</v>
      </c>
      <c r="G681" s="10">
        <f t="shared" si="21"/>
        <v>-2.0059445702069606E-2</v>
      </c>
      <c r="K681" s="13"/>
      <c r="L681" s="13"/>
      <c r="M681" s="13"/>
    </row>
    <row r="682" spans="1:13" x14ac:dyDescent="0.3">
      <c r="A682" s="7">
        <v>44469</v>
      </c>
      <c r="B682" s="8">
        <v>8.18</v>
      </c>
      <c r="C682" s="10">
        <f t="shared" si="20"/>
        <v>5.8214747736093052E-2</v>
      </c>
      <c r="E682" s="7">
        <v>44469</v>
      </c>
      <c r="F682" s="9">
        <v>44899.6</v>
      </c>
      <c r="G682" s="10">
        <f t="shared" si="21"/>
        <v>1.2010348292437096E-2</v>
      </c>
      <c r="K682" s="13"/>
      <c r="L682" s="13"/>
      <c r="M682" s="13"/>
    </row>
    <row r="683" spans="1:13" x14ac:dyDescent="0.3">
      <c r="A683" s="7">
        <v>44470</v>
      </c>
      <c r="B683" s="8">
        <v>8.1999999999999993</v>
      </c>
      <c r="C683" s="10">
        <f t="shared" si="20"/>
        <v>2.4449877750610726E-3</v>
      </c>
      <c r="E683" s="7">
        <v>44470</v>
      </c>
      <c r="F683" s="9">
        <v>44871.7</v>
      </c>
      <c r="G683" s="10">
        <f t="shared" si="21"/>
        <v>-6.2138638206134255E-4</v>
      </c>
      <c r="K683" s="13"/>
      <c r="L683" s="13"/>
      <c r="M683" s="13"/>
    </row>
    <row r="684" spans="1:13" x14ac:dyDescent="0.3">
      <c r="A684" s="7">
        <v>44473</v>
      </c>
      <c r="B684" s="8">
        <v>8.08</v>
      </c>
      <c r="C684" s="10">
        <f t="shared" si="20"/>
        <v>-1.463414634146332E-2</v>
      </c>
      <c r="E684" s="7">
        <v>44473</v>
      </c>
      <c r="F684" s="9">
        <v>45044.5</v>
      </c>
      <c r="G684" s="10">
        <f t="shared" si="21"/>
        <v>3.8509795706425857E-3</v>
      </c>
      <c r="K684" s="13"/>
      <c r="L684" s="13"/>
      <c r="M684" s="13"/>
    </row>
    <row r="685" spans="1:13" x14ac:dyDescent="0.3">
      <c r="A685" s="7">
        <v>44474</v>
      </c>
      <c r="B685" s="8">
        <v>7.92</v>
      </c>
      <c r="C685" s="10">
        <f t="shared" si="20"/>
        <v>-1.980198019801982E-2</v>
      </c>
      <c r="E685" s="7">
        <v>44474</v>
      </c>
      <c r="F685" s="9">
        <v>44666.57</v>
      </c>
      <c r="G685" s="10">
        <f t="shared" si="21"/>
        <v>-8.3901475207850077E-3</v>
      </c>
      <c r="K685" s="13"/>
      <c r="L685" s="13"/>
      <c r="M685" s="13"/>
    </row>
    <row r="686" spans="1:13" x14ac:dyDescent="0.3">
      <c r="A686" s="7">
        <v>44475</v>
      </c>
      <c r="B686" s="8">
        <v>7.67</v>
      </c>
      <c r="C686" s="10">
        <f t="shared" si="20"/>
        <v>-3.1565656565656568E-2</v>
      </c>
      <c r="E686" s="7">
        <v>44475</v>
      </c>
      <c r="F686" s="9">
        <v>44373.23</v>
      </c>
      <c r="G686" s="10">
        <f t="shared" si="21"/>
        <v>-6.5673276457090058E-3</v>
      </c>
      <c r="K686" s="13"/>
      <c r="L686" s="13"/>
      <c r="M686" s="13"/>
    </row>
    <row r="687" spans="1:13" x14ac:dyDescent="0.3">
      <c r="A687" s="7">
        <v>44476</v>
      </c>
      <c r="B687" s="8">
        <v>7.71</v>
      </c>
      <c r="C687" s="10">
        <f t="shared" si="20"/>
        <v>5.2151238591916609E-3</v>
      </c>
      <c r="E687" s="7">
        <v>44476</v>
      </c>
      <c r="F687" s="9">
        <v>44586.04</v>
      </c>
      <c r="G687" s="10">
        <f t="shared" si="21"/>
        <v>4.7959096058591555E-3</v>
      </c>
      <c r="K687" s="13"/>
      <c r="L687" s="13"/>
      <c r="M687" s="13"/>
    </row>
    <row r="688" spans="1:13" x14ac:dyDescent="0.3">
      <c r="A688" s="7">
        <v>44477</v>
      </c>
      <c r="B688" s="8">
        <v>7.5</v>
      </c>
      <c r="C688" s="10">
        <f t="shared" si="20"/>
        <v>-2.723735408560311E-2</v>
      </c>
      <c r="E688" s="7">
        <v>44477</v>
      </c>
      <c r="F688" s="9">
        <v>44477.23</v>
      </c>
      <c r="G688" s="10">
        <f t="shared" si="21"/>
        <v>-2.4404499704391257E-3</v>
      </c>
      <c r="K688" s="13"/>
      <c r="L688" s="13"/>
      <c r="M688" s="13"/>
    </row>
    <row r="689" spans="1:13" x14ac:dyDescent="0.3">
      <c r="A689" s="7">
        <v>44480</v>
      </c>
      <c r="B689" s="8">
        <v>7.28</v>
      </c>
      <c r="C689" s="10">
        <f t="shared" si="20"/>
        <v>-2.9333333333333302E-2</v>
      </c>
      <c r="E689" s="7">
        <v>44480</v>
      </c>
      <c r="F689" s="9">
        <v>43829.35</v>
      </c>
      <c r="G689" s="10">
        <f t="shared" si="21"/>
        <v>-1.4566554616823138E-2</v>
      </c>
      <c r="K689" s="13"/>
      <c r="L689" s="13"/>
      <c r="M689" s="13"/>
    </row>
    <row r="690" spans="1:13" x14ac:dyDescent="0.3">
      <c r="A690" s="7">
        <v>44481</v>
      </c>
      <c r="B690" s="8">
        <v>7.27</v>
      </c>
      <c r="C690" s="10">
        <f t="shared" si="20"/>
        <v>-1.3736263736264663E-3</v>
      </c>
      <c r="E690" s="7">
        <v>44481</v>
      </c>
      <c r="F690" s="9">
        <v>43883.08</v>
      </c>
      <c r="G690" s="10">
        <f t="shared" si="21"/>
        <v>1.2258908699308386E-3</v>
      </c>
      <c r="K690" s="13"/>
      <c r="L690" s="13"/>
      <c r="M690" s="13"/>
    </row>
    <row r="691" spans="1:13" x14ac:dyDescent="0.3">
      <c r="A691" s="7">
        <v>44482</v>
      </c>
      <c r="B691" s="8">
        <v>6.98</v>
      </c>
      <c r="C691" s="10">
        <f t="shared" si="20"/>
        <v>-3.9889958734525333E-2</v>
      </c>
      <c r="E691" s="7">
        <v>44482</v>
      </c>
      <c r="F691" s="9">
        <v>43221.78</v>
      </c>
      <c r="G691" s="10">
        <f t="shared" si="21"/>
        <v>-1.5069589463638443E-2</v>
      </c>
      <c r="K691" s="13"/>
      <c r="L691" s="13"/>
      <c r="M691" s="13"/>
    </row>
    <row r="692" spans="1:13" x14ac:dyDescent="0.3">
      <c r="A692" s="7">
        <v>44483</v>
      </c>
      <c r="B692" s="8">
        <v>7.32</v>
      </c>
      <c r="C692" s="10">
        <f t="shared" si="20"/>
        <v>4.8710601719197687E-2</v>
      </c>
      <c r="E692" s="7">
        <v>44483</v>
      </c>
      <c r="F692" s="9">
        <v>44333.68</v>
      </c>
      <c r="G692" s="10">
        <f t="shared" si="21"/>
        <v>2.5725456008521663E-2</v>
      </c>
      <c r="K692" s="13"/>
      <c r="L692" s="13"/>
      <c r="M692" s="13"/>
    </row>
    <row r="693" spans="1:13" x14ac:dyDescent="0.3">
      <c r="A693" s="7">
        <v>44484</v>
      </c>
      <c r="B693" s="8">
        <v>7.53</v>
      </c>
      <c r="C693" s="10">
        <f t="shared" si="20"/>
        <v>2.8688524590163928E-2</v>
      </c>
      <c r="E693" s="7">
        <v>44484</v>
      </c>
      <c r="F693" s="9">
        <v>44821.53</v>
      </c>
      <c r="G693" s="10">
        <f t="shared" si="21"/>
        <v>1.1004049291644604E-2</v>
      </c>
      <c r="K693" s="13"/>
      <c r="L693" s="13"/>
      <c r="M693" s="13"/>
    </row>
    <row r="694" spans="1:13" x14ac:dyDescent="0.3">
      <c r="A694" s="7">
        <v>44487</v>
      </c>
      <c r="B694" s="8">
        <v>7.29</v>
      </c>
      <c r="C694" s="10">
        <f t="shared" si="20"/>
        <v>-3.187250996015939E-2</v>
      </c>
      <c r="E694" s="7">
        <v>44487</v>
      </c>
      <c r="F694" s="9">
        <v>44629.45</v>
      </c>
      <c r="G694" s="10">
        <f t="shared" si="21"/>
        <v>-4.2854405014733261E-3</v>
      </c>
      <c r="K694" s="13"/>
      <c r="L694" s="13"/>
      <c r="M694" s="13"/>
    </row>
    <row r="695" spans="1:13" x14ac:dyDescent="0.3">
      <c r="A695" s="7">
        <v>44489</v>
      </c>
      <c r="B695" s="8">
        <v>7.53</v>
      </c>
      <c r="C695" s="10">
        <f t="shared" si="20"/>
        <v>3.2921810699588508E-2</v>
      </c>
      <c r="E695" s="7">
        <v>44489</v>
      </c>
      <c r="F695" s="9">
        <v>45499.46</v>
      </c>
      <c r="G695" s="10">
        <f t="shared" si="21"/>
        <v>1.9494078461643648E-2</v>
      </c>
      <c r="K695" s="13"/>
      <c r="L695" s="13"/>
      <c r="M695" s="13"/>
    </row>
    <row r="696" spans="1:13" x14ac:dyDescent="0.3">
      <c r="A696" s="7">
        <v>44490</v>
      </c>
      <c r="B696" s="8">
        <v>7.34</v>
      </c>
      <c r="C696" s="10">
        <f t="shared" si="20"/>
        <v>-2.5232403718459546E-2</v>
      </c>
      <c r="E696" s="7">
        <v>44490</v>
      </c>
      <c r="F696" s="9">
        <v>45821.4</v>
      </c>
      <c r="G696" s="10">
        <f t="shared" si="21"/>
        <v>7.0756883708070891E-3</v>
      </c>
      <c r="K696" s="13"/>
      <c r="L696" s="13"/>
      <c r="M696" s="13"/>
    </row>
    <row r="697" spans="1:13" x14ac:dyDescent="0.3">
      <c r="A697" s="7">
        <v>44491</v>
      </c>
      <c r="B697" s="8">
        <v>7.22</v>
      </c>
      <c r="C697" s="10">
        <f t="shared" si="20"/>
        <v>-1.6348773841961869E-2</v>
      </c>
      <c r="E697" s="7">
        <v>44491</v>
      </c>
      <c r="F697" s="9">
        <v>45578.36</v>
      </c>
      <c r="G697" s="10">
        <f t="shared" si="21"/>
        <v>-5.3040718965374446E-3</v>
      </c>
      <c r="K697" s="13"/>
      <c r="L697" s="13"/>
      <c r="M697" s="13"/>
    </row>
    <row r="698" spans="1:13" x14ac:dyDescent="0.3">
      <c r="A698" s="7">
        <v>44494</v>
      </c>
      <c r="B698" s="8">
        <v>7.12</v>
      </c>
      <c r="C698" s="10">
        <f t="shared" si="20"/>
        <v>-1.3850415512465325E-2</v>
      </c>
      <c r="E698" s="7">
        <v>44494</v>
      </c>
      <c r="F698" s="9">
        <v>45429.22</v>
      </c>
      <c r="G698" s="10">
        <f t="shared" si="21"/>
        <v>-3.2721668791944121E-3</v>
      </c>
      <c r="K698" s="13"/>
      <c r="L698" s="13"/>
      <c r="M698" s="13"/>
    </row>
    <row r="699" spans="1:13" x14ac:dyDescent="0.3">
      <c r="A699" s="7">
        <v>44495</v>
      </c>
      <c r="B699" s="8">
        <v>7.09</v>
      </c>
      <c r="C699" s="10">
        <f t="shared" si="20"/>
        <v>-4.2134831460674503E-3</v>
      </c>
      <c r="E699" s="7">
        <v>44495</v>
      </c>
      <c r="F699" s="9">
        <v>45255.98</v>
      </c>
      <c r="G699" s="10">
        <f t="shared" si="21"/>
        <v>-3.8134046765495415E-3</v>
      </c>
      <c r="K699" s="13"/>
      <c r="L699" s="13"/>
      <c r="M699" s="13"/>
    </row>
    <row r="700" spans="1:13" x14ac:dyDescent="0.3">
      <c r="A700" s="7">
        <v>44496</v>
      </c>
      <c r="B700" s="8">
        <v>7.17</v>
      </c>
      <c r="C700" s="10">
        <f t="shared" si="20"/>
        <v>1.1283497884344157E-2</v>
      </c>
      <c r="E700" s="7">
        <v>44496</v>
      </c>
      <c r="F700" s="9">
        <v>45851.040000000001</v>
      </c>
      <c r="G700" s="10">
        <f t="shared" si="21"/>
        <v>1.3148759567243878E-2</v>
      </c>
      <c r="K700" s="13"/>
      <c r="L700" s="13"/>
      <c r="M700" s="13"/>
    </row>
    <row r="701" spans="1:13" x14ac:dyDescent="0.3">
      <c r="A701" s="7">
        <v>44497</v>
      </c>
      <c r="B701" s="8">
        <v>7.1</v>
      </c>
      <c r="C701" s="10">
        <f t="shared" si="20"/>
        <v>-9.762900976290137E-3</v>
      </c>
      <c r="E701" s="7">
        <v>44497</v>
      </c>
      <c r="F701" s="9">
        <v>45990.73</v>
      </c>
      <c r="G701" s="10">
        <f t="shared" si="21"/>
        <v>3.0466048316461812E-3</v>
      </c>
      <c r="K701" s="13"/>
      <c r="L701" s="13"/>
      <c r="M701" s="13"/>
    </row>
    <row r="702" spans="1:13" x14ac:dyDescent="0.3">
      <c r="A702" s="7">
        <v>44498</v>
      </c>
      <c r="B702" s="8">
        <v>7.03</v>
      </c>
      <c r="C702" s="10">
        <f t="shared" si="20"/>
        <v>-9.8591549295773805E-3</v>
      </c>
      <c r="E702" s="7">
        <v>44498</v>
      </c>
      <c r="F702" s="9">
        <v>46218.93</v>
      </c>
      <c r="G702" s="10">
        <f t="shared" si="21"/>
        <v>4.9618694897862478E-3</v>
      </c>
      <c r="K702" s="13"/>
      <c r="L702" s="13"/>
      <c r="M702" s="13"/>
    </row>
    <row r="703" spans="1:13" x14ac:dyDescent="0.3">
      <c r="A703" s="7">
        <v>44501</v>
      </c>
      <c r="B703" s="8">
        <v>7.47</v>
      </c>
      <c r="C703" s="10">
        <f t="shared" si="20"/>
        <v>6.258890469416778E-2</v>
      </c>
      <c r="E703" s="7">
        <v>44501</v>
      </c>
      <c r="F703" s="9">
        <v>46946.21</v>
      </c>
      <c r="G703" s="10">
        <f t="shared" si="21"/>
        <v>1.5735543856164536E-2</v>
      </c>
      <c r="K703" s="13"/>
      <c r="L703" s="13"/>
      <c r="M703" s="13"/>
    </row>
    <row r="704" spans="1:13" x14ac:dyDescent="0.3">
      <c r="A704" s="7">
        <v>44502</v>
      </c>
      <c r="B704" s="8">
        <v>7.5</v>
      </c>
      <c r="C704" s="10">
        <f t="shared" si="20"/>
        <v>4.0160642570281459E-3</v>
      </c>
      <c r="E704" s="7">
        <v>44502</v>
      </c>
      <c r="F704" s="9">
        <v>47112.92</v>
      </c>
      <c r="G704" s="10">
        <f t="shared" si="21"/>
        <v>3.5510853804811746E-3</v>
      </c>
      <c r="K704" s="13"/>
      <c r="L704" s="13"/>
      <c r="M704" s="13"/>
    </row>
    <row r="705" spans="1:13" x14ac:dyDescent="0.3">
      <c r="A705" s="7">
        <v>44503</v>
      </c>
      <c r="B705" s="8">
        <v>7.65</v>
      </c>
      <c r="C705" s="10">
        <f t="shared" si="20"/>
        <v>2.0000000000000049E-2</v>
      </c>
      <c r="E705" s="7">
        <v>44503</v>
      </c>
      <c r="F705" s="9">
        <v>47032.44</v>
      </c>
      <c r="G705" s="10">
        <f t="shared" si="21"/>
        <v>-1.7082362969647377E-3</v>
      </c>
      <c r="K705" s="13"/>
      <c r="L705" s="13"/>
      <c r="M705" s="13"/>
    </row>
    <row r="706" spans="1:13" x14ac:dyDescent="0.3">
      <c r="A706" s="7">
        <v>44504</v>
      </c>
      <c r="B706" s="8">
        <v>7.98</v>
      </c>
      <c r="C706" s="10">
        <f t="shared" si="20"/>
        <v>4.3137254901960791E-2</v>
      </c>
      <c r="E706" s="7">
        <v>44504</v>
      </c>
      <c r="F706" s="9">
        <v>47219.18</v>
      </c>
      <c r="G706" s="10">
        <f t="shared" si="21"/>
        <v>3.9704510333718164E-3</v>
      </c>
      <c r="K706" s="13"/>
      <c r="L706" s="13"/>
      <c r="M706" s="13"/>
    </row>
    <row r="707" spans="1:13" x14ac:dyDescent="0.3">
      <c r="A707" s="7">
        <v>44505</v>
      </c>
      <c r="B707" s="8">
        <v>7.77</v>
      </c>
      <c r="C707" s="10">
        <f t="shared" si="20"/>
        <v>-2.6315789473684317E-2</v>
      </c>
      <c r="E707" s="7">
        <v>44505</v>
      </c>
      <c r="F707" s="9">
        <v>47295.8</v>
      </c>
      <c r="G707" s="10">
        <f t="shared" si="21"/>
        <v>1.6226457130344622E-3</v>
      </c>
      <c r="K707" s="13"/>
      <c r="L707" s="13"/>
      <c r="M707" s="13"/>
    </row>
    <row r="708" spans="1:13" x14ac:dyDescent="0.3">
      <c r="A708" s="7">
        <v>44508</v>
      </c>
      <c r="B708" s="8">
        <v>7.63</v>
      </c>
      <c r="C708" s="10">
        <f t="shared" si="20"/>
        <v>-1.8018018018017976E-2</v>
      </c>
      <c r="E708" s="7">
        <v>44508</v>
      </c>
      <c r="F708" s="9">
        <v>47115.040000000001</v>
      </c>
      <c r="G708" s="10">
        <f t="shared" si="21"/>
        <v>-3.8219038476989928E-3</v>
      </c>
      <c r="K708" s="13"/>
      <c r="L708" s="13"/>
      <c r="M708" s="13"/>
    </row>
    <row r="709" spans="1:13" x14ac:dyDescent="0.3">
      <c r="A709" s="7">
        <v>44509</v>
      </c>
      <c r="B709" s="8">
        <v>7.27</v>
      </c>
      <c r="C709" s="10">
        <f t="shared" ref="C709:C772" si="22">(B709-B708)/B708</f>
        <v>-4.7182175622542635E-2</v>
      </c>
      <c r="E709" s="7">
        <v>44509</v>
      </c>
      <c r="F709" s="9">
        <v>46399.91</v>
      </c>
      <c r="G709" s="10">
        <f t="shared" ref="G709:G772" si="23">(F709-F708)/F708</f>
        <v>-1.5178380406766022E-2</v>
      </c>
      <c r="K709" s="13"/>
      <c r="L709" s="13"/>
      <c r="M709" s="13"/>
    </row>
    <row r="710" spans="1:13" x14ac:dyDescent="0.3">
      <c r="A710" s="7">
        <v>44510</v>
      </c>
      <c r="B710" s="8">
        <v>7.28</v>
      </c>
      <c r="C710" s="10">
        <f t="shared" si="22"/>
        <v>1.3755158184320048E-3</v>
      </c>
      <c r="E710" s="7">
        <v>44510</v>
      </c>
      <c r="F710" s="9">
        <v>46629.88</v>
      </c>
      <c r="G710" s="10">
        <f t="shared" si="23"/>
        <v>4.9562596134344631E-3</v>
      </c>
      <c r="K710" s="13"/>
      <c r="L710" s="13"/>
      <c r="M710" s="13"/>
    </row>
    <row r="711" spans="1:13" x14ac:dyDescent="0.3">
      <c r="A711" s="7">
        <v>44511</v>
      </c>
      <c r="B711" s="8">
        <v>7.1</v>
      </c>
      <c r="C711" s="10">
        <f t="shared" si="22"/>
        <v>-2.4725274725274807E-2</v>
      </c>
      <c r="E711" s="7">
        <v>44511</v>
      </c>
      <c r="F711" s="9">
        <v>46348.18</v>
      </c>
      <c r="G711" s="10">
        <f t="shared" si="23"/>
        <v>-6.0411907557985801E-3</v>
      </c>
      <c r="K711" s="13"/>
      <c r="L711" s="13"/>
      <c r="M711" s="13"/>
    </row>
    <row r="712" spans="1:13" x14ac:dyDescent="0.3">
      <c r="A712" s="7">
        <v>44512</v>
      </c>
      <c r="B712" s="8">
        <v>7</v>
      </c>
      <c r="C712" s="10">
        <f t="shared" si="22"/>
        <v>-1.4084507042253471E-2</v>
      </c>
      <c r="E712" s="7">
        <v>44512</v>
      </c>
      <c r="F712" s="9">
        <v>45749.15</v>
      </c>
      <c r="G712" s="10">
        <f t="shared" si="23"/>
        <v>-1.2924563596671948E-2</v>
      </c>
      <c r="K712" s="13"/>
      <c r="L712" s="13"/>
      <c r="M712" s="13"/>
    </row>
    <row r="713" spans="1:13" x14ac:dyDescent="0.3">
      <c r="A713" s="7">
        <v>44515</v>
      </c>
      <c r="B713" s="8">
        <v>7.12</v>
      </c>
      <c r="C713" s="10">
        <f t="shared" si="22"/>
        <v>1.7142857142857158E-2</v>
      </c>
      <c r="E713" s="7">
        <v>44515</v>
      </c>
      <c r="F713" s="9">
        <v>45736.26</v>
      </c>
      <c r="G713" s="10">
        <f t="shared" si="23"/>
        <v>-2.8175386865109884E-4</v>
      </c>
      <c r="K713" s="13"/>
      <c r="L713" s="13"/>
      <c r="M713" s="13"/>
    </row>
    <row r="714" spans="1:13" x14ac:dyDescent="0.3">
      <c r="A714" s="7">
        <v>44516</v>
      </c>
      <c r="B714" s="8">
        <v>7.25</v>
      </c>
      <c r="C714" s="10">
        <f t="shared" si="22"/>
        <v>1.825842696629212E-2</v>
      </c>
      <c r="E714" s="7">
        <v>44516</v>
      </c>
      <c r="F714" s="9">
        <v>46542.91</v>
      </c>
      <c r="G714" s="10">
        <f t="shared" si="23"/>
        <v>1.7636990868951711E-2</v>
      </c>
      <c r="K714" s="13"/>
      <c r="L714" s="13"/>
      <c r="M714" s="13"/>
    </row>
    <row r="715" spans="1:13" x14ac:dyDescent="0.3">
      <c r="A715" s="7">
        <v>44517</v>
      </c>
      <c r="B715" s="8">
        <v>7.01</v>
      </c>
      <c r="C715" s="10">
        <f t="shared" si="22"/>
        <v>-3.3103448275862098E-2</v>
      </c>
      <c r="E715" s="7">
        <v>44517</v>
      </c>
      <c r="F715" s="9">
        <v>46194.42</v>
      </c>
      <c r="G715" s="10">
        <f t="shared" si="23"/>
        <v>-7.4874991701207594E-3</v>
      </c>
      <c r="K715" s="13"/>
      <c r="L715" s="13"/>
      <c r="M715" s="13"/>
    </row>
    <row r="716" spans="1:13" x14ac:dyDescent="0.3">
      <c r="A716" s="7">
        <v>44518</v>
      </c>
      <c r="B716" s="8">
        <v>7.05</v>
      </c>
      <c r="C716" s="10">
        <f t="shared" si="22"/>
        <v>5.7061340941512179E-3</v>
      </c>
      <c r="E716" s="7">
        <v>44518</v>
      </c>
      <c r="F716" s="9">
        <v>46110.5</v>
      </c>
      <c r="G716" s="10">
        <f t="shared" si="23"/>
        <v>-1.8166696323927924E-3</v>
      </c>
      <c r="K716" s="13"/>
      <c r="L716" s="13"/>
      <c r="M716" s="13"/>
    </row>
    <row r="717" spans="1:13" x14ac:dyDescent="0.3">
      <c r="A717" s="7">
        <v>44519</v>
      </c>
      <c r="B717" s="8">
        <v>7.04</v>
      </c>
      <c r="C717" s="10">
        <f t="shared" si="22"/>
        <v>-1.4184397163120265E-3</v>
      </c>
      <c r="E717" s="7">
        <v>44519</v>
      </c>
      <c r="F717" s="9">
        <v>46489.41</v>
      </c>
      <c r="G717" s="10">
        <f t="shared" si="23"/>
        <v>8.2174342069594453E-3</v>
      </c>
      <c r="K717" s="13"/>
      <c r="L717" s="13"/>
      <c r="M717" s="13"/>
    </row>
    <row r="718" spans="1:13" x14ac:dyDescent="0.3">
      <c r="A718" s="7">
        <v>44522</v>
      </c>
      <c r="B718" s="8">
        <v>6.83</v>
      </c>
      <c r="C718" s="10">
        <f t="shared" si="22"/>
        <v>-2.9829545454545449E-2</v>
      </c>
      <c r="E718" s="7">
        <v>44522</v>
      </c>
      <c r="F718" s="9">
        <v>45745</v>
      </c>
      <c r="G718" s="10">
        <f t="shared" si="23"/>
        <v>-1.601246391382475E-2</v>
      </c>
      <c r="K718" s="13"/>
      <c r="L718" s="13"/>
      <c r="M718" s="13"/>
    </row>
    <row r="719" spans="1:13" x14ac:dyDescent="0.3">
      <c r="A719" s="7">
        <v>44523</v>
      </c>
      <c r="B719" s="8">
        <v>6.52</v>
      </c>
      <c r="C719" s="10">
        <f t="shared" si="22"/>
        <v>-4.5387994143484697E-2</v>
      </c>
      <c r="E719" s="7">
        <v>44523</v>
      </c>
      <c r="F719" s="9">
        <v>44948.52</v>
      </c>
      <c r="G719" s="10">
        <f t="shared" si="23"/>
        <v>-1.7411301781615547E-2</v>
      </c>
      <c r="K719" s="13"/>
      <c r="L719" s="13"/>
      <c r="M719" s="13"/>
    </row>
    <row r="720" spans="1:13" x14ac:dyDescent="0.3">
      <c r="A720" s="7">
        <v>44524</v>
      </c>
      <c r="B720" s="8">
        <v>6.32</v>
      </c>
      <c r="C720" s="10">
        <f t="shared" si="22"/>
        <v>-3.0674846625766763E-2</v>
      </c>
      <c r="E720" s="7">
        <v>44524</v>
      </c>
      <c r="F720" s="9">
        <v>44363.7</v>
      </c>
      <c r="G720" s="10">
        <f t="shared" si="23"/>
        <v>-1.3010884451812869E-2</v>
      </c>
      <c r="K720" s="13"/>
      <c r="L720" s="13"/>
      <c r="M720" s="13"/>
    </row>
    <row r="721" spans="1:13" x14ac:dyDescent="0.3">
      <c r="A721" s="7">
        <v>44525</v>
      </c>
      <c r="B721" s="8">
        <v>6.44</v>
      </c>
      <c r="C721" s="10">
        <f t="shared" si="22"/>
        <v>1.8987341772151913E-2</v>
      </c>
      <c r="E721" s="7">
        <v>44525</v>
      </c>
      <c r="F721" s="9">
        <v>43935.75</v>
      </c>
      <c r="G721" s="10">
        <f t="shared" si="23"/>
        <v>-9.6464000973768439E-3</v>
      </c>
      <c r="K721" s="13"/>
      <c r="L721" s="13"/>
      <c r="M721" s="13"/>
    </row>
    <row r="722" spans="1:13" x14ac:dyDescent="0.3">
      <c r="A722" s="7">
        <v>44526</v>
      </c>
      <c r="B722" s="8">
        <v>6.43</v>
      </c>
      <c r="C722" s="10">
        <f t="shared" si="22"/>
        <v>-1.5527950310560052E-3</v>
      </c>
      <c r="E722" s="7">
        <v>44526</v>
      </c>
      <c r="F722" s="9">
        <v>44114.16</v>
      </c>
      <c r="G722" s="10">
        <f t="shared" si="23"/>
        <v>4.060702275481891E-3</v>
      </c>
      <c r="K722" s="13"/>
      <c r="L722" s="13"/>
      <c r="M722" s="13"/>
    </row>
    <row r="723" spans="1:13" x14ac:dyDescent="0.3">
      <c r="A723" s="7">
        <v>44529</v>
      </c>
      <c r="B723" s="8">
        <v>6.61</v>
      </c>
      <c r="C723" s="10">
        <f t="shared" si="22"/>
        <v>2.7993779160186721E-2</v>
      </c>
      <c r="E723" s="7">
        <v>44529</v>
      </c>
      <c r="F723" s="9">
        <v>45330.05</v>
      </c>
      <c r="G723" s="10">
        <f t="shared" si="23"/>
        <v>2.7562351861624462E-2</v>
      </c>
      <c r="K723" s="13"/>
      <c r="L723" s="13"/>
      <c r="M723" s="13"/>
    </row>
    <row r="724" spans="1:13" x14ac:dyDescent="0.3">
      <c r="A724" s="7">
        <v>44530</v>
      </c>
      <c r="B724" s="8">
        <v>6.55</v>
      </c>
      <c r="C724" s="10">
        <f t="shared" si="22"/>
        <v>-9.0771558245083955E-3</v>
      </c>
      <c r="E724" s="7">
        <v>44530</v>
      </c>
      <c r="F724" s="9">
        <v>45072.38</v>
      </c>
      <c r="G724" s="10">
        <f t="shared" si="23"/>
        <v>-5.6843087532443826E-3</v>
      </c>
      <c r="K724" s="13"/>
      <c r="L724" s="13"/>
      <c r="M724" s="13"/>
    </row>
    <row r="725" spans="1:13" x14ac:dyDescent="0.3">
      <c r="A725" s="7">
        <v>44531</v>
      </c>
      <c r="B725" s="8">
        <v>6.56</v>
      </c>
      <c r="C725" s="10">
        <f t="shared" si="22"/>
        <v>1.5267175572518759E-3</v>
      </c>
      <c r="E725" s="7">
        <v>44531</v>
      </c>
      <c r="F725" s="9">
        <v>45369.14</v>
      </c>
      <c r="G725" s="10">
        <f t="shared" si="23"/>
        <v>6.5840765453255862E-3</v>
      </c>
      <c r="K725" s="13"/>
      <c r="L725" s="13"/>
      <c r="M725" s="13"/>
    </row>
    <row r="726" spans="1:13" x14ac:dyDescent="0.3">
      <c r="A726" s="7">
        <v>44532</v>
      </c>
      <c r="B726" s="8">
        <v>5.95</v>
      </c>
      <c r="C726" s="10">
        <f t="shared" si="22"/>
        <v>-9.2987804878048697E-2</v>
      </c>
      <c r="E726" s="7">
        <v>44532</v>
      </c>
      <c r="F726" s="9">
        <v>43234.15</v>
      </c>
      <c r="G726" s="10">
        <f t="shared" si="23"/>
        <v>-4.7058198590495613E-2</v>
      </c>
      <c r="K726" s="13"/>
      <c r="L726" s="13"/>
      <c r="M726" s="13"/>
    </row>
    <row r="727" spans="1:13" x14ac:dyDescent="0.3">
      <c r="A727" s="7">
        <v>44533</v>
      </c>
      <c r="B727" s="8">
        <v>5.79</v>
      </c>
      <c r="C727" s="10">
        <f t="shared" si="22"/>
        <v>-2.6890756302521031E-2</v>
      </c>
      <c r="E727" s="7">
        <v>44533</v>
      </c>
      <c r="F727" s="9">
        <v>43232.83</v>
      </c>
      <c r="G727" s="10">
        <f t="shared" si="23"/>
        <v>-3.0531420185194089E-5</v>
      </c>
      <c r="K727" s="13"/>
      <c r="L727" s="13"/>
      <c r="M727" s="13"/>
    </row>
    <row r="728" spans="1:13" x14ac:dyDescent="0.3">
      <c r="A728" s="7">
        <v>44536</v>
      </c>
      <c r="B728" s="8">
        <v>5.84</v>
      </c>
      <c r="C728" s="10">
        <f t="shared" si="22"/>
        <v>8.6355785837650811E-3</v>
      </c>
      <c r="E728" s="7">
        <v>44536</v>
      </c>
      <c r="F728" s="9">
        <v>43280.77</v>
      </c>
      <c r="G728" s="10">
        <f t="shared" si="23"/>
        <v>1.1088795251200316E-3</v>
      </c>
      <c r="K728" s="13"/>
      <c r="L728" s="13"/>
      <c r="M728" s="13"/>
    </row>
    <row r="729" spans="1:13" x14ac:dyDescent="0.3">
      <c r="A729" s="7">
        <v>44537</v>
      </c>
      <c r="B729" s="8">
        <v>6.06</v>
      </c>
      <c r="C729" s="10">
        <f t="shared" si="22"/>
        <v>3.7671232876712285E-2</v>
      </c>
      <c r="E729" s="7">
        <v>44537</v>
      </c>
      <c r="F729" s="9">
        <v>43853.49</v>
      </c>
      <c r="G729" s="10">
        <f t="shared" si="23"/>
        <v>1.3232666609212388E-2</v>
      </c>
      <c r="K729" s="13"/>
      <c r="L729" s="13"/>
      <c r="M729" s="13"/>
    </row>
    <row r="730" spans="1:13" x14ac:dyDescent="0.3">
      <c r="A730" s="7">
        <v>44538</v>
      </c>
      <c r="B730" s="8">
        <v>5.92</v>
      </c>
      <c r="C730" s="10">
        <f t="shared" si="22"/>
        <v>-2.3102310231023052E-2</v>
      </c>
      <c r="E730" s="7">
        <v>44538</v>
      </c>
      <c r="F730" s="9">
        <v>43846.87</v>
      </c>
      <c r="G730" s="10">
        <f t="shared" si="23"/>
        <v>-1.5095719861738129E-4</v>
      </c>
      <c r="K730" s="13"/>
      <c r="L730" s="13"/>
      <c r="M730" s="13"/>
    </row>
    <row r="731" spans="1:13" x14ac:dyDescent="0.3">
      <c r="A731" s="7">
        <v>44539</v>
      </c>
      <c r="B731" s="8">
        <v>5.82</v>
      </c>
      <c r="C731" s="10">
        <f t="shared" si="22"/>
        <v>-1.689189189189183E-2</v>
      </c>
      <c r="E731" s="7">
        <v>44539</v>
      </c>
      <c r="F731" s="9">
        <v>43518.84</v>
      </c>
      <c r="G731" s="10">
        <f t="shared" si="23"/>
        <v>-7.4812637709374945E-3</v>
      </c>
      <c r="K731" s="13"/>
      <c r="L731" s="13"/>
      <c r="M731" s="13"/>
    </row>
    <row r="732" spans="1:13" x14ac:dyDescent="0.3">
      <c r="A732" s="7">
        <v>44540</v>
      </c>
      <c r="B732" s="8">
        <v>5.68</v>
      </c>
      <c r="C732" s="10">
        <f t="shared" si="22"/>
        <v>-2.4054982817869511E-2</v>
      </c>
      <c r="E732" s="7">
        <v>44540</v>
      </c>
      <c r="F732" s="9">
        <v>43395.78</v>
      </c>
      <c r="G732" s="10">
        <f t="shared" si="23"/>
        <v>-2.8277408129444093E-3</v>
      </c>
      <c r="K732" s="13"/>
      <c r="L732" s="13"/>
      <c r="M732" s="13"/>
    </row>
    <row r="733" spans="1:13" x14ac:dyDescent="0.3">
      <c r="A733" s="7">
        <v>44543</v>
      </c>
      <c r="B733" s="8">
        <v>5.65</v>
      </c>
      <c r="C733" s="10">
        <f t="shared" si="22"/>
        <v>-5.2816901408449584E-3</v>
      </c>
      <c r="E733" s="7">
        <v>44543</v>
      </c>
      <c r="F733" s="9">
        <v>42876.37</v>
      </c>
      <c r="G733" s="10">
        <f t="shared" si="23"/>
        <v>-1.1969136169461552E-2</v>
      </c>
      <c r="K733" s="13"/>
      <c r="L733" s="13"/>
      <c r="M733" s="13"/>
    </row>
    <row r="734" spans="1:13" x14ac:dyDescent="0.3">
      <c r="A734" s="7">
        <v>44544</v>
      </c>
      <c r="B734" s="8">
        <v>5.99</v>
      </c>
      <c r="C734" s="10">
        <f t="shared" si="22"/>
        <v>6.0176991150442449E-2</v>
      </c>
      <c r="E734" s="7">
        <v>44544</v>
      </c>
      <c r="F734" s="9">
        <v>43246.71</v>
      </c>
      <c r="G734" s="10">
        <f t="shared" si="23"/>
        <v>8.6373916448616445E-3</v>
      </c>
      <c r="K734" s="13"/>
      <c r="L734" s="13"/>
      <c r="M734" s="13"/>
    </row>
    <row r="735" spans="1:13" x14ac:dyDescent="0.3">
      <c r="A735" s="7">
        <v>44545</v>
      </c>
      <c r="B735" s="8">
        <v>6.75</v>
      </c>
      <c r="C735" s="10">
        <f t="shared" si="22"/>
        <v>0.12687813021702835</v>
      </c>
      <c r="E735" s="7">
        <v>44545</v>
      </c>
      <c r="F735" s="9">
        <v>44366.86</v>
      </c>
      <c r="G735" s="10">
        <f t="shared" si="23"/>
        <v>2.5901392267758668E-2</v>
      </c>
      <c r="K735" s="13"/>
      <c r="L735" s="13"/>
      <c r="M735" s="13"/>
    </row>
    <row r="736" spans="1:13" x14ac:dyDescent="0.3">
      <c r="A736" s="7">
        <v>44546</v>
      </c>
      <c r="B736" s="8">
        <v>6.44</v>
      </c>
      <c r="C736" s="10">
        <f t="shared" si="22"/>
        <v>-4.592592592592587E-2</v>
      </c>
      <c r="E736" s="7">
        <v>44546</v>
      </c>
      <c r="F736" s="9">
        <v>43731.199999999997</v>
      </c>
      <c r="G736" s="10">
        <f t="shared" si="23"/>
        <v>-1.4327360556956329E-2</v>
      </c>
      <c r="K736" s="13"/>
      <c r="L736" s="13"/>
      <c r="M736" s="13"/>
    </row>
    <row r="737" spans="1:13" x14ac:dyDescent="0.3">
      <c r="A737" s="7">
        <v>44547</v>
      </c>
      <c r="B737" s="8">
        <v>6.39</v>
      </c>
      <c r="C737" s="10">
        <f t="shared" si="22"/>
        <v>-7.7639751552796132E-3</v>
      </c>
      <c r="E737" s="7">
        <v>44547</v>
      </c>
      <c r="F737" s="9">
        <v>43900.68</v>
      </c>
      <c r="G737" s="10">
        <f t="shared" si="23"/>
        <v>3.8754939265330749E-3</v>
      </c>
      <c r="K737" s="13"/>
      <c r="L737" s="13"/>
      <c r="M737" s="13"/>
    </row>
    <row r="738" spans="1:13" x14ac:dyDescent="0.3">
      <c r="A738" s="7">
        <v>44550</v>
      </c>
      <c r="B738" s="8">
        <v>6.17</v>
      </c>
      <c r="C738" s="10">
        <f t="shared" si="22"/>
        <v>-3.4428794992175236E-2</v>
      </c>
      <c r="E738" s="7">
        <v>44550</v>
      </c>
      <c r="F738" s="9">
        <v>44339.95</v>
      </c>
      <c r="G738" s="10">
        <f t="shared" si="23"/>
        <v>1.0005995351324782E-2</v>
      </c>
      <c r="K738" s="13"/>
      <c r="L738" s="13"/>
      <c r="M738" s="13"/>
    </row>
    <row r="739" spans="1:13" x14ac:dyDescent="0.3">
      <c r="A739" s="7">
        <v>44557</v>
      </c>
      <c r="B739" s="8">
        <v>6.32</v>
      </c>
      <c r="C739" s="10">
        <f t="shared" si="22"/>
        <v>2.431118314424641E-2</v>
      </c>
      <c r="E739" s="7">
        <v>44557</v>
      </c>
      <c r="F739" s="9">
        <v>43913.440000000002</v>
      </c>
      <c r="G739" s="10">
        <f>(F739-F738)/F738</f>
        <v>-9.6190906845856801E-3</v>
      </c>
      <c r="K739" s="13"/>
      <c r="L739" s="13"/>
      <c r="M739" s="13"/>
    </row>
    <row r="740" spans="1:13" x14ac:dyDescent="0.3">
      <c r="A740" s="7">
        <v>44558</v>
      </c>
      <c r="B740" s="8">
        <v>6.31</v>
      </c>
      <c r="C740" s="10">
        <f t="shared" si="22"/>
        <v>-1.5822784810127649E-3</v>
      </c>
      <c r="E740" s="7">
        <v>44558</v>
      </c>
      <c r="F740" s="9">
        <v>44043.74</v>
      </c>
      <c r="G740" s="10">
        <f t="shared" si="23"/>
        <v>2.9672009298291283E-3</v>
      </c>
      <c r="K740" s="13"/>
      <c r="L740" s="13"/>
      <c r="M740" s="13"/>
    </row>
    <row r="741" spans="1:13" x14ac:dyDescent="0.3">
      <c r="A741" s="7">
        <v>44559</v>
      </c>
      <c r="B741" s="8">
        <v>6.89</v>
      </c>
      <c r="C741" s="10">
        <f t="shared" si="22"/>
        <v>9.1917591125198109E-2</v>
      </c>
      <c r="E741" s="7">
        <v>44559</v>
      </c>
      <c r="F741" s="9">
        <v>44260.11</v>
      </c>
      <c r="G741" s="10">
        <f t="shared" si="23"/>
        <v>4.9126164126843596E-3</v>
      </c>
      <c r="K741" s="13"/>
      <c r="L741" s="13"/>
      <c r="M741" s="13"/>
    </row>
    <row r="742" spans="1:13" x14ac:dyDescent="0.3">
      <c r="A742" s="7">
        <v>44560</v>
      </c>
      <c r="B742" s="8">
        <v>6.66</v>
      </c>
      <c r="C742" s="10">
        <f t="shared" si="22"/>
        <v>-3.3381712626995581E-2</v>
      </c>
      <c r="E742" s="7">
        <v>44560</v>
      </c>
      <c r="F742" s="9">
        <v>44416.2</v>
      </c>
      <c r="G742" s="10">
        <f t="shared" si="23"/>
        <v>3.5266518768253515E-3</v>
      </c>
      <c r="K742" s="13"/>
      <c r="L742" s="13"/>
      <c r="M742" s="13"/>
    </row>
    <row r="743" spans="1:13" x14ac:dyDescent="0.3">
      <c r="A743" s="7">
        <v>44561</v>
      </c>
      <c r="B743" s="8">
        <v>6.81</v>
      </c>
      <c r="C743" s="10">
        <f t="shared" si="22"/>
        <v>2.2522522522522442E-2</v>
      </c>
      <c r="E743" s="7">
        <v>44561</v>
      </c>
      <c r="F743" s="9">
        <v>44596.07</v>
      </c>
      <c r="G743" s="10">
        <f t="shared" si="23"/>
        <v>4.0496485516546355E-3</v>
      </c>
      <c r="K743" s="13"/>
      <c r="L743" s="13"/>
      <c r="M743" s="13"/>
    </row>
    <row r="744" spans="1:13" x14ac:dyDescent="0.3">
      <c r="A744" s="7">
        <v>44564</v>
      </c>
      <c r="B744" s="8">
        <v>6.65</v>
      </c>
      <c r="C744" s="10">
        <f t="shared" si="22"/>
        <v>-2.3494860499265677E-2</v>
      </c>
      <c r="E744" s="7">
        <v>44564</v>
      </c>
      <c r="F744" s="9">
        <v>44886.89</v>
      </c>
      <c r="G744" s="10">
        <f t="shared" si="23"/>
        <v>6.5212024288238786E-3</v>
      </c>
      <c r="K744" s="13"/>
      <c r="L744" s="13"/>
      <c r="M744" s="13"/>
    </row>
    <row r="745" spans="1:13" x14ac:dyDescent="0.3">
      <c r="A745" s="7">
        <v>44565</v>
      </c>
      <c r="B745" s="8">
        <v>6.82</v>
      </c>
      <c r="C745" s="10">
        <f t="shared" si="22"/>
        <v>2.5563909774436077E-2</v>
      </c>
      <c r="E745" s="7">
        <v>44565</v>
      </c>
      <c r="F745" s="9">
        <v>45390.84</v>
      </c>
      <c r="G745" s="10">
        <f t="shared" si="23"/>
        <v>1.1227108850713362E-2</v>
      </c>
      <c r="K745" s="13"/>
      <c r="L745" s="13"/>
      <c r="M745" s="13"/>
    </row>
    <row r="746" spans="1:13" x14ac:dyDescent="0.3">
      <c r="A746" s="7">
        <v>44566</v>
      </c>
      <c r="B746" s="8">
        <v>6.85</v>
      </c>
      <c r="C746" s="10">
        <f t="shared" si="22"/>
        <v>4.3988269794720466E-3</v>
      </c>
      <c r="E746" s="7">
        <v>44566</v>
      </c>
      <c r="F746" s="9">
        <v>45407.89</v>
      </c>
      <c r="G746" s="10">
        <f t="shared" si="23"/>
        <v>3.7562644797943621E-4</v>
      </c>
      <c r="K746" s="13"/>
      <c r="L746" s="13"/>
      <c r="M746" s="13"/>
    </row>
    <row r="747" spans="1:13" x14ac:dyDescent="0.3">
      <c r="A747" s="7">
        <v>44567</v>
      </c>
      <c r="B747" s="8">
        <v>6.66</v>
      </c>
      <c r="C747" s="10">
        <f t="shared" si="22"/>
        <v>-2.7737226277372191E-2</v>
      </c>
      <c r="E747" s="7">
        <v>44567</v>
      </c>
      <c r="F747" s="9">
        <v>45082.3</v>
      </c>
      <c r="G747" s="10">
        <f t="shared" si="23"/>
        <v>-7.1703397801570722E-3</v>
      </c>
      <c r="K747" s="13"/>
      <c r="L747" s="13"/>
      <c r="M747" s="13"/>
    </row>
    <row r="748" spans="1:13" x14ac:dyDescent="0.3">
      <c r="A748" s="7">
        <v>44568</v>
      </c>
      <c r="B748" s="8">
        <v>6.72</v>
      </c>
      <c r="C748" s="10">
        <f t="shared" si="22"/>
        <v>9.00900900900895E-3</v>
      </c>
      <c r="E748" s="7">
        <v>44568</v>
      </c>
      <c r="F748" s="9">
        <v>45345.65</v>
      </c>
      <c r="G748" s="10">
        <f t="shared" si="23"/>
        <v>5.8415386970052221E-3</v>
      </c>
      <c r="K748" s="13"/>
      <c r="L748" s="13"/>
      <c r="M748" s="13"/>
    </row>
    <row r="749" spans="1:13" x14ac:dyDescent="0.3">
      <c r="A749" s="7">
        <v>44571</v>
      </c>
      <c r="B749" s="8">
        <v>6.79</v>
      </c>
      <c r="C749" s="10">
        <f t="shared" si="22"/>
        <v>1.0416666666666709E-2</v>
      </c>
      <c r="E749" s="7">
        <v>44571</v>
      </c>
      <c r="F749" s="9">
        <v>45887.63</v>
      </c>
      <c r="G749" s="10">
        <f t="shared" si="23"/>
        <v>1.1952193870856321E-2</v>
      </c>
      <c r="K749" s="13"/>
      <c r="L749" s="13"/>
      <c r="M749" s="13"/>
    </row>
    <row r="750" spans="1:13" x14ac:dyDescent="0.3">
      <c r="A750" s="7">
        <v>44572</v>
      </c>
      <c r="B750" s="8">
        <v>6.74</v>
      </c>
      <c r="C750" s="10">
        <f t="shared" si="22"/>
        <v>-7.3637702503681624E-3</v>
      </c>
      <c r="E750" s="7">
        <v>44572</v>
      </c>
      <c r="F750" s="9">
        <v>45881.13</v>
      </c>
      <c r="G750" s="10">
        <f t="shared" si="23"/>
        <v>-1.4165037505750461E-4</v>
      </c>
      <c r="K750" s="13"/>
      <c r="L750" s="13"/>
      <c r="M750" s="13"/>
    </row>
    <row r="751" spans="1:13" x14ac:dyDescent="0.3">
      <c r="A751" s="7">
        <v>44573</v>
      </c>
      <c r="B751" s="8">
        <v>6.88</v>
      </c>
      <c r="C751" s="10">
        <f t="shared" si="22"/>
        <v>2.0771513353115677E-2</v>
      </c>
      <c r="E751" s="7">
        <v>44573</v>
      </c>
      <c r="F751" s="9">
        <v>45916.25</v>
      </c>
      <c r="G751" s="10">
        <f t="shared" si="23"/>
        <v>7.6545629979040666E-4</v>
      </c>
      <c r="K751" s="13"/>
      <c r="L751" s="13"/>
      <c r="M751" s="13"/>
    </row>
    <row r="752" spans="1:13" x14ac:dyDescent="0.3">
      <c r="A752" s="7">
        <v>44574</v>
      </c>
      <c r="B752" s="8">
        <v>7.31</v>
      </c>
      <c r="C752" s="10">
        <f t="shared" si="22"/>
        <v>6.2499999999999958E-2</v>
      </c>
      <c r="E752" s="7">
        <v>44574</v>
      </c>
      <c r="F752" s="9">
        <v>45763.199999999997</v>
      </c>
      <c r="G752" s="10">
        <f t="shared" si="23"/>
        <v>-3.3332425884083066E-3</v>
      </c>
      <c r="K752" s="13"/>
      <c r="L752" s="13"/>
      <c r="M752" s="13"/>
    </row>
    <row r="753" spans="1:13" x14ac:dyDescent="0.3">
      <c r="A753" s="7">
        <v>44575</v>
      </c>
      <c r="B753" s="8">
        <v>7.16</v>
      </c>
      <c r="C753" s="10">
        <f t="shared" si="22"/>
        <v>-2.0519835841313196E-2</v>
      </c>
      <c r="E753" s="7">
        <v>44575</v>
      </c>
      <c r="F753" s="9">
        <v>45763.45</v>
      </c>
      <c r="G753" s="10">
        <f t="shared" si="23"/>
        <v>5.4629046919795826E-6</v>
      </c>
      <c r="K753" s="13"/>
      <c r="L753" s="13"/>
      <c r="M753" s="13"/>
    </row>
    <row r="754" spans="1:13" x14ac:dyDescent="0.3">
      <c r="A754" s="7">
        <v>44578</v>
      </c>
      <c r="B754" s="8">
        <v>6.95</v>
      </c>
      <c r="C754" s="10">
        <f t="shared" si="22"/>
        <v>-2.9329608938547479E-2</v>
      </c>
      <c r="E754" s="7">
        <v>44578</v>
      </c>
      <c r="F754" s="9">
        <v>45612.2</v>
      </c>
      <c r="G754" s="10">
        <f t="shared" si="23"/>
        <v>-3.3050392835330378E-3</v>
      </c>
      <c r="K754" s="13"/>
      <c r="L754" s="13"/>
      <c r="M754" s="13"/>
    </row>
    <row r="755" spans="1:13" x14ac:dyDescent="0.3">
      <c r="A755" s="7">
        <v>44579</v>
      </c>
      <c r="B755" s="8">
        <v>6.96</v>
      </c>
      <c r="C755" s="10">
        <f t="shared" si="22"/>
        <v>1.4388489208632786E-3</v>
      </c>
      <c r="E755" s="7">
        <v>44579</v>
      </c>
      <c r="F755" s="9">
        <v>45507.41</v>
      </c>
      <c r="G755" s="10">
        <f t="shared" si="23"/>
        <v>-2.2974116574073079E-3</v>
      </c>
      <c r="K755" s="13"/>
      <c r="L755" s="13"/>
      <c r="M755" s="13"/>
    </row>
    <row r="756" spans="1:13" x14ac:dyDescent="0.3">
      <c r="A756" s="7">
        <v>44580</v>
      </c>
      <c r="B756" s="8">
        <v>6.51</v>
      </c>
      <c r="C756" s="10">
        <f t="shared" si="22"/>
        <v>-6.4655172413793136E-2</v>
      </c>
      <c r="E756" s="7">
        <v>44580</v>
      </c>
      <c r="F756" s="9">
        <v>44833.43</v>
      </c>
      <c r="G756" s="10">
        <f t="shared" si="23"/>
        <v>-1.4810335283858236E-2</v>
      </c>
      <c r="K756" s="13"/>
      <c r="L756" s="13"/>
      <c r="M756" s="13"/>
    </row>
    <row r="757" spans="1:13" x14ac:dyDescent="0.3">
      <c r="A757" s="7">
        <v>44581</v>
      </c>
      <c r="B757" s="8">
        <v>6.4</v>
      </c>
      <c r="C757" s="10">
        <f t="shared" si="22"/>
        <v>-1.689708141321036E-2</v>
      </c>
      <c r="E757" s="7">
        <v>44581</v>
      </c>
      <c r="F757" s="9">
        <v>44825.97</v>
      </c>
      <c r="G757" s="10">
        <f t="shared" si="23"/>
        <v>-1.6639369327751919E-4</v>
      </c>
      <c r="K757" s="13"/>
      <c r="L757" s="13"/>
      <c r="M757" s="13"/>
    </row>
    <row r="758" spans="1:13" x14ac:dyDescent="0.3">
      <c r="A758" s="7">
        <v>44582</v>
      </c>
      <c r="B758" s="8">
        <v>6.37</v>
      </c>
      <c r="C758" s="10">
        <f t="shared" si="22"/>
        <v>-4.6875000000000389E-3</v>
      </c>
      <c r="E758" s="7">
        <v>44582</v>
      </c>
      <c r="F758" s="9">
        <v>45018.28</v>
      </c>
      <c r="G758" s="10">
        <f t="shared" si="23"/>
        <v>4.2901469839915938E-3</v>
      </c>
      <c r="K758" s="13"/>
      <c r="L758" s="13"/>
      <c r="M758" s="13"/>
    </row>
    <row r="759" spans="1:13" x14ac:dyDescent="0.3">
      <c r="A759" s="7">
        <v>44585</v>
      </c>
      <c r="B759" s="8">
        <v>6.18</v>
      </c>
      <c r="C759" s="10">
        <f t="shared" si="22"/>
        <v>-2.9827315541601316E-2</v>
      </c>
      <c r="E759" s="7">
        <v>44585</v>
      </c>
      <c r="F759" s="9">
        <v>44923.91</v>
      </c>
      <c r="G759" s="10">
        <f t="shared" si="23"/>
        <v>-2.0962595638926084E-3</v>
      </c>
      <c r="K759" s="13"/>
      <c r="L759" s="13"/>
      <c r="M759" s="13"/>
    </row>
    <row r="760" spans="1:13" x14ac:dyDescent="0.3">
      <c r="A760" s="7">
        <v>44586</v>
      </c>
      <c r="B760" s="8">
        <v>6.16</v>
      </c>
      <c r="C760" s="10">
        <f t="shared" si="22"/>
        <v>-3.2362459546924878E-3</v>
      </c>
      <c r="E760" s="7">
        <v>44586</v>
      </c>
      <c r="F760" s="9">
        <v>44887.77</v>
      </c>
      <c r="G760" s="10">
        <f t="shared" si="23"/>
        <v>-8.0447138283392273E-4</v>
      </c>
      <c r="K760" s="13"/>
      <c r="L760" s="13"/>
      <c r="M760" s="13"/>
    </row>
    <row r="761" spans="1:13" x14ac:dyDescent="0.3">
      <c r="A761" s="7">
        <v>44587</v>
      </c>
      <c r="B761" s="8">
        <v>6.17</v>
      </c>
      <c r="C761" s="10">
        <f t="shared" si="22"/>
        <v>1.6233766233765888E-3</v>
      </c>
      <c r="E761" s="7">
        <v>44587</v>
      </c>
      <c r="F761" s="9">
        <v>44955.05</v>
      </c>
      <c r="G761" s="10">
        <f t="shared" si="23"/>
        <v>1.4988492411185969E-3</v>
      </c>
      <c r="K761" s="13"/>
      <c r="L761" s="13"/>
      <c r="M761" s="13"/>
    </row>
    <row r="762" spans="1:13" x14ac:dyDescent="0.3">
      <c r="A762" s="7">
        <v>44588</v>
      </c>
      <c r="B762" s="8">
        <v>6.1</v>
      </c>
      <c r="C762" s="10">
        <f t="shared" si="22"/>
        <v>-1.1345218800648345E-2</v>
      </c>
      <c r="E762" s="7">
        <v>44588</v>
      </c>
      <c r="F762" s="9">
        <v>45083.040000000001</v>
      </c>
      <c r="G762" s="10">
        <f t="shared" si="23"/>
        <v>2.8470661249403117E-3</v>
      </c>
      <c r="K762" s="13"/>
      <c r="L762" s="13"/>
      <c r="M762" s="13"/>
    </row>
    <row r="763" spans="1:13" x14ac:dyDescent="0.3">
      <c r="A763" s="7">
        <v>44589</v>
      </c>
      <c r="B763" s="8">
        <v>6.11</v>
      </c>
      <c r="C763" s="10">
        <f t="shared" si="22"/>
        <v>1.6393442622951928E-3</v>
      </c>
      <c r="E763" s="7">
        <v>44589</v>
      </c>
      <c r="F763" s="9">
        <v>45077.91</v>
      </c>
      <c r="G763" s="10">
        <f t="shared" si="23"/>
        <v>-1.1379001948398733E-4</v>
      </c>
      <c r="K763" s="13"/>
      <c r="L763" s="13"/>
      <c r="M763" s="13"/>
    </row>
    <row r="764" spans="1:13" x14ac:dyDescent="0.3">
      <c r="A764" s="7">
        <v>44592</v>
      </c>
      <c r="B764" s="8">
        <v>6.19</v>
      </c>
      <c r="C764" s="10">
        <f t="shared" si="22"/>
        <v>1.3093289689034381E-2</v>
      </c>
      <c r="E764" s="7">
        <v>44592</v>
      </c>
      <c r="F764" s="9">
        <v>45374.68</v>
      </c>
      <c r="G764" s="10">
        <f t="shared" si="23"/>
        <v>6.5834906720386279E-3</v>
      </c>
      <c r="K764" s="13"/>
      <c r="L764" s="13"/>
      <c r="M764" s="13"/>
    </row>
    <row r="765" spans="1:13" x14ac:dyDescent="0.3">
      <c r="A765" s="7">
        <v>44593</v>
      </c>
      <c r="B765" s="8">
        <v>6.38</v>
      </c>
      <c r="C765" s="10">
        <f t="shared" si="22"/>
        <v>3.0694668820678433E-2</v>
      </c>
      <c r="E765" s="7">
        <v>44593</v>
      </c>
      <c r="F765" s="9">
        <v>45674.5</v>
      </c>
      <c r="G765" s="10">
        <f t="shared" si="23"/>
        <v>6.607649905189408E-3</v>
      </c>
      <c r="K765" s="13"/>
      <c r="L765" s="13"/>
      <c r="M765" s="13"/>
    </row>
    <row r="766" spans="1:13" x14ac:dyDescent="0.3">
      <c r="A766" s="7">
        <v>44594</v>
      </c>
      <c r="B766" s="8">
        <v>6.42</v>
      </c>
      <c r="C766" s="10">
        <f t="shared" si="22"/>
        <v>6.269592476489034E-3</v>
      </c>
      <c r="E766" s="7">
        <v>44594</v>
      </c>
      <c r="F766" s="9">
        <v>46119.15</v>
      </c>
      <c r="G766" s="10">
        <f t="shared" si="23"/>
        <v>9.7351914087729797E-3</v>
      </c>
      <c r="K766" s="13"/>
      <c r="L766" s="13"/>
      <c r="M766" s="13"/>
    </row>
    <row r="767" spans="1:13" x14ac:dyDescent="0.3">
      <c r="A767" s="7">
        <v>44595</v>
      </c>
      <c r="B767" s="8">
        <v>6.32</v>
      </c>
      <c r="C767" s="10">
        <f t="shared" si="22"/>
        <v>-1.5576323987538885E-2</v>
      </c>
      <c r="E767" s="7">
        <v>44595</v>
      </c>
      <c r="F767" s="9">
        <v>45862.93</v>
      </c>
      <c r="G767" s="10">
        <f t="shared" si="23"/>
        <v>-5.5556097629726733E-3</v>
      </c>
      <c r="K767" s="13"/>
      <c r="L767" s="13"/>
      <c r="M767" s="13"/>
    </row>
    <row r="768" spans="1:13" x14ac:dyDescent="0.3">
      <c r="A768" s="7">
        <v>44596</v>
      </c>
      <c r="B768" s="8">
        <v>6.24</v>
      </c>
      <c r="C768" s="10">
        <f t="shared" si="22"/>
        <v>-1.2658227848101276E-2</v>
      </c>
      <c r="E768" s="7">
        <v>44596</v>
      </c>
      <c r="F768" s="9">
        <v>45909.65</v>
      </c>
      <c r="G768" s="10">
        <f t="shared" si="23"/>
        <v>1.0186876416312949E-3</v>
      </c>
      <c r="K768" s="13"/>
      <c r="L768" s="13"/>
      <c r="M768" s="13"/>
    </row>
    <row r="769" spans="1:13" x14ac:dyDescent="0.3">
      <c r="A769" s="7">
        <v>44599</v>
      </c>
      <c r="B769" s="8">
        <v>6.12</v>
      </c>
      <c r="C769" s="10">
        <f t="shared" si="22"/>
        <v>-1.9230769230769246E-2</v>
      </c>
      <c r="E769" s="7">
        <v>44599</v>
      </c>
      <c r="F769" s="9">
        <v>45841.25</v>
      </c>
      <c r="G769" s="10">
        <f t="shared" si="23"/>
        <v>-1.4898828459812142E-3</v>
      </c>
      <c r="K769" s="13"/>
      <c r="L769" s="13"/>
      <c r="M769" s="13"/>
    </row>
    <row r="770" spans="1:13" x14ac:dyDescent="0.3">
      <c r="A770" s="7">
        <v>44600</v>
      </c>
      <c r="B770" s="8">
        <v>6.1</v>
      </c>
      <c r="C770" s="10">
        <f t="shared" si="22"/>
        <v>-3.2679738562092259E-3</v>
      </c>
      <c r="E770" s="7">
        <v>44600</v>
      </c>
      <c r="F770" s="9">
        <v>45947.95</v>
      </c>
      <c r="G770" s="10">
        <f t="shared" si="23"/>
        <v>2.3275979603522394E-3</v>
      </c>
      <c r="K770" s="13"/>
      <c r="L770" s="13"/>
      <c r="M770" s="13"/>
    </row>
    <row r="771" spans="1:13" x14ac:dyDescent="0.3">
      <c r="A771" s="7">
        <v>44601</v>
      </c>
      <c r="B771" s="8">
        <v>6.11</v>
      </c>
      <c r="C771" s="10">
        <f t="shared" si="22"/>
        <v>1.6393442622951928E-3</v>
      </c>
      <c r="E771" s="7">
        <v>44601</v>
      </c>
      <c r="F771" s="9">
        <v>46339.76</v>
      </c>
      <c r="G771" s="10">
        <f t="shared" si="23"/>
        <v>8.5272574728579836E-3</v>
      </c>
      <c r="K771" s="13"/>
      <c r="L771" s="13"/>
      <c r="M771" s="13"/>
    </row>
    <row r="772" spans="1:13" x14ac:dyDescent="0.3">
      <c r="A772" s="7">
        <v>44602</v>
      </c>
      <c r="B772" s="8">
        <v>6.09</v>
      </c>
      <c r="C772" s="10">
        <f t="shared" si="22"/>
        <v>-3.2733224222586681E-3</v>
      </c>
      <c r="E772" s="7">
        <v>44602</v>
      </c>
      <c r="F772" s="9">
        <v>45940.04</v>
      </c>
      <c r="G772" s="10">
        <f t="shared" si="23"/>
        <v>-8.6258539103353394E-3</v>
      </c>
      <c r="K772" s="13"/>
      <c r="L772" s="13"/>
      <c r="M772" s="13"/>
    </row>
    <row r="773" spans="1:13" x14ac:dyDescent="0.3">
      <c r="A773" s="7">
        <v>44603</v>
      </c>
      <c r="B773" s="8">
        <v>6.06</v>
      </c>
      <c r="C773" s="10">
        <f t="shared" ref="C773:C836" si="24">(B773-B772)/B772</f>
        <v>-4.9261083743842773E-3</v>
      </c>
      <c r="E773" s="7">
        <v>44603</v>
      </c>
      <c r="F773" s="9">
        <v>46079.37</v>
      </c>
      <c r="G773" s="10">
        <f t="shared" ref="G773:G836" si="25">(F773-F772)/F772</f>
        <v>3.032866318792969E-3</v>
      </c>
      <c r="K773" s="13"/>
      <c r="L773" s="13"/>
      <c r="M773" s="13"/>
    </row>
    <row r="774" spans="1:13" x14ac:dyDescent="0.3">
      <c r="A774" s="7">
        <v>44606</v>
      </c>
      <c r="B774" s="8">
        <v>5.98</v>
      </c>
      <c r="C774" s="10">
        <f t="shared" si="24"/>
        <v>-1.3201320132013068E-2</v>
      </c>
      <c r="E774" s="7">
        <v>44606</v>
      </c>
      <c r="F774" s="9">
        <v>45644.09</v>
      </c>
      <c r="G774" s="10">
        <f t="shared" si="25"/>
        <v>-9.446309704321176E-3</v>
      </c>
      <c r="K774" s="13"/>
      <c r="L774" s="13"/>
      <c r="M774" s="13"/>
    </row>
    <row r="775" spans="1:13" x14ac:dyDescent="0.3">
      <c r="A775" s="7">
        <v>44607</v>
      </c>
      <c r="B775" s="8">
        <v>6.01</v>
      </c>
      <c r="C775" s="10">
        <f t="shared" si="24"/>
        <v>5.0167224080266484E-3</v>
      </c>
      <c r="E775" s="7">
        <v>44607</v>
      </c>
      <c r="F775" s="9">
        <v>45731.7</v>
      </c>
      <c r="G775" s="10">
        <f t="shared" si="25"/>
        <v>1.9194160733624131E-3</v>
      </c>
      <c r="K775" s="13"/>
      <c r="L775" s="13"/>
      <c r="M775" s="13"/>
    </row>
    <row r="776" spans="1:13" x14ac:dyDescent="0.3">
      <c r="A776" s="7">
        <v>44608</v>
      </c>
      <c r="B776" s="8">
        <v>6.01</v>
      </c>
      <c r="C776" s="10">
        <f t="shared" si="24"/>
        <v>0</v>
      </c>
      <c r="E776" s="7">
        <v>44608</v>
      </c>
      <c r="F776" s="9">
        <v>45684.800000000003</v>
      </c>
      <c r="G776" s="10">
        <f t="shared" si="25"/>
        <v>-1.0255468307540324E-3</v>
      </c>
      <c r="K776" s="13"/>
      <c r="L776" s="13"/>
      <c r="M776" s="13"/>
    </row>
    <row r="777" spans="1:13" x14ac:dyDescent="0.3">
      <c r="A777" s="7">
        <v>44609</v>
      </c>
      <c r="B777" s="8">
        <v>5.97</v>
      </c>
      <c r="C777" s="10">
        <f t="shared" si="24"/>
        <v>-6.6555740432612375E-3</v>
      </c>
      <c r="E777" s="7">
        <v>44609</v>
      </c>
      <c r="F777" s="9">
        <v>45441.1</v>
      </c>
      <c r="G777" s="10">
        <f t="shared" si="25"/>
        <v>-5.3343781739222749E-3</v>
      </c>
      <c r="K777" s="13"/>
      <c r="L777" s="13"/>
      <c r="M777" s="13"/>
    </row>
    <row r="778" spans="1:13" x14ac:dyDescent="0.3">
      <c r="A778" s="7">
        <v>44610</v>
      </c>
      <c r="B778" s="8">
        <v>5.94</v>
      </c>
      <c r="C778" s="10">
        <f t="shared" si="24"/>
        <v>-5.0251256281405969E-3</v>
      </c>
      <c r="E778" s="7">
        <v>44610</v>
      </c>
      <c r="F778" s="9">
        <v>45675.87</v>
      </c>
      <c r="G778" s="10">
        <f t="shared" si="25"/>
        <v>5.1664682413058681E-3</v>
      </c>
      <c r="K778" s="13"/>
      <c r="L778" s="13"/>
      <c r="M778" s="13"/>
    </row>
    <row r="779" spans="1:13" x14ac:dyDescent="0.3">
      <c r="A779" s="7">
        <v>44613</v>
      </c>
      <c r="B779" s="8">
        <v>5.9</v>
      </c>
      <c r="C779" s="10">
        <f t="shared" si="24"/>
        <v>-6.7340067340067398E-3</v>
      </c>
      <c r="E779" s="7">
        <v>44613</v>
      </c>
      <c r="F779" s="9">
        <v>45362.85</v>
      </c>
      <c r="G779" s="10">
        <f t="shared" si="25"/>
        <v>-6.853071435749424E-3</v>
      </c>
      <c r="K779" s="13"/>
      <c r="L779" s="13"/>
      <c r="M779" s="13"/>
    </row>
    <row r="780" spans="1:13" x14ac:dyDescent="0.3">
      <c r="A780" s="7">
        <v>44614</v>
      </c>
      <c r="B780" s="8">
        <v>5.71</v>
      </c>
      <c r="C780" s="10">
        <f t="shared" si="24"/>
        <v>-3.2203389830508536E-2</v>
      </c>
      <c r="E780" s="7">
        <v>44614</v>
      </c>
      <c r="F780" s="9">
        <v>45012.18</v>
      </c>
      <c r="G780" s="10">
        <f t="shared" si="25"/>
        <v>-7.730334403592329E-3</v>
      </c>
      <c r="K780" s="13"/>
      <c r="L780" s="13"/>
      <c r="M780" s="13"/>
    </row>
    <row r="781" spans="1:13" x14ac:dyDescent="0.3">
      <c r="A781" s="7">
        <v>44615</v>
      </c>
      <c r="B781" s="8">
        <v>5.69</v>
      </c>
      <c r="C781" s="10">
        <f t="shared" si="24"/>
        <v>-3.5026269702275962E-3</v>
      </c>
      <c r="E781" s="7">
        <v>44615</v>
      </c>
      <c r="F781" s="9">
        <v>45132.92</v>
      </c>
      <c r="G781" s="10">
        <f t="shared" si="25"/>
        <v>2.6823850788830483E-3</v>
      </c>
      <c r="K781" s="13"/>
      <c r="L781" s="13"/>
      <c r="M781" s="13"/>
    </row>
    <row r="782" spans="1:13" x14ac:dyDescent="0.3">
      <c r="A782" s="7">
        <v>44616</v>
      </c>
      <c r="B782" s="8">
        <v>5.15</v>
      </c>
      <c r="C782" s="10">
        <f t="shared" si="24"/>
        <v>-9.4903339191564143E-2</v>
      </c>
      <c r="E782" s="7">
        <v>44616</v>
      </c>
      <c r="F782" s="9">
        <v>43830.51</v>
      </c>
      <c r="G782" s="10">
        <f t="shared" si="25"/>
        <v>-2.885720666865774E-2</v>
      </c>
      <c r="K782" s="13"/>
      <c r="L782" s="13"/>
      <c r="M782" s="13"/>
    </row>
    <row r="783" spans="1:13" x14ac:dyDescent="0.3">
      <c r="A783" s="7">
        <v>44617</v>
      </c>
      <c r="B783" s="8">
        <v>5.28</v>
      </c>
      <c r="C783" s="10">
        <f t="shared" si="24"/>
        <v>2.5242718446601919E-2</v>
      </c>
      <c r="E783" s="7">
        <v>44617</v>
      </c>
      <c r="F783" s="9">
        <v>43984.24</v>
      </c>
      <c r="G783" s="10">
        <f t="shared" si="25"/>
        <v>3.5073742012127151E-3</v>
      </c>
      <c r="K783" s="13"/>
      <c r="L783" s="13"/>
      <c r="M783" s="13"/>
    </row>
    <row r="784" spans="1:13" x14ac:dyDescent="0.3">
      <c r="A784" s="7">
        <v>44620</v>
      </c>
      <c r="B784" s="8">
        <v>5.53</v>
      </c>
      <c r="C784" s="10">
        <f t="shared" si="24"/>
        <v>4.7348484848484848E-2</v>
      </c>
      <c r="E784" s="7">
        <v>44620</v>
      </c>
      <c r="F784" s="9">
        <v>44461.01</v>
      </c>
      <c r="G784" s="10">
        <f t="shared" si="25"/>
        <v>1.0839564353050186E-2</v>
      </c>
      <c r="K784" s="13"/>
      <c r="L784" s="13"/>
      <c r="M784" s="13"/>
    </row>
    <row r="785" spans="1:13" x14ac:dyDescent="0.3">
      <c r="A785" s="7">
        <v>44621</v>
      </c>
      <c r="B785" s="8">
        <v>5.65</v>
      </c>
      <c r="C785" s="10">
        <f t="shared" si="24"/>
        <v>2.1699819168173616E-2</v>
      </c>
      <c r="E785" s="7">
        <v>44621</v>
      </c>
      <c r="F785" s="9">
        <v>44803.58</v>
      </c>
      <c r="G785" s="10">
        <f t="shared" si="25"/>
        <v>7.7049531713292091E-3</v>
      </c>
      <c r="K785" s="13"/>
      <c r="L785" s="13"/>
      <c r="M785" s="13"/>
    </row>
    <row r="786" spans="1:13" x14ac:dyDescent="0.3">
      <c r="A786" s="7">
        <v>44622</v>
      </c>
      <c r="B786" s="8">
        <v>5.58</v>
      </c>
      <c r="C786" s="10">
        <f t="shared" si="24"/>
        <v>-1.2389380530973501E-2</v>
      </c>
      <c r="E786" s="7">
        <v>44622</v>
      </c>
      <c r="F786" s="9">
        <v>44514.12</v>
      </c>
      <c r="G786" s="10">
        <f t="shared" si="25"/>
        <v>-6.4606444395737825E-3</v>
      </c>
      <c r="K786" s="13"/>
      <c r="L786" s="13"/>
      <c r="M786" s="13"/>
    </row>
    <row r="787" spans="1:13" x14ac:dyDescent="0.3">
      <c r="A787" s="7">
        <v>44623</v>
      </c>
      <c r="B787" s="8">
        <v>5.58</v>
      </c>
      <c r="C787" s="10">
        <f t="shared" si="24"/>
        <v>0</v>
      </c>
      <c r="E787" s="7">
        <v>44623</v>
      </c>
      <c r="F787" s="9">
        <v>44525.72</v>
      </c>
      <c r="G787" s="10">
        <f t="shared" si="25"/>
        <v>2.605914707512705E-4</v>
      </c>
      <c r="K787" s="13"/>
      <c r="L787" s="13"/>
      <c r="M787" s="13"/>
    </row>
    <row r="788" spans="1:13" x14ac:dyDescent="0.3">
      <c r="A788" s="7">
        <v>44624</v>
      </c>
      <c r="B788" s="8">
        <v>5.5</v>
      </c>
      <c r="C788" s="10">
        <f t="shared" si="24"/>
        <v>-1.4336917562724026E-2</v>
      </c>
      <c r="E788" s="7">
        <v>44624</v>
      </c>
      <c r="F788" s="9">
        <v>44551.35</v>
      </c>
      <c r="G788" s="10">
        <f t="shared" si="25"/>
        <v>5.7562235939132218E-4</v>
      </c>
      <c r="K788" s="13"/>
      <c r="L788" s="13"/>
      <c r="M788" s="13"/>
    </row>
    <row r="789" spans="1:13" x14ac:dyDescent="0.3">
      <c r="A789" s="7">
        <v>44627</v>
      </c>
      <c r="B789" s="8">
        <v>5.21</v>
      </c>
      <c r="C789" s="10">
        <f t="shared" si="24"/>
        <v>-5.2727272727272734E-2</v>
      </c>
      <c r="E789" s="7">
        <v>44627</v>
      </c>
      <c r="F789" s="9">
        <v>43266.97</v>
      </c>
      <c r="G789" s="10">
        <f t="shared" si="25"/>
        <v>-2.8829204951140591E-2</v>
      </c>
      <c r="K789" s="13"/>
      <c r="L789" s="13"/>
      <c r="M789" s="13"/>
    </row>
    <row r="790" spans="1:13" x14ac:dyDescent="0.3">
      <c r="A790" s="7">
        <v>44628</v>
      </c>
      <c r="B790" s="8">
        <v>5.19</v>
      </c>
      <c r="C790" s="10">
        <f t="shared" si="24"/>
        <v>-3.8387715930901295E-3</v>
      </c>
      <c r="E790" s="7">
        <v>44628</v>
      </c>
      <c r="F790" s="9">
        <v>42878.35</v>
      </c>
      <c r="G790" s="10">
        <f t="shared" si="25"/>
        <v>-8.9819092947808141E-3</v>
      </c>
      <c r="K790" s="13"/>
      <c r="L790" s="13"/>
      <c r="M790" s="13"/>
    </row>
    <row r="791" spans="1:13" x14ac:dyDescent="0.3">
      <c r="A791" s="7">
        <v>44629</v>
      </c>
      <c r="B791" s="8">
        <v>5.16</v>
      </c>
      <c r="C791" s="10">
        <f t="shared" si="24"/>
        <v>-5.780346820809296E-3</v>
      </c>
      <c r="E791" s="7">
        <v>44629</v>
      </c>
      <c r="F791" s="9">
        <v>43042.96</v>
      </c>
      <c r="G791" s="10">
        <f t="shared" si="25"/>
        <v>3.8390003346677423E-3</v>
      </c>
      <c r="K791" s="13"/>
      <c r="L791" s="13"/>
      <c r="M791" s="13"/>
    </row>
    <row r="792" spans="1:13" x14ac:dyDescent="0.3">
      <c r="A792" s="7">
        <v>44630</v>
      </c>
      <c r="B792" s="8">
        <v>5.26</v>
      </c>
      <c r="C792" s="10">
        <f t="shared" si="24"/>
        <v>1.937984496124024E-2</v>
      </c>
      <c r="E792" s="7">
        <v>44630</v>
      </c>
      <c r="F792" s="9">
        <v>43853.62</v>
      </c>
      <c r="G792" s="10">
        <f t="shared" si="25"/>
        <v>1.8833741917377512E-2</v>
      </c>
      <c r="K792" s="13"/>
      <c r="L792" s="13"/>
      <c r="M792" s="13"/>
    </row>
    <row r="793" spans="1:13" x14ac:dyDescent="0.3">
      <c r="A793" s="7">
        <v>44631</v>
      </c>
      <c r="B793" s="8">
        <v>5.13</v>
      </c>
      <c r="C793" s="10">
        <f t="shared" si="24"/>
        <v>-2.4714828897338385E-2</v>
      </c>
      <c r="E793" s="7">
        <v>44631</v>
      </c>
      <c r="F793" s="9">
        <v>43653.33</v>
      </c>
      <c r="G793" s="10">
        <f t="shared" si="25"/>
        <v>-4.567239831056156E-3</v>
      </c>
      <c r="K793" s="13"/>
      <c r="L793" s="13"/>
      <c r="M793" s="13"/>
    </row>
    <row r="794" spans="1:13" x14ac:dyDescent="0.3">
      <c r="A794" s="7">
        <v>44634</v>
      </c>
      <c r="B794" s="8">
        <v>5.04</v>
      </c>
      <c r="C794" s="10">
        <f t="shared" si="24"/>
        <v>-1.7543859649122778E-2</v>
      </c>
      <c r="E794" s="7">
        <v>44634</v>
      </c>
      <c r="F794" s="9">
        <v>43366.89</v>
      </c>
      <c r="G794" s="10">
        <f t="shared" si="25"/>
        <v>-6.5616987295127847E-3</v>
      </c>
      <c r="K794" s="13"/>
      <c r="L794" s="13"/>
      <c r="M794" s="13"/>
    </row>
    <row r="795" spans="1:13" x14ac:dyDescent="0.3">
      <c r="A795" s="7">
        <v>44635</v>
      </c>
      <c r="B795" s="8">
        <v>5.14</v>
      </c>
      <c r="C795" s="10">
        <f t="shared" si="24"/>
        <v>1.9841269841269771E-2</v>
      </c>
      <c r="E795" s="7">
        <v>44635</v>
      </c>
      <c r="F795" s="9">
        <v>43719.82</v>
      </c>
      <c r="G795" s="10">
        <f t="shared" si="25"/>
        <v>8.1382363365231011E-3</v>
      </c>
      <c r="K795" s="13"/>
      <c r="L795" s="13"/>
      <c r="M795" s="13"/>
    </row>
    <row r="796" spans="1:13" x14ac:dyDescent="0.3">
      <c r="A796" s="7">
        <v>44636</v>
      </c>
      <c r="B796" s="8">
        <v>5.21</v>
      </c>
      <c r="C796" s="10">
        <f t="shared" si="24"/>
        <v>1.3618677042801612E-2</v>
      </c>
      <c r="E796" s="7">
        <v>44636</v>
      </c>
      <c r="F796" s="9">
        <v>43975.69</v>
      </c>
      <c r="G796" s="10">
        <f t="shared" si="25"/>
        <v>5.8524943606813257E-3</v>
      </c>
      <c r="K796" s="13"/>
      <c r="L796" s="13"/>
      <c r="M796" s="13"/>
    </row>
    <row r="797" spans="1:13" x14ac:dyDescent="0.3">
      <c r="A797" s="7">
        <v>44637</v>
      </c>
      <c r="B797" s="8">
        <v>5.19</v>
      </c>
      <c r="C797" s="10">
        <f t="shared" si="24"/>
        <v>-3.8387715930901295E-3</v>
      </c>
      <c r="E797" s="7">
        <v>44637</v>
      </c>
      <c r="F797" s="9">
        <v>43807.23</v>
      </c>
      <c r="G797" s="10">
        <f t="shared" si="25"/>
        <v>-3.8307528545885039E-3</v>
      </c>
      <c r="K797" s="13"/>
      <c r="L797" s="13"/>
      <c r="M797" s="13"/>
    </row>
    <row r="798" spans="1:13" x14ac:dyDescent="0.3">
      <c r="A798" s="7">
        <v>44638</v>
      </c>
      <c r="B798" s="8">
        <v>5.0199999999999996</v>
      </c>
      <c r="C798" s="10">
        <f t="shared" si="24"/>
        <v>-3.2755298651252561E-2</v>
      </c>
      <c r="E798" s="7">
        <v>44638</v>
      </c>
      <c r="F798" s="9">
        <v>43029.97</v>
      </c>
      <c r="G798" s="10">
        <f t="shared" si="25"/>
        <v>-1.7742733334200816E-2</v>
      </c>
      <c r="K798" s="13"/>
      <c r="L798" s="13"/>
      <c r="M798" s="13"/>
    </row>
    <row r="799" spans="1:13" x14ac:dyDescent="0.3">
      <c r="A799" s="7">
        <v>44641</v>
      </c>
      <c r="B799" s="8">
        <v>5.0199999999999996</v>
      </c>
      <c r="C799" s="10">
        <f t="shared" si="24"/>
        <v>0</v>
      </c>
      <c r="E799" s="7">
        <v>44641</v>
      </c>
      <c r="F799" s="9">
        <v>43230.22</v>
      </c>
      <c r="G799" s="10">
        <f t="shared" si="25"/>
        <v>4.6537332003717411E-3</v>
      </c>
      <c r="K799" s="13"/>
      <c r="L799" s="13"/>
      <c r="M799" s="13"/>
    </row>
    <row r="800" spans="1:13" x14ac:dyDescent="0.3">
      <c r="A800" s="7">
        <v>44642</v>
      </c>
      <c r="B800" s="8">
        <v>5</v>
      </c>
      <c r="C800" s="10">
        <f t="shared" si="24"/>
        <v>-3.9840637450198361E-3</v>
      </c>
      <c r="E800" s="7">
        <v>44642</v>
      </c>
      <c r="F800" s="9">
        <v>43203.79</v>
      </c>
      <c r="G800" s="10">
        <f t="shared" si="25"/>
        <v>-6.1137787408901208E-4</v>
      </c>
      <c r="K800" s="13"/>
      <c r="L800" s="13"/>
      <c r="M800" s="13"/>
    </row>
    <row r="801" spans="1:13" x14ac:dyDescent="0.3">
      <c r="A801" s="7">
        <v>44644</v>
      </c>
      <c r="B801" s="8">
        <v>5.09</v>
      </c>
      <c r="C801" s="10">
        <f t="shared" si="24"/>
        <v>1.7999999999999971E-2</v>
      </c>
      <c r="E801" s="7">
        <v>44644</v>
      </c>
      <c r="F801" s="9">
        <v>43522.55</v>
      </c>
      <c r="G801" s="10">
        <f t="shared" si="25"/>
        <v>7.3780564158839315E-3</v>
      </c>
      <c r="K801" s="13"/>
      <c r="L801" s="13"/>
      <c r="M801" s="13"/>
    </row>
    <row r="802" spans="1:13" x14ac:dyDescent="0.3">
      <c r="A802" s="7">
        <v>44645</v>
      </c>
      <c r="B802" s="8">
        <v>5.25</v>
      </c>
      <c r="C802" s="10">
        <f t="shared" si="24"/>
        <v>3.1434184675834996E-2</v>
      </c>
      <c r="E802" s="7">
        <v>44645</v>
      </c>
      <c r="F802" s="9">
        <v>43551.14</v>
      </c>
      <c r="G802" s="10">
        <f t="shared" si="25"/>
        <v>6.5690084795115415E-4</v>
      </c>
      <c r="K802" s="13"/>
      <c r="L802" s="13"/>
      <c r="M802" s="13"/>
    </row>
    <row r="803" spans="1:13" x14ac:dyDescent="0.3">
      <c r="A803" s="7">
        <v>44648</v>
      </c>
      <c r="B803" s="8">
        <v>5.25</v>
      </c>
      <c r="C803" s="10">
        <f t="shared" si="24"/>
        <v>0</v>
      </c>
      <c r="E803" s="7">
        <v>44648</v>
      </c>
      <c r="F803" s="9">
        <v>43933.56</v>
      </c>
      <c r="G803" s="10">
        <f t="shared" si="25"/>
        <v>8.7809412107237202E-3</v>
      </c>
      <c r="K803" s="13"/>
      <c r="L803" s="13"/>
      <c r="M803" s="13"/>
    </row>
    <row r="804" spans="1:13" x14ac:dyDescent="0.3">
      <c r="A804" s="7">
        <v>44649</v>
      </c>
      <c r="B804" s="8">
        <v>5.32</v>
      </c>
      <c r="C804" s="10">
        <f t="shared" si="24"/>
        <v>1.3333333333333388E-2</v>
      </c>
      <c r="E804" s="7">
        <v>44649</v>
      </c>
      <c r="F804" s="9">
        <v>44438.7</v>
      </c>
      <c r="G804" s="10">
        <f t="shared" si="25"/>
        <v>1.1497816247988997E-2</v>
      </c>
      <c r="K804" s="13"/>
      <c r="L804" s="13"/>
      <c r="M804" s="13"/>
    </row>
    <row r="805" spans="1:13" x14ac:dyDescent="0.3">
      <c r="A805" s="7">
        <v>44650</v>
      </c>
      <c r="B805" s="8">
        <v>5.19</v>
      </c>
      <c r="C805" s="10">
        <f t="shared" si="24"/>
        <v>-2.4436090225563888E-2</v>
      </c>
      <c r="E805" s="7">
        <v>44650</v>
      </c>
      <c r="F805" s="9">
        <v>44337.56</v>
      </c>
      <c r="G805" s="10">
        <f t="shared" si="25"/>
        <v>-2.2759441657834146E-3</v>
      </c>
      <c r="K805" s="13"/>
      <c r="L805" s="13"/>
      <c r="M805" s="13"/>
    </row>
    <row r="806" spans="1:13" x14ac:dyDescent="0.3">
      <c r="A806" s="7">
        <v>44651</v>
      </c>
      <c r="B806" s="8">
        <v>5.21</v>
      </c>
      <c r="C806" s="10">
        <f t="shared" si="24"/>
        <v>3.8535645472060833E-3</v>
      </c>
      <c r="E806" s="7">
        <v>44651</v>
      </c>
      <c r="F806" s="9">
        <v>44928.83</v>
      </c>
      <c r="G806" s="10">
        <f t="shared" si="25"/>
        <v>1.3335645894812526E-2</v>
      </c>
      <c r="K806" s="13"/>
      <c r="L806" s="13"/>
      <c r="M806" s="13"/>
    </row>
    <row r="807" spans="1:13" x14ac:dyDescent="0.3">
      <c r="A807" s="7">
        <v>44652</v>
      </c>
      <c r="B807" s="8">
        <v>5.32</v>
      </c>
      <c r="C807" s="10">
        <f t="shared" si="24"/>
        <v>2.1113243761996223E-2</v>
      </c>
      <c r="E807" s="7">
        <v>44652</v>
      </c>
      <c r="F807" s="9">
        <v>45152.11</v>
      </c>
      <c r="G807" s="10">
        <f t="shared" si="25"/>
        <v>4.9696375356313265E-3</v>
      </c>
      <c r="K807" s="13"/>
      <c r="L807" s="13"/>
      <c r="M807" s="13"/>
    </row>
    <row r="808" spans="1:13" x14ac:dyDescent="0.3">
      <c r="A808" s="7">
        <v>44655</v>
      </c>
      <c r="B808" s="8">
        <v>5.09</v>
      </c>
      <c r="C808" s="10">
        <f t="shared" si="24"/>
        <v>-4.3233082706766998E-2</v>
      </c>
      <c r="E808" s="7">
        <v>44655</v>
      </c>
      <c r="F808" s="9">
        <v>43902.04</v>
      </c>
      <c r="G808" s="10">
        <f t="shared" si="25"/>
        <v>-2.7685749348147843E-2</v>
      </c>
      <c r="K808" s="13"/>
      <c r="L808" s="13"/>
      <c r="M808" s="13"/>
    </row>
    <row r="809" spans="1:13" x14ac:dyDescent="0.3">
      <c r="A809" s="7">
        <v>44656</v>
      </c>
      <c r="B809" s="8">
        <v>5.0599999999999996</v>
      </c>
      <c r="C809" s="10">
        <f t="shared" si="24"/>
        <v>-5.8939096267191064E-3</v>
      </c>
      <c r="E809" s="7">
        <v>44656</v>
      </c>
      <c r="F809" s="9">
        <v>43928.08</v>
      </c>
      <c r="G809" s="10">
        <f t="shared" si="25"/>
        <v>5.9313872430531408E-4</v>
      </c>
      <c r="K809" s="13"/>
      <c r="L809" s="13"/>
      <c r="M809" s="13"/>
    </row>
    <row r="810" spans="1:13" x14ac:dyDescent="0.3">
      <c r="A810" s="7">
        <v>44657</v>
      </c>
      <c r="B810" s="8">
        <v>5.12</v>
      </c>
      <c r="C810" s="10">
        <f t="shared" si="24"/>
        <v>1.1857707509881523E-2</v>
      </c>
      <c r="E810" s="7">
        <v>44657</v>
      </c>
      <c r="F810" s="9">
        <v>44111.1</v>
      </c>
      <c r="G810" s="10">
        <f t="shared" si="25"/>
        <v>4.1663555520750463E-3</v>
      </c>
      <c r="K810" s="13"/>
      <c r="L810" s="13"/>
      <c r="M810" s="13"/>
    </row>
    <row r="811" spans="1:13" x14ac:dyDescent="0.3">
      <c r="A811" s="7">
        <v>44658</v>
      </c>
      <c r="B811" s="8">
        <v>5.09</v>
      </c>
      <c r="C811" s="10">
        <f t="shared" si="24"/>
        <v>-5.8593750000000486E-3</v>
      </c>
      <c r="E811" s="7">
        <v>44658</v>
      </c>
      <c r="F811" s="9">
        <v>43786.83</v>
      </c>
      <c r="G811" s="10">
        <f t="shared" si="25"/>
        <v>-7.3512109197004108E-3</v>
      </c>
      <c r="K811" s="13"/>
      <c r="L811" s="13"/>
      <c r="M811" s="13"/>
    </row>
    <row r="812" spans="1:13" x14ac:dyDescent="0.3">
      <c r="A812" s="7">
        <v>44659</v>
      </c>
      <c r="B812" s="8">
        <v>5.2</v>
      </c>
      <c r="C812" s="10">
        <f t="shared" si="24"/>
        <v>2.1611001964636604E-2</v>
      </c>
      <c r="E812" s="7">
        <v>44659</v>
      </c>
      <c r="F812" s="9">
        <v>44444.58</v>
      </c>
      <c r="G812" s="10">
        <f t="shared" si="25"/>
        <v>1.5021640068486346E-2</v>
      </c>
      <c r="K812" s="13"/>
      <c r="L812" s="13"/>
      <c r="M812" s="13"/>
    </row>
    <row r="813" spans="1:13" x14ac:dyDescent="0.3">
      <c r="A813" s="7">
        <v>44662</v>
      </c>
      <c r="B813" s="8">
        <v>6</v>
      </c>
      <c r="C813" s="10">
        <f t="shared" si="24"/>
        <v>0.1538461538461538</v>
      </c>
      <c r="E813" s="7">
        <v>44662</v>
      </c>
      <c r="F813" s="9">
        <v>46144.959999999999</v>
      </c>
      <c r="G813" s="10">
        <f t="shared" si="25"/>
        <v>3.8258433311778341E-2</v>
      </c>
      <c r="K813" s="13"/>
      <c r="L813" s="13"/>
      <c r="M813" s="13"/>
    </row>
    <row r="814" spans="1:13" x14ac:dyDescent="0.3">
      <c r="A814" s="7">
        <v>44663</v>
      </c>
      <c r="B814" s="8">
        <v>6.04</v>
      </c>
      <c r="C814" s="10">
        <f t="shared" si="24"/>
        <v>6.6666666666666723E-3</v>
      </c>
      <c r="E814" s="7">
        <v>44663</v>
      </c>
      <c r="F814" s="9">
        <v>46407.26</v>
      </c>
      <c r="G814" s="10">
        <f t="shared" si="25"/>
        <v>5.6842610763993056E-3</v>
      </c>
      <c r="K814" s="13"/>
      <c r="L814" s="13"/>
      <c r="M814" s="13"/>
    </row>
    <row r="815" spans="1:13" x14ac:dyDescent="0.3">
      <c r="A815" s="7">
        <v>44664</v>
      </c>
      <c r="B815" s="8">
        <v>5.81</v>
      </c>
      <c r="C815" s="10">
        <f t="shared" si="24"/>
        <v>-3.8079470198675566E-2</v>
      </c>
      <c r="E815" s="7">
        <v>44664</v>
      </c>
      <c r="F815" s="9">
        <v>46165.5</v>
      </c>
      <c r="G815" s="10">
        <f t="shared" si="25"/>
        <v>-5.20952971582468E-3</v>
      </c>
      <c r="K815" s="13"/>
      <c r="L815" s="13"/>
      <c r="M815" s="13"/>
    </row>
    <row r="816" spans="1:13" x14ac:dyDescent="0.3">
      <c r="A816" s="7">
        <v>44665</v>
      </c>
      <c r="B816" s="8">
        <v>6.75</v>
      </c>
      <c r="C816" s="10">
        <f t="shared" si="24"/>
        <v>0.16179001721170402</v>
      </c>
      <c r="E816" s="7">
        <v>44665</v>
      </c>
      <c r="F816" s="9">
        <v>46484.43</v>
      </c>
      <c r="G816" s="10">
        <f t="shared" si="25"/>
        <v>6.9084056275790428E-3</v>
      </c>
      <c r="K816" s="13"/>
      <c r="L816" s="13"/>
      <c r="M816" s="13"/>
    </row>
    <row r="817" spans="1:13" x14ac:dyDescent="0.3">
      <c r="A817" s="7">
        <v>44666</v>
      </c>
      <c r="B817" s="8">
        <v>6.72</v>
      </c>
      <c r="C817" s="10">
        <f t="shared" si="24"/>
        <v>-4.4444444444444809E-3</v>
      </c>
      <c r="E817" s="7">
        <v>44666</v>
      </c>
      <c r="F817" s="9">
        <v>46601.54</v>
      </c>
      <c r="G817" s="10">
        <f t="shared" si="25"/>
        <v>2.5193381956065846E-3</v>
      </c>
      <c r="K817" s="13"/>
      <c r="L817" s="13"/>
      <c r="M817" s="13"/>
    </row>
    <row r="818" spans="1:13" x14ac:dyDescent="0.3">
      <c r="A818" s="7">
        <v>44669</v>
      </c>
      <c r="B818" s="8">
        <v>6.49</v>
      </c>
      <c r="C818" s="10">
        <f t="shared" si="24"/>
        <v>-3.422619047619041E-2</v>
      </c>
      <c r="E818" s="7">
        <v>44669</v>
      </c>
      <c r="F818" s="9">
        <v>46539.59</v>
      </c>
      <c r="G818" s="10">
        <f t="shared" si="25"/>
        <v>-1.3293552101498012E-3</v>
      </c>
      <c r="K818" s="13"/>
      <c r="L818" s="13"/>
      <c r="M818" s="13"/>
    </row>
    <row r="819" spans="1:13" x14ac:dyDescent="0.3">
      <c r="A819" s="7">
        <v>44670</v>
      </c>
      <c r="B819" s="8">
        <v>6.14</v>
      </c>
      <c r="C819" s="10">
        <f t="shared" si="24"/>
        <v>-5.3929121725731978E-2</v>
      </c>
      <c r="E819" s="7">
        <v>44670</v>
      </c>
      <c r="F819" s="9">
        <v>46333.36</v>
      </c>
      <c r="G819" s="10">
        <f t="shared" si="25"/>
        <v>-4.4312809803437447E-3</v>
      </c>
      <c r="K819" s="13"/>
      <c r="L819" s="13"/>
      <c r="M819" s="13"/>
    </row>
    <row r="820" spans="1:13" x14ac:dyDescent="0.3">
      <c r="A820" s="7">
        <v>44671</v>
      </c>
      <c r="B820" s="8">
        <v>6.31</v>
      </c>
      <c r="C820" s="10">
        <f t="shared" si="24"/>
        <v>2.7687296416938102E-2</v>
      </c>
      <c r="E820" s="7">
        <v>44671</v>
      </c>
      <c r="F820" s="9">
        <v>45943.16</v>
      </c>
      <c r="G820" s="10">
        <f t="shared" si="25"/>
        <v>-8.4215778868615854E-3</v>
      </c>
      <c r="K820" s="13"/>
      <c r="L820" s="13"/>
      <c r="M820" s="13"/>
    </row>
    <row r="821" spans="1:13" x14ac:dyDescent="0.3">
      <c r="A821" s="7">
        <v>44672</v>
      </c>
      <c r="B821" s="8">
        <v>6.5</v>
      </c>
      <c r="C821" s="10">
        <f t="shared" si="24"/>
        <v>3.0110935023771854E-2</v>
      </c>
      <c r="E821" s="7">
        <v>44672</v>
      </c>
      <c r="F821" s="9">
        <v>45652.62</v>
      </c>
      <c r="G821" s="10">
        <f t="shared" si="25"/>
        <v>-6.32390109866193E-3</v>
      </c>
      <c r="K821" s="13"/>
      <c r="L821" s="13"/>
      <c r="M821" s="13"/>
    </row>
    <row r="822" spans="1:13" x14ac:dyDescent="0.3">
      <c r="A822" s="7">
        <v>44673</v>
      </c>
      <c r="B822" s="8">
        <v>6.66</v>
      </c>
      <c r="C822" s="10">
        <f t="shared" si="24"/>
        <v>2.4615384615384636E-2</v>
      </c>
      <c r="E822" s="7">
        <v>44673</v>
      </c>
      <c r="F822" s="9">
        <v>45553.02</v>
      </c>
      <c r="G822" s="10">
        <f t="shared" si="25"/>
        <v>-2.181692967457417E-3</v>
      </c>
      <c r="K822" s="13"/>
      <c r="L822" s="13"/>
      <c r="M822" s="13"/>
    </row>
    <row r="823" spans="1:13" x14ac:dyDescent="0.3">
      <c r="A823" s="7">
        <v>44676</v>
      </c>
      <c r="B823" s="8">
        <v>6.39</v>
      </c>
      <c r="C823" s="10">
        <f t="shared" si="24"/>
        <v>-4.0540540540540612E-2</v>
      </c>
      <c r="E823" s="7">
        <v>44676</v>
      </c>
      <c r="F823" s="9">
        <v>46073.25</v>
      </c>
      <c r="G823" s="10">
        <f t="shared" si="25"/>
        <v>1.1420318565048009E-2</v>
      </c>
      <c r="K823" s="13"/>
      <c r="L823" s="13"/>
      <c r="M823" s="13"/>
    </row>
    <row r="824" spans="1:13" x14ac:dyDescent="0.3">
      <c r="A824" s="7">
        <v>44677</v>
      </c>
      <c r="B824" s="8">
        <v>6.23</v>
      </c>
      <c r="C824" s="10">
        <f t="shared" si="24"/>
        <v>-2.5039123630672813E-2</v>
      </c>
      <c r="E824" s="7">
        <v>44677</v>
      </c>
      <c r="F824" s="9">
        <v>45817.67</v>
      </c>
      <c r="G824" s="10">
        <f t="shared" si="25"/>
        <v>-5.5472535581926989E-3</v>
      </c>
      <c r="K824" s="13"/>
      <c r="L824" s="13"/>
      <c r="M824" s="13"/>
    </row>
    <row r="825" spans="1:13" x14ac:dyDescent="0.3">
      <c r="A825" s="7">
        <v>44678</v>
      </c>
      <c r="B825" s="8">
        <v>6.79</v>
      </c>
      <c r="C825" s="10">
        <f t="shared" si="24"/>
        <v>8.988764044943813E-2</v>
      </c>
      <c r="E825" s="7">
        <v>44678</v>
      </c>
      <c r="F825" s="9">
        <v>45533.3</v>
      </c>
      <c r="G825" s="10">
        <f t="shared" si="25"/>
        <v>-6.206557426425118E-3</v>
      </c>
      <c r="K825" s="13"/>
      <c r="L825" s="13"/>
      <c r="M825" s="13"/>
    </row>
    <row r="826" spans="1:13" x14ac:dyDescent="0.3">
      <c r="A826" s="7">
        <v>44679</v>
      </c>
      <c r="B826" s="8">
        <v>6.35</v>
      </c>
      <c r="C826" s="10">
        <f t="shared" si="24"/>
        <v>-6.480117820324012E-2</v>
      </c>
      <c r="E826" s="7">
        <v>44679</v>
      </c>
      <c r="F826" s="9">
        <v>45249.41</v>
      </c>
      <c r="G826" s="10">
        <f t="shared" si="25"/>
        <v>-6.234777624288145E-3</v>
      </c>
      <c r="K826" s="13"/>
      <c r="L826" s="13"/>
      <c r="M826" s="13"/>
    </row>
    <row r="827" spans="1:13" x14ac:dyDescent="0.3">
      <c r="A827" s="7">
        <v>44687</v>
      </c>
      <c r="B827" s="8">
        <v>6.11</v>
      </c>
      <c r="C827" s="10">
        <f t="shared" si="24"/>
        <v>-3.7795275590551076E-2</v>
      </c>
      <c r="E827" s="7">
        <v>44687</v>
      </c>
      <c r="F827" s="9">
        <v>44840.81</v>
      </c>
      <c r="G827" s="10">
        <f t="shared" si="25"/>
        <v>-9.0299519927443429E-3</v>
      </c>
      <c r="K827" s="13"/>
      <c r="L827" s="13"/>
      <c r="M827" s="13"/>
    </row>
    <row r="828" spans="1:13" x14ac:dyDescent="0.3">
      <c r="A828" s="7">
        <v>44690</v>
      </c>
      <c r="B828" s="8">
        <v>5.56</v>
      </c>
      <c r="C828" s="10">
        <f t="shared" si="24"/>
        <v>-9.0016366612111404E-2</v>
      </c>
      <c r="E828" s="7">
        <v>44690</v>
      </c>
      <c r="F828" s="9">
        <v>43393.14</v>
      </c>
      <c r="G828" s="10">
        <f t="shared" si="25"/>
        <v>-3.2284653198726747E-2</v>
      </c>
      <c r="K828" s="13"/>
      <c r="L828" s="13"/>
      <c r="M828" s="13"/>
    </row>
    <row r="829" spans="1:13" x14ac:dyDescent="0.3">
      <c r="A829" s="7">
        <v>44691</v>
      </c>
      <c r="B829" s="8">
        <v>5.69</v>
      </c>
      <c r="C829" s="10">
        <f t="shared" si="24"/>
        <v>2.338129496402892E-2</v>
      </c>
      <c r="E829" s="7">
        <v>44691</v>
      </c>
      <c r="F829" s="9">
        <v>43504.36</v>
      </c>
      <c r="G829" s="10">
        <f t="shared" si="25"/>
        <v>2.563077942734754E-3</v>
      </c>
      <c r="K829" s="13"/>
      <c r="L829" s="13"/>
      <c r="M829" s="13"/>
    </row>
    <row r="830" spans="1:13" x14ac:dyDescent="0.3">
      <c r="A830" s="7">
        <v>44692</v>
      </c>
      <c r="B830" s="8">
        <v>5.26</v>
      </c>
      <c r="C830" s="10">
        <f t="shared" si="24"/>
        <v>-7.557117750439378E-2</v>
      </c>
      <c r="E830" s="7">
        <v>44692</v>
      </c>
      <c r="F830" s="9">
        <v>42863.15</v>
      </c>
      <c r="G830" s="10">
        <f t="shared" si="25"/>
        <v>-1.4738982483594728E-2</v>
      </c>
      <c r="K830" s="13"/>
      <c r="L830" s="13"/>
      <c r="M830" s="13"/>
    </row>
    <row r="831" spans="1:13" x14ac:dyDescent="0.3">
      <c r="A831" s="7">
        <v>44693</v>
      </c>
      <c r="B831" s="8">
        <v>5.41</v>
      </c>
      <c r="C831" s="10">
        <f t="shared" si="24"/>
        <v>2.8517110266159766E-2</v>
      </c>
      <c r="E831" s="7">
        <v>44693</v>
      </c>
      <c r="F831" s="9">
        <v>42898.44</v>
      </c>
      <c r="G831" s="10">
        <f t="shared" si="25"/>
        <v>8.2331793160327397E-4</v>
      </c>
      <c r="K831" s="13"/>
      <c r="L831" s="13"/>
      <c r="M831" s="13"/>
    </row>
    <row r="832" spans="1:13" x14ac:dyDescent="0.3">
      <c r="A832" s="7">
        <v>44694</v>
      </c>
      <c r="B832" s="8">
        <v>5.49</v>
      </c>
      <c r="C832" s="10">
        <f t="shared" si="24"/>
        <v>1.4787430683918681E-2</v>
      </c>
      <c r="E832" s="7">
        <v>44694</v>
      </c>
      <c r="F832" s="9">
        <v>43486.46</v>
      </c>
      <c r="G832" s="10">
        <f t="shared" si="25"/>
        <v>1.3707258352518105E-2</v>
      </c>
      <c r="K832" s="13"/>
      <c r="L832" s="13"/>
      <c r="M832" s="13"/>
    </row>
    <row r="833" spans="1:13" x14ac:dyDescent="0.3">
      <c r="A833" s="7">
        <v>44697</v>
      </c>
      <c r="B833" s="8">
        <v>5.18</v>
      </c>
      <c r="C833" s="10">
        <f t="shared" si="24"/>
        <v>-5.6466302367941798E-2</v>
      </c>
      <c r="E833" s="7">
        <v>44697</v>
      </c>
      <c r="F833" s="9">
        <v>42667.32</v>
      </c>
      <c r="G833" s="10">
        <f t="shared" si="25"/>
        <v>-1.8836667781189809E-2</v>
      </c>
      <c r="K833" s="13"/>
      <c r="L833" s="13"/>
      <c r="M833" s="13"/>
    </row>
    <row r="834" spans="1:13" x14ac:dyDescent="0.3">
      <c r="A834" s="7">
        <v>44698</v>
      </c>
      <c r="B834" s="8">
        <v>5.28</v>
      </c>
      <c r="C834" s="10">
        <f t="shared" si="24"/>
        <v>1.9305019305019409E-2</v>
      </c>
      <c r="E834" s="7">
        <v>44698</v>
      </c>
      <c r="F834" s="9">
        <v>42726.06</v>
      </c>
      <c r="G834" s="10">
        <f t="shared" si="25"/>
        <v>1.3766976693168908E-3</v>
      </c>
      <c r="K834" s="13"/>
      <c r="L834" s="13"/>
      <c r="M834" s="13"/>
    </row>
    <row r="835" spans="1:13" x14ac:dyDescent="0.3">
      <c r="A835" s="7">
        <v>44699</v>
      </c>
      <c r="B835" s="8">
        <v>5.22</v>
      </c>
      <c r="C835" s="10">
        <f t="shared" si="24"/>
        <v>-1.1363636363636458E-2</v>
      </c>
      <c r="E835" s="7">
        <v>44699</v>
      </c>
      <c r="F835" s="9">
        <v>43026.879999999997</v>
      </c>
      <c r="G835" s="10">
        <f t="shared" si="25"/>
        <v>7.040667920234155E-3</v>
      </c>
      <c r="K835" s="13"/>
      <c r="L835" s="13"/>
      <c r="M835" s="13"/>
    </row>
    <row r="836" spans="1:13" x14ac:dyDescent="0.3">
      <c r="A836" s="7">
        <v>44700</v>
      </c>
      <c r="B836" s="8">
        <v>5.26</v>
      </c>
      <c r="C836" s="10">
        <f t="shared" si="24"/>
        <v>7.662835249042153E-3</v>
      </c>
      <c r="E836" s="7">
        <v>44700</v>
      </c>
      <c r="F836" s="9">
        <v>42983.45</v>
      </c>
      <c r="G836" s="10">
        <f t="shared" si="25"/>
        <v>-1.0093690269896468E-3</v>
      </c>
      <c r="K836" s="13"/>
      <c r="L836" s="13"/>
      <c r="M836" s="13"/>
    </row>
    <row r="837" spans="1:13" x14ac:dyDescent="0.3">
      <c r="A837" s="7">
        <v>44701</v>
      </c>
      <c r="B837" s="8">
        <v>5.26</v>
      </c>
      <c r="C837" s="10">
        <f t="shared" ref="C837:C900" si="26">(B837-B836)/B836</f>
        <v>0</v>
      </c>
      <c r="E837" s="7">
        <v>44701</v>
      </c>
      <c r="F837" s="9">
        <v>43100.7</v>
      </c>
      <c r="G837" s="10">
        <f t="shared" ref="G837:G900" si="27">(F837-F836)/F836</f>
        <v>2.7277940695779423E-3</v>
      </c>
      <c r="K837" s="13"/>
      <c r="L837" s="13"/>
      <c r="M837" s="13"/>
    </row>
    <row r="838" spans="1:13" x14ac:dyDescent="0.3">
      <c r="A838" s="7">
        <v>44704</v>
      </c>
      <c r="B838" s="8">
        <v>5.15</v>
      </c>
      <c r="C838" s="10">
        <f t="shared" si="26"/>
        <v>-2.0912547528517005E-2</v>
      </c>
      <c r="E838" s="7">
        <v>44704</v>
      </c>
      <c r="F838" s="9">
        <v>42440.25</v>
      </c>
      <c r="G838" s="10">
        <f t="shared" si="27"/>
        <v>-1.5323417021069197E-2</v>
      </c>
      <c r="K838" s="13"/>
      <c r="L838" s="13"/>
      <c r="M838" s="13"/>
    </row>
    <row r="839" spans="1:13" x14ac:dyDescent="0.3">
      <c r="A839" s="7">
        <v>44705</v>
      </c>
      <c r="B839" s="8">
        <v>5.16</v>
      </c>
      <c r="C839" s="10">
        <f t="shared" si="26"/>
        <v>1.9417475728154925E-3</v>
      </c>
      <c r="E839" s="7">
        <v>44705</v>
      </c>
      <c r="F839" s="9">
        <v>41950.32</v>
      </c>
      <c r="G839" s="10">
        <f t="shared" si="27"/>
        <v>-1.1543994203615678E-2</v>
      </c>
      <c r="K839" s="13"/>
      <c r="L839" s="13"/>
      <c r="M839" s="13"/>
    </row>
    <row r="840" spans="1:13" x14ac:dyDescent="0.3">
      <c r="A840" s="7">
        <v>44706</v>
      </c>
      <c r="B840" s="8">
        <v>5.29</v>
      </c>
      <c r="C840" s="10">
        <f t="shared" si="26"/>
        <v>2.5193798449612382E-2</v>
      </c>
      <c r="E840" s="7">
        <v>44706</v>
      </c>
      <c r="F840" s="9">
        <v>42012.66</v>
      </c>
      <c r="G840" s="10">
        <f t="shared" si="27"/>
        <v>1.4860434914442556E-3</v>
      </c>
      <c r="K840" s="13"/>
      <c r="L840" s="13"/>
      <c r="M840" s="13"/>
    </row>
    <row r="841" spans="1:13" x14ac:dyDescent="0.3">
      <c r="A841" s="7">
        <v>44707</v>
      </c>
      <c r="B841" s="8">
        <v>5.59</v>
      </c>
      <c r="C841" s="10">
        <f t="shared" si="26"/>
        <v>5.6710775047258945E-2</v>
      </c>
      <c r="E841" s="7">
        <v>44707</v>
      </c>
      <c r="F841" s="9">
        <v>42541.71</v>
      </c>
      <c r="G841" s="10">
        <f t="shared" si="27"/>
        <v>1.2592632792115414E-2</v>
      </c>
      <c r="K841" s="13"/>
      <c r="L841" s="13"/>
      <c r="M841" s="13"/>
    </row>
    <row r="842" spans="1:13" x14ac:dyDescent="0.3">
      <c r="A842" s="7">
        <v>44708</v>
      </c>
      <c r="B842" s="8">
        <v>5.73</v>
      </c>
      <c r="C842" s="10">
        <f t="shared" si="26"/>
        <v>2.5044722719141425E-2</v>
      </c>
      <c r="E842" s="7">
        <v>44708</v>
      </c>
      <c r="F842" s="9">
        <v>42861.45</v>
      </c>
      <c r="G842" s="10">
        <f t="shared" si="27"/>
        <v>7.5159179073901348E-3</v>
      </c>
      <c r="K842" s="13"/>
      <c r="L842" s="13"/>
      <c r="M842" s="13"/>
    </row>
    <row r="843" spans="1:13" x14ac:dyDescent="0.3">
      <c r="A843" s="7">
        <v>44711</v>
      </c>
      <c r="B843" s="8">
        <v>5.65</v>
      </c>
      <c r="C843" s="10">
        <f t="shared" si="26"/>
        <v>-1.3961605584642245E-2</v>
      </c>
      <c r="E843" s="7">
        <v>44711</v>
      </c>
      <c r="F843" s="9">
        <v>43040.14</v>
      </c>
      <c r="G843" s="10">
        <f t="shared" si="27"/>
        <v>4.1690143473914754E-3</v>
      </c>
      <c r="K843" s="13"/>
      <c r="L843" s="13"/>
      <c r="M843" s="13"/>
    </row>
    <row r="844" spans="1:13" x14ac:dyDescent="0.3">
      <c r="A844" s="7">
        <v>44712</v>
      </c>
      <c r="B844" s="8">
        <v>5.68</v>
      </c>
      <c r="C844" s="10">
        <f t="shared" si="26"/>
        <v>5.3097345132742226E-3</v>
      </c>
      <c r="E844" s="7">
        <v>44712</v>
      </c>
      <c r="F844" s="9">
        <v>43078.14</v>
      </c>
      <c r="G844" s="10">
        <f t="shared" si="27"/>
        <v>8.8289675637672187E-4</v>
      </c>
      <c r="K844" s="13"/>
      <c r="L844" s="13"/>
      <c r="M844" s="13"/>
    </row>
    <row r="845" spans="1:13" x14ac:dyDescent="0.3">
      <c r="A845" s="7">
        <v>44713</v>
      </c>
      <c r="B845" s="8">
        <v>5.57</v>
      </c>
      <c r="C845" s="10">
        <f t="shared" si="26"/>
        <v>-1.9366197183098493E-2</v>
      </c>
      <c r="E845" s="7">
        <v>44713</v>
      </c>
      <c r="F845" s="9">
        <v>42756.04</v>
      </c>
      <c r="G845" s="10">
        <f t="shared" si="27"/>
        <v>-7.4771102002082392E-3</v>
      </c>
      <c r="K845" s="13"/>
      <c r="L845" s="13"/>
      <c r="M845" s="13"/>
    </row>
    <row r="846" spans="1:13" x14ac:dyDescent="0.3">
      <c r="A846" s="7">
        <v>44714</v>
      </c>
      <c r="B846" s="8">
        <v>5.4</v>
      </c>
      <c r="C846" s="10">
        <f t="shared" si="26"/>
        <v>-3.0520646319569106E-2</v>
      </c>
      <c r="E846" s="7">
        <v>44714</v>
      </c>
      <c r="F846" s="9">
        <v>42237.91</v>
      </c>
      <c r="G846" s="10">
        <f t="shared" si="27"/>
        <v>-1.21182878489214E-2</v>
      </c>
      <c r="K846" s="13"/>
      <c r="L846" s="13"/>
      <c r="M846" s="13"/>
    </row>
    <row r="847" spans="1:13" x14ac:dyDescent="0.3">
      <c r="A847" s="7">
        <v>44715</v>
      </c>
      <c r="B847" s="8">
        <v>5.16</v>
      </c>
      <c r="C847" s="10">
        <f t="shared" si="26"/>
        <v>-4.4444444444444481E-2</v>
      </c>
      <c r="E847" s="7">
        <v>44715</v>
      </c>
      <c r="F847" s="9">
        <v>41314.879999999997</v>
      </c>
      <c r="G847" s="10">
        <f t="shared" si="27"/>
        <v>-2.1853117258879666E-2</v>
      </c>
      <c r="K847" s="13"/>
      <c r="L847" s="13"/>
      <c r="M847" s="13"/>
    </row>
    <row r="848" spans="1:13" x14ac:dyDescent="0.3">
      <c r="A848" s="7">
        <v>44718</v>
      </c>
      <c r="B848" s="8">
        <v>5.23</v>
      </c>
      <c r="C848" s="10">
        <f t="shared" si="26"/>
        <v>1.3565891472868272E-2</v>
      </c>
      <c r="E848" s="7">
        <v>44718</v>
      </c>
      <c r="F848" s="9">
        <v>41577.21</v>
      </c>
      <c r="G848" s="10">
        <f t="shared" si="27"/>
        <v>6.3495283055403223E-3</v>
      </c>
      <c r="K848" s="13"/>
      <c r="L848" s="13"/>
      <c r="M848" s="13"/>
    </row>
    <row r="849" spans="1:13" x14ac:dyDescent="0.3">
      <c r="A849" s="7">
        <v>44719</v>
      </c>
      <c r="B849" s="8">
        <v>5.23</v>
      </c>
      <c r="C849" s="10">
        <f t="shared" si="26"/>
        <v>0</v>
      </c>
      <c r="E849" s="7">
        <v>44719</v>
      </c>
      <c r="F849" s="9">
        <v>41568.410000000003</v>
      </c>
      <c r="G849" s="10">
        <f t="shared" si="27"/>
        <v>-2.1165441355963121E-4</v>
      </c>
      <c r="K849" s="13"/>
      <c r="L849" s="13"/>
      <c r="M849" s="13"/>
    </row>
    <row r="850" spans="1:13" x14ac:dyDescent="0.3">
      <c r="A850" s="7">
        <v>44720</v>
      </c>
      <c r="B850" s="8">
        <v>5.23</v>
      </c>
      <c r="C850" s="10">
        <f t="shared" si="26"/>
        <v>0</v>
      </c>
      <c r="E850" s="7">
        <v>44720</v>
      </c>
      <c r="F850" s="9">
        <v>41553.160000000003</v>
      </c>
      <c r="G850" s="10">
        <f t="shared" si="27"/>
        <v>-3.6686512666710125E-4</v>
      </c>
      <c r="K850" s="13"/>
      <c r="L850" s="13"/>
      <c r="M850" s="13"/>
    </row>
    <row r="851" spans="1:13" x14ac:dyDescent="0.3">
      <c r="A851" s="7">
        <v>44721</v>
      </c>
      <c r="B851" s="8">
        <v>5.22</v>
      </c>
      <c r="C851" s="10">
        <f t="shared" si="26"/>
        <v>-1.9120458891014674E-3</v>
      </c>
      <c r="E851" s="7">
        <v>44721</v>
      </c>
      <c r="F851" s="9">
        <v>41735.96</v>
      </c>
      <c r="G851" s="10">
        <f t="shared" si="27"/>
        <v>4.399184081306828E-3</v>
      </c>
      <c r="K851" s="13"/>
      <c r="L851" s="13"/>
      <c r="M851" s="13"/>
    </row>
    <row r="852" spans="1:13" x14ac:dyDescent="0.3">
      <c r="A852" s="7">
        <v>44722</v>
      </c>
      <c r="B852" s="8">
        <v>5.26</v>
      </c>
      <c r="C852" s="10">
        <f t="shared" si="26"/>
        <v>7.662835249042153E-3</v>
      </c>
      <c r="E852" s="7">
        <v>44722</v>
      </c>
      <c r="F852" s="9">
        <v>42014.73</v>
      </c>
      <c r="G852" s="10">
        <f t="shared" si="27"/>
        <v>6.6793719372935014E-3</v>
      </c>
      <c r="K852" s="13"/>
      <c r="L852" s="13"/>
      <c r="M852" s="13"/>
    </row>
    <row r="853" spans="1:13" x14ac:dyDescent="0.3">
      <c r="A853" s="7">
        <v>44725</v>
      </c>
      <c r="B853" s="8">
        <v>5.1100000000000003</v>
      </c>
      <c r="C853" s="10">
        <f t="shared" si="26"/>
        <v>-2.8517110266159596E-2</v>
      </c>
      <c r="E853" s="7">
        <v>44725</v>
      </c>
      <c r="F853" s="9">
        <v>40879.93</v>
      </c>
      <c r="G853" s="10">
        <f t="shared" si="27"/>
        <v>-2.7009574975252793E-2</v>
      </c>
      <c r="K853" s="13"/>
      <c r="L853" s="13"/>
      <c r="M853" s="13"/>
    </row>
    <row r="854" spans="1:13" x14ac:dyDescent="0.3">
      <c r="A854" s="7">
        <v>44726</v>
      </c>
      <c r="B854" s="8">
        <v>5.19</v>
      </c>
      <c r="C854" s="10">
        <f t="shared" si="26"/>
        <v>1.5655577299412929E-2</v>
      </c>
      <c r="E854" s="7">
        <v>44726</v>
      </c>
      <c r="F854" s="9">
        <v>41054.68</v>
      </c>
      <c r="G854" s="10">
        <f t="shared" si="27"/>
        <v>4.2747137776410083E-3</v>
      </c>
      <c r="K854" s="13"/>
      <c r="L854" s="13"/>
      <c r="M854" s="13"/>
    </row>
    <row r="855" spans="1:13" x14ac:dyDescent="0.3">
      <c r="A855" s="7">
        <v>44727</v>
      </c>
      <c r="B855" s="8">
        <v>5.16</v>
      </c>
      <c r="C855" s="10">
        <f t="shared" si="26"/>
        <v>-5.780346820809296E-3</v>
      </c>
      <c r="E855" s="7">
        <v>44727</v>
      </c>
      <c r="F855" s="9">
        <v>41438.79</v>
      </c>
      <c r="G855" s="10">
        <f t="shared" si="27"/>
        <v>9.3560587976815445E-3</v>
      </c>
      <c r="K855" s="13"/>
      <c r="L855" s="13"/>
      <c r="M855" s="13"/>
    </row>
    <row r="856" spans="1:13" x14ac:dyDescent="0.3">
      <c r="A856" s="7">
        <v>44728</v>
      </c>
      <c r="B856" s="8">
        <v>5.14</v>
      </c>
      <c r="C856" s="10">
        <f t="shared" si="26"/>
        <v>-3.8759689922481513E-3</v>
      </c>
      <c r="E856" s="7">
        <v>44728</v>
      </c>
      <c r="F856" s="9">
        <v>41730.160000000003</v>
      </c>
      <c r="G856" s="10">
        <f t="shared" si="27"/>
        <v>7.0313346504567971E-3</v>
      </c>
      <c r="K856" s="13"/>
      <c r="L856" s="13"/>
      <c r="M856" s="13"/>
    </row>
    <row r="857" spans="1:13" x14ac:dyDescent="0.3">
      <c r="A857" s="7">
        <v>44729</v>
      </c>
      <c r="B857" s="8">
        <v>5.37</v>
      </c>
      <c r="C857" s="10">
        <f t="shared" si="26"/>
        <v>4.4747081712062341E-2</v>
      </c>
      <c r="E857" s="7">
        <v>44729</v>
      </c>
      <c r="F857" s="9">
        <v>42140.76</v>
      </c>
      <c r="G857" s="10">
        <f t="shared" si="27"/>
        <v>9.8394063190747061E-3</v>
      </c>
      <c r="K857" s="13"/>
      <c r="L857" s="13"/>
      <c r="M857" s="13"/>
    </row>
    <row r="858" spans="1:13" x14ac:dyDescent="0.3">
      <c r="A858" s="7">
        <v>44732</v>
      </c>
      <c r="B858" s="8">
        <v>5.31</v>
      </c>
      <c r="C858" s="10">
        <f t="shared" si="26"/>
        <v>-1.1173184357541992E-2</v>
      </c>
      <c r="E858" s="7">
        <v>44732</v>
      </c>
      <c r="F858" s="9">
        <v>41776.980000000003</v>
      </c>
      <c r="G858" s="10">
        <f t="shared" si="27"/>
        <v>-8.6324973730895881E-3</v>
      </c>
      <c r="K858" s="13"/>
      <c r="L858" s="13"/>
      <c r="M858" s="13"/>
    </row>
    <row r="859" spans="1:13" x14ac:dyDescent="0.3">
      <c r="A859" s="7">
        <v>44733</v>
      </c>
      <c r="B859" s="8">
        <v>5.66</v>
      </c>
      <c r="C859" s="10">
        <f t="shared" si="26"/>
        <v>6.5913370998116866E-2</v>
      </c>
      <c r="E859" s="7">
        <v>44733</v>
      </c>
      <c r="F859" s="9">
        <v>42525.95</v>
      </c>
      <c r="G859" s="10">
        <f t="shared" si="27"/>
        <v>1.7927815749247403E-2</v>
      </c>
      <c r="K859" s="13"/>
      <c r="L859" s="13"/>
      <c r="M859" s="13"/>
    </row>
    <row r="860" spans="1:13" x14ac:dyDescent="0.3">
      <c r="A860" s="7">
        <v>44734</v>
      </c>
      <c r="B860" s="8">
        <v>5.56</v>
      </c>
      <c r="C860" s="10">
        <f t="shared" si="26"/>
        <v>-1.7667844522968292E-2</v>
      </c>
      <c r="E860" s="7">
        <v>44734</v>
      </c>
      <c r="F860" s="9">
        <v>42458.14</v>
      </c>
      <c r="G860" s="10">
        <f t="shared" si="27"/>
        <v>-1.5945557947558532E-3</v>
      </c>
      <c r="K860" s="13"/>
      <c r="L860" s="13"/>
      <c r="M860" s="13"/>
    </row>
    <row r="861" spans="1:13" x14ac:dyDescent="0.3">
      <c r="A861" s="7">
        <v>44735</v>
      </c>
      <c r="B861" s="8">
        <v>5.78</v>
      </c>
      <c r="C861" s="10">
        <f t="shared" si="26"/>
        <v>3.9568345323741122E-2</v>
      </c>
      <c r="E861" s="7">
        <v>44735</v>
      </c>
      <c r="F861" s="9">
        <v>42716.97</v>
      </c>
      <c r="G861" s="10">
        <f t="shared" si="27"/>
        <v>6.0961219686025284E-3</v>
      </c>
      <c r="K861" s="13"/>
      <c r="L861" s="13"/>
      <c r="M861" s="13"/>
    </row>
    <row r="862" spans="1:13" x14ac:dyDescent="0.3">
      <c r="A862" s="7">
        <v>44736</v>
      </c>
      <c r="B862" s="8">
        <v>5.35</v>
      </c>
      <c r="C862" s="10">
        <f t="shared" si="26"/>
        <v>-7.4394463667820168E-2</v>
      </c>
      <c r="E862" s="7">
        <v>44736</v>
      </c>
      <c r="F862" s="9">
        <v>41051.79</v>
      </c>
      <c r="G862" s="10">
        <f t="shared" si="27"/>
        <v>-3.8981697437809854E-2</v>
      </c>
      <c r="K862" s="13"/>
      <c r="L862" s="13"/>
      <c r="M862" s="13"/>
    </row>
    <row r="863" spans="1:13" x14ac:dyDescent="0.3">
      <c r="A863" s="7">
        <v>44739</v>
      </c>
      <c r="B863" s="8">
        <v>5.49</v>
      </c>
      <c r="C863" s="10">
        <f t="shared" si="26"/>
        <v>2.616822429906553E-2</v>
      </c>
      <c r="E863" s="7">
        <v>44739</v>
      </c>
      <c r="F863" s="9">
        <v>41878.57</v>
      </c>
      <c r="G863" s="10">
        <f t="shared" si="27"/>
        <v>2.0139925688989417E-2</v>
      </c>
      <c r="K863" s="13"/>
      <c r="L863" s="13"/>
      <c r="M863" s="13"/>
    </row>
    <row r="864" spans="1:13" x14ac:dyDescent="0.3">
      <c r="A864" s="7">
        <v>44740</v>
      </c>
      <c r="B864" s="8">
        <v>5.39</v>
      </c>
      <c r="C864" s="10">
        <f t="shared" si="26"/>
        <v>-1.8214936247723228E-2</v>
      </c>
      <c r="E864" s="7">
        <v>44740</v>
      </c>
      <c r="F864" s="9">
        <v>41765.620000000003</v>
      </c>
      <c r="G864" s="10">
        <f t="shared" si="27"/>
        <v>-2.6970834964039386E-3</v>
      </c>
      <c r="K864" s="13"/>
      <c r="L864" s="13"/>
      <c r="M864" s="13"/>
    </row>
    <row r="865" spans="1:13" x14ac:dyDescent="0.3">
      <c r="A865" s="7">
        <v>44741</v>
      </c>
      <c r="B865" s="8">
        <v>5.37</v>
      </c>
      <c r="C865" s="10">
        <f t="shared" si="26"/>
        <v>-3.7105751391464888E-3</v>
      </c>
      <c r="E865" s="7">
        <v>44741</v>
      </c>
      <c r="F865" s="9">
        <v>41297.730000000003</v>
      </c>
      <c r="G865" s="10">
        <f t="shared" si="27"/>
        <v>-1.120275480167658E-2</v>
      </c>
      <c r="K865" s="13"/>
      <c r="L865" s="13"/>
      <c r="M865" s="13"/>
    </row>
    <row r="866" spans="1:13" x14ac:dyDescent="0.3">
      <c r="A866" s="7">
        <v>44742</v>
      </c>
      <c r="B866" s="8">
        <v>5.34</v>
      </c>
      <c r="C866" s="10">
        <f t="shared" si="26"/>
        <v>-5.5865921787709959E-3</v>
      </c>
      <c r="E866" s="7">
        <v>44742</v>
      </c>
      <c r="F866" s="9">
        <v>41540.83</v>
      </c>
      <c r="G866" s="10">
        <f t="shared" si="27"/>
        <v>5.8865220921343261E-3</v>
      </c>
      <c r="K866" s="13"/>
      <c r="L866" s="13"/>
      <c r="M866" s="13"/>
    </row>
    <row r="867" spans="1:13" x14ac:dyDescent="0.3">
      <c r="A867" s="7">
        <v>44743</v>
      </c>
      <c r="B867" s="8">
        <v>5.33</v>
      </c>
      <c r="C867" s="10">
        <f t="shared" si="26"/>
        <v>-1.8726591760299227E-3</v>
      </c>
      <c r="E867" s="7">
        <v>44743</v>
      </c>
      <c r="F867" s="9">
        <v>41630.35</v>
      </c>
      <c r="G867" s="10">
        <f t="shared" si="27"/>
        <v>2.1549882368743427E-3</v>
      </c>
      <c r="K867" s="13"/>
      <c r="L867" s="13"/>
      <c r="M867" s="13"/>
    </row>
    <row r="868" spans="1:13" x14ac:dyDescent="0.3">
      <c r="A868" s="7">
        <v>44746</v>
      </c>
      <c r="B868" s="8">
        <v>5.3</v>
      </c>
      <c r="C868" s="10">
        <f t="shared" si="26"/>
        <v>-5.6285178236398217E-3</v>
      </c>
      <c r="E868" s="7">
        <v>44746</v>
      </c>
      <c r="F868" s="9">
        <v>41348.19</v>
      </c>
      <c r="G868" s="10">
        <f t="shared" si="27"/>
        <v>-6.7777474847075803E-3</v>
      </c>
      <c r="K868" s="13"/>
      <c r="L868" s="13"/>
      <c r="M868" s="13"/>
    </row>
    <row r="869" spans="1:13" x14ac:dyDescent="0.3">
      <c r="A869" s="7">
        <v>44747</v>
      </c>
      <c r="B869" s="8">
        <v>5.25</v>
      </c>
      <c r="C869" s="10">
        <f t="shared" si="26"/>
        <v>-9.4339622641509101E-3</v>
      </c>
      <c r="E869" s="7">
        <v>44747</v>
      </c>
      <c r="F869" s="9">
        <v>41102.57</v>
      </c>
      <c r="G869" s="10">
        <f t="shared" si="27"/>
        <v>-5.9402842059108904E-3</v>
      </c>
      <c r="K869" s="13"/>
      <c r="L869" s="13"/>
      <c r="M869" s="13"/>
    </row>
    <row r="870" spans="1:13" x14ac:dyDescent="0.3">
      <c r="A870" s="7">
        <v>44748</v>
      </c>
      <c r="B870" s="8">
        <v>5.27</v>
      </c>
      <c r="C870" s="10">
        <f t="shared" si="26"/>
        <v>3.8095238095237284E-3</v>
      </c>
      <c r="E870" s="7">
        <v>44748</v>
      </c>
      <c r="F870" s="9">
        <v>41159.79</v>
      </c>
      <c r="G870" s="10">
        <f t="shared" si="27"/>
        <v>1.392127061641186E-3</v>
      </c>
      <c r="K870" s="13"/>
      <c r="L870" s="13"/>
      <c r="M870" s="13"/>
    </row>
    <row r="871" spans="1:13" x14ac:dyDescent="0.3">
      <c r="A871" s="7">
        <v>44749</v>
      </c>
      <c r="B871" s="8">
        <v>5.29</v>
      </c>
      <c r="C871" s="10">
        <f t="shared" si="26"/>
        <v>3.7950664136623272E-3</v>
      </c>
      <c r="E871" s="7">
        <v>44749</v>
      </c>
      <c r="F871" s="9">
        <v>41344.01</v>
      </c>
      <c r="G871" s="10">
        <f t="shared" si="27"/>
        <v>4.4757274028852231E-3</v>
      </c>
      <c r="K871" s="13"/>
      <c r="L871" s="13"/>
      <c r="M871" s="13"/>
    </row>
    <row r="872" spans="1:13" x14ac:dyDescent="0.3">
      <c r="A872" s="7">
        <v>44755</v>
      </c>
      <c r="B872" s="8">
        <v>5.43</v>
      </c>
      <c r="C872" s="10">
        <f t="shared" si="26"/>
        <v>2.6465028355387464E-2</v>
      </c>
      <c r="E872" s="7">
        <v>44755</v>
      </c>
      <c r="F872" s="9">
        <v>41862.769999999997</v>
      </c>
      <c r="G872" s="10">
        <f t="shared" si="27"/>
        <v>1.2547404085863823E-2</v>
      </c>
      <c r="K872" s="13"/>
      <c r="L872" s="13"/>
      <c r="M872" s="13"/>
    </row>
    <row r="873" spans="1:13" x14ac:dyDescent="0.3">
      <c r="A873" s="7">
        <v>44756</v>
      </c>
      <c r="B873" s="8">
        <v>5.47</v>
      </c>
      <c r="C873" s="10">
        <f t="shared" si="26"/>
        <v>7.3664825046040588E-3</v>
      </c>
      <c r="E873" s="7">
        <v>44756</v>
      </c>
      <c r="F873" s="9">
        <v>42348.91</v>
      </c>
      <c r="G873" s="10">
        <f t="shared" si="27"/>
        <v>1.1612705036002317E-2</v>
      </c>
      <c r="K873" s="13"/>
      <c r="L873" s="13"/>
      <c r="M873" s="13"/>
    </row>
    <row r="874" spans="1:13" x14ac:dyDescent="0.3">
      <c r="A874" s="7">
        <v>44757</v>
      </c>
      <c r="B874" s="8">
        <v>5.31</v>
      </c>
      <c r="C874" s="10">
        <f t="shared" si="26"/>
        <v>-2.9250457038391253E-2</v>
      </c>
      <c r="E874" s="7">
        <v>44757</v>
      </c>
      <c r="F874" s="9">
        <v>42074.91</v>
      </c>
      <c r="G874" s="10">
        <f t="shared" si="27"/>
        <v>-6.4700602683752662E-3</v>
      </c>
      <c r="K874" s="13"/>
      <c r="L874" s="13"/>
      <c r="M874" s="13"/>
    </row>
    <row r="875" spans="1:13" x14ac:dyDescent="0.3">
      <c r="A875" s="7">
        <v>44760</v>
      </c>
      <c r="B875" s="8">
        <v>5.18</v>
      </c>
      <c r="C875" s="10">
        <f t="shared" si="26"/>
        <v>-2.4482109227871921E-2</v>
      </c>
      <c r="E875" s="7">
        <v>44760</v>
      </c>
      <c r="F875" s="9">
        <v>41367.11</v>
      </c>
      <c r="G875" s="10">
        <f t="shared" si="27"/>
        <v>-1.682237704132945E-2</v>
      </c>
      <c r="K875" s="13"/>
      <c r="L875" s="13"/>
      <c r="M875" s="13"/>
    </row>
    <row r="876" spans="1:13" x14ac:dyDescent="0.3">
      <c r="A876" s="7">
        <v>44761</v>
      </c>
      <c r="B876" s="8">
        <v>5.0199999999999996</v>
      </c>
      <c r="C876" s="10">
        <f t="shared" si="26"/>
        <v>-3.0888030888030917E-2</v>
      </c>
      <c r="E876" s="7">
        <v>44761</v>
      </c>
      <c r="F876" s="9">
        <v>40389.07</v>
      </c>
      <c r="G876" s="10">
        <f t="shared" si="27"/>
        <v>-2.3642937589790556E-2</v>
      </c>
      <c r="K876" s="13"/>
      <c r="L876" s="13"/>
      <c r="M876" s="13"/>
    </row>
    <row r="877" spans="1:13" x14ac:dyDescent="0.3">
      <c r="A877" s="7">
        <v>44762</v>
      </c>
      <c r="B877" s="8">
        <v>5</v>
      </c>
      <c r="C877" s="10">
        <f t="shared" si="26"/>
        <v>-3.9840637450198361E-3</v>
      </c>
      <c r="E877" s="7">
        <v>44762</v>
      </c>
      <c r="F877" s="9">
        <v>40459.699999999997</v>
      </c>
      <c r="G877" s="10">
        <f t="shared" si="27"/>
        <v>1.7487404389355185E-3</v>
      </c>
      <c r="K877" s="13"/>
      <c r="L877" s="13"/>
      <c r="M877" s="13"/>
    </row>
    <row r="878" spans="1:13" x14ac:dyDescent="0.3">
      <c r="A878" s="7">
        <v>44763</v>
      </c>
      <c r="B878" s="8">
        <v>4.87</v>
      </c>
      <c r="C878" s="10">
        <f t="shared" si="26"/>
        <v>-2.5999999999999978E-2</v>
      </c>
      <c r="E878" s="7">
        <v>44763</v>
      </c>
      <c r="F878" s="9">
        <v>39831.75</v>
      </c>
      <c r="G878" s="10">
        <f t="shared" si="27"/>
        <v>-1.5520382009752844E-2</v>
      </c>
      <c r="K878" s="13"/>
      <c r="L878" s="13"/>
      <c r="M878" s="13"/>
    </row>
    <row r="879" spans="1:13" x14ac:dyDescent="0.3">
      <c r="A879" s="7">
        <v>44764</v>
      </c>
      <c r="B879" s="8">
        <v>4.95</v>
      </c>
      <c r="C879" s="10">
        <f t="shared" si="26"/>
        <v>1.6427104722792622E-2</v>
      </c>
      <c r="E879" s="7">
        <v>44764</v>
      </c>
      <c r="F879" s="9">
        <v>40077.300000000003</v>
      </c>
      <c r="G879" s="10">
        <f t="shared" si="27"/>
        <v>6.1646801860325727E-3</v>
      </c>
      <c r="K879" s="13"/>
      <c r="L879" s="13"/>
      <c r="M879" s="13"/>
    </row>
    <row r="880" spans="1:13" x14ac:dyDescent="0.3">
      <c r="A880" s="7">
        <v>44767</v>
      </c>
      <c r="B880" s="8">
        <v>4.95</v>
      </c>
      <c r="C880" s="10">
        <f t="shared" si="26"/>
        <v>0</v>
      </c>
      <c r="E880" s="7">
        <v>44767</v>
      </c>
      <c r="F880" s="9">
        <v>39844.019999999997</v>
      </c>
      <c r="G880" s="10">
        <f t="shared" si="27"/>
        <v>-5.8207513979236652E-3</v>
      </c>
      <c r="K880" s="13"/>
      <c r="L880" s="13"/>
      <c r="M880" s="13"/>
    </row>
    <row r="881" spans="1:13" x14ac:dyDescent="0.3">
      <c r="A881" s="7">
        <v>44768</v>
      </c>
      <c r="B881" s="8">
        <v>4.8499999999999996</v>
      </c>
      <c r="C881" s="10">
        <f t="shared" si="26"/>
        <v>-2.0202020202020308E-2</v>
      </c>
      <c r="E881" s="7">
        <v>44768</v>
      </c>
      <c r="F881" s="9">
        <v>39894.050000000003</v>
      </c>
      <c r="G881" s="10">
        <f t="shared" si="27"/>
        <v>1.2556463931100857E-3</v>
      </c>
      <c r="K881" s="13"/>
      <c r="L881" s="13"/>
      <c r="M881" s="13"/>
    </row>
    <row r="882" spans="1:13" x14ac:dyDescent="0.3">
      <c r="A882" s="7">
        <v>44769</v>
      </c>
      <c r="B882" s="8">
        <v>4.8</v>
      </c>
      <c r="C882" s="10">
        <f t="shared" si="26"/>
        <v>-1.0309278350515427E-2</v>
      </c>
      <c r="E882" s="7">
        <v>44769</v>
      </c>
      <c r="F882" s="9">
        <v>39972.639999999999</v>
      </c>
      <c r="G882" s="10">
        <f t="shared" si="27"/>
        <v>1.9699679526144001E-3</v>
      </c>
      <c r="K882" s="13"/>
      <c r="L882" s="13"/>
      <c r="M882" s="13"/>
    </row>
    <row r="883" spans="1:13" x14ac:dyDescent="0.3">
      <c r="A883" s="7">
        <v>44770</v>
      </c>
      <c r="B883" s="8">
        <v>4.83</v>
      </c>
      <c r="C883" s="10">
        <f t="shared" si="26"/>
        <v>6.2500000000000524E-3</v>
      </c>
      <c r="E883" s="7">
        <v>44770</v>
      </c>
      <c r="F883" s="9">
        <v>40276.639999999999</v>
      </c>
      <c r="G883" s="10">
        <f t="shared" si="27"/>
        <v>7.6052019581393671E-3</v>
      </c>
      <c r="K883" s="13"/>
      <c r="L883" s="13"/>
      <c r="M883" s="13"/>
    </row>
    <row r="884" spans="1:13" x14ac:dyDescent="0.3">
      <c r="A884" s="7">
        <v>44771</v>
      </c>
      <c r="B884" s="8">
        <v>4.79</v>
      </c>
      <c r="C884" s="10">
        <f t="shared" si="26"/>
        <v>-8.2815734989648108E-3</v>
      </c>
      <c r="E884" s="7">
        <v>44771</v>
      </c>
      <c r="F884" s="9">
        <v>40150.36</v>
      </c>
      <c r="G884" s="10">
        <f t="shared" si="27"/>
        <v>-3.1353161534824862E-3</v>
      </c>
      <c r="K884" s="13"/>
      <c r="L884" s="13"/>
      <c r="M884" s="13"/>
    </row>
    <row r="885" spans="1:13" x14ac:dyDescent="0.3">
      <c r="A885" s="7">
        <v>44774</v>
      </c>
      <c r="B885" s="8">
        <v>4.82</v>
      </c>
      <c r="C885" s="10">
        <f t="shared" si="26"/>
        <v>6.2630480167015137E-3</v>
      </c>
      <c r="E885" s="7">
        <v>44774</v>
      </c>
      <c r="F885" s="9">
        <v>40075.96</v>
      </c>
      <c r="G885" s="10">
        <f t="shared" si="27"/>
        <v>-1.8530344435268189E-3</v>
      </c>
      <c r="K885" s="13"/>
      <c r="L885" s="13"/>
      <c r="M885" s="13"/>
    </row>
    <row r="886" spans="1:13" x14ac:dyDescent="0.3">
      <c r="A886" s="7">
        <v>44775</v>
      </c>
      <c r="B886" s="8">
        <v>4.91</v>
      </c>
      <c r="C886" s="10">
        <f t="shared" si="26"/>
        <v>1.867219917012445E-2</v>
      </c>
      <c r="E886" s="7">
        <v>44775</v>
      </c>
      <c r="F886" s="9">
        <v>40191.61</v>
      </c>
      <c r="G886" s="10">
        <f t="shared" si="27"/>
        <v>2.885769922916418E-3</v>
      </c>
      <c r="K886" s="13"/>
      <c r="L886" s="13"/>
      <c r="M886" s="13"/>
    </row>
    <row r="887" spans="1:13" x14ac:dyDescent="0.3">
      <c r="A887" s="7">
        <v>44776</v>
      </c>
      <c r="B887" s="8">
        <v>5.03</v>
      </c>
      <c r="C887" s="10">
        <f t="shared" si="26"/>
        <v>2.4439918533604908E-2</v>
      </c>
      <c r="E887" s="7">
        <v>44776</v>
      </c>
      <c r="F887" s="9">
        <v>41068.870000000003</v>
      </c>
      <c r="G887" s="10">
        <f t="shared" si="27"/>
        <v>2.1826943483975934E-2</v>
      </c>
      <c r="K887" s="13"/>
      <c r="L887" s="13"/>
      <c r="M887" s="13"/>
    </row>
    <row r="888" spans="1:13" x14ac:dyDescent="0.3">
      <c r="A888" s="7">
        <v>44777</v>
      </c>
      <c r="B888" s="8">
        <v>5</v>
      </c>
      <c r="C888" s="10">
        <f t="shared" si="26"/>
        <v>-5.9642147117296715E-3</v>
      </c>
      <c r="E888" s="7">
        <v>44777</v>
      </c>
      <c r="F888" s="9">
        <v>41425.370000000003</v>
      </c>
      <c r="G888" s="10">
        <f t="shared" si="27"/>
        <v>8.6805407599478621E-3</v>
      </c>
      <c r="K888" s="13"/>
      <c r="L888" s="13"/>
      <c r="M888" s="13"/>
    </row>
    <row r="889" spans="1:13" x14ac:dyDescent="0.3">
      <c r="A889" s="7">
        <v>44778</v>
      </c>
      <c r="B889" s="8">
        <v>5.51</v>
      </c>
      <c r="C889" s="10">
        <f t="shared" si="26"/>
        <v>0.10199999999999995</v>
      </c>
      <c r="E889" s="7">
        <v>44778</v>
      </c>
      <c r="F889" s="9">
        <v>42096.24</v>
      </c>
      <c r="G889" s="10">
        <f t="shared" si="27"/>
        <v>1.6194665249821435E-2</v>
      </c>
      <c r="K889" s="13"/>
      <c r="L889" s="13"/>
      <c r="M889" s="13"/>
    </row>
    <row r="890" spans="1:13" x14ac:dyDescent="0.3">
      <c r="A890" s="7">
        <v>44783</v>
      </c>
      <c r="B890" s="8">
        <v>5.47</v>
      </c>
      <c r="C890" s="10">
        <f t="shared" si="26"/>
        <v>-7.259528130671513E-3</v>
      </c>
      <c r="E890" s="7">
        <v>44783</v>
      </c>
      <c r="F890" s="9">
        <v>42494.85</v>
      </c>
      <c r="G890" s="10">
        <f t="shared" si="27"/>
        <v>9.4690167102810269E-3</v>
      </c>
      <c r="K890" s="13"/>
      <c r="L890" s="13"/>
      <c r="M890" s="13"/>
    </row>
    <row r="891" spans="1:13" x14ac:dyDescent="0.3">
      <c r="A891" s="7">
        <v>44784</v>
      </c>
      <c r="B891" s="8">
        <v>5.39</v>
      </c>
      <c r="C891" s="10">
        <f t="shared" si="26"/>
        <v>-1.4625228519195626E-2</v>
      </c>
      <c r="E891" s="7">
        <v>44784</v>
      </c>
      <c r="F891" s="9">
        <v>42243.33</v>
      </c>
      <c r="G891" s="10">
        <f t="shared" si="27"/>
        <v>-5.9188348705783598E-3</v>
      </c>
      <c r="K891" s="13"/>
      <c r="L891" s="13"/>
      <c r="M891" s="13"/>
    </row>
    <row r="892" spans="1:13" x14ac:dyDescent="0.3">
      <c r="A892" s="7">
        <v>44785</v>
      </c>
      <c r="B892" s="8">
        <v>5.69</v>
      </c>
      <c r="C892" s="10">
        <f t="shared" si="26"/>
        <v>5.5658627087198653E-2</v>
      </c>
      <c r="E892" s="7">
        <v>44785</v>
      </c>
      <c r="F892" s="9">
        <v>42857.57</v>
      </c>
      <c r="G892" s="10">
        <f t="shared" si="27"/>
        <v>1.454052036143926E-2</v>
      </c>
      <c r="K892" s="13"/>
      <c r="L892" s="13"/>
      <c r="M892" s="13"/>
    </row>
    <row r="893" spans="1:13" x14ac:dyDescent="0.3">
      <c r="A893" s="7">
        <v>44788</v>
      </c>
      <c r="B893" s="8">
        <v>5.76</v>
      </c>
      <c r="C893" s="10">
        <f t="shared" si="26"/>
        <v>1.2302284710017469E-2</v>
      </c>
      <c r="E893" s="7">
        <v>44788</v>
      </c>
      <c r="F893" s="9">
        <v>43621.82</v>
      </c>
      <c r="G893" s="10">
        <f t="shared" si="27"/>
        <v>1.7832322271188032E-2</v>
      </c>
      <c r="K893" s="13"/>
      <c r="L893" s="13"/>
      <c r="M893" s="13"/>
    </row>
    <row r="894" spans="1:13" x14ac:dyDescent="0.3">
      <c r="A894" s="7">
        <v>44789</v>
      </c>
      <c r="B894" s="8">
        <v>5.59</v>
      </c>
      <c r="C894" s="10">
        <f t="shared" si="26"/>
        <v>-2.9513888888888878E-2</v>
      </c>
      <c r="E894" s="7">
        <v>44789</v>
      </c>
      <c r="F894" s="9">
        <v>43436.480000000003</v>
      </c>
      <c r="G894" s="10">
        <f t="shared" si="27"/>
        <v>-4.2487910866625123E-3</v>
      </c>
      <c r="K894" s="13"/>
      <c r="L894" s="13"/>
      <c r="M894" s="13"/>
    </row>
    <row r="895" spans="1:13" x14ac:dyDescent="0.3">
      <c r="A895" s="7">
        <v>44790</v>
      </c>
      <c r="B895" s="8">
        <v>5.67</v>
      </c>
      <c r="C895" s="10">
        <f t="shared" si="26"/>
        <v>1.4311270125223626E-2</v>
      </c>
      <c r="E895" s="7">
        <v>44790</v>
      </c>
      <c r="F895" s="9">
        <v>43676.56</v>
      </c>
      <c r="G895" s="10">
        <f t="shared" si="27"/>
        <v>5.5271513713817154E-3</v>
      </c>
      <c r="K895" s="13"/>
      <c r="L895" s="13"/>
      <c r="M895" s="13"/>
    </row>
    <row r="896" spans="1:13" x14ac:dyDescent="0.3">
      <c r="A896" s="7">
        <v>44791</v>
      </c>
      <c r="B896" s="8">
        <v>5.85</v>
      </c>
      <c r="C896" s="10">
        <f t="shared" si="26"/>
        <v>3.1746031746031696E-2</v>
      </c>
      <c r="E896" s="7">
        <v>44791</v>
      </c>
      <c r="F896" s="9">
        <v>43481.5</v>
      </c>
      <c r="G896" s="10">
        <f t="shared" si="27"/>
        <v>-4.4660110594789901E-3</v>
      </c>
      <c r="K896" s="13"/>
      <c r="L896" s="13"/>
      <c r="M896" s="13"/>
    </row>
    <row r="897" spans="1:13" x14ac:dyDescent="0.3">
      <c r="A897" s="7">
        <v>44792</v>
      </c>
      <c r="B897" s="8">
        <v>5.84</v>
      </c>
      <c r="C897" s="10">
        <f t="shared" si="26"/>
        <v>-1.709401709401673E-3</v>
      </c>
      <c r="E897" s="7">
        <v>44792</v>
      </c>
      <c r="F897" s="9">
        <v>43270.65</v>
      </c>
      <c r="G897" s="10">
        <f t="shared" si="27"/>
        <v>-4.8491887354391765E-3</v>
      </c>
      <c r="K897" s="13"/>
      <c r="L897" s="13"/>
      <c r="M897" s="13"/>
    </row>
    <row r="898" spans="1:13" x14ac:dyDescent="0.3">
      <c r="A898" s="7">
        <v>44795</v>
      </c>
      <c r="B898" s="8">
        <v>5.65</v>
      </c>
      <c r="C898" s="10">
        <f t="shared" si="26"/>
        <v>-3.2534246575342381E-2</v>
      </c>
      <c r="E898" s="7">
        <v>44795</v>
      </c>
      <c r="F898" s="9">
        <v>42826.66</v>
      </c>
      <c r="G898" s="10">
        <f t="shared" si="27"/>
        <v>-1.0260765669108229E-2</v>
      </c>
      <c r="K898" s="13"/>
      <c r="L898" s="13"/>
      <c r="M898" s="13"/>
    </row>
    <row r="899" spans="1:13" x14ac:dyDescent="0.3">
      <c r="A899" s="7">
        <v>44796</v>
      </c>
      <c r="B899" s="8">
        <v>5.67</v>
      </c>
      <c r="C899" s="10">
        <f t="shared" si="26"/>
        <v>3.539823008849482E-3</v>
      </c>
      <c r="E899" s="7">
        <v>44796</v>
      </c>
      <c r="F899" s="9">
        <v>43366.78</v>
      </c>
      <c r="G899" s="10">
        <f t="shared" si="27"/>
        <v>1.2611770331844588E-2</v>
      </c>
      <c r="K899" s="13"/>
      <c r="L899" s="13"/>
      <c r="M899" s="13"/>
    </row>
    <row r="900" spans="1:13" x14ac:dyDescent="0.3">
      <c r="A900" s="7">
        <v>44797</v>
      </c>
      <c r="B900" s="8">
        <v>5.7</v>
      </c>
      <c r="C900" s="10">
        <f t="shared" si="26"/>
        <v>5.2910052910053349E-3</v>
      </c>
      <c r="E900" s="7">
        <v>44797</v>
      </c>
      <c r="F900" s="9">
        <v>43337.97</v>
      </c>
      <c r="G900" s="10">
        <f t="shared" si="27"/>
        <v>-6.6433339067363713E-4</v>
      </c>
      <c r="K900" s="13"/>
      <c r="L900" s="13"/>
      <c r="M900" s="13"/>
    </row>
    <row r="901" spans="1:13" x14ac:dyDescent="0.3">
      <c r="A901" s="7">
        <v>44798</v>
      </c>
      <c r="B901" s="8">
        <v>5.64</v>
      </c>
      <c r="C901" s="10">
        <f t="shared" ref="C901:C964" si="28">(B901-B900)/B900</f>
        <v>-1.0526315789473771E-2</v>
      </c>
      <c r="E901" s="7">
        <v>44798</v>
      </c>
      <c r="F901" s="9">
        <v>43032.57</v>
      </c>
      <c r="G901" s="10">
        <f t="shared" ref="G901:G964" si="29">(F901-F900)/F900</f>
        <v>-7.0469382852958147E-3</v>
      </c>
      <c r="K901" s="13"/>
      <c r="L901" s="13"/>
      <c r="M901" s="13"/>
    </row>
    <row r="902" spans="1:13" x14ac:dyDescent="0.3">
      <c r="A902" s="7">
        <v>44799</v>
      </c>
      <c r="B902" s="8">
        <v>5.52</v>
      </c>
      <c r="C902" s="10">
        <f t="shared" si="28"/>
        <v>-2.1276595744680871E-2</v>
      </c>
      <c r="E902" s="7">
        <v>44799</v>
      </c>
      <c r="F902" s="9">
        <v>42591.51</v>
      </c>
      <c r="G902" s="10">
        <f t="shared" si="29"/>
        <v>-1.0249445942921783E-2</v>
      </c>
      <c r="K902" s="13"/>
      <c r="L902" s="13"/>
      <c r="M902" s="13"/>
    </row>
    <row r="903" spans="1:13" x14ac:dyDescent="0.3">
      <c r="A903" s="7">
        <v>44802</v>
      </c>
      <c r="B903" s="8">
        <v>5.43</v>
      </c>
      <c r="C903" s="10">
        <f t="shared" si="28"/>
        <v>-1.6304347826086932E-2</v>
      </c>
      <c r="E903" s="7">
        <v>44802</v>
      </c>
      <c r="F903" s="9">
        <v>42504.34</v>
      </c>
      <c r="G903" s="10">
        <f t="shared" si="29"/>
        <v>-2.0466520205554002E-3</v>
      </c>
      <c r="K903" s="13"/>
      <c r="L903" s="13"/>
      <c r="M903" s="13"/>
    </row>
    <row r="904" spans="1:13" x14ac:dyDescent="0.3">
      <c r="A904" s="7">
        <v>44803</v>
      </c>
      <c r="B904" s="8">
        <v>5.38</v>
      </c>
      <c r="C904" s="10">
        <f t="shared" si="28"/>
        <v>-9.2081031307550323E-3</v>
      </c>
      <c r="E904" s="7">
        <v>44803</v>
      </c>
      <c r="F904" s="9">
        <v>42195.25</v>
      </c>
      <c r="G904" s="10">
        <f t="shared" si="29"/>
        <v>-7.2719632865725367E-3</v>
      </c>
      <c r="K904" s="13"/>
      <c r="L904" s="13"/>
      <c r="M904" s="13"/>
    </row>
    <row r="905" spans="1:13" x14ac:dyDescent="0.3">
      <c r="A905" s="7">
        <v>44804</v>
      </c>
      <c r="B905" s="8">
        <v>5.36</v>
      </c>
      <c r="C905" s="10">
        <f t="shared" si="28"/>
        <v>-3.7174721189590287E-3</v>
      </c>
      <c r="E905" s="7">
        <v>44804</v>
      </c>
      <c r="F905" s="9">
        <v>42351.15</v>
      </c>
      <c r="G905" s="10">
        <f t="shared" si="29"/>
        <v>3.694728672066203E-3</v>
      </c>
      <c r="K905" s="13"/>
      <c r="L905" s="13"/>
      <c r="M905" s="13"/>
    </row>
    <row r="906" spans="1:13" x14ac:dyDescent="0.3">
      <c r="A906" s="7">
        <v>44805</v>
      </c>
      <c r="B906" s="8">
        <v>5.32</v>
      </c>
      <c r="C906" s="10">
        <f t="shared" si="28"/>
        <v>-7.462686567164185E-3</v>
      </c>
      <c r="E906" s="7">
        <v>44805</v>
      </c>
      <c r="F906" s="9">
        <v>42460.08</v>
      </c>
      <c r="G906" s="10">
        <f t="shared" si="29"/>
        <v>2.5720671103382146E-3</v>
      </c>
      <c r="K906" s="13"/>
      <c r="L906" s="13"/>
      <c r="M906" s="13"/>
    </row>
    <row r="907" spans="1:13" x14ac:dyDescent="0.3">
      <c r="A907" s="7">
        <v>44806</v>
      </c>
      <c r="B907" s="8">
        <v>5.18</v>
      </c>
      <c r="C907" s="10">
        <f t="shared" si="28"/>
        <v>-2.6315789473684317E-2</v>
      </c>
      <c r="E907" s="7">
        <v>44806</v>
      </c>
      <c r="F907" s="9">
        <v>42309.11</v>
      </c>
      <c r="G907" s="10">
        <f t="shared" si="29"/>
        <v>-3.5555750248233435E-3</v>
      </c>
      <c r="K907" s="13"/>
      <c r="L907" s="13"/>
      <c r="M907" s="13"/>
    </row>
    <row r="908" spans="1:13" x14ac:dyDescent="0.3">
      <c r="A908" s="7">
        <v>44809</v>
      </c>
      <c r="B908" s="8">
        <v>5.0999999999999996</v>
      </c>
      <c r="C908" s="10">
        <f t="shared" si="28"/>
        <v>-1.5444015444015458E-2</v>
      </c>
      <c r="E908" s="7">
        <v>44809</v>
      </c>
      <c r="F908" s="9">
        <v>41859.300000000003</v>
      </c>
      <c r="G908" s="10">
        <f t="shared" si="29"/>
        <v>-1.0631516474820616E-2</v>
      </c>
      <c r="K908" s="13"/>
      <c r="L908" s="13"/>
      <c r="M908" s="13"/>
    </row>
    <row r="909" spans="1:13" x14ac:dyDescent="0.3">
      <c r="A909" s="7">
        <v>44810</v>
      </c>
      <c r="B909" s="8">
        <v>5.12</v>
      </c>
      <c r="C909" s="10">
        <f t="shared" si="28"/>
        <v>3.9215686274510714E-3</v>
      </c>
      <c r="E909" s="7">
        <v>44810</v>
      </c>
      <c r="F909" s="9">
        <v>41860.36</v>
      </c>
      <c r="G909" s="10">
        <f t="shared" si="29"/>
        <v>2.5322927043635981E-5</v>
      </c>
      <c r="K909" s="13"/>
      <c r="L909" s="13"/>
      <c r="M909" s="13"/>
    </row>
    <row r="910" spans="1:13" x14ac:dyDescent="0.3">
      <c r="A910" s="7">
        <v>44811</v>
      </c>
      <c r="B910" s="8">
        <v>5.19</v>
      </c>
      <c r="C910" s="10">
        <f t="shared" si="28"/>
        <v>1.3671875000000056E-2</v>
      </c>
      <c r="E910" s="7">
        <v>44811</v>
      </c>
      <c r="F910" s="9">
        <v>41766.050000000003</v>
      </c>
      <c r="G910" s="10">
        <f t="shared" si="29"/>
        <v>-2.2529667685609409E-3</v>
      </c>
      <c r="K910" s="13"/>
      <c r="L910" s="13"/>
      <c r="M910" s="13"/>
    </row>
    <row r="911" spans="1:13" x14ac:dyDescent="0.3">
      <c r="A911" s="7">
        <v>44812</v>
      </c>
      <c r="B911" s="8">
        <v>5.15</v>
      </c>
      <c r="C911" s="10">
        <f t="shared" si="28"/>
        <v>-7.7071290944123374E-3</v>
      </c>
      <c r="E911" s="7">
        <v>44812</v>
      </c>
      <c r="F911" s="9">
        <v>41824.79</v>
      </c>
      <c r="G911" s="10">
        <f t="shared" si="29"/>
        <v>1.406405441740312E-3</v>
      </c>
      <c r="K911" s="13"/>
      <c r="L911" s="13"/>
      <c r="M911" s="13"/>
    </row>
    <row r="912" spans="1:13" x14ac:dyDescent="0.3">
      <c r="A912" s="7">
        <v>44813</v>
      </c>
      <c r="B912" s="8">
        <v>5.15</v>
      </c>
      <c r="C912" s="10">
        <f t="shared" si="28"/>
        <v>0</v>
      </c>
      <c r="E912" s="7">
        <v>44813</v>
      </c>
      <c r="F912" s="9">
        <v>41948.160000000003</v>
      </c>
      <c r="G912" s="10">
        <f t="shared" si="29"/>
        <v>2.9496860593921123E-3</v>
      </c>
      <c r="K912" s="13"/>
      <c r="L912" s="13"/>
      <c r="M912" s="13"/>
    </row>
    <row r="913" spans="1:13" x14ac:dyDescent="0.3">
      <c r="A913" s="7">
        <v>44816</v>
      </c>
      <c r="B913" s="8">
        <v>5.09</v>
      </c>
      <c r="C913" s="10">
        <f t="shared" si="28"/>
        <v>-1.16504854368933E-2</v>
      </c>
      <c r="E913" s="7">
        <v>44816</v>
      </c>
      <c r="F913" s="9">
        <v>41862.29</v>
      </c>
      <c r="G913" s="10">
        <f t="shared" si="29"/>
        <v>-2.0470504546564764E-3</v>
      </c>
      <c r="K913" s="13"/>
      <c r="L913" s="13"/>
      <c r="M913" s="13"/>
    </row>
    <row r="914" spans="1:13" x14ac:dyDescent="0.3">
      <c r="A914" s="7">
        <v>44817</v>
      </c>
      <c r="B914" s="8">
        <v>5.09</v>
      </c>
      <c r="C914" s="10">
        <f t="shared" si="28"/>
        <v>0</v>
      </c>
      <c r="E914" s="7">
        <v>44817</v>
      </c>
      <c r="F914" s="9">
        <v>42001.34</v>
      </c>
      <c r="G914" s="10">
        <f t="shared" si="29"/>
        <v>3.3216051964666919E-3</v>
      </c>
      <c r="K914" s="13"/>
      <c r="L914" s="13"/>
      <c r="M914" s="13"/>
    </row>
    <row r="915" spans="1:13" x14ac:dyDescent="0.3">
      <c r="A915" s="7">
        <v>44818</v>
      </c>
      <c r="B915" s="8">
        <v>5.07</v>
      </c>
      <c r="C915" s="10">
        <f t="shared" si="28"/>
        <v>-3.9292730844792878E-3</v>
      </c>
      <c r="E915" s="7">
        <v>44818</v>
      </c>
      <c r="F915" s="9">
        <v>41937.620000000003</v>
      </c>
      <c r="G915" s="10">
        <f t="shared" si="29"/>
        <v>-1.5170944546053506E-3</v>
      </c>
      <c r="K915" s="13"/>
      <c r="L915" s="13"/>
      <c r="M915" s="13"/>
    </row>
    <row r="916" spans="1:13" x14ac:dyDescent="0.3">
      <c r="A916" s="7">
        <v>44819</v>
      </c>
      <c r="B916" s="8">
        <v>5.0599999999999996</v>
      </c>
      <c r="C916" s="10">
        <f t="shared" si="28"/>
        <v>-1.9723865877713364E-3</v>
      </c>
      <c r="E916" s="7">
        <v>44819</v>
      </c>
      <c r="F916" s="9">
        <v>41772.089999999997</v>
      </c>
      <c r="G916" s="10">
        <f t="shared" si="29"/>
        <v>-3.9470527893572908E-3</v>
      </c>
      <c r="K916" s="13"/>
      <c r="L916" s="13"/>
      <c r="M916" s="13"/>
    </row>
    <row r="917" spans="1:13" x14ac:dyDescent="0.3">
      <c r="A917" s="7">
        <v>44820</v>
      </c>
      <c r="B917" s="8">
        <v>5.04</v>
      </c>
      <c r="C917" s="10">
        <f t="shared" si="28"/>
        <v>-3.9525691699603908E-3</v>
      </c>
      <c r="E917" s="7">
        <v>44820</v>
      </c>
      <c r="F917" s="9">
        <v>41679.49</v>
      </c>
      <c r="G917" s="10">
        <f t="shared" si="29"/>
        <v>-2.2167911636692956E-3</v>
      </c>
      <c r="K917" s="13"/>
      <c r="L917" s="13"/>
      <c r="M917" s="13"/>
    </row>
    <row r="918" spans="1:13" x14ac:dyDescent="0.3">
      <c r="A918" s="7">
        <v>44823</v>
      </c>
      <c r="B918" s="8">
        <v>5.01</v>
      </c>
      <c r="C918" s="10">
        <f t="shared" si="28"/>
        <v>-5.9523809523810015E-3</v>
      </c>
      <c r="E918" s="7">
        <v>44823</v>
      </c>
      <c r="F918" s="9">
        <v>41520.589999999997</v>
      </c>
      <c r="G918" s="10">
        <f t="shared" si="29"/>
        <v>-3.8124266875626707E-3</v>
      </c>
      <c r="K918" s="13"/>
      <c r="L918" s="13"/>
      <c r="M918" s="13"/>
    </row>
    <row r="919" spans="1:13" x14ac:dyDescent="0.3">
      <c r="A919" s="7">
        <v>44824</v>
      </c>
      <c r="B919" s="8">
        <v>5.05</v>
      </c>
      <c r="C919" s="10">
        <f t="shared" si="28"/>
        <v>7.9840319361277525E-3</v>
      </c>
      <c r="E919" s="7">
        <v>44824</v>
      </c>
      <c r="F919" s="9">
        <v>41220.910000000003</v>
      </c>
      <c r="G919" s="10">
        <f t="shared" si="29"/>
        <v>-7.2176238343432267E-3</v>
      </c>
      <c r="K919" s="13"/>
      <c r="L919" s="13"/>
      <c r="M919" s="13"/>
    </row>
    <row r="920" spans="1:13" x14ac:dyDescent="0.3">
      <c r="A920" s="7">
        <v>44825</v>
      </c>
      <c r="B920" s="8">
        <v>4.92</v>
      </c>
      <c r="C920" s="10">
        <f t="shared" si="28"/>
        <v>-2.5742574257425724E-2</v>
      </c>
      <c r="E920" s="7">
        <v>44825</v>
      </c>
      <c r="F920" s="9">
        <v>40965.58</v>
      </c>
      <c r="G920" s="10">
        <f t="shared" si="29"/>
        <v>-6.1941863971465387E-3</v>
      </c>
      <c r="K920" s="13"/>
      <c r="L920" s="13"/>
      <c r="M920" s="13"/>
    </row>
    <row r="921" spans="1:13" x14ac:dyDescent="0.3">
      <c r="A921" s="7">
        <v>44826</v>
      </c>
      <c r="B921" s="8">
        <v>4.8600000000000003</v>
      </c>
      <c r="C921" s="10">
        <f t="shared" si="28"/>
        <v>-1.2195121951219433E-2</v>
      </c>
      <c r="E921" s="7">
        <v>44826</v>
      </c>
      <c r="F921" s="9">
        <v>40927.949999999997</v>
      </c>
      <c r="G921" s="10">
        <f t="shared" si="29"/>
        <v>-9.1857603383144225E-4</v>
      </c>
      <c r="K921" s="13"/>
      <c r="L921" s="13"/>
      <c r="M921" s="13"/>
    </row>
    <row r="922" spans="1:13" x14ac:dyDescent="0.3">
      <c r="A922" s="7">
        <v>44827</v>
      </c>
      <c r="B922" s="8">
        <v>4.8099999999999996</v>
      </c>
      <c r="C922" s="10">
        <f t="shared" si="28"/>
        <v>-1.0288065843621545E-2</v>
      </c>
      <c r="E922" s="7">
        <v>44827</v>
      </c>
      <c r="F922" s="9">
        <v>40620.21</v>
      </c>
      <c r="G922" s="10">
        <f t="shared" si="29"/>
        <v>-7.5190670434262643E-3</v>
      </c>
      <c r="K922" s="13"/>
      <c r="L922" s="13"/>
      <c r="M922" s="13"/>
    </row>
    <row r="923" spans="1:13" x14ac:dyDescent="0.3">
      <c r="A923" s="7">
        <v>44830</v>
      </c>
      <c r="B923" s="8">
        <v>4.93</v>
      </c>
      <c r="C923" s="10">
        <f t="shared" si="28"/>
        <v>2.4948024948024974E-2</v>
      </c>
      <c r="E923" s="7">
        <v>44830</v>
      </c>
      <c r="F923" s="9">
        <v>41151.54</v>
      </c>
      <c r="G923" s="10">
        <f t="shared" si="29"/>
        <v>1.3080434591549422E-2</v>
      </c>
      <c r="K923" s="13"/>
      <c r="L923" s="13"/>
      <c r="M923" s="13"/>
    </row>
    <row r="924" spans="1:13" x14ac:dyDescent="0.3">
      <c r="A924" s="7">
        <v>44831</v>
      </c>
      <c r="B924" s="8">
        <v>5.0199999999999996</v>
      </c>
      <c r="C924" s="10">
        <f t="shared" si="28"/>
        <v>1.825557809330626E-2</v>
      </c>
      <c r="E924" s="7">
        <v>44831</v>
      </c>
      <c r="F924" s="9">
        <v>41518.230000000003</v>
      </c>
      <c r="G924" s="10">
        <f t="shared" si="29"/>
        <v>8.9107236327000718E-3</v>
      </c>
      <c r="K924" s="13"/>
      <c r="L924" s="13"/>
      <c r="M924" s="13"/>
    </row>
    <row r="925" spans="1:13" x14ac:dyDescent="0.3">
      <c r="A925" s="7">
        <v>44832</v>
      </c>
      <c r="B925" s="8">
        <v>5.01</v>
      </c>
      <c r="C925" s="10">
        <f t="shared" si="28"/>
        <v>-1.9920318725099181E-3</v>
      </c>
      <c r="E925" s="7">
        <v>44832</v>
      </c>
      <c r="F925" s="9">
        <v>41435.129999999997</v>
      </c>
      <c r="G925" s="10">
        <f t="shared" si="29"/>
        <v>-2.001530412062504E-3</v>
      </c>
      <c r="K925" s="13"/>
      <c r="L925" s="13"/>
      <c r="M925" s="13"/>
    </row>
    <row r="926" spans="1:13" x14ac:dyDescent="0.3">
      <c r="A926" s="7">
        <v>44833</v>
      </c>
      <c r="B926" s="8">
        <v>4.9400000000000004</v>
      </c>
      <c r="C926" s="10">
        <f t="shared" si="28"/>
        <v>-1.3972055888223433E-2</v>
      </c>
      <c r="E926" s="7">
        <v>44833</v>
      </c>
      <c r="F926" s="9">
        <v>41013.86</v>
      </c>
      <c r="G926" s="10">
        <f t="shared" si="29"/>
        <v>-1.0166976669314102E-2</v>
      </c>
      <c r="K926" s="13"/>
      <c r="L926" s="13"/>
      <c r="M926" s="13"/>
    </row>
    <row r="927" spans="1:13" x14ac:dyDescent="0.3">
      <c r="A927" s="7">
        <v>44834</v>
      </c>
      <c r="B927" s="8">
        <v>4.9000000000000004</v>
      </c>
      <c r="C927" s="10">
        <f t="shared" si="28"/>
        <v>-8.097165991902841E-3</v>
      </c>
      <c r="E927" s="7">
        <v>44834</v>
      </c>
      <c r="F927" s="9">
        <v>41128.67</v>
      </c>
      <c r="G927" s="10">
        <f t="shared" si="29"/>
        <v>2.7992976032979503E-3</v>
      </c>
      <c r="K927" s="13"/>
      <c r="L927" s="13"/>
      <c r="M927" s="13"/>
    </row>
    <row r="928" spans="1:13" x14ac:dyDescent="0.3">
      <c r="A928" s="7">
        <v>44837</v>
      </c>
      <c r="B928" s="8">
        <v>4.8600000000000003</v>
      </c>
      <c r="C928" s="10">
        <f t="shared" si="28"/>
        <v>-8.1632653061224549E-3</v>
      </c>
      <c r="E928" s="7">
        <v>44837</v>
      </c>
      <c r="F928" s="9">
        <v>41211.699999999997</v>
      </c>
      <c r="G928" s="10">
        <f t="shared" si="29"/>
        <v>2.018786408604967E-3</v>
      </c>
      <c r="K928" s="13"/>
      <c r="L928" s="13"/>
      <c r="M928" s="13"/>
    </row>
    <row r="929" spans="1:13" x14ac:dyDescent="0.3">
      <c r="A929" s="7">
        <v>44838</v>
      </c>
      <c r="B929" s="8">
        <v>4.96</v>
      </c>
      <c r="C929" s="10">
        <f t="shared" si="28"/>
        <v>2.0576131687242726E-2</v>
      </c>
      <c r="E929" s="7">
        <v>44838</v>
      </c>
      <c r="F929" s="9">
        <v>41350.43</v>
      </c>
      <c r="G929" s="10">
        <f t="shared" si="29"/>
        <v>3.3662770523905398E-3</v>
      </c>
      <c r="K929" s="13"/>
      <c r="L929" s="13"/>
      <c r="M929" s="13"/>
    </row>
    <row r="930" spans="1:13" x14ac:dyDescent="0.3">
      <c r="A930" s="7">
        <v>44839</v>
      </c>
      <c r="B930" s="8">
        <v>4.96</v>
      </c>
      <c r="C930" s="10">
        <f t="shared" si="28"/>
        <v>0</v>
      </c>
      <c r="E930" s="7">
        <v>44839</v>
      </c>
      <c r="F930" s="9">
        <v>41611.42</v>
      </c>
      <c r="G930" s="10">
        <f t="shared" si="29"/>
        <v>6.3116635062802967E-3</v>
      </c>
      <c r="K930" s="13"/>
      <c r="L930" s="13"/>
      <c r="M930" s="13"/>
    </row>
    <row r="931" spans="1:13" x14ac:dyDescent="0.3">
      <c r="A931" s="7">
        <v>44840</v>
      </c>
      <c r="B931" s="8">
        <v>5.03</v>
      </c>
      <c r="C931" s="10">
        <f t="shared" si="28"/>
        <v>1.4112903225806508E-2</v>
      </c>
      <c r="E931" s="7">
        <v>44840</v>
      </c>
      <c r="F931" s="9">
        <v>42160.57</v>
      </c>
      <c r="G931" s="10">
        <f t="shared" si="29"/>
        <v>1.3197098296573428E-2</v>
      </c>
      <c r="K931" s="13"/>
      <c r="L931" s="13"/>
      <c r="M931" s="13"/>
    </row>
    <row r="932" spans="1:13" x14ac:dyDescent="0.3">
      <c r="A932" s="7">
        <v>44841</v>
      </c>
      <c r="B932" s="8">
        <v>4.95</v>
      </c>
      <c r="C932" s="10">
        <f t="shared" si="28"/>
        <v>-1.5904572564612338E-2</v>
      </c>
      <c r="E932" s="7">
        <v>44841</v>
      </c>
      <c r="F932" s="9">
        <v>42085.25</v>
      </c>
      <c r="G932" s="10">
        <f t="shared" si="29"/>
        <v>-1.7865033608416515E-3</v>
      </c>
      <c r="K932" s="13"/>
      <c r="L932" s="13"/>
      <c r="M932" s="13"/>
    </row>
    <row r="933" spans="1:13" x14ac:dyDescent="0.3">
      <c r="A933" s="7">
        <v>44844</v>
      </c>
      <c r="B933" s="8">
        <v>4.97</v>
      </c>
      <c r="C933" s="10">
        <f t="shared" si="28"/>
        <v>4.0404040404039545E-3</v>
      </c>
      <c r="E933" s="7">
        <v>44844</v>
      </c>
      <c r="F933" s="9">
        <v>42211.64</v>
      </c>
      <c r="G933" s="10">
        <f t="shared" si="29"/>
        <v>3.0031899537248659E-3</v>
      </c>
      <c r="K933" s="13"/>
      <c r="L933" s="13"/>
      <c r="M933" s="13"/>
    </row>
    <row r="934" spans="1:13" x14ac:dyDescent="0.3">
      <c r="A934" s="7">
        <v>44845</v>
      </c>
      <c r="B934" s="8">
        <v>5.15</v>
      </c>
      <c r="C934" s="10">
        <f t="shared" si="28"/>
        <v>3.6217303822937752E-2</v>
      </c>
      <c r="E934" s="7">
        <v>44845</v>
      </c>
      <c r="F934" s="9">
        <v>42155.48</v>
      </c>
      <c r="G934" s="10">
        <f t="shared" si="29"/>
        <v>-1.3304387131131655E-3</v>
      </c>
      <c r="K934" s="13"/>
      <c r="L934" s="13"/>
      <c r="M934" s="13"/>
    </row>
    <row r="935" spans="1:13" x14ac:dyDescent="0.3">
      <c r="A935" s="7">
        <v>44846</v>
      </c>
      <c r="B935" s="8">
        <v>5</v>
      </c>
      <c r="C935" s="10">
        <f t="shared" si="28"/>
        <v>-2.9126213592233077E-2</v>
      </c>
      <c r="E935" s="7">
        <v>44846</v>
      </c>
      <c r="F935" s="9">
        <v>42007.14</v>
      </c>
      <c r="G935" s="10">
        <f t="shared" si="29"/>
        <v>-3.5188782099030485E-3</v>
      </c>
      <c r="K935" s="13"/>
      <c r="L935" s="13"/>
      <c r="M935" s="13"/>
    </row>
    <row r="936" spans="1:13" x14ac:dyDescent="0.3">
      <c r="A936" s="7">
        <v>44847</v>
      </c>
      <c r="B936" s="8">
        <v>5.08</v>
      </c>
      <c r="C936" s="10">
        <f t="shared" si="28"/>
        <v>1.6000000000000014E-2</v>
      </c>
      <c r="E936" s="7">
        <v>44847</v>
      </c>
      <c r="F936" s="9">
        <v>42085.72</v>
      </c>
      <c r="G936" s="10">
        <f t="shared" si="29"/>
        <v>1.8706343731089939E-3</v>
      </c>
      <c r="K936" s="13"/>
      <c r="L936" s="13"/>
      <c r="M936" s="13"/>
    </row>
    <row r="937" spans="1:13" x14ac:dyDescent="0.3">
      <c r="A937" s="7">
        <v>44848</v>
      </c>
      <c r="B937" s="8">
        <v>5.01</v>
      </c>
      <c r="C937" s="10">
        <f t="shared" si="28"/>
        <v>-1.3779527559055173E-2</v>
      </c>
      <c r="E937" s="7">
        <v>44848</v>
      </c>
      <c r="F937" s="9">
        <v>41948.5</v>
      </c>
      <c r="G937" s="10">
        <f t="shared" si="29"/>
        <v>-3.260488355670312E-3</v>
      </c>
      <c r="K937" s="13"/>
      <c r="L937" s="13"/>
      <c r="M937" s="13"/>
    </row>
    <row r="938" spans="1:13" x14ac:dyDescent="0.3">
      <c r="A938" s="7">
        <v>44851</v>
      </c>
      <c r="B938" s="8">
        <v>4.91</v>
      </c>
      <c r="C938" s="10">
        <f t="shared" si="28"/>
        <v>-1.9960079840319292E-2</v>
      </c>
      <c r="E938" s="7">
        <v>44851</v>
      </c>
      <c r="F938" s="9">
        <v>41755.449999999997</v>
      </c>
      <c r="G938" s="10">
        <f t="shared" si="29"/>
        <v>-4.6020715877803237E-3</v>
      </c>
      <c r="K938" s="13"/>
      <c r="L938" s="13"/>
      <c r="M938" s="13"/>
    </row>
    <row r="939" spans="1:13" x14ac:dyDescent="0.3">
      <c r="A939" s="7">
        <v>44852</v>
      </c>
      <c r="B939" s="8">
        <v>4.92</v>
      </c>
      <c r="C939" s="10">
        <f t="shared" si="28"/>
        <v>2.0366598778003638E-3</v>
      </c>
      <c r="E939" s="7">
        <v>44852</v>
      </c>
      <c r="F939" s="9">
        <v>41839.26</v>
      </c>
      <c r="G939" s="10">
        <f t="shared" si="29"/>
        <v>2.0071631367882506E-3</v>
      </c>
      <c r="K939" s="13"/>
      <c r="L939" s="13"/>
      <c r="M939" s="13"/>
    </row>
    <row r="940" spans="1:13" x14ac:dyDescent="0.3">
      <c r="A940" s="7">
        <v>44853</v>
      </c>
      <c r="B940" s="8">
        <v>5.0199999999999996</v>
      </c>
      <c r="C940" s="10">
        <f t="shared" si="28"/>
        <v>2.0325203252032447E-2</v>
      </c>
      <c r="E940" s="7">
        <v>44853</v>
      </c>
      <c r="F940" s="9">
        <v>42226.05</v>
      </c>
      <c r="G940" s="10">
        <f t="shared" si="29"/>
        <v>9.2446663731624527E-3</v>
      </c>
      <c r="K940" s="13"/>
      <c r="L940" s="13"/>
      <c r="M940" s="13"/>
    </row>
    <row r="941" spans="1:13" x14ac:dyDescent="0.3">
      <c r="A941" s="7">
        <v>44854</v>
      </c>
      <c r="B941" s="8">
        <v>4.97</v>
      </c>
      <c r="C941" s="10">
        <f t="shared" si="28"/>
        <v>-9.9601593625497659E-3</v>
      </c>
      <c r="E941" s="7">
        <v>44854</v>
      </c>
      <c r="F941" s="9">
        <v>42137.04</v>
      </c>
      <c r="G941" s="10">
        <f t="shared" si="29"/>
        <v>-2.1079404775014958E-3</v>
      </c>
      <c r="K941" s="13"/>
      <c r="L941" s="13"/>
      <c r="M941" s="13"/>
    </row>
    <row r="942" spans="1:13" x14ac:dyDescent="0.3">
      <c r="A942" s="7">
        <v>44855</v>
      </c>
      <c r="B942" s="8">
        <v>5.0599999999999996</v>
      </c>
      <c r="C942" s="10">
        <f t="shared" si="28"/>
        <v>1.8108651911468786E-2</v>
      </c>
      <c r="E942" s="7">
        <v>44855</v>
      </c>
      <c r="F942" s="9">
        <v>42213.48</v>
      </c>
      <c r="G942" s="10">
        <f t="shared" si="29"/>
        <v>1.8140809131349123E-3</v>
      </c>
      <c r="K942" s="13"/>
      <c r="L942" s="13"/>
      <c r="M942" s="13"/>
    </row>
    <row r="943" spans="1:13" x14ac:dyDescent="0.3">
      <c r="A943" s="7">
        <v>44858</v>
      </c>
      <c r="B943" s="8">
        <v>5.0199999999999996</v>
      </c>
      <c r="C943" s="10">
        <f t="shared" si="28"/>
        <v>-7.9051383399209568E-3</v>
      </c>
      <c r="E943" s="7">
        <v>44858</v>
      </c>
      <c r="F943" s="9">
        <v>42347.23</v>
      </c>
      <c r="G943" s="10">
        <f t="shared" si="29"/>
        <v>3.1684191874254385E-3</v>
      </c>
      <c r="K943" s="13"/>
      <c r="L943" s="13"/>
      <c r="M943" s="13"/>
    </row>
    <row r="944" spans="1:13" x14ac:dyDescent="0.3">
      <c r="A944" s="7">
        <v>44859</v>
      </c>
      <c r="B944" s="8">
        <v>4.96</v>
      </c>
      <c r="C944" s="10">
        <f t="shared" si="28"/>
        <v>-1.1952191235059684E-2</v>
      </c>
      <c r="E944" s="7">
        <v>44859</v>
      </c>
      <c r="F944" s="9">
        <v>42190.02</v>
      </c>
      <c r="G944" s="10">
        <f t="shared" si="29"/>
        <v>-3.7124033850621727E-3</v>
      </c>
      <c r="K944" s="13"/>
      <c r="L944" s="13"/>
      <c r="M944" s="13"/>
    </row>
    <row r="945" spans="1:13" x14ac:dyDescent="0.3">
      <c r="A945" s="7">
        <v>44860</v>
      </c>
      <c r="B945" s="8">
        <v>4.83</v>
      </c>
      <c r="C945" s="10">
        <f t="shared" si="28"/>
        <v>-2.6209677419354819E-2</v>
      </c>
      <c r="E945" s="7">
        <v>44860</v>
      </c>
      <c r="F945" s="9">
        <v>41540.03</v>
      </c>
      <c r="G945" s="10">
        <f t="shared" si="29"/>
        <v>-1.5406250103697462E-2</v>
      </c>
      <c r="K945" s="13"/>
      <c r="L945" s="13"/>
      <c r="M945" s="13"/>
    </row>
    <row r="946" spans="1:13" x14ac:dyDescent="0.3">
      <c r="A946" s="7">
        <v>44861</v>
      </c>
      <c r="B946" s="8">
        <v>4.8</v>
      </c>
      <c r="C946" s="10">
        <f t="shared" si="28"/>
        <v>-6.2111801242236541E-3</v>
      </c>
      <c r="E946" s="7">
        <v>44861</v>
      </c>
      <c r="F946" s="9">
        <v>41602.85</v>
      </c>
      <c r="G946" s="10">
        <f t="shared" si="29"/>
        <v>1.512276230903052E-3</v>
      </c>
      <c r="K946" s="13"/>
      <c r="L946" s="13"/>
      <c r="M946" s="13"/>
    </row>
    <row r="947" spans="1:13" x14ac:dyDescent="0.3">
      <c r="A947" s="7">
        <v>44862</v>
      </c>
      <c r="B947" s="8">
        <v>4.66</v>
      </c>
      <c r="C947" s="10">
        <f t="shared" si="28"/>
        <v>-2.9166666666666601E-2</v>
      </c>
      <c r="E947" s="7">
        <v>44862</v>
      </c>
      <c r="F947" s="9">
        <v>41140.33</v>
      </c>
      <c r="G947" s="10">
        <f t="shared" si="29"/>
        <v>-1.1117507574601183E-2</v>
      </c>
      <c r="K947" s="13"/>
      <c r="L947" s="13"/>
      <c r="M947" s="13"/>
    </row>
    <row r="948" spans="1:13" x14ac:dyDescent="0.3">
      <c r="A948" s="7">
        <v>44865</v>
      </c>
      <c r="B948" s="8">
        <v>4.6399999999999997</v>
      </c>
      <c r="C948" s="10">
        <f t="shared" si="28"/>
        <v>-4.2918454935623306E-3</v>
      </c>
      <c r="E948" s="7">
        <v>44865</v>
      </c>
      <c r="F948" s="9">
        <v>41264.660000000003</v>
      </c>
      <c r="G948" s="10">
        <f t="shared" si="29"/>
        <v>3.0220953502317978E-3</v>
      </c>
      <c r="K948" s="13"/>
      <c r="L948" s="13"/>
      <c r="M948" s="13"/>
    </row>
    <row r="949" spans="1:13" x14ac:dyDescent="0.3">
      <c r="A949" s="7">
        <v>44866</v>
      </c>
      <c r="B949" s="8">
        <v>4.75</v>
      </c>
      <c r="C949" s="10">
        <f t="shared" si="28"/>
        <v>2.370689655172421E-2</v>
      </c>
      <c r="E949" s="7">
        <v>44866</v>
      </c>
      <c r="F949" s="9">
        <v>41808.69</v>
      </c>
      <c r="G949" s="10">
        <f t="shared" si="29"/>
        <v>1.3183920575136177E-2</v>
      </c>
      <c r="K949" s="13"/>
      <c r="L949" s="13"/>
      <c r="M949" s="13"/>
    </row>
    <row r="950" spans="1:13" x14ac:dyDescent="0.3">
      <c r="A950" s="7">
        <v>44867</v>
      </c>
      <c r="B950" s="8">
        <v>4.88</v>
      </c>
      <c r="C950" s="10">
        <f t="shared" si="28"/>
        <v>2.7368421052631556E-2</v>
      </c>
      <c r="E950" s="7">
        <v>44867</v>
      </c>
      <c r="F950" s="9">
        <v>41944.59</v>
      </c>
      <c r="G950" s="10">
        <f t="shared" si="29"/>
        <v>3.2505204061642249E-3</v>
      </c>
      <c r="K950" s="13"/>
      <c r="L950" s="13"/>
      <c r="M950" s="13"/>
    </row>
    <row r="951" spans="1:13" x14ac:dyDescent="0.3">
      <c r="A951" s="7">
        <v>44868</v>
      </c>
      <c r="B951" s="8">
        <v>4.95</v>
      </c>
      <c r="C951" s="10">
        <f t="shared" si="28"/>
        <v>1.4344262295082027E-2</v>
      </c>
      <c r="E951" s="7">
        <v>44868</v>
      </c>
      <c r="F951" s="9">
        <v>42090.71</v>
      </c>
      <c r="G951" s="10">
        <f t="shared" si="29"/>
        <v>3.4836435402039365E-3</v>
      </c>
      <c r="K951" s="13"/>
      <c r="L951" s="13"/>
      <c r="M951" s="13"/>
    </row>
    <row r="952" spans="1:13" x14ac:dyDescent="0.3">
      <c r="A952" s="7">
        <v>44869</v>
      </c>
      <c r="B952" s="8">
        <v>4.83</v>
      </c>
      <c r="C952" s="10">
        <f t="shared" si="28"/>
        <v>-2.4242424242424263E-2</v>
      </c>
      <c r="E952" s="7">
        <v>44869</v>
      </c>
      <c r="F952" s="9">
        <v>41856.31</v>
      </c>
      <c r="G952" s="10">
        <f t="shared" si="29"/>
        <v>-5.5689248292557069E-3</v>
      </c>
      <c r="K952" s="13"/>
      <c r="L952" s="13"/>
      <c r="M952" s="13"/>
    </row>
    <row r="953" spans="1:13" x14ac:dyDescent="0.3">
      <c r="A953" s="7">
        <v>44872</v>
      </c>
      <c r="B953" s="8">
        <v>4.9000000000000004</v>
      </c>
      <c r="C953" s="10">
        <f t="shared" si="28"/>
        <v>1.4492753623188465E-2</v>
      </c>
      <c r="E953" s="7">
        <v>44872</v>
      </c>
      <c r="F953" s="9">
        <v>42047.360000000001</v>
      </c>
      <c r="G953" s="10">
        <f t="shared" si="29"/>
        <v>4.5644252921483745E-3</v>
      </c>
      <c r="K953" s="13"/>
      <c r="L953" s="13"/>
      <c r="M953" s="13"/>
    </row>
    <row r="954" spans="1:13" x14ac:dyDescent="0.3">
      <c r="A954" s="7">
        <v>44873</v>
      </c>
      <c r="B954" s="8">
        <v>5</v>
      </c>
      <c r="C954" s="10">
        <f t="shared" si="28"/>
        <v>2.0408163265306048E-2</v>
      </c>
      <c r="E954" s="7">
        <v>44873</v>
      </c>
      <c r="F954" s="9">
        <v>42265.36</v>
      </c>
      <c r="G954" s="10">
        <f t="shared" si="29"/>
        <v>5.1846299030426646E-3</v>
      </c>
      <c r="K954" s="13"/>
      <c r="L954" s="13"/>
      <c r="M954" s="13"/>
    </row>
    <row r="955" spans="1:13" x14ac:dyDescent="0.3">
      <c r="A955" s="7">
        <v>44875</v>
      </c>
      <c r="B955" s="8">
        <v>5.09</v>
      </c>
      <c r="C955" s="10">
        <f t="shared" si="28"/>
        <v>1.7999999999999971E-2</v>
      </c>
      <c r="E955" s="7">
        <v>44875</v>
      </c>
      <c r="F955" s="9">
        <v>42901.27</v>
      </c>
      <c r="G955" s="10">
        <f t="shared" si="29"/>
        <v>1.5045654408243446E-2</v>
      </c>
      <c r="K955" s="13"/>
      <c r="L955" s="13"/>
      <c r="M955" s="13"/>
    </row>
    <row r="956" spans="1:13" x14ac:dyDescent="0.3">
      <c r="A956" s="7">
        <v>44876</v>
      </c>
      <c r="B956" s="8">
        <v>5.13</v>
      </c>
      <c r="C956" s="10">
        <f t="shared" si="28"/>
        <v>7.858546168958749E-3</v>
      </c>
      <c r="E956" s="7">
        <v>44876</v>
      </c>
      <c r="F956" s="9">
        <v>43092.95</v>
      </c>
      <c r="G956" s="10">
        <f t="shared" si="29"/>
        <v>4.4679330005848381E-3</v>
      </c>
      <c r="K956" s="13"/>
      <c r="L956" s="13"/>
      <c r="M956" s="13"/>
    </row>
    <row r="957" spans="1:13" x14ac:dyDescent="0.3">
      <c r="A957" s="7">
        <v>44879</v>
      </c>
      <c r="B957" s="8">
        <v>4.99</v>
      </c>
      <c r="C957" s="10">
        <f t="shared" si="28"/>
        <v>-2.7290448343079862E-2</v>
      </c>
      <c r="E957" s="7">
        <v>44879</v>
      </c>
      <c r="F957" s="9">
        <v>42850.83</v>
      </c>
      <c r="G957" s="10">
        <f t="shared" si="29"/>
        <v>-5.6185524546357437E-3</v>
      </c>
      <c r="K957" s="13"/>
      <c r="L957" s="13"/>
      <c r="M957" s="13"/>
    </row>
    <row r="958" spans="1:13" x14ac:dyDescent="0.3">
      <c r="A958" s="7">
        <v>44880</v>
      </c>
      <c r="B958" s="8">
        <v>5.05</v>
      </c>
      <c r="C958" s="10">
        <f t="shared" si="28"/>
        <v>1.2024048096192307E-2</v>
      </c>
      <c r="E958" s="7">
        <v>44880</v>
      </c>
      <c r="F958" s="9">
        <v>42796.85</v>
      </c>
      <c r="G958" s="10">
        <f t="shared" si="29"/>
        <v>-1.259718889925894E-3</v>
      </c>
      <c r="K958" s="13"/>
      <c r="L958" s="13"/>
      <c r="M958" s="13"/>
    </row>
    <row r="959" spans="1:13" x14ac:dyDescent="0.3">
      <c r="A959" s="7">
        <v>44881</v>
      </c>
      <c r="B959" s="8">
        <v>5.05</v>
      </c>
      <c r="C959" s="10">
        <f t="shared" si="28"/>
        <v>0</v>
      </c>
      <c r="E959" s="7">
        <v>44881</v>
      </c>
      <c r="F959" s="9">
        <v>42983.75</v>
      </c>
      <c r="G959" s="10">
        <f t="shared" si="29"/>
        <v>4.3671438435305748E-3</v>
      </c>
      <c r="K959" s="13"/>
      <c r="L959" s="13"/>
      <c r="M959" s="13"/>
    </row>
    <row r="960" spans="1:13" x14ac:dyDescent="0.3">
      <c r="A960" s="7">
        <v>44882</v>
      </c>
      <c r="B960" s="8">
        <v>4.96</v>
      </c>
      <c r="C960" s="10">
        <f t="shared" si="28"/>
        <v>-1.7821782178217796E-2</v>
      </c>
      <c r="E960" s="7">
        <v>44882</v>
      </c>
      <c r="F960" s="9">
        <v>42819.72</v>
      </c>
      <c r="G960" s="10">
        <f t="shared" si="29"/>
        <v>-3.8160932910692724E-3</v>
      </c>
      <c r="K960" s="13"/>
      <c r="L960" s="13"/>
      <c r="M960" s="13"/>
    </row>
    <row r="961" spans="1:13" x14ac:dyDescent="0.3">
      <c r="A961" s="7">
        <v>44883</v>
      </c>
      <c r="B961" s="8">
        <v>4.91</v>
      </c>
      <c r="C961" s="10">
        <f t="shared" si="28"/>
        <v>-1.0080645161290288E-2</v>
      </c>
      <c r="E961" s="7">
        <v>44883</v>
      </c>
      <c r="F961" s="9">
        <v>42730.239999999998</v>
      </c>
      <c r="G961" s="10">
        <f t="shared" si="29"/>
        <v>-2.0896913851842841E-3</v>
      </c>
      <c r="K961" s="13"/>
      <c r="L961" s="13"/>
      <c r="M961" s="13"/>
    </row>
    <row r="962" spans="1:13" x14ac:dyDescent="0.3">
      <c r="A962" s="7">
        <v>44886</v>
      </c>
      <c r="B962" s="8">
        <v>4.8899999999999997</v>
      </c>
      <c r="C962" s="10">
        <f t="shared" si="28"/>
        <v>-4.0733197556009088E-3</v>
      </c>
      <c r="E962" s="7">
        <v>44886</v>
      </c>
      <c r="F962" s="9">
        <v>42761.19</v>
      </c>
      <c r="G962" s="10">
        <f t="shared" si="29"/>
        <v>7.2431140101259363E-4</v>
      </c>
      <c r="K962" s="13"/>
      <c r="L962" s="13"/>
      <c r="M962" s="13"/>
    </row>
    <row r="963" spans="1:13" x14ac:dyDescent="0.3">
      <c r="A963" s="7">
        <v>44887</v>
      </c>
      <c r="B963" s="8">
        <v>4.9000000000000004</v>
      </c>
      <c r="C963" s="10">
        <f t="shared" si="28"/>
        <v>2.0449897750512628E-3</v>
      </c>
      <c r="E963" s="7">
        <v>44887</v>
      </c>
      <c r="F963" s="9">
        <v>42928.62</v>
      </c>
      <c r="G963" s="10">
        <f t="shared" si="29"/>
        <v>3.9154663375832221E-3</v>
      </c>
      <c r="K963" s="13"/>
      <c r="L963" s="13"/>
      <c r="M963" s="13"/>
    </row>
    <row r="964" spans="1:13" x14ac:dyDescent="0.3">
      <c r="A964" s="7">
        <v>44888</v>
      </c>
      <c r="B964" s="8">
        <v>4.87</v>
      </c>
      <c r="C964" s="10">
        <f t="shared" si="28"/>
        <v>-6.1224489795918867E-3</v>
      </c>
      <c r="E964" s="7">
        <v>44888</v>
      </c>
      <c r="F964" s="9">
        <v>42880.31</v>
      </c>
      <c r="G964" s="10">
        <f t="shared" si="29"/>
        <v>-1.1253564638230846E-3</v>
      </c>
      <c r="K964" s="13"/>
      <c r="L964" s="13"/>
      <c r="M964" s="13"/>
    </row>
    <row r="965" spans="1:13" x14ac:dyDescent="0.3">
      <c r="A965" s="7">
        <v>44889</v>
      </c>
      <c r="B965" s="8">
        <v>4.9000000000000004</v>
      </c>
      <c r="C965" s="10">
        <f t="shared" ref="C965:C1028" si="30">(B965-B964)/B964</f>
        <v>6.1601642710472785E-3</v>
      </c>
      <c r="E965" s="7">
        <v>44889</v>
      </c>
      <c r="F965" s="9">
        <v>42903.65</v>
      </c>
      <c r="G965" s="10">
        <f t="shared" ref="G965:G1028" si="31">(F965-F964)/F964</f>
        <v>5.4430576644627301E-4</v>
      </c>
      <c r="K965" s="13"/>
      <c r="L965" s="13"/>
      <c r="M965" s="13"/>
    </row>
    <row r="966" spans="1:13" x14ac:dyDescent="0.3">
      <c r="A966" s="7">
        <v>44890</v>
      </c>
      <c r="B966" s="8">
        <v>4.8600000000000003</v>
      </c>
      <c r="C966" s="10">
        <f t="shared" si="30"/>
        <v>-8.1632653061224549E-3</v>
      </c>
      <c r="E966" s="7">
        <v>44890</v>
      </c>
      <c r="F966" s="9">
        <v>42936.73</v>
      </c>
      <c r="G966" s="10">
        <f t="shared" si="31"/>
        <v>7.7102997064356401E-4</v>
      </c>
      <c r="K966" s="13"/>
      <c r="L966" s="13"/>
      <c r="M966" s="13"/>
    </row>
    <row r="967" spans="1:13" x14ac:dyDescent="0.3">
      <c r="A967" s="7">
        <v>44893</v>
      </c>
      <c r="B967" s="8">
        <v>4.66</v>
      </c>
      <c r="C967" s="10">
        <f t="shared" si="30"/>
        <v>-4.1152263374485631E-2</v>
      </c>
      <c r="E967" s="7">
        <v>44893</v>
      </c>
      <c r="F967" s="9">
        <v>42071.34</v>
      </c>
      <c r="G967" s="10">
        <f t="shared" si="31"/>
        <v>-2.0155004817553796E-2</v>
      </c>
      <c r="K967" s="13"/>
      <c r="L967" s="13"/>
      <c r="M967" s="13"/>
    </row>
    <row r="968" spans="1:13" x14ac:dyDescent="0.3">
      <c r="A968" s="7">
        <v>44894</v>
      </c>
      <c r="B968" s="8">
        <v>4.7300000000000004</v>
      </c>
      <c r="C968" s="10">
        <f t="shared" si="30"/>
        <v>1.5021459227467872E-2</v>
      </c>
      <c r="E968" s="7">
        <v>44894</v>
      </c>
      <c r="F968" s="9">
        <v>42373.59</v>
      </c>
      <c r="G968" s="10">
        <f t="shared" si="31"/>
        <v>7.1842256510013715E-3</v>
      </c>
      <c r="K968" s="13"/>
      <c r="L968" s="13"/>
      <c r="M968" s="13"/>
    </row>
    <row r="969" spans="1:13" x14ac:dyDescent="0.3">
      <c r="A969" s="7">
        <v>44895</v>
      </c>
      <c r="B969" s="8">
        <v>4.6900000000000004</v>
      </c>
      <c r="C969" s="10">
        <f t="shared" si="30"/>
        <v>-8.4566596194503244E-3</v>
      </c>
      <c r="E969" s="7">
        <v>44895</v>
      </c>
      <c r="F969" s="9">
        <v>42348.63</v>
      </c>
      <c r="G969" s="10">
        <f t="shared" si="31"/>
        <v>-5.8904614879218709E-4</v>
      </c>
      <c r="K969" s="13"/>
      <c r="L969" s="13"/>
      <c r="M969" s="13"/>
    </row>
    <row r="970" spans="1:13" x14ac:dyDescent="0.3">
      <c r="A970" s="7">
        <v>44896</v>
      </c>
      <c r="B970" s="8">
        <v>4.7</v>
      </c>
      <c r="C970" s="10">
        <f t="shared" si="30"/>
        <v>2.1321961620468627E-3</v>
      </c>
      <c r="E970" s="7">
        <v>44896</v>
      </c>
      <c r="F970" s="9">
        <v>42393.52</v>
      </c>
      <c r="G970" s="10">
        <f t="shared" si="31"/>
        <v>1.0600106780313653E-3</v>
      </c>
      <c r="K970" s="13"/>
      <c r="L970" s="13"/>
      <c r="M970" s="13"/>
    </row>
    <row r="971" spans="1:13" x14ac:dyDescent="0.3">
      <c r="A971" s="7">
        <v>44897</v>
      </c>
      <c r="B971" s="8">
        <v>4.63</v>
      </c>
      <c r="C971" s="10">
        <f t="shared" si="30"/>
        <v>-1.4893617021276655E-2</v>
      </c>
      <c r="E971" s="7">
        <v>44897</v>
      </c>
      <c r="F971" s="9">
        <v>42150.1</v>
      </c>
      <c r="G971" s="10">
        <f t="shared" si="31"/>
        <v>-5.7419152738436979E-3</v>
      </c>
      <c r="K971" s="13"/>
      <c r="L971" s="13"/>
      <c r="M971" s="13"/>
    </row>
    <row r="972" spans="1:13" x14ac:dyDescent="0.3">
      <c r="A972" s="7">
        <v>44900</v>
      </c>
      <c r="B972" s="8">
        <v>4.51</v>
      </c>
      <c r="C972" s="10">
        <f t="shared" si="30"/>
        <v>-2.5917926565874754E-2</v>
      </c>
      <c r="E972" s="7">
        <v>44900</v>
      </c>
      <c r="F972" s="9">
        <v>41612.67</v>
      </c>
      <c r="G972" s="10">
        <f t="shared" si="31"/>
        <v>-1.2750384933843581E-2</v>
      </c>
      <c r="K972" s="13"/>
      <c r="L972" s="13"/>
      <c r="M972" s="13"/>
    </row>
    <row r="973" spans="1:13" x14ac:dyDescent="0.3">
      <c r="A973" s="7">
        <v>44901</v>
      </c>
      <c r="B973" s="8">
        <v>4.47</v>
      </c>
      <c r="C973" s="10">
        <f t="shared" si="30"/>
        <v>-8.8691796008869266E-3</v>
      </c>
      <c r="E973" s="7">
        <v>44901</v>
      </c>
      <c r="F973" s="9">
        <v>41539.94</v>
      </c>
      <c r="G973" s="10">
        <f t="shared" si="31"/>
        <v>-1.7477849895235257E-3</v>
      </c>
      <c r="K973" s="13"/>
      <c r="L973" s="13"/>
      <c r="M973" s="13"/>
    </row>
    <row r="974" spans="1:13" x14ac:dyDescent="0.3">
      <c r="A974" s="7">
        <v>44902</v>
      </c>
      <c r="B974" s="8">
        <v>4.4400000000000004</v>
      </c>
      <c r="C974" s="10">
        <f t="shared" si="30"/>
        <v>-6.711409395973012E-3</v>
      </c>
      <c r="E974" s="7">
        <v>44902</v>
      </c>
      <c r="F974" s="9">
        <v>41819.29</v>
      </c>
      <c r="G974" s="10">
        <f t="shared" si="31"/>
        <v>6.7248532376310254E-3</v>
      </c>
      <c r="K974" s="13"/>
      <c r="L974" s="13"/>
      <c r="M974" s="13"/>
    </row>
    <row r="975" spans="1:13" x14ac:dyDescent="0.3">
      <c r="A975" s="7">
        <v>44903</v>
      </c>
      <c r="B975" s="8">
        <v>4.42</v>
      </c>
      <c r="C975" s="10">
        <f t="shared" si="30"/>
        <v>-4.5045045045046085E-3</v>
      </c>
      <c r="E975" s="7">
        <v>44903</v>
      </c>
      <c r="F975" s="9">
        <v>41651.61</v>
      </c>
      <c r="G975" s="10">
        <f t="shared" si="31"/>
        <v>-4.0096328751635978E-3</v>
      </c>
      <c r="K975" s="13"/>
      <c r="L975" s="13"/>
      <c r="M975" s="13"/>
    </row>
    <row r="976" spans="1:13" x14ac:dyDescent="0.3">
      <c r="A976" s="7">
        <v>44904</v>
      </c>
      <c r="B976" s="8">
        <v>4.41</v>
      </c>
      <c r="C976" s="10">
        <f t="shared" si="30"/>
        <v>-2.2624434389139788E-3</v>
      </c>
      <c r="E976" s="7">
        <v>44904</v>
      </c>
      <c r="F976" s="9">
        <v>41698.28</v>
      </c>
      <c r="G976" s="10">
        <f t="shared" si="31"/>
        <v>1.1204848984228521E-3</v>
      </c>
      <c r="K976" s="13"/>
      <c r="L976" s="13"/>
      <c r="M976" s="13"/>
    </row>
    <row r="977" spans="1:13" x14ac:dyDescent="0.3">
      <c r="A977" s="7">
        <v>44907</v>
      </c>
      <c r="B977" s="8">
        <v>4.3600000000000003</v>
      </c>
      <c r="C977" s="10">
        <f t="shared" si="30"/>
        <v>-1.1337868480725584E-2</v>
      </c>
      <c r="E977" s="7">
        <v>44907</v>
      </c>
      <c r="F977" s="9">
        <v>41540.550000000003</v>
      </c>
      <c r="G977" s="10">
        <f t="shared" si="31"/>
        <v>-3.7826500277708319E-3</v>
      </c>
      <c r="K977" s="13"/>
      <c r="L977" s="13"/>
      <c r="M977" s="13"/>
    </row>
    <row r="978" spans="1:13" x14ac:dyDescent="0.3">
      <c r="A978" s="7">
        <v>44908</v>
      </c>
      <c r="B978" s="8">
        <v>4.38</v>
      </c>
      <c r="C978" s="10">
        <f t="shared" si="30"/>
        <v>4.5871559633026545E-3</v>
      </c>
      <c r="E978" s="7">
        <v>44908</v>
      </c>
      <c r="F978" s="9">
        <v>41714.300000000003</v>
      </c>
      <c r="G978" s="10">
        <f t="shared" si="31"/>
        <v>4.1826600755165734E-3</v>
      </c>
      <c r="K978" s="13"/>
      <c r="L978" s="13"/>
      <c r="M978" s="13"/>
    </row>
    <row r="979" spans="1:13" x14ac:dyDescent="0.3">
      <c r="A979" s="7">
        <v>44909</v>
      </c>
      <c r="B979" s="8">
        <v>4.37</v>
      </c>
      <c r="C979" s="10">
        <f t="shared" si="30"/>
        <v>-2.2831050228310015E-3</v>
      </c>
      <c r="E979" s="7">
        <v>44909</v>
      </c>
      <c r="F979" s="9">
        <v>41737.620000000003</v>
      </c>
      <c r="G979" s="10">
        <f t="shared" si="31"/>
        <v>5.5904090443803945E-4</v>
      </c>
      <c r="K979" s="13"/>
      <c r="L979" s="13"/>
      <c r="M979" s="13"/>
    </row>
    <row r="980" spans="1:13" x14ac:dyDescent="0.3">
      <c r="A980" s="7">
        <v>44910</v>
      </c>
      <c r="B980" s="8">
        <v>4.22</v>
      </c>
      <c r="C980" s="10">
        <f t="shared" si="30"/>
        <v>-3.4324942791762098E-2</v>
      </c>
      <c r="E980" s="7">
        <v>44910</v>
      </c>
      <c r="F980" s="9">
        <v>41179.760000000002</v>
      </c>
      <c r="G980" s="10">
        <f t="shared" si="31"/>
        <v>-1.3365879511098154E-2</v>
      </c>
      <c r="K980" s="13"/>
      <c r="L980" s="13"/>
      <c r="M980" s="13"/>
    </row>
    <row r="981" spans="1:13" x14ac:dyDescent="0.3">
      <c r="A981" s="7">
        <v>44911</v>
      </c>
      <c r="B981" s="8">
        <v>4.22</v>
      </c>
      <c r="C981" s="10">
        <f t="shared" si="30"/>
        <v>0</v>
      </c>
      <c r="E981" s="7">
        <v>44911</v>
      </c>
      <c r="F981" s="9">
        <v>41301.480000000003</v>
      </c>
      <c r="G981" s="10">
        <f t="shared" si="31"/>
        <v>2.9558210149840882E-3</v>
      </c>
      <c r="K981" s="13"/>
      <c r="L981" s="13"/>
      <c r="M981" s="13"/>
    </row>
    <row r="982" spans="1:13" x14ac:dyDescent="0.3">
      <c r="A982" s="7">
        <v>44914</v>
      </c>
      <c r="B982" s="8">
        <v>4.09</v>
      </c>
      <c r="C982" s="10">
        <f t="shared" si="30"/>
        <v>-3.0805687203791447E-2</v>
      </c>
      <c r="E982" s="7">
        <v>44914</v>
      </c>
      <c r="F982" s="9">
        <v>40970.82</v>
      </c>
      <c r="G982" s="10">
        <f t="shared" si="31"/>
        <v>-8.0060085013903496E-3</v>
      </c>
      <c r="K982" s="13"/>
      <c r="L982" s="13"/>
      <c r="M982" s="13"/>
    </row>
    <row r="983" spans="1:13" x14ac:dyDescent="0.3">
      <c r="A983" s="7">
        <v>44915</v>
      </c>
      <c r="B983" s="8">
        <v>3.92</v>
      </c>
      <c r="C983" s="10">
        <f t="shared" si="30"/>
        <v>-4.1564792176039103E-2</v>
      </c>
      <c r="E983" s="7">
        <v>44915</v>
      </c>
      <c r="F983" s="9">
        <v>39832.449999999997</v>
      </c>
      <c r="G983" s="10">
        <f t="shared" si="31"/>
        <v>-2.7784896665480521E-2</v>
      </c>
      <c r="K983" s="13"/>
      <c r="L983" s="13"/>
      <c r="M983" s="13"/>
    </row>
    <row r="984" spans="1:13" x14ac:dyDescent="0.3">
      <c r="A984" s="7">
        <v>44916</v>
      </c>
      <c r="B984" s="8">
        <v>3.86</v>
      </c>
      <c r="C984" s="10">
        <f t="shared" si="30"/>
        <v>-1.5306122448979605E-2</v>
      </c>
      <c r="E984" s="7">
        <v>44916</v>
      </c>
      <c r="F984" s="9">
        <v>39342.89</v>
      </c>
      <c r="G984" s="10">
        <f t="shared" si="31"/>
        <v>-1.2290481755453097E-2</v>
      </c>
      <c r="K984" s="13"/>
      <c r="L984" s="13"/>
      <c r="M984" s="13"/>
    </row>
    <row r="985" spans="1:13" x14ac:dyDescent="0.3">
      <c r="A985" s="7">
        <v>44917</v>
      </c>
      <c r="B985" s="8">
        <v>3.85</v>
      </c>
      <c r="C985" s="10">
        <f t="shared" si="30"/>
        <v>-2.5906735751294787E-3</v>
      </c>
      <c r="E985" s="7">
        <v>44917</v>
      </c>
      <c r="F985" s="9">
        <v>39838.33</v>
      </c>
      <c r="G985" s="10">
        <f t="shared" si="31"/>
        <v>1.2592872562234302E-2</v>
      </c>
      <c r="K985" s="13"/>
      <c r="L985" s="13"/>
      <c r="M985" s="13"/>
    </row>
    <row r="986" spans="1:13" x14ac:dyDescent="0.3">
      <c r="A986" s="7">
        <v>44918</v>
      </c>
      <c r="B986" s="8">
        <v>3.85</v>
      </c>
      <c r="C986" s="10">
        <f t="shared" si="30"/>
        <v>0</v>
      </c>
      <c r="E986" s="7">
        <v>44918</v>
      </c>
      <c r="F986" s="9">
        <v>39669.199999999997</v>
      </c>
      <c r="G986" s="10">
        <f t="shared" si="31"/>
        <v>-4.245408881346298E-3</v>
      </c>
      <c r="K986" s="13"/>
      <c r="L986" s="13"/>
      <c r="M986" s="13"/>
    </row>
    <row r="987" spans="1:13" x14ac:dyDescent="0.3">
      <c r="A987" s="7">
        <v>44921</v>
      </c>
      <c r="B987" s="8">
        <v>3.98</v>
      </c>
      <c r="C987" s="10">
        <f t="shared" si="30"/>
        <v>3.3766233766233736E-2</v>
      </c>
      <c r="E987" s="7">
        <v>44921</v>
      </c>
      <c r="F987" s="9">
        <v>40155.160000000003</v>
      </c>
      <c r="G987" s="10">
        <f t="shared" si="31"/>
        <v>1.2250310064231355E-2</v>
      </c>
      <c r="K987" s="13"/>
      <c r="L987" s="13"/>
      <c r="M987" s="13"/>
    </row>
    <row r="988" spans="1:13" x14ac:dyDescent="0.3">
      <c r="A988" s="7">
        <v>44922</v>
      </c>
      <c r="B988" s="8">
        <v>3.84</v>
      </c>
      <c r="C988" s="10">
        <f t="shared" si="30"/>
        <v>-3.5175879396984959E-2</v>
      </c>
      <c r="E988" s="7">
        <v>44922</v>
      </c>
      <c r="F988" s="9">
        <v>39802.910000000003</v>
      </c>
      <c r="G988" s="10">
        <f t="shared" si="31"/>
        <v>-8.7722225487334628E-3</v>
      </c>
      <c r="K988" s="13"/>
      <c r="L988" s="13"/>
      <c r="M988" s="13"/>
    </row>
    <row r="989" spans="1:13" x14ac:dyDescent="0.3">
      <c r="A989" s="7">
        <v>44923</v>
      </c>
      <c r="B989" s="8">
        <v>3.71</v>
      </c>
      <c r="C989" s="10">
        <f t="shared" si="30"/>
        <v>-3.3854166666666644E-2</v>
      </c>
      <c r="E989" s="7">
        <v>44923</v>
      </c>
      <c r="F989" s="9">
        <v>39279.43</v>
      </c>
      <c r="G989" s="10">
        <f t="shared" si="31"/>
        <v>-1.3151802217476138E-2</v>
      </c>
      <c r="K989" s="13"/>
      <c r="L989" s="13"/>
      <c r="M989" s="13"/>
    </row>
    <row r="990" spans="1:13" x14ac:dyDescent="0.3">
      <c r="A990" s="7">
        <v>44924</v>
      </c>
      <c r="B990" s="8">
        <v>3.63</v>
      </c>
      <c r="C990" s="10">
        <f t="shared" si="30"/>
        <v>-2.1563342318059318E-2</v>
      </c>
      <c r="E990" s="7">
        <v>44924</v>
      </c>
      <c r="F990" s="9">
        <v>39747.35</v>
      </c>
      <c r="G990" s="10">
        <f t="shared" si="31"/>
        <v>1.1912596491344152E-2</v>
      </c>
      <c r="K990" s="13"/>
      <c r="L990" s="13"/>
      <c r="M990" s="13"/>
    </row>
    <row r="991" spans="1:13" x14ac:dyDescent="0.3">
      <c r="A991" s="7">
        <v>44925</v>
      </c>
      <c r="B991" s="8">
        <v>3.69</v>
      </c>
      <c r="C991" s="10">
        <f t="shared" si="30"/>
        <v>1.6528925619834725E-2</v>
      </c>
      <c r="E991" s="7">
        <v>44925</v>
      </c>
      <c r="F991" s="9">
        <v>40420.449999999997</v>
      </c>
      <c r="G991" s="10">
        <f t="shared" si="31"/>
        <v>1.6934462297486463E-2</v>
      </c>
      <c r="K991" s="13"/>
      <c r="L991" s="13"/>
      <c r="M991" s="13"/>
    </row>
    <row r="992" spans="1:13" x14ac:dyDescent="0.3">
      <c r="A992" s="7">
        <v>44928</v>
      </c>
      <c r="B992" s="8">
        <v>3.9</v>
      </c>
      <c r="C992" s="10">
        <f t="shared" si="30"/>
        <v>5.6910569105691047E-2</v>
      </c>
      <c r="E992" s="7">
        <v>44928</v>
      </c>
      <c r="F992" s="9">
        <v>40815.9</v>
      </c>
      <c r="G992" s="10">
        <f t="shared" si="31"/>
        <v>9.783414088660675E-3</v>
      </c>
      <c r="K992" s="13"/>
      <c r="L992" s="13"/>
      <c r="M992" s="13"/>
    </row>
    <row r="993" spans="1:13" x14ac:dyDescent="0.3">
      <c r="A993" s="7">
        <v>44929</v>
      </c>
      <c r="B993" s="8">
        <v>3.84</v>
      </c>
      <c r="C993" s="10">
        <f t="shared" si="30"/>
        <v>-1.5384615384615399E-2</v>
      </c>
      <c r="E993" s="7">
        <v>44929</v>
      </c>
      <c r="F993" s="9">
        <v>40630.639999999999</v>
      </c>
      <c r="G993" s="10">
        <f t="shared" si="31"/>
        <v>-4.5389174316872111E-3</v>
      </c>
      <c r="K993" s="13"/>
      <c r="L993" s="13"/>
      <c r="M993" s="13"/>
    </row>
    <row r="994" spans="1:13" x14ac:dyDescent="0.3">
      <c r="A994" s="7">
        <v>44930</v>
      </c>
      <c r="B994" s="8">
        <v>3.74</v>
      </c>
      <c r="C994" s="10">
        <f t="shared" si="30"/>
        <v>-2.6041666666666574E-2</v>
      </c>
      <c r="E994" s="7">
        <v>44930</v>
      </c>
      <c r="F994" s="9">
        <v>40539.300000000003</v>
      </c>
      <c r="G994" s="10">
        <f t="shared" si="31"/>
        <v>-2.248057131268336E-3</v>
      </c>
      <c r="K994" s="13"/>
      <c r="L994" s="13"/>
      <c r="M994" s="13"/>
    </row>
    <row r="995" spans="1:13" x14ac:dyDescent="0.3">
      <c r="A995" s="7">
        <v>44931</v>
      </c>
      <c r="B995" s="8">
        <v>3.78</v>
      </c>
      <c r="C995" s="10">
        <f t="shared" si="30"/>
        <v>1.0695187165775291E-2</v>
      </c>
      <c r="E995" s="7">
        <v>44931</v>
      </c>
      <c r="F995" s="9">
        <v>40716.74</v>
      </c>
      <c r="G995" s="10">
        <f t="shared" si="31"/>
        <v>4.3769872691436472E-3</v>
      </c>
      <c r="K995" s="13"/>
      <c r="L995" s="13"/>
      <c r="M995" s="13"/>
    </row>
    <row r="996" spans="1:13" x14ac:dyDescent="0.3">
      <c r="A996" s="7">
        <v>44932</v>
      </c>
      <c r="B996" s="8">
        <v>4.05</v>
      </c>
      <c r="C996" s="10">
        <f t="shared" si="30"/>
        <v>7.1428571428571438E-2</v>
      </c>
      <c r="E996" s="7">
        <v>44932</v>
      </c>
      <c r="F996" s="9">
        <v>41007.519999999997</v>
      </c>
      <c r="G996" s="10">
        <f t="shared" si="31"/>
        <v>7.1415344155744999E-3</v>
      </c>
      <c r="K996" s="13"/>
      <c r="L996" s="13"/>
      <c r="M996" s="13"/>
    </row>
    <row r="997" spans="1:13" x14ac:dyDescent="0.3">
      <c r="A997" s="7">
        <v>44935</v>
      </c>
      <c r="B997" s="8">
        <v>3.91</v>
      </c>
      <c r="C997" s="10">
        <f t="shared" si="30"/>
        <v>-3.4567901234567822E-2</v>
      </c>
      <c r="E997" s="7">
        <v>44935</v>
      </c>
      <c r="F997" s="9">
        <v>40504.76</v>
      </c>
      <c r="G997" s="10">
        <f t="shared" si="31"/>
        <v>-1.2260190326066896E-2</v>
      </c>
      <c r="K997" s="13"/>
      <c r="L997" s="13"/>
      <c r="M997" s="13"/>
    </row>
    <row r="998" spans="1:13" x14ac:dyDescent="0.3">
      <c r="A998" s="7">
        <v>44936</v>
      </c>
      <c r="B998" s="8">
        <v>4.03</v>
      </c>
      <c r="C998" s="10">
        <f t="shared" si="30"/>
        <v>3.0690537084399002E-2</v>
      </c>
      <c r="E998" s="7">
        <v>44936</v>
      </c>
      <c r="F998" s="9">
        <v>40801.5</v>
      </c>
      <c r="G998" s="10">
        <f t="shared" si="31"/>
        <v>7.3260525429603325E-3</v>
      </c>
      <c r="K998" s="13"/>
      <c r="L998" s="13"/>
      <c r="M998" s="13"/>
    </row>
    <row r="999" spans="1:13" x14ac:dyDescent="0.3">
      <c r="A999" s="7">
        <v>44937</v>
      </c>
      <c r="B999" s="8">
        <v>3.95</v>
      </c>
      <c r="C999" s="10">
        <f t="shared" si="30"/>
        <v>-1.9851116625310191E-2</v>
      </c>
      <c r="E999" s="7">
        <v>44937</v>
      </c>
      <c r="F999" s="9">
        <v>40758.199999999997</v>
      </c>
      <c r="G999" s="10">
        <f t="shared" si="31"/>
        <v>-1.0612354937931917E-3</v>
      </c>
      <c r="K999" s="13"/>
      <c r="L999" s="13"/>
      <c r="M999" s="13"/>
    </row>
    <row r="1000" spans="1:13" x14ac:dyDescent="0.3">
      <c r="A1000" s="7">
        <v>44938</v>
      </c>
      <c r="B1000" s="8">
        <v>3.93</v>
      </c>
      <c r="C1000" s="10">
        <f t="shared" si="30"/>
        <v>-5.0632911392405108E-3</v>
      </c>
      <c r="E1000" s="7">
        <v>44938</v>
      </c>
      <c r="F1000" s="9">
        <v>40803.89</v>
      </c>
      <c r="G1000" s="10">
        <f t="shared" si="31"/>
        <v>1.1210014181196012E-3</v>
      </c>
      <c r="K1000" s="13"/>
      <c r="L1000" s="13"/>
      <c r="M1000" s="13"/>
    </row>
    <row r="1001" spans="1:13" x14ac:dyDescent="0.3">
      <c r="A1001" s="7">
        <v>44939</v>
      </c>
      <c r="B1001" s="8">
        <v>3.8</v>
      </c>
      <c r="C1001" s="10">
        <f t="shared" si="30"/>
        <v>-3.3078880407124769E-2</v>
      </c>
      <c r="E1001" s="7">
        <v>44939</v>
      </c>
      <c r="F1001" s="9">
        <v>40323.449999999997</v>
      </c>
      <c r="G1001" s="10">
        <f t="shared" si="31"/>
        <v>-1.1774367590933177E-2</v>
      </c>
      <c r="K1001" s="13"/>
      <c r="L1001" s="13"/>
      <c r="M1001" s="13"/>
    </row>
    <row r="1002" spans="1:13" x14ac:dyDescent="0.3">
      <c r="A1002" s="7">
        <v>44942</v>
      </c>
      <c r="B1002" s="8">
        <v>3.73</v>
      </c>
      <c r="C1002" s="10">
        <f t="shared" si="30"/>
        <v>-1.8421052631578907E-2</v>
      </c>
      <c r="E1002" s="7">
        <v>44942</v>
      </c>
      <c r="F1002" s="9">
        <v>39720.75</v>
      </c>
      <c r="G1002" s="10">
        <f t="shared" si="31"/>
        <v>-1.4946637750490028E-2</v>
      </c>
      <c r="K1002" s="13"/>
      <c r="L1002" s="13"/>
      <c r="M1002" s="13"/>
    </row>
    <row r="1003" spans="1:13" x14ac:dyDescent="0.3">
      <c r="A1003" s="7">
        <v>44943</v>
      </c>
      <c r="B1003" s="8">
        <v>3.52</v>
      </c>
      <c r="C1003" s="10">
        <f t="shared" si="30"/>
        <v>-5.6300268096514734E-2</v>
      </c>
      <c r="E1003" s="7">
        <v>44943</v>
      </c>
      <c r="F1003" s="9">
        <v>38342.21</v>
      </c>
      <c r="G1003" s="10">
        <f t="shared" si="31"/>
        <v>-3.4705789795006409E-2</v>
      </c>
      <c r="K1003" s="13"/>
      <c r="L1003" s="13"/>
      <c r="M1003" s="13"/>
    </row>
    <row r="1004" spans="1:13" x14ac:dyDescent="0.3">
      <c r="A1004" s="7">
        <v>44944</v>
      </c>
      <c r="B1004" s="8">
        <v>3.57</v>
      </c>
      <c r="C1004" s="10">
        <f t="shared" si="30"/>
        <v>1.4204545454545404E-2</v>
      </c>
      <c r="E1004" s="7">
        <v>44944</v>
      </c>
      <c r="F1004" s="9">
        <v>38791.089999999997</v>
      </c>
      <c r="G1004" s="10">
        <f t="shared" si="31"/>
        <v>1.1707202062687503E-2</v>
      </c>
      <c r="K1004" s="13"/>
      <c r="L1004" s="13"/>
      <c r="M1004" s="13"/>
    </row>
    <row r="1005" spans="1:13" x14ac:dyDescent="0.3">
      <c r="A1005" s="7">
        <v>44945</v>
      </c>
      <c r="B1005" s="8">
        <v>3.7</v>
      </c>
      <c r="C1005" s="10">
        <f t="shared" si="30"/>
        <v>3.6414565826330632E-2</v>
      </c>
      <c r="E1005" s="7">
        <v>44945</v>
      </c>
      <c r="F1005" s="9">
        <v>38831.58</v>
      </c>
      <c r="G1005" s="10">
        <f t="shared" si="31"/>
        <v>1.0437963975749389E-3</v>
      </c>
      <c r="K1005" s="13"/>
      <c r="L1005" s="13"/>
      <c r="M1005" s="13"/>
    </row>
    <row r="1006" spans="1:13" x14ac:dyDescent="0.3">
      <c r="A1006" s="7">
        <v>44946</v>
      </c>
      <c r="B1006" s="8">
        <v>3.56</v>
      </c>
      <c r="C1006" s="10">
        <f t="shared" si="30"/>
        <v>-3.7837837837837868E-2</v>
      </c>
      <c r="E1006" s="7">
        <v>44946</v>
      </c>
      <c r="F1006" s="9">
        <v>38407.980000000003</v>
      </c>
      <c r="G1006" s="10">
        <f t="shared" si="31"/>
        <v>-1.0908647034192235E-2</v>
      </c>
      <c r="K1006" s="13"/>
      <c r="L1006" s="13"/>
      <c r="M1006" s="13"/>
    </row>
    <row r="1007" spans="1:13" x14ac:dyDescent="0.3">
      <c r="A1007" s="7">
        <v>44949</v>
      </c>
      <c r="B1007" s="8">
        <v>3.54</v>
      </c>
      <c r="C1007" s="10">
        <f t="shared" si="30"/>
        <v>-5.6179775280898927E-3</v>
      </c>
      <c r="E1007" s="7">
        <v>44949</v>
      </c>
      <c r="F1007" s="9">
        <v>38443.589999999997</v>
      </c>
      <c r="G1007" s="10">
        <f t="shared" si="31"/>
        <v>9.2715107641675777E-4</v>
      </c>
      <c r="K1007" s="13"/>
      <c r="L1007" s="13"/>
      <c r="M1007" s="13"/>
    </row>
    <row r="1008" spans="1:13" x14ac:dyDescent="0.3">
      <c r="A1008" s="7">
        <v>44950</v>
      </c>
      <c r="B1008" s="8">
        <v>3.64</v>
      </c>
      <c r="C1008" s="10">
        <f t="shared" si="30"/>
        <v>2.8248587570621493E-2</v>
      </c>
      <c r="E1008" s="7">
        <v>44950</v>
      </c>
      <c r="F1008" s="9">
        <v>39055.65</v>
      </c>
      <c r="G1008" s="10">
        <f t="shared" si="31"/>
        <v>1.5920989689048422E-2</v>
      </c>
      <c r="K1008" s="13"/>
      <c r="L1008" s="13"/>
      <c r="M1008" s="13"/>
    </row>
    <row r="1009" spans="1:13" x14ac:dyDescent="0.3">
      <c r="A1009" s="7">
        <v>44951</v>
      </c>
      <c r="B1009" s="8">
        <v>3.76</v>
      </c>
      <c r="C1009" s="10">
        <f t="shared" si="30"/>
        <v>3.2967032967032871E-2</v>
      </c>
      <c r="E1009" s="7">
        <v>44951</v>
      </c>
      <c r="F1009" s="9">
        <v>39784.9</v>
      </c>
      <c r="G1009" s="10">
        <f t="shared" si="31"/>
        <v>1.8672074334955376E-2</v>
      </c>
      <c r="K1009" s="13"/>
      <c r="L1009" s="13"/>
      <c r="M1009" s="13"/>
    </row>
    <row r="1010" spans="1:13" x14ac:dyDescent="0.3">
      <c r="A1010" s="7">
        <v>44952</v>
      </c>
      <c r="B1010" s="8">
        <v>4.0199999999999996</v>
      </c>
      <c r="C1010" s="10">
        <f t="shared" si="30"/>
        <v>6.9148936170212713E-2</v>
      </c>
      <c r="E1010" s="7">
        <v>44952</v>
      </c>
      <c r="F1010" s="9">
        <v>40846.53</v>
      </c>
      <c r="G1010" s="10">
        <f t="shared" si="31"/>
        <v>2.668424452493276E-2</v>
      </c>
      <c r="K1010" s="13"/>
      <c r="L1010" s="13"/>
      <c r="M1010" s="13"/>
    </row>
    <row r="1011" spans="1:13" x14ac:dyDescent="0.3">
      <c r="A1011" s="7">
        <v>44953</v>
      </c>
      <c r="B1011" s="8">
        <v>3.89</v>
      </c>
      <c r="C1011" s="10">
        <f t="shared" si="30"/>
        <v>-3.2338308457711309E-2</v>
      </c>
      <c r="E1011" s="7">
        <v>44953</v>
      </c>
      <c r="F1011" s="9">
        <v>40450.53</v>
      </c>
      <c r="G1011" s="10">
        <f t="shared" si="31"/>
        <v>-9.6948259742014806E-3</v>
      </c>
      <c r="K1011" s="13"/>
      <c r="L1011" s="13"/>
      <c r="M1011" s="13"/>
    </row>
    <row r="1012" spans="1:13" x14ac:dyDescent="0.3">
      <c r="A1012" s="7">
        <v>44956</v>
      </c>
      <c r="B1012" s="8">
        <v>3.88</v>
      </c>
      <c r="C1012" s="10">
        <f t="shared" si="30"/>
        <v>-2.5706940874036582E-3</v>
      </c>
      <c r="E1012" s="7">
        <v>44956</v>
      </c>
      <c r="F1012" s="9">
        <v>39871.269999999997</v>
      </c>
      <c r="G1012" s="10">
        <f t="shared" si="31"/>
        <v>-1.4320207918165771E-2</v>
      </c>
      <c r="K1012" s="13"/>
      <c r="L1012" s="13"/>
      <c r="M1012" s="13"/>
    </row>
    <row r="1013" spans="1:13" x14ac:dyDescent="0.3">
      <c r="A1013" s="7">
        <v>44957</v>
      </c>
      <c r="B1013" s="8">
        <v>3.87</v>
      </c>
      <c r="C1013" s="10">
        <f t="shared" si="30"/>
        <v>-2.5773195876288113E-3</v>
      </c>
      <c r="E1013" s="7">
        <v>44957</v>
      </c>
      <c r="F1013" s="9">
        <v>40673.06</v>
      </c>
      <c r="G1013" s="10">
        <f t="shared" si="31"/>
        <v>2.0109467293116093E-2</v>
      </c>
      <c r="K1013" s="13"/>
      <c r="L1013" s="13"/>
      <c r="M1013" s="13"/>
    </row>
    <row r="1014" spans="1:13" x14ac:dyDescent="0.3">
      <c r="A1014" s="7">
        <v>44958</v>
      </c>
      <c r="B1014" s="8">
        <v>3.86</v>
      </c>
      <c r="C1014" s="10">
        <f t="shared" si="30"/>
        <v>-2.5839793281654342E-3</v>
      </c>
      <c r="E1014" s="7">
        <v>44958</v>
      </c>
      <c r="F1014" s="9">
        <v>40619.94</v>
      </c>
      <c r="G1014" s="10">
        <f t="shared" si="31"/>
        <v>-1.3060241840666855E-3</v>
      </c>
      <c r="K1014" s="13"/>
      <c r="L1014" s="13"/>
      <c r="M1014" s="13"/>
    </row>
    <row r="1015" spans="1:13" x14ac:dyDescent="0.3">
      <c r="A1015" s="7">
        <v>44959</v>
      </c>
      <c r="B1015" s="8">
        <v>3.85</v>
      </c>
      <c r="C1015" s="10">
        <f t="shared" si="30"/>
        <v>-2.5906735751294787E-3</v>
      </c>
      <c r="E1015" s="7">
        <v>44959</v>
      </c>
      <c r="F1015" s="9">
        <v>40733.51</v>
      </c>
      <c r="G1015" s="10">
        <f t="shared" si="31"/>
        <v>2.7959174730440199E-3</v>
      </c>
      <c r="K1015" s="13"/>
      <c r="L1015" s="13"/>
      <c r="M1015" s="13"/>
    </row>
    <row r="1016" spans="1:13" x14ac:dyDescent="0.3">
      <c r="A1016" s="7">
        <v>44960</v>
      </c>
      <c r="B1016" s="8">
        <v>3.72</v>
      </c>
      <c r="C1016" s="10">
        <f t="shared" si="30"/>
        <v>-3.3766233766233736E-2</v>
      </c>
      <c r="E1016" s="7">
        <v>44960</v>
      </c>
      <c r="F1016" s="9">
        <v>40471.160000000003</v>
      </c>
      <c r="G1016" s="10">
        <f t="shared" si="31"/>
        <v>-6.4406430970470885E-3</v>
      </c>
      <c r="K1016" s="13"/>
      <c r="L1016" s="13"/>
      <c r="M1016" s="13"/>
    </row>
    <row r="1017" spans="1:13" x14ac:dyDescent="0.3">
      <c r="A1017" s="7">
        <v>44963</v>
      </c>
      <c r="B1017" s="8">
        <v>3.78</v>
      </c>
      <c r="C1017" s="10">
        <f t="shared" si="30"/>
        <v>1.6129032258064412E-2</v>
      </c>
      <c r="E1017" s="7">
        <v>44963</v>
      </c>
      <c r="F1017" s="9">
        <v>41190.769999999997</v>
      </c>
      <c r="G1017" s="10">
        <f t="shared" si="31"/>
        <v>1.7780809840884058E-2</v>
      </c>
      <c r="K1017" s="13"/>
      <c r="L1017" s="13"/>
      <c r="M1017" s="13"/>
    </row>
    <row r="1018" spans="1:13" x14ac:dyDescent="0.3">
      <c r="A1018" s="7">
        <v>44964</v>
      </c>
      <c r="B1018" s="8">
        <v>3.74</v>
      </c>
      <c r="C1018" s="10">
        <f t="shared" si="30"/>
        <v>-1.0582010582010474E-2</v>
      </c>
      <c r="E1018" s="7">
        <v>44964</v>
      </c>
      <c r="F1018" s="9">
        <v>41522.76</v>
      </c>
      <c r="G1018" s="10">
        <f t="shared" si="31"/>
        <v>8.0598153421265317E-3</v>
      </c>
      <c r="K1018" s="13"/>
      <c r="L1018" s="13"/>
      <c r="M1018" s="13"/>
    </row>
    <row r="1019" spans="1:13" x14ac:dyDescent="0.3">
      <c r="A1019" s="7">
        <v>44965</v>
      </c>
      <c r="B1019" s="8">
        <v>3.75</v>
      </c>
      <c r="C1019" s="10">
        <f t="shared" si="30"/>
        <v>2.6737967914437933E-3</v>
      </c>
      <c r="E1019" s="7">
        <v>44965</v>
      </c>
      <c r="F1019" s="9">
        <v>41723.32</v>
      </c>
      <c r="G1019" s="10">
        <f t="shared" si="31"/>
        <v>4.8301220824434037E-3</v>
      </c>
      <c r="K1019" s="13"/>
      <c r="L1019" s="13"/>
      <c r="M1019" s="13"/>
    </row>
    <row r="1020" spans="1:13" x14ac:dyDescent="0.3">
      <c r="A1020" s="7">
        <v>44966</v>
      </c>
      <c r="B1020" s="8">
        <v>3.88</v>
      </c>
      <c r="C1020" s="10">
        <f t="shared" si="30"/>
        <v>3.4666666666666637E-2</v>
      </c>
      <c r="E1020" s="7">
        <v>44966</v>
      </c>
      <c r="F1020" s="9">
        <v>42466.59</v>
      </c>
      <c r="G1020" s="10">
        <f t="shared" si="31"/>
        <v>1.7814258309261987E-2</v>
      </c>
      <c r="K1020" s="13"/>
      <c r="L1020" s="13"/>
      <c r="M1020" s="13"/>
    </row>
    <row r="1021" spans="1:13" x14ac:dyDescent="0.3">
      <c r="A1021" s="7">
        <v>44967</v>
      </c>
      <c r="B1021" s="8">
        <v>3.74</v>
      </c>
      <c r="C1021" s="10">
        <f t="shared" si="30"/>
        <v>-3.6082474226804044E-2</v>
      </c>
      <c r="E1021" s="7">
        <v>44967</v>
      </c>
      <c r="F1021" s="9">
        <v>41741.78</v>
      </c>
      <c r="G1021" s="10">
        <f t="shared" si="31"/>
        <v>-1.7067770216539584E-2</v>
      </c>
      <c r="K1021" s="13"/>
      <c r="L1021" s="13"/>
      <c r="M1021" s="13"/>
    </row>
    <row r="1022" spans="1:13" x14ac:dyDescent="0.3">
      <c r="A1022" s="7">
        <v>44970</v>
      </c>
      <c r="B1022" s="8">
        <v>3.7</v>
      </c>
      <c r="C1022" s="10">
        <f t="shared" si="30"/>
        <v>-1.0695187165775409E-2</v>
      </c>
      <c r="E1022" s="7">
        <v>44970</v>
      </c>
      <c r="F1022" s="9">
        <v>41716.949999999997</v>
      </c>
      <c r="G1022" s="10">
        <f t="shared" si="31"/>
        <v>-5.9484765623319725E-4</v>
      </c>
      <c r="K1022" s="13"/>
      <c r="L1022" s="13"/>
      <c r="M1022" s="13"/>
    </row>
    <row r="1023" spans="1:13" x14ac:dyDescent="0.3">
      <c r="A1023" s="7">
        <v>44971</v>
      </c>
      <c r="B1023" s="8">
        <v>3.69</v>
      </c>
      <c r="C1023" s="10">
        <f t="shared" si="30"/>
        <v>-2.7027027027027649E-3</v>
      </c>
      <c r="E1023" s="7">
        <v>44971</v>
      </c>
      <c r="F1023" s="9">
        <v>41150.160000000003</v>
      </c>
      <c r="G1023" s="10">
        <f t="shared" si="31"/>
        <v>-1.3586563734884588E-2</v>
      </c>
      <c r="K1023" s="13"/>
      <c r="L1023" s="13"/>
      <c r="M1023" s="13"/>
    </row>
    <row r="1024" spans="1:13" x14ac:dyDescent="0.3">
      <c r="A1024" s="7">
        <v>44972</v>
      </c>
      <c r="B1024" s="8">
        <v>3.71</v>
      </c>
      <c r="C1024" s="10">
        <f t="shared" si="30"/>
        <v>5.4200542005420106E-3</v>
      </c>
      <c r="E1024" s="7">
        <v>44972</v>
      </c>
      <c r="F1024" s="9">
        <v>41326.85</v>
      </c>
      <c r="G1024" s="10">
        <f t="shared" si="31"/>
        <v>4.2937864640136278E-3</v>
      </c>
      <c r="K1024" s="13"/>
      <c r="L1024" s="13"/>
      <c r="M1024" s="13"/>
    </row>
    <row r="1025" spans="1:13" x14ac:dyDescent="0.3">
      <c r="A1025" s="7">
        <v>44973</v>
      </c>
      <c r="B1025" s="8">
        <v>3.62</v>
      </c>
      <c r="C1025" s="10">
        <f t="shared" si="30"/>
        <v>-2.4258760107816673E-2</v>
      </c>
      <c r="E1025" s="7">
        <v>44973</v>
      </c>
      <c r="F1025" s="9">
        <v>41078.65</v>
      </c>
      <c r="G1025" s="10">
        <f t="shared" si="31"/>
        <v>-6.005780745447502E-3</v>
      </c>
      <c r="K1025" s="13"/>
      <c r="L1025" s="13"/>
      <c r="M1025" s="13"/>
    </row>
    <row r="1026" spans="1:13" x14ac:dyDescent="0.3">
      <c r="A1026" s="7">
        <v>44974</v>
      </c>
      <c r="B1026" s="8">
        <v>3.62</v>
      </c>
      <c r="C1026" s="10">
        <f t="shared" si="30"/>
        <v>0</v>
      </c>
      <c r="E1026" s="7">
        <v>44974</v>
      </c>
      <c r="F1026" s="9">
        <v>41118.61</v>
      </c>
      <c r="G1026" s="10">
        <f t="shared" si="31"/>
        <v>9.7276809242755361E-4</v>
      </c>
      <c r="K1026" s="13"/>
      <c r="L1026" s="13"/>
      <c r="M1026" s="13"/>
    </row>
    <row r="1027" spans="1:13" x14ac:dyDescent="0.3">
      <c r="A1027" s="7">
        <v>44977</v>
      </c>
      <c r="B1027" s="8">
        <v>3.63</v>
      </c>
      <c r="C1027" s="10">
        <f t="shared" si="30"/>
        <v>2.7624309392264602E-3</v>
      </c>
      <c r="E1027" s="7">
        <v>44977</v>
      </c>
      <c r="F1027" s="9">
        <v>40673.64</v>
      </c>
      <c r="G1027" s="10">
        <f t="shared" si="31"/>
        <v>-1.0821620672488715E-2</v>
      </c>
      <c r="K1027" s="13"/>
      <c r="L1027" s="13"/>
      <c r="M1027" s="13"/>
    </row>
    <row r="1028" spans="1:13" x14ac:dyDescent="0.3">
      <c r="A1028" s="7">
        <v>44978</v>
      </c>
      <c r="B1028" s="8">
        <v>3.69</v>
      </c>
      <c r="C1028" s="10">
        <f t="shared" si="30"/>
        <v>1.6528925619834725E-2</v>
      </c>
      <c r="E1028" s="7">
        <v>44978</v>
      </c>
      <c r="F1028" s="9">
        <v>40949.839999999997</v>
      </c>
      <c r="G1028" s="10">
        <f t="shared" si="31"/>
        <v>6.7906388511084102E-3</v>
      </c>
      <c r="K1028" s="13"/>
      <c r="L1028" s="13"/>
      <c r="M1028" s="13"/>
    </row>
    <row r="1029" spans="1:13" x14ac:dyDescent="0.3">
      <c r="A1029" s="7">
        <v>44979</v>
      </c>
      <c r="B1029" s="8">
        <v>3.68</v>
      </c>
      <c r="C1029" s="10">
        <f t="shared" ref="C1029:C1092" si="32">(B1029-B1028)/B1028</f>
        <v>-2.710027100270945E-3</v>
      </c>
      <c r="E1029" s="7">
        <v>44979</v>
      </c>
      <c r="F1029" s="9">
        <v>41167.599999999999</v>
      </c>
      <c r="G1029" s="10">
        <f t="shared" ref="G1029:G1092" si="33">(F1029-F1028)/F1028</f>
        <v>5.3177252951416183E-3</v>
      </c>
      <c r="K1029" s="13"/>
      <c r="L1029" s="13"/>
      <c r="M1029" s="13"/>
    </row>
    <row r="1030" spans="1:13" x14ac:dyDescent="0.3">
      <c r="A1030" s="7">
        <v>44980</v>
      </c>
      <c r="B1030" s="8">
        <v>3.63</v>
      </c>
      <c r="C1030" s="10">
        <f t="shared" si="32"/>
        <v>-1.3586956521739203E-2</v>
      </c>
      <c r="E1030" s="7">
        <v>44980</v>
      </c>
      <c r="F1030" s="9">
        <v>40838.51</v>
      </c>
      <c r="G1030" s="10">
        <f t="shared" si="33"/>
        <v>-7.993907830429671E-3</v>
      </c>
      <c r="K1030" s="13"/>
      <c r="L1030" s="13"/>
      <c r="M1030" s="13"/>
    </row>
    <row r="1031" spans="1:13" x14ac:dyDescent="0.3">
      <c r="A1031" s="7">
        <v>44981</v>
      </c>
      <c r="B1031" s="8">
        <v>3.56</v>
      </c>
      <c r="C1031" s="10">
        <f t="shared" si="32"/>
        <v>-1.9283746556473785E-2</v>
      </c>
      <c r="E1031" s="7">
        <v>44981</v>
      </c>
      <c r="F1031" s="9">
        <v>40707.760000000002</v>
      </c>
      <c r="G1031" s="10">
        <f t="shared" si="33"/>
        <v>-3.201634927425119E-3</v>
      </c>
      <c r="K1031" s="13"/>
      <c r="L1031" s="13"/>
      <c r="M1031" s="13"/>
    </row>
    <row r="1032" spans="1:13" x14ac:dyDescent="0.3">
      <c r="A1032" s="7">
        <v>44984</v>
      </c>
      <c r="B1032" s="8">
        <v>3.53</v>
      </c>
      <c r="C1032" s="10">
        <f t="shared" si="32"/>
        <v>-8.4269662921349006E-3</v>
      </c>
      <c r="E1032" s="7">
        <v>44984</v>
      </c>
      <c r="F1032" s="9">
        <v>40784.129999999997</v>
      </c>
      <c r="G1032" s="10">
        <f t="shared" si="33"/>
        <v>1.8760550813897729E-3</v>
      </c>
      <c r="K1032" s="13"/>
      <c r="L1032" s="13"/>
      <c r="M1032" s="13"/>
    </row>
    <row r="1033" spans="1:13" x14ac:dyDescent="0.3">
      <c r="A1033" s="7">
        <v>44985</v>
      </c>
      <c r="B1033" s="8">
        <v>3.48</v>
      </c>
      <c r="C1033" s="10">
        <f t="shared" si="32"/>
        <v>-1.4164305949008449E-2</v>
      </c>
      <c r="E1033" s="7">
        <v>44985</v>
      </c>
      <c r="F1033" s="9">
        <v>40510.370000000003</v>
      </c>
      <c r="G1033" s="10">
        <f t="shared" si="33"/>
        <v>-6.7124148535225537E-3</v>
      </c>
      <c r="K1033" s="13"/>
      <c r="L1033" s="13"/>
      <c r="M1033" s="13"/>
    </row>
    <row r="1034" spans="1:13" x14ac:dyDescent="0.3">
      <c r="A1034" s="7">
        <v>44986</v>
      </c>
      <c r="B1034" s="8">
        <v>3.42</v>
      </c>
      <c r="C1034" s="10">
        <f t="shared" si="32"/>
        <v>-1.7241379310344845E-2</v>
      </c>
      <c r="E1034" s="7">
        <v>44986</v>
      </c>
      <c r="F1034" s="9">
        <v>40412.769999999997</v>
      </c>
      <c r="G1034" s="10">
        <f t="shared" si="33"/>
        <v>-2.4092596537628715E-3</v>
      </c>
      <c r="K1034" s="13"/>
      <c r="L1034" s="13"/>
      <c r="M1034" s="13"/>
    </row>
    <row r="1035" spans="1:13" x14ac:dyDescent="0.3">
      <c r="A1035" s="7">
        <v>44987</v>
      </c>
      <c r="B1035" s="8">
        <v>3.39</v>
      </c>
      <c r="C1035" s="10">
        <f t="shared" si="32"/>
        <v>-8.7719298245613458E-3</v>
      </c>
      <c r="E1035" s="7">
        <v>44987</v>
      </c>
      <c r="F1035" s="9">
        <v>40670.879999999997</v>
      </c>
      <c r="G1035" s="10">
        <f t="shared" si="33"/>
        <v>6.3868425747604183E-3</v>
      </c>
      <c r="K1035" s="13"/>
      <c r="L1035" s="13"/>
      <c r="M1035" s="13"/>
    </row>
    <row r="1036" spans="1:13" x14ac:dyDescent="0.3">
      <c r="A1036" s="7">
        <v>44988</v>
      </c>
      <c r="B1036" s="8">
        <v>3.5</v>
      </c>
      <c r="C1036" s="10">
        <f t="shared" si="32"/>
        <v>3.2448377581120909E-2</v>
      </c>
      <c r="E1036" s="7">
        <v>44988</v>
      </c>
      <c r="F1036" s="9">
        <v>41337</v>
      </c>
      <c r="G1036" s="10">
        <f t="shared" si="33"/>
        <v>1.6378303100400154E-2</v>
      </c>
      <c r="K1036" s="13"/>
      <c r="L1036" s="13"/>
      <c r="M1036" s="13"/>
    </row>
    <row r="1037" spans="1:13" x14ac:dyDescent="0.3">
      <c r="A1037" s="7">
        <v>44991</v>
      </c>
      <c r="B1037" s="8">
        <v>3.52</v>
      </c>
      <c r="C1037" s="10">
        <f t="shared" si="32"/>
        <v>5.7142857142857195E-3</v>
      </c>
      <c r="E1037" s="7">
        <v>44991</v>
      </c>
      <c r="F1037" s="9">
        <v>41434.33</v>
      </c>
      <c r="G1037" s="10">
        <f t="shared" si="33"/>
        <v>2.3545491932167729E-3</v>
      </c>
      <c r="K1037" s="13"/>
      <c r="L1037" s="13"/>
      <c r="M1037" s="13"/>
    </row>
    <row r="1038" spans="1:13" x14ac:dyDescent="0.3">
      <c r="A1038" s="7">
        <v>44992</v>
      </c>
      <c r="B1038" s="8">
        <v>3.51</v>
      </c>
      <c r="C1038" s="10">
        <f t="shared" si="32"/>
        <v>-2.8409090909091565E-3</v>
      </c>
      <c r="E1038" s="7">
        <v>44992</v>
      </c>
      <c r="F1038" s="9">
        <v>41334.69</v>
      </c>
      <c r="G1038" s="10">
        <f t="shared" si="33"/>
        <v>-2.4047691853590829E-3</v>
      </c>
      <c r="K1038" s="13"/>
      <c r="L1038" s="13"/>
      <c r="M1038" s="13"/>
    </row>
    <row r="1039" spans="1:13" x14ac:dyDescent="0.3">
      <c r="A1039" s="7">
        <v>44993</v>
      </c>
      <c r="B1039" s="8">
        <v>3.46</v>
      </c>
      <c r="C1039" s="10">
        <f t="shared" si="32"/>
        <v>-1.4245014245014195E-2</v>
      </c>
      <c r="E1039" s="7">
        <v>44993</v>
      </c>
      <c r="F1039" s="9">
        <v>41358.93</v>
      </c>
      <c r="G1039" s="10">
        <f t="shared" si="33"/>
        <v>5.8643236467959383E-4</v>
      </c>
      <c r="K1039" s="13"/>
      <c r="L1039" s="13"/>
      <c r="M1039" s="13"/>
    </row>
    <row r="1040" spans="1:13" x14ac:dyDescent="0.3">
      <c r="A1040" s="7">
        <v>44994</v>
      </c>
      <c r="B1040" s="8">
        <v>3.58</v>
      </c>
      <c r="C1040" s="10">
        <f t="shared" si="32"/>
        <v>3.4682080924855523E-2</v>
      </c>
      <c r="E1040" s="7">
        <v>44994</v>
      </c>
      <c r="F1040" s="9">
        <v>41585.54</v>
      </c>
      <c r="G1040" s="10">
        <f t="shared" si="33"/>
        <v>5.4791069304742793E-3</v>
      </c>
      <c r="K1040" s="13"/>
      <c r="L1040" s="13"/>
      <c r="M1040" s="13"/>
    </row>
    <row r="1041" spans="1:13" x14ac:dyDescent="0.3">
      <c r="A1041" s="7">
        <v>44995</v>
      </c>
      <c r="B1041" s="8">
        <v>3.69</v>
      </c>
      <c r="C1041" s="10">
        <f t="shared" si="32"/>
        <v>3.0726256983240188E-2</v>
      </c>
      <c r="E1041" s="7">
        <v>44995</v>
      </c>
      <c r="F1041" s="9">
        <v>41793.870000000003</v>
      </c>
      <c r="G1041" s="10">
        <f t="shared" si="33"/>
        <v>5.009674035734578E-3</v>
      </c>
      <c r="K1041" s="13"/>
      <c r="L1041" s="13"/>
      <c r="M1041" s="13"/>
    </row>
    <row r="1042" spans="1:13" x14ac:dyDescent="0.3">
      <c r="A1042" s="7">
        <v>44998</v>
      </c>
      <c r="B1042" s="8">
        <v>3.76</v>
      </c>
      <c r="C1042" s="10">
        <f t="shared" si="32"/>
        <v>1.8970189701896976E-2</v>
      </c>
      <c r="E1042" s="7">
        <v>44998</v>
      </c>
      <c r="F1042" s="9">
        <v>41856.85</v>
      </c>
      <c r="G1042" s="10">
        <f t="shared" si="33"/>
        <v>1.5069195554275284E-3</v>
      </c>
      <c r="K1042" s="13"/>
      <c r="L1042" s="13"/>
      <c r="M1042" s="13"/>
    </row>
    <row r="1043" spans="1:13" x14ac:dyDescent="0.3">
      <c r="A1043" s="7">
        <v>44999</v>
      </c>
      <c r="B1043" s="8">
        <v>3.71</v>
      </c>
      <c r="C1043" s="10">
        <f t="shared" si="32"/>
        <v>-1.3297872340425485E-2</v>
      </c>
      <c r="E1043" s="7">
        <v>44999</v>
      </c>
      <c r="F1043" s="9">
        <v>41816.43</v>
      </c>
      <c r="G1043" s="10">
        <f t="shared" si="33"/>
        <v>-9.6567228542038534E-4</v>
      </c>
      <c r="K1043" s="13"/>
      <c r="L1043" s="13"/>
      <c r="M1043" s="13"/>
    </row>
    <row r="1044" spans="1:13" x14ac:dyDescent="0.3">
      <c r="A1044" s="7">
        <v>45000</v>
      </c>
      <c r="B1044" s="8">
        <v>3.68</v>
      </c>
      <c r="C1044" s="10">
        <f t="shared" si="32"/>
        <v>-8.0862533692721839E-3</v>
      </c>
      <c r="E1044" s="7">
        <v>45000</v>
      </c>
      <c r="F1044" s="9">
        <v>41874.04</v>
      </c>
      <c r="G1044" s="10">
        <f t="shared" si="33"/>
        <v>1.3776881479361242E-3</v>
      </c>
      <c r="K1044" s="13"/>
      <c r="L1044" s="13"/>
      <c r="M1044" s="13"/>
    </row>
    <row r="1045" spans="1:13" x14ac:dyDescent="0.3">
      <c r="A1045" s="7">
        <v>45001</v>
      </c>
      <c r="B1045" s="8">
        <v>3.69</v>
      </c>
      <c r="C1045" s="10">
        <f t="shared" si="32"/>
        <v>2.7173913043477679E-3</v>
      </c>
      <c r="E1045" s="7">
        <v>45001</v>
      </c>
      <c r="F1045" s="9">
        <v>41694.089999999997</v>
      </c>
      <c r="G1045" s="10">
        <f t="shared" si="33"/>
        <v>-4.2974119526084506E-3</v>
      </c>
      <c r="K1045" s="13"/>
      <c r="L1045" s="13"/>
      <c r="M1045" s="13"/>
    </row>
    <row r="1046" spans="1:13" x14ac:dyDescent="0.3">
      <c r="A1046" s="7">
        <v>45002</v>
      </c>
      <c r="B1046" s="8">
        <v>3.67</v>
      </c>
      <c r="C1046" s="10">
        <f t="shared" si="32"/>
        <v>-5.4200542005420106E-3</v>
      </c>
      <c r="E1046" s="7">
        <v>45002</v>
      </c>
      <c r="F1046" s="9">
        <v>41329.949999999997</v>
      </c>
      <c r="G1046" s="10">
        <f t="shared" si="33"/>
        <v>-8.7336118860010959E-3</v>
      </c>
      <c r="K1046" s="13"/>
      <c r="L1046" s="13"/>
      <c r="M1046" s="13"/>
    </row>
    <row r="1047" spans="1:13" x14ac:dyDescent="0.3">
      <c r="A1047" s="7">
        <v>45005</v>
      </c>
      <c r="B1047" s="8">
        <v>3.63</v>
      </c>
      <c r="C1047" s="10">
        <f t="shared" si="32"/>
        <v>-1.0899182561307912E-2</v>
      </c>
      <c r="E1047" s="7">
        <v>45005</v>
      </c>
      <c r="F1047" s="9">
        <v>40918.449999999997</v>
      </c>
      <c r="G1047" s="10">
        <f t="shared" si="33"/>
        <v>-9.9564601457296717E-3</v>
      </c>
      <c r="K1047" s="13"/>
      <c r="L1047" s="13"/>
      <c r="M1047" s="13"/>
    </row>
    <row r="1048" spans="1:13" x14ac:dyDescent="0.3">
      <c r="A1048" s="7">
        <v>45006</v>
      </c>
      <c r="B1048" s="8">
        <v>3.73</v>
      </c>
      <c r="C1048" s="10">
        <f t="shared" si="32"/>
        <v>2.754820936639121E-2</v>
      </c>
      <c r="E1048" s="7">
        <v>45006</v>
      </c>
      <c r="F1048" s="9">
        <v>40877.980000000003</v>
      </c>
      <c r="G1048" s="10">
        <f t="shared" si="33"/>
        <v>-9.8904039620254175E-4</v>
      </c>
      <c r="K1048" s="13"/>
      <c r="L1048" s="13"/>
      <c r="M1048" s="13"/>
    </row>
    <row r="1049" spans="1:13" x14ac:dyDescent="0.3">
      <c r="A1049" s="7">
        <v>45007</v>
      </c>
      <c r="B1049" s="8">
        <v>3.62</v>
      </c>
      <c r="C1049" s="10">
        <f t="shared" si="32"/>
        <v>-2.9490616621983882E-2</v>
      </c>
      <c r="E1049" s="7">
        <v>45007</v>
      </c>
      <c r="F1049" s="9">
        <v>40376.1</v>
      </c>
      <c r="G1049" s="10">
        <f t="shared" si="33"/>
        <v>-1.2277514691283782E-2</v>
      </c>
      <c r="K1049" s="13"/>
      <c r="L1049" s="13"/>
      <c r="M1049" s="13"/>
    </row>
    <row r="1050" spans="1:13" x14ac:dyDescent="0.3">
      <c r="A1050" s="7">
        <v>45009</v>
      </c>
      <c r="B1050" s="8">
        <v>3.57</v>
      </c>
      <c r="C1050" s="10">
        <f t="shared" si="32"/>
        <v>-1.3812154696132671E-2</v>
      </c>
      <c r="E1050" s="7">
        <v>45009</v>
      </c>
      <c r="F1050" s="9">
        <v>39942.050000000003</v>
      </c>
      <c r="G1050" s="10">
        <f t="shared" si="33"/>
        <v>-1.0750171512354974E-2</v>
      </c>
      <c r="K1050" s="13"/>
      <c r="L1050" s="13"/>
      <c r="M1050" s="13"/>
    </row>
    <row r="1051" spans="1:13" x14ac:dyDescent="0.3">
      <c r="A1051" s="7">
        <v>45012</v>
      </c>
      <c r="B1051" s="8">
        <v>3.56</v>
      </c>
      <c r="C1051" s="10">
        <f t="shared" si="32"/>
        <v>-2.8011204481792123E-3</v>
      </c>
      <c r="E1051" s="7">
        <v>45012</v>
      </c>
      <c r="F1051" s="9">
        <v>40000.370000000003</v>
      </c>
      <c r="G1051" s="10">
        <f t="shared" si="33"/>
        <v>1.4601153421018628E-3</v>
      </c>
      <c r="K1051" s="13"/>
      <c r="L1051" s="13"/>
      <c r="M1051" s="13"/>
    </row>
    <row r="1052" spans="1:13" x14ac:dyDescent="0.3">
      <c r="A1052" s="7">
        <v>45013</v>
      </c>
      <c r="B1052" s="8">
        <v>3.59</v>
      </c>
      <c r="C1052" s="10">
        <f t="shared" si="32"/>
        <v>8.4269662921347757E-3</v>
      </c>
      <c r="E1052" s="7">
        <v>45013</v>
      </c>
      <c r="F1052" s="9">
        <v>40082.370000000003</v>
      </c>
      <c r="G1052" s="10">
        <f t="shared" si="33"/>
        <v>2.0499810376754012E-3</v>
      </c>
      <c r="K1052" s="13"/>
      <c r="L1052" s="13"/>
      <c r="M1052" s="13"/>
    </row>
    <row r="1053" spans="1:13" x14ac:dyDescent="0.3">
      <c r="A1053" s="7">
        <v>45014</v>
      </c>
      <c r="B1053" s="8">
        <v>3.54</v>
      </c>
      <c r="C1053" s="10">
        <f t="shared" si="32"/>
        <v>-1.392757660167126E-2</v>
      </c>
      <c r="E1053" s="7">
        <v>45014</v>
      </c>
      <c r="F1053" s="9">
        <v>39879.89</v>
      </c>
      <c r="G1053" s="10">
        <f t="shared" si="33"/>
        <v>-5.0515974978526269E-3</v>
      </c>
      <c r="K1053" s="13"/>
      <c r="L1053" s="13"/>
      <c r="M1053" s="13"/>
    </row>
    <row r="1054" spans="1:13" x14ac:dyDescent="0.3">
      <c r="A1054" s="7">
        <v>45015</v>
      </c>
      <c r="B1054" s="8">
        <v>3.48</v>
      </c>
      <c r="C1054" s="10">
        <f t="shared" si="32"/>
        <v>-1.6949152542372895E-2</v>
      </c>
      <c r="E1054" s="7">
        <v>45015</v>
      </c>
      <c r="F1054" s="9">
        <v>39848.35</v>
      </c>
      <c r="G1054" s="10">
        <f t="shared" si="33"/>
        <v>-7.9087479930363077E-4</v>
      </c>
      <c r="K1054" s="13"/>
      <c r="L1054" s="13"/>
      <c r="M1054" s="13"/>
    </row>
    <row r="1055" spans="1:13" x14ac:dyDescent="0.3">
      <c r="A1055" s="7">
        <v>45016</v>
      </c>
      <c r="B1055" s="8">
        <v>3.46</v>
      </c>
      <c r="C1055" s="10">
        <f t="shared" si="32"/>
        <v>-5.7471264367816143E-3</v>
      </c>
      <c r="E1055" s="7">
        <v>45016</v>
      </c>
      <c r="F1055" s="9">
        <v>40000.83</v>
      </c>
      <c r="G1055" s="10">
        <f t="shared" si="33"/>
        <v>3.8265072455949422E-3</v>
      </c>
      <c r="K1055" s="13"/>
      <c r="L1055" s="13"/>
      <c r="M1055" s="13"/>
    </row>
    <row r="1056" spans="1:13" x14ac:dyDescent="0.3">
      <c r="A1056" s="7">
        <v>45019</v>
      </c>
      <c r="B1056" s="8">
        <v>3.52</v>
      </c>
      <c r="C1056" s="10">
        <f t="shared" si="32"/>
        <v>1.7341040462427761E-2</v>
      </c>
      <c r="E1056" s="7">
        <v>45019</v>
      </c>
      <c r="F1056" s="9">
        <v>39889.9</v>
      </c>
      <c r="G1056" s="10">
        <f t="shared" si="33"/>
        <v>-2.7731924562565398E-3</v>
      </c>
      <c r="K1056" s="13"/>
      <c r="L1056" s="13"/>
      <c r="M1056" s="13"/>
    </row>
    <row r="1057" spans="1:13" x14ac:dyDescent="0.3">
      <c r="A1057" s="7">
        <v>45020</v>
      </c>
      <c r="B1057" s="8">
        <v>3.48</v>
      </c>
      <c r="C1057" s="10">
        <f t="shared" si="32"/>
        <v>-1.1363636363636374E-2</v>
      </c>
      <c r="E1057" s="7">
        <v>45020</v>
      </c>
      <c r="F1057" s="9">
        <v>39687.26</v>
      </c>
      <c r="G1057" s="10">
        <f t="shared" si="33"/>
        <v>-5.0799826522503044E-3</v>
      </c>
      <c r="K1057" s="13"/>
      <c r="L1057" s="13"/>
      <c r="M1057" s="13"/>
    </row>
    <row r="1058" spans="1:13" x14ac:dyDescent="0.3">
      <c r="A1058" s="7">
        <v>45021</v>
      </c>
      <c r="B1058" s="8">
        <v>3.47</v>
      </c>
      <c r="C1058" s="10">
        <f t="shared" si="32"/>
        <v>-2.8735632183907434E-3</v>
      </c>
      <c r="E1058" s="7">
        <v>45021</v>
      </c>
      <c r="F1058" s="9">
        <v>39717.15</v>
      </c>
      <c r="G1058" s="10">
        <f t="shared" si="33"/>
        <v>7.5313841267952021E-4</v>
      </c>
      <c r="K1058" s="13"/>
      <c r="L1058" s="13"/>
      <c r="M1058" s="13"/>
    </row>
    <row r="1059" spans="1:13" x14ac:dyDescent="0.3">
      <c r="A1059" s="7">
        <v>45022</v>
      </c>
      <c r="B1059" s="8">
        <v>3.5</v>
      </c>
      <c r="C1059" s="10">
        <f t="shared" si="32"/>
        <v>8.6455331412103181E-3</v>
      </c>
      <c r="E1059" s="7">
        <v>45022</v>
      </c>
      <c r="F1059" s="9">
        <v>40350.89</v>
      </c>
      <c r="G1059" s="10">
        <f t="shared" si="33"/>
        <v>1.5956331207047786E-2</v>
      </c>
      <c r="K1059" s="13"/>
      <c r="L1059" s="13"/>
      <c r="M1059" s="13"/>
    </row>
    <row r="1060" spans="1:13" x14ac:dyDescent="0.3">
      <c r="A1060" s="7">
        <v>45023</v>
      </c>
      <c r="B1060" s="8">
        <v>3.48</v>
      </c>
      <c r="C1060" s="10">
        <f t="shared" si="32"/>
        <v>-5.7142857142857195E-3</v>
      </c>
      <c r="E1060" s="7">
        <v>45023</v>
      </c>
      <c r="F1060" s="9">
        <v>40049.65</v>
      </c>
      <c r="G1060" s="10">
        <f t="shared" si="33"/>
        <v>-7.4655106739900398E-3</v>
      </c>
      <c r="K1060" s="13"/>
      <c r="L1060" s="13"/>
      <c r="M1060" s="13"/>
    </row>
    <row r="1061" spans="1:13" x14ac:dyDescent="0.3">
      <c r="A1061" s="7">
        <v>45026</v>
      </c>
      <c r="B1061" s="8">
        <v>3.44</v>
      </c>
      <c r="C1061" s="10">
        <f t="shared" si="32"/>
        <v>-1.1494252873563229E-2</v>
      </c>
      <c r="E1061" s="7">
        <v>45026</v>
      </c>
      <c r="F1061" s="9">
        <v>39835.9</v>
      </c>
      <c r="G1061" s="10">
        <f t="shared" si="33"/>
        <v>-5.337125293229778E-3</v>
      </c>
      <c r="K1061" s="13"/>
      <c r="L1061" s="13"/>
      <c r="M1061" s="13"/>
    </row>
    <row r="1062" spans="1:13" x14ac:dyDescent="0.3">
      <c r="A1062" s="7">
        <v>45027</v>
      </c>
      <c r="B1062" s="8">
        <v>3.43</v>
      </c>
      <c r="C1062" s="10">
        <f t="shared" si="32"/>
        <v>-2.9069767441859845E-3</v>
      </c>
      <c r="E1062" s="7">
        <v>45027</v>
      </c>
      <c r="F1062" s="9">
        <v>39804.71</v>
      </c>
      <c r="G1062" s="10">
        <f t="shared" si="33"/>
        <v>-7.8296210202361005E-4</v>
      </c>
      <c r="K1062" s="13"/>
      <c r="L1062" s="13"/>
      <c r="M1062" s="13"/>
    </row>
    <row r="1063" spans="1:13" x14ac:dyDescent="0.3">
      <c r="A1063" s="7">
        <v>45028</v>
      </c>
      <c r="B1063" s="8">
        <v>3.4</v>
      </c>
      <c r="C1063" s="10">
        <f t="shared" si="32"/>
        <v>-8.7463556851312668E-3</v>
      </c>
      <c r="E1063" s="7">
        <v>45028</v>
      </c>
      <c r="F1063" s="9">
        <v>40126.050000000003</v>
      </c>
      <c r="G1063" s="10">
        <f t="shared" si="33"/>
        <v>8.0729139842999429E-3</v>
      </c>
      <c r="K1063" s="13"/>
      <c r="L1063" s="13"/>
      <c r="M1063" s="13"/>
    </row>
    <row r="1064" spans="1:13" x14ac:dyDescent="0.3">
      <c r="A1064" s="7">
        <v>45029</v>
      </c>
      <c r="B1064" s="8">
        <v>3.41</v>
      </c>
      <c r="C1064" s="10">
        <f t="shared" si="32"/>
        <v>2.9411764705883033E-3</v>
      </c>
      <c r="E1064" s="7">
        <v>45029</v>
      </c>
      <c r="F1064" s="9">
        <v>40205.54</v>
      </c>
      <c r="G1064" s="10">
        <f t="shared" si="33"/>
        <v>1.9810073505864135E-3</v>
      </c>
      <c r="K1064" s="13"/>
      <c r="L1064" s="13"/>
      <c r="M1064" s="13"/>
    </row>
    <row r="1065" spans="1:13" x14ac:dyDescent="0.3">
      <c r="A1065" s="7">
        <v>45033</v>
      </c>
      <c r="B1065" s="8">
        <v>3.38</v>
      </c>
      <c r="C1065" s="10">
        <f t="shared" si="32"/>
        <v>-8.7976539589443535E-3</v>
      </c>
      <c r="E1065" s="7">
        <v>45033</v>
      </c>
      <c r="F1065" s="9">
        <v>40246.660000000003</v>
      </c>
      <c r="G1065" s="10">
        <f t="shared" si="33"/>
        <v>1.0227446267355846E-3</v>
      </c>
      <c r="K1065" s="13"/>
      <c r="L1065" s="13"/>
      <c r="M1065" s="13"/>
    </row>
    <row r="1066" spans="1:13" x14ac:dyDescent="0.3">
      <c r="A1066" s="7">
        <v>45034</v>
      </c>
      <c r="B1066" s="8">
        <v>3.37</v>
      </c>
      <c r="C1066" s="10">
        <f t="shared" si="32"/>
        <v>-2.9585798816567418E-3</v>
      </c>
      <c r="E1066" s="7">
        <v>45034</v>
      </c>
      <c r="F1066" s="9">
        <v>40448.050000000003</v>
      </c>
      <c r="G1066" s="10">
        <f t="shared" si="33"/>
        <v>5.0038934907890341E-3</v>
      </c>
      <c r="K1066" s="13"/>
      <c r="L1066" s="13"/>
      <c r="M1066" s="13"/>
    </row>
    <row r="1067" spans="1:13" x14ac:dyDescent="0.3">
      <c r="A1067" s="7">
        <v>45035</v>
      </c>
      <c r="B1067" s="8">
        <v>3.37</v>
      </c>
      <c r="C1067" s="10">
        <f t="shared" si="32"/>
        <v>0</v>
      </c>
      <c r="E1067" s="7">
        <v>45035</v>
      </c>
      <c r="F1067" s="9">
        <v>40499.339999999997</v>
      </c>
      <c r="G1067" s="10">
        <f t="shared" si="33"/>
        <v>1.2680462964220424E-3</v>
      </c>
      <c r="K1067" s="13"/>
      <c r="L1067" s="13"/>
      <c r="M1067" s="13"/>
    </row>
    <row r="1068" spans="1:13" x14ac:dyDescent="0.3">
      <c r="A1068" s="7">
        <v>45036</v>
      </c>
      <c r="B1068" s="8">
        <v>3.45</v>
      </c>
      <c r="C1068" s="10">
        <f t="shared" si="32"/>
        <v>2.3738872403560853E-2</v>
      </c>
      <c r="E1068" s="7">
        <v>45036</v>
      </c>
      <c r="F1068" s="9">
        <v>41007.82</v>
      </c>
      <c r="G1068" s="10">
        <f t="shared" si="33"/>
        <v>1.255526633273538E-2</v>
      </c>
      <c r="K1068" s="13"/>
      <c r="L1068" s="13"/>
      <c r="M1068" s="13"/>
    </row>
    <row r="1069" spans="1:13" x14ac:dyDescent="0.3">
      <c r="A1069" s="7">
        <v>45042</v>
      </c>
      <c r="B1069" s="8">
        <v>3.56</v>
      </c>
      <c r="C1069" s="10">
        <f t="shared" si="32"/>
        <v>3.1884057971014457E-2</v>
      </c>
      <c r="E1069" s="7">
        <v>45042</v>
      </c>
      <c r="F1069" s="9">
        <v>41099.58</v>
      </c>
      <c r="G1069" s="10">
        <f t="shared" si="33"/>
        <v>2.2376219950244135E-3</v>
      </c>
      <c r="K1069" s="13"/>
      <c r="L1069" s="13"/>
      <c r="M1069" s="13"/>
    </row>
    <row r="1070" spans="1:13" x14ac:dyDescent="0.3">
      <c r="A1070" s="7">
        <v>45043</v>
      </c>
      <c r="B1070" s="8">
        <v>3.54</v>
      </c>
      <c r="C1070" s="10">
        <f t="shared" si="32"/>
        <v>-5.6179775280898927E-3</v>
      </c>
      <c r="E1070" s="7">
        <v>45043</v>
      </c>
      <c r="F1070" s="9">
        <v>41463.910000000003</v>
      </c>
      <c r="G1070" s="10">
        <f t="shared" si="33"/>
        <v>8.8645674724656971E-3</v>
      </c>
      <c r="K1070" s="13"/>
      <c r="L1070" s="13"/>
      <c r="M1070" s="13"/>
    </row>
    <row r="1071" spans="1:13" x14ac:dyDescent="0.3">
      <c r="A1071" s="7">
        <v>45044</v>
      </c>
      <c r="B1071" s="8">
        <v>3.65</v>
      </c>
      <c r="C1071" s="10">
        <f t="shared" si="32"/>
        <v>3.1073446327683579E-2</v>
      </c>
      <c r="E1071" s="7">
        <v>45044</v>
      </c>
      <c r="F1071" s="9">
        <v>41580.85</v>
      </c>
      <c r="G1071" s="10">
        <f t="shared" si="33"/>
        <v>2.8202839529604187E-3</v>
      </c>
      <c r="K1071" s="13"/>
      <c r="L1071" s="13"/>
      <c r="M1071" s="13"/>
    </row>
    <row r="1072" spans="1:13" x14ac:dyDescent="0.3">
      <c r="A1072" s="7">
        <v>45048</v>
      </c>
      <c r="B1072" s="8">
        <v>3.58</v>
      </c>
      <c r="C1072" s="10">
        <f t="shared" si="32"/>
        <v>-1.9178082191780778E-2</v>
      </c>
      <c r="E1072" s="7">
        <v>45048</v>
      </c>
      <c r="F1072" s="9">
        <v>41927.64</v>
      </c>
      <c r="G1072" s="10">
        <f t="shared" si="33"/>
        <v>8.3401373468796544E-3</v>
      </c>
      <c r="K1072" s="13"/>
      <c r="L1072" s="13"/>
      <c r="M1072" s="13"/>
    </row>
    <row r="1073" spans="1:13" x14ac:dyDescent="0.3">
      <c r="A1073" s="7">
        <v>45049</v>
      </c>
      <c r="B1073" s="8">
        <v>3.52</v>
      </c>
      <c r="C1073" s="10">
        <f t="shared" si="32"/>
        <v>-1.6759776536312863E-2</v>
      </c>
      <c r="E1073" s="7">
        <v>45049</v>
      </c>
      <c r="F1073" s="9">
        <v>42087.93</v>
      </c>
      <c r="G1073" s="10">
        <f t="shared" si="33"/>
        <v>3.8230150802668807E-3</v>
      </c>
      <c r="K1073" s="13"/>
      <c r="L1073" s="13"/>
      <c r="M1073" s="13"/>
    </row>
    <row r="1074" spans="1:13" x14ac:dyDescent="0.3">
      <c r="A1074" s="7">
        <v>45050</v>
      </c>
      <c r="B1074" s="8">
        <v>3.47</v>
      </c>
      <c r="C1074" s="10">
        <f t="shared" si="32"/>
        <v>-1.4204545454545404E-2</v>
      </c>
      <c r="E1074" s="7">
        <v>45050</v>
      </c>
      <c r="F1074" s="9">
        <v>42093.8</v>
      </c>
      <c r="G1074" s="10">
        <f t="shared" si="33"/>
        <v>1.3946991453375396E-4</v>
      </c>
      <c r="K1074" s="13"/>
      <c r="L1074" s="13"/>
      <c r="M1074" s="13"/>
    </row>
    <row r="1075" spans="1:13" x14ac:dyDescent="0.3">
      <c r="A1075" s="7">
        <v>45051</v>
      </c>
      <c r="B1075" s="8">
        <v>3.48</v>
      </c>
      <c r="C1075" s="10">
        <f t="shared" si="32"/>
        <v>2.8818443804033964E-3</v>
      </c>
      <c r="E1075" s="7">
        <v>45051</v>
      </c>
      <c r="F1075" s="9">
        <v>42241.98</v>
      </c>
      <c r="G1075" s="10">
        <f t="shared" si="33"/>
        <v>3.520233383538675E-3</v>
      </c>
      <c r="K1075" s="13"/>
      <c r="L1075" s="13"/>
      <c r="M1075" s="13"/>
    </row>
    <row r="1076" spans="1:13" x14ac:dyDescent="0.3">
      <c r="A1076" s="7">
        <v>45054</v>
      </c>
      <c r="B1076" s="8">
        <v>3.48</v>
      </c>
      <c r="C1076" s="10">
        <f t="shared" si="32"/>
        <v>0</v>
      </c>
      <c r="E1076" s="7">
        <v>45054</v>
      </c>
      <c r="F1076" s="9">
        <v>41829.49</v>
      </c>
      <c r="G1076" s="10">
        <f t="shared" si="33"/>
        <v>-9.7649305264574538E-3</v>
      </c>
      <c r="K1076" s="13"/>
      <c r="L1076" s="13"/>
      <c r="M1076" s="13"/>
    </row>
    <row r="1077" spans="1:13" x14ac:dyDescent="0.3">
      <c r="A1077" s="7">
        <v>45055</v>
      </c>
      <c r="B1077" s="8">
        <v>3.38</v>
      </c>
      <c r="C1077" s="10">
        <f t="shared" si="32"/>
        <v>-2.8735632183908073E-2</v>
      </c>
      <c r="E1077" s="7">
        <v>45055</v>
      </c>
      <c r="F1077" s="9">
        <v>41373.81</v>
      </c>
      <c r="G1077" s="10">
        <f t="shared" si="33"/>
        <v>-1.0893749840124761E-2</v>
      </c>
      <c r="K1077" s="13"/>
      <c r="L1077" s="13"/>
      <c r="M1077" s="13"/>
    </row>
    <row r="1078" spans="1:13" x14ac:dyDescent="0.3">
      <c r="A1078" s="7">
        <v>45056</v>
      </c>
      <c r="B1078" s="8">
        <v>3.35</v>
      </c>
      <c r="C1078" s="10">
        <f t="shared" si="32"/>
        <v>-8.8757396449703572E-3</v>
      </c>
      <c r="E1078" s="7">
        <v>45056</v>
      </c>
      <c r="F1078" s="9">
        <v>41074.949999999997</v>
      </c>
      <c r="G1078" s="10">
        <f t="shared" si="33"/>
        <v>-7.2234101717971004E-3</v>
      </c>
      <c r="K1078" s="13"/>
      <c r="L1078" s="13"/>
      <c r="M1078" s="13"/>
    </row>
    <row r="1079" spans="1:13" x14ac:dyDescent="0.3">
      <c r="A1079" s="7">
        <v>45057</v>
      </c>
      <c r="B1079" s="8">
        <v>3.35</v>
      </c>
      <c r="C1079" s="10">
        <f t="shared" si="32"/>
        <v>0</v>
      </c>
      <c r="E1079" s="7">
        <v>45057</v>
      </c>
      <c r="F1079" s="9">
        <v>41325.629999999997</v>
      </c>
      <c r="G1079" s="10">
        <f t="shared" si="33"/>
        <v>6.102989778441612E-3</v>
      </c>
      <c r="K1079" s="13"/>
      <c r="L1079" s="13"/>
      <c r="M1079" s="13"/>
    </row>
    <row r="1080" spans="1:13" x14ac:dyDescent="0.3">
      <c r="A1080" s="7">
        <v>45058</v>
      </c>
      <c r="B1080" s="8">
        <v>3.37</v>
      </c>
      <c r="C1080" s="10">
        <f t="shared" si="32"/>
        <v>5.9701492537313485E-3</v>
      </c>
      <c r="E1080" s="7">
        <v>45058</v>
      </c>
      <c r="F1080" s="9">
        <v>41487.58</v>
      </c>
      <c r="G1080" s="10">
        <f t="shared" si="33"/>
        <v>3.9188755259146535E-3</v>
      </c>
      <c r="K1080" s="13"/>
      <c r="L1080" s="13"/>
      <c r="M1080" s="13"/>
    </row>
    <row r="1081" spans="1:13" x14ac:dyDescent="0.3">
      <c r="A1081" s="7">
        <v>45061</v>
      </c>
      <c r="B1081" s="8">
        <v>3.38</v>
      </c>
      <c r="C1081" s="10">
        <f t="shared" si="32"/>
        <v>2.9673590504450406E-3</v>
      </c>
      <c r="E1081" s="7">
        <v>45061</v>
      </c>
      <c r="F1081" s="9">
        <v>41716.26</v>
      </c>
      <c r="G1081" s="10">
        <f t="shared" si="33"/>
        <v>5.5120110645161821E-3</v>
      </c>
      <c r="K1081" s="13"/>
      <c r="L1081" s="13"/>
      <c r="M1081" s="13"/>
    </row>
    <row r="1082" spans="1:13" x14ac:dyDescent="0.3">
      <c r="A1082" s="7">
        <v>45062</v>
      </c>
      <c r="B1082" s="8">
        <v>3.41</v>
      </c>
      <c r="C1082" s="10">
        <f t="shared" si="32"/>
        <v>8.8757396449704873E-3</v>
      </c>
      <c r="E1082" s="7">
        <v>45062</v>
      </c>
      <c r="F1082" s="9">
        <v>41980.13</v>
      </c>
      <c r="G1082" s="10">
        <f t="shared" si="33"/>
        <v>6.3253513138520883E-3</v>
      </c>
      <c r="K1082" s="13"/>
      <c r="L1082" s="13"/>
      <c r="M1082" s="13"/>
    </row>
    <row r="1083" spans="1:13" x14ac:dyDescent="0.3">
      <c r="A1083" s="7">
        <v>45063</v>
      </c>
      <c r="B1083" s="8">
        <v>3.42</v>
      </c>
      <c r="C1083" s="10">
        <f t="shared" si="32"/>
        <v>2.9325513196480314E-3</v>
      </c>
      <c r="E1083" s="7">
        <v>45063</v>
      </c>
      <c r="F1083" s="9">
        <v>41835.57</v>
      </c>
      <c r="G1083" s="10">
        <f t="shared" si="33"/>
        <v>-3.44353388138621E-3</v>
      </c>
      <c r="K1083" s="13"/>
      <c r="L1083" s="13"/>
      <c r="M1083" s="13"/>
    </row>
    <row r="1084" spans="1:13" x14ac:dyDescent="0.3">
      <c r="A1084" s="7">
        <v>45064</v>
      </c>
      <c r="B1084" s="8">
        <v>3.43</v>
      </c>
      <c r="C1084" s="10">
        <f t="shared" si="32"/>
        <v>2.923976608187202E-3</v>
      </c>
      <c r="E1084" s="7">
        <v>45064</v>
      </c>
      <c r="F1084" s="9">
        <v>41472.199999999997</v>
      </c>
      <c r="G1084" s="10">
        <f t="shared" si="33"/>
        <v>-8.685671068901479E-3</v>
      </c>
      <c r="K1084" s="13"/>
      <c r="L1084" s="13"/>
      <c r="M1084" s="13"/>
    </row>
    <row r="1085" spans="1:13" x14ac:dyDescent="0.3">
      <c r="A1085" s="7">
        <v>45065</v>
      </c>
      <c r="B1085" s="8">
        <v>3.38</v>
      </c>
      <c r="C1085" s="10">
        <f t="shared" si="32"/>
        <v>-1.4577259475218736E-2</v>
      </c>
      <c r="E1085" s="7">
        <v>45065</v>
      </c>
      <c r="F1085" s="9">
        <v>41614.870000000003</v>
      </c>
      <c r="G1085" s="10">
        <f t="shared" si="33"/>
        <v>3.440135801814361E-3</v>
      </c>
      <c r="K1085" s="13"/>
      <c r="L1085" s="13"/>
      <c r="M1085" s="13"/>
    </row>
    <row r="1086" spans="1:13" x14ac:dyDescent="0.3">
      <c r="A1086" s="7">
        <v>45068</v>
      </c>
      <c r="B1086" s="8">
        <v>3.34</v>
      </c>
      <c r="C1086" s="10">
        <f t="shared" si="32"/>
        <v>-1.1834319526627229E-2</v>
      </c>
      <c r="E1086" s="7">
        <v>45068</v>
      </c>
      <c r="F1086" s="9">
        <v>41203.5</v>
      </c>
      <c r="G1086" s="10">
        <f t="shared" si="33"/>
        <v>-9.8851684506043782E-3</v>
      </c>
      <c r="K1086" s="13"/>
      <c r="L1086" s="13"/>
      <c r="M1086" s="13"/>
    </row>
    <row r="1087" spans="1:13" x14ac:dyDescent="0.3">
      <c r="A1087" s="7">
        <v>45069</v>
      </c>
      <c r="B1087" s="8">
        <v>3.3</v>
      </c>
      <c r="C1087" s="10">
        <f t="shared" si="32"/>
        <v>-1.1976047904191628E-2</v>
      </c>
      <c r="E1087" s="7">
        <v>45069</v>
      </c>
      <c r="F1087" s="9">
        <v>41116.629999999997</v>
      </c>
      <c r="G1087" s="10">
        <f t="shared" si="33"/>
        <v>-2.1083160411130759E-3</v>
      </c>
      <c r="K1087" s="13"/>
      <c r="L1087" s="13"/>
      <c r="M1087" s="13"/>
    </row>
    <row r="1088" spans="1:13" x14ac:dyDescent="0.3">
      <c r="A1088" s="7">
        <v>45070</v>
      </c>
      <c r="B1088" s="8">
        <v>3.29</v>
      </c>
      <c r="C1088" s="10">
        <f t="shared" si="32"/>
        <v>-3.0303030303029657E-3</v>
      </c>
      <c r="E1088" s="7">
        <v>45070</v>
      </c>
      <c r="F1088" s="9">
        <v>41098.480000000003</v>
      </c>
      <c r="G1088" s="10">
        <f t="shared" si="33"/>
        <v>-4.4142722786362065E-4</v>
      </c>
      <c r="K1088" s="13"/>
      <c r="L1088" s="13"/>
      <c r="M1088" s="13"/>
    </row>
    <row r="1089" spans="1:13" x14ac:dyDescent="0.3">
      <c r="A1089" s="7">
        <v>45071</v>
      </c>
      <c r="B1089" s="8">
        <v>3.35</v>
      </c>
      <c r="C1089" s="10">
        <f t="shared" si="32"/>
        <v>1.8237082066869317E-2</v>
      </c>
      <c r="E1089" s="7">
        <v>45071</v>
      </c>
      <c r="F1089" s="9">
        <v>41070.300000000003</v>
      </c>
      <c r="G1089" s="10">
        <f t="shared" si="33"/>
        <v>-6.8567012697307267E-4</v>
      </c>
      <c r="K1089" s="13"/>
      <c r="L1089" s="13"/>
      <c r="M1089" s="13"/>
    </row>
    <row r="1090" spans="1:13" x14ac:dyDescent="0.3">
      <c r="A1090" s="7">
        <v>45072</v>
      </c>
      <c r="B1090" s="8">
        <v>3.2</v>
      </c>
      <c r="C1090" s="10">
        <f t="shared" si="32"/>
        <v>-4.4776119402985044E-2</v>
      </c>
      <c r="E1090" s="7">
        <v>45072</v>
      </c>
      <c r="F1090" s="9">
        <v>41002.6</v>
      </c>
      <c r="G1090" s="10">
        <f t="shared" si="33"/>
        <v>-1.648393121063259E-3</v>
      </c>
      <c r="K1090" s="13"/>
      <c r="L1090" s="13"/>
      <c r="M1090" s="13"/>
    </row>
    <row r="1091" spans="1:13" x14ac:dyDescent="0.3">
      <c r="A1091" s="7">
        <v>45075</v>
      </c>
      <c r="B1091" s="8">
        <v>3.23</v>
      </c>
      <c r="C1091" s="10">
        <f t="shared" si="32"/>
        <v>9.3749999999999389E-3</v>
      </c>
      <c r="E1091" s="7">
        <v>45075</v>
      </c>
      <c r="F1091" s="9">
        <v>41350.25</v>
      </c>
      <c r="G1091" s="10">
        <f t="shared" si="33"/>
        <v>8.4787306170828556E-3</v>
      </c>
      <c r="K1091" s="13"/>
      <c r="L1091" s="13"/>
      <c r="M1091" s="13"/>
    </row>
    <row r="1092" spans="1:13" x14ac:dyDescent="0.3">
      <c r="A1092" s="7">
        <v>45076</v>
      </c>
      <c r="B1092" s="8">
        <v>3.25</v>
      </c>
      <c r="C1092" s="10">
        <f t="shared" si="32"/>
        <v>6.1919504643962904E-3</v>
      </c>
      <c r="E1092" s="7">
        <v>45076</v>
      </c>
      <c r="F1092" s="9">
        <v>41665.85</v>
      </c>
      <c r="G1092" s="10">
        <f t="shared" si="33"/>
        <v>7.6323601429253403E-3</v>
      </c>
      <c r="K1092" s="13"/>
      <c r="L1092" s="13"/>
      <c r="M1092" s="13"/>
    </row>
    <row r="1093" spans="1:13" x14ac:dyDescent="0.3">
      <c r="A1093" s="7">
        <v>45077</v>
      </c>
      <c r="B1093" s="8">
        <v>3.19</v>
      </c>
      <c r="C1093" s="10">
        <f t="shared" ref="C1093:C1156" si="34">(B1093-B1092)/B1092</f>
        <v>-1.8461538461538477E-2</v>
      </c>
      <c r="E1093" s="7">
        <v>45077</v>
      </c>
      <c r="F1093" s="9">
        <v>41337.82</v>
      </c>
      <c r="G1093" s="10">
        <f t="shared" ref="G1093:G1156" si="35">(F1093-F1092)/F1092</f>
        <v>-7.8728743083364156E-3</v>
      </c>
      <c r="K1093" s="13"/>
      <c r="L1093" s="13"/>
      <c r="M1093" s="13"/>
    </row>
    <row r="1094" spans="1:13" x14ac:dyDescent="0.3">
      <c r="A1094" s="7">
        <v>45078</v>
      </c>
      <c r="B1094" s="8">
        <v>3.13</v>
      </c>
      <c r="C1094" s="10">
        <f t="shared" si="34"/>
        <v>-1.8808777429467103E-2</v>
      </c>
      <c r="E1094" s="7">
        <v>45078</v>
      </c>
      <c r="F1094" s="9">
        <v>41273.72</v>
      </c>
      <c r="G1094" s="10">
        <f t="shared" si="35"/>
        <v>-1.5506381323446314E-3</v>
      </c>
      <c r="K1094" s="13"/>
      <c r="L1094" s="13"/>
      <c r="M1094" s="13"/>
    </row>
    <row r="1095" spans="1:13" x14ac:dyDescent="0.3">
      <c r="A1095" s="7">
        <v>45079</v>
      </c>
      <c r="B1095" s="8">
        <v>3.11</v>
      </c>
      <c r="C1095" s="10">
        <f t="shared" si="34"/>
        <v>-6.3897763578274818E-3</v>
      </c>
      <c r="E1095" s="7">
        <v>45079</v>
      </c>
      <c r="F1095" s="9">
        <v>41356.239999999998</v>
      </c>
      <c r="G1095" s="10">
        <f t="shared" si="35"/>
        <v>1.9993351701760053E-3</v>
      </c>
      <c r="K1095" s="13"/>
      <c r="L1095" s="13"/>
      <c r="M1095" s="13"/>
    </row>
    <row r="1096" spans="1:13" x14ac:dyDescent="0.3">
      <c r="A1096" s="7">
        <v>45082</v>
      </c>
      <c r="B1096" s="8">
        <v>3.15</v>
      </c>
      <c r="C1096" s="10">
        <f t="shared" si="34"/>
        <v>1.2861736334405157E-2</v>
      </c>
      <c r="E1096" s="7">
        <v>45082</v>
      </c>
      <c r="F1096" s="9">
        <v>41638.53</v>
      </c>
      <c r="G1096" s="10">
        <f t="shared" si="35"/>
        <v>6.8258139521388036E-3</v>
      </c>
      <c r="K1096" s="13"/>
      <c r="L1096" s="13"/>
      <c r="M1096" s="13"/>
    </row>
    <row r="1097" spans="1:13" x14ac:dyDescent="0.3">
      <c r="A1097" s="7">
        <v>45083</v>
      </c>
      <c r="B1097" s="8">
        <v>3.33</v>
      </c>
      <c r="C1097" s="10">
        <f t="shared" si="34"/>
        <v>5.7142857142857197E-2</v>
      </c>
      <c r="E1097" s="7">
        <v>45083</v>
      </c>
      <c r="F1097" s="9">
        <v>41912.879999999997</v>
      </c>
      <c r="G1097" s="10">
        <f t="shared" si="35"/>
        <v>6.5888493181675374E-3</v>
      </c>
      <c r="K1097" s="13"/>
      <c r="L1097" s="13"/>
      <c r="M1097" s="13"/>
    </row>
    <row r="1098" spans="1:13" x14ac:dyDescent="0.3">
      <c r="A1098" s="7">
        <v>45084</v>
      </c>
      <c r="B1098" s="8">
        <v>3.31</v>
      </c>
      <c r="C1098" s="10">
        <f t="shared" si="34"/>
        <v>-6.0060060060060112E-3</v>
      </c>
      <c r="E1098" s="7">
        <v>45084</v>
      </c>
      <c r="F1098" s="9">
        <v>42119.22</v>
      </c>
      <c r="G1098" s="10">
        <f t="shared" si="35"/>
        <v>4.9230689945430565E-3</v>
      </c>
      <c r="K1098" s="13"/>
      <c r="L1098" s="13"/>
      <c r="M1098" s="13"/>
    </row>
    <row r="1099" spans="1:13" x14ac:dyDescent="0.3">
      <c r="A1099" s="7">
        <v>45085</v>
      </c>
      <c r="B1099" s="8">
        <v>3.26</v>
      </c>
      <c r="C1099" s="10">
        <f t="shared" si="34"/>
        <v>-1.5105740181268963E-2</v>
      </c>
      <c r="E1099" s="7">
        <v>45085</v>
      </c>
      <c r="F1099" s="9">
        <v>41668.07</v>
      </c>
      <c r="G1099" s="10">
        <f t="shared" si="35"/>
        <v>-1.0711261984433744E-2</v>
      </c>
      <c r="K1099" s="13"/>
      <c r="L1099" s="13"/>
      <c r="M1099" s="13"/>
    </row>
    <row r="1100" spans="1:13" x14ac:dyDescent="0.3">
      <c r="A1100" s="7">
        <v>45086</v>
      </c>
      <c r="B1100" s="8">
        <v>3.24</v>
      </c>
      <c r="C1100" s="10">
        <f t="shared" si="34"/>
        <v>-6.1349693251532443E-3</v>
      </c>
      <c r="E1100" s="7">
        <v>45086</v>
      </c>
      <c r="F1100" s="9">
        <v>41904.86</v>
      </c>
      <c r="G1100" s="10">
        <f t="shared" si="35"/>
        <v>5.6827686043534262E-3</v>
      </c>
      <c r="K1100" s="13"/>
      <c r="L1100" s="13"/>
      <c r="M1100" s="13"/>
    </row>
    <row r="1101" spans="1:13" x14ac:dyDescent="0.3">
      <c r="A1101" s="7">
        <v>45089</v>
      </c>
      <c r="B1101" s="8">
        <v>3.28</v>
      </c>
      <c r="C1101" s="10">
        <f t="shared" si="34"/>
        <v>1.2345679012345552E-2</v>
      </c>
      <c r="E1101" s="7">
        <v>45089</v>
      </c>
      <c r="F1101" s="9">
        <v>41772.33</v>
      </c>
      <c r="G1101" s="10">
        <f t="shared" si="35"/>
        <v>-3.162640323819214E-3</v>
      </c>
      <c r="K1101" s="13"/>
      <c r="L1101" s="13"/>
      <c r="M1101" s="13"/>
    </row>
    <row r="1102" spans="1:13" x14ac:dyDescent="0.3">
      <c r="A1102" s="7">
        <v>45090</v>
      </c>
      <c r="B1102" s="8">
        <v>3.25</v>
      </c>
      <c r="C1102" s="10">
        <f t="shared" si="34"/>
        <v>-9.1463414634145746E-3</v>
      </c>
      <c r="E1102" s="7">
        <v>45090</v>
      </c>
      <c r="F1102" s="9">
        <v>41536.160000000003</v>
      </c>
      <c r="G1102" s="10">
        <f t="shared" si="35"/>
        <v>-5.6537425611642503E-3</v>
      </c>
      <c r="K1102" s="13"/>
      <c r="L1102" s="13"/>
      <c r="M1102" s="13"/>
    </row>
    <row r="1103" spans="1:13" x14ac:dyDescent="0.3">
      <c r="A1103" s="7">
        <v>45091</v>
      </c>
      <c r="B1103" s="8">
        <v>3.19</v>
      </c>
      <c r="C1103" s="10">
        <f t="shared" si="34"/>
        <v>-1.8461538461538477E-2</v>
      </c>
      <c r="E1103" s="7">
        <v>45091</v>
      </c>
      <c r="F1103" s="9">
        <v>41536.870000000003</v>
      </c>
      <c r="G1103" s="10">
        <f t="shared" si="35"/>
        <v>1.7093539701289834E-5</v>
      </c>
      <c r="K1103" s="13"/>
      <c r="L1103" s="13"/>
      <c r="M1103" s="13"/>
    </row>
    <row r="1104" spans="1:13" x14ac:dyDescent="0.3">
      <c r="A1104" s="7">
        <v>45092</v>
      </c>
      <c r="B1104" s="8">
        <v>3.09</v>
      </c>
      <c r="C1104" s="10">
        <f t="shared" si="34"/>
        <v>-3.1347962382445173E-2</v>
      </c>
      <c r="E1104" s="7">
        <v>45092</v>
      </c>
      <c r="F1104" s="9">
        <v>41404.5</v>
      </c>
      <c r="G1104" s="10">
        <f t="shared" si="35"/>
        <v>-3.1868072871163045E-3</v>
      </c>
      <c r="K1104" s="13"/>
      <c r="L1104" s="13"/>
      <c r="M1104" s="13"/>
    </row>
    <row r="1105" spans="1:13" x14ac:dyDescent="0.3">
      <c r="A1105" s="7">
        <v>45093</v>
      </c>
      <c r="B1105" s="8">
        <v>3.03</v>
      </c>
      <c r="C1105" s="10">
        <f t="shared" si="34"/>
        <v>-1.9417475728155359E-2</v>
      </c>
      <c r="E1105" s="7">
        <v>45093</v>
      </c>
      <c r="F1105" s="9">
        <v>41335.53</v>
      </c>
      <c r="G1105" s="10">
        <f t="shared" si="35"/>
        <v>-1.6657609680107515E-3</v>
      </c>
      <c r="K1105" s="13"/>
      <c r="L1105" s="13"/>
      <c r="M1105" s="13"/>
    </row>
    <row r="1106" spans="1:13" x14ac:dyDescent="0.3">
      <c r="A1106" s="7">
        <v>45096</v>
      </c>
      <c r="B1106" s="8">
        <v>2.91</v>
      </c>
      <c r="C1106" s="10">
        <f t="shared" si="34"/>
        <v>-3.9603960396039493E-2</v>
      </c>
      <c r="E1106" s="7">
        <v>45096</v>
      </c>
      <c r="F1106" s="9">
        <v>40650.449999999997</v>
      </c>
      <c r="G1106" s="10">
        <f t="shared" si="35"/>
        <v>-1.6573635320510025E-2</v>
      </c>
      <c r="K1106" s="13"/>
      <c r="L1106" s="13"/>
      <c r="M1106" s="13"/>
    </row>
    <row r="1107" spans="1:13" x14ac:dyDescent="0.3">
      <c r="A1107" s="7">
        <v>45097</v>
      </c>
      <c r="B1107" s="8">
        <v>2.88</v>
      </c>
      <c r="C1107" s="10">
        <f t="shared" si="34"/>
        <v>-1.0309278350515549E-2</v>
      </c>
      <c r="E1107" s="7">
        <v>45097</v>
      </c>
      <c r="F1107" s="9">
        <v>40647.480000000003</v>
      </c>
      <c r="G1107" s="10">
        <f t="shared" si="35"/>
        <v>-7.3061921823593299E-5</v>
      </c>
      <c r="K1107" s="13"/>
      <c r="L1107" s="13"/>
      <c r="M1107" s="13"/>
    </row>
    <row r="1108" spans="1:13" x14ac:dyDescent="0.3">
      <c r="A1108" s="7">
        <v>45098</v>
      </c>
      <c r="B1108" s="8">
        <v>2.86</v>
      </c>
      <c r="C1108" s="10">
        <f t="shared" si="34"/>
        <v>-6.944444444444451E-3</v>
      </c>
      <c r="E1108" s="7">
        <v>45098</v>
      </c>
      <c r="F1108" s="9">
        <v>40229.760000000002</v>
      </c>
      <c r="G1108" s="10">
        <f t="shared" si="35"/>
        <v>-1.0276651836719056E-2</v>
      </c>
      <c r="K1108" s="13"/>
      <c r="L1108" s="13"/>
      <c r="M1108" s="13"/>
    </row>
    <row r="1109" spans="1:13" x14ac:dyDescent="0.3">
      <c r="A1109" s="7">
        <v>45099</v>
      </c>
      <c r="B1109" s="8">
        <v>2.86</v>
      </c>
      <c r="C1109" s="10">
        <f t="shared" si="34"/>
        <v>0</v>
      </c>
      <c r="E1109" s="7">
        <v>45099</v>
      </c>
      <c r="F1109" s="9">
        <v>40181.839999999997</v>
      </c>
      <c r="G1109" s="10">
        <f t="shared" si="35"/>
        <v>-1.1911579885141132E-3</v>
      </c>
      <c r="K1109" s="13"/>
      <c r="L1109" s="13"/>
      <c r="M1109" s="13"/>
    </row>
    <row r="1110" spans="1:13" x14ac:dyDescent="0.3">
      <c r="A1110" s="7">
        <v>45100</v>
      </c>
      <c r="B1110" s="8">
        <v>2.79</v>
      </c>
      <c r="C1110" s="10">
        <f t="shared" si="34"/>
        <v>-2.447552447552442E-2</v>
      </c>
      <c r="E1110" s="7">
        <v>45100</v>
      </c>
      <c r="F1110" s="9">
        <v>40090.36</v>
      </c>
      <c r="G1110" s="10">
        <f t="shared" si="35"/>
        <v>-2.276650347520072E-3</v>
      </c>
      <c r="K1110" s="13"/>
      <c r="L1110" s="13"/>
      <c r="M1110" s="13"/>
    </row>
    <row r="1111" spans="1:13" x14ac:dyDescent="0.3">
      <c r="A1111" s="7">
        <v>45103</v>
      </c>
      <c r="B1111" s="8">
        <v>2.91</v>
      </c>
      <c r="C1111" s="10">
        <f t="shared" si="34"/>
        <v>4.3010752688172081E-2</v>
      </c>
      <c r="E1111" s="7">
        <v>45103</v>
      </c>
      <c r="F1111" s="9">
        <v>41386.57</v>
      </c>
      <c r="G1111" s="10">
        <f t="shared" si="35"/>
        <v>3.2332211534144346E-2</v>
      </c>
      <c r="K1111" s="13"/>
      <c r="L1111" s="13"/>
      <c r="M1111" s="13"/>
    </row>
    <row r="1112" spans="1:13" x14ac:dyDescent="0.3">
      <c r="A1112" s="7">
        <v>45104</v>
      </c>
      <c r="B1112" s="8">
        <v>2.84</v>
      </c>
      <c r="C1112" s="10">
        <f t="shared" si="34"/>
        <v>-2.4054982817869511E-2</v>
      </c>
      <c r="E1112" s="7">
        <v>45104</v>
      </c>
      <c r="F1112" s="9">
        <v>41452.68</v>
      </c>
      <c r="G1112" s="10">
        <f t="shared" si="35"/>
        <v>1.597378086659527E-3</v>
      </c>
      <c r="K1112" s="13"/>
      <c r="L1112" s="13"/>
      <c r="M1112" s="13"/>
    </row>
    <row r="1113" spans="1:13" x14ac:dyDescent="0.3">
      <c r="A1113" s="7">
        <v>45110</v>
      </c>
      <c r="B1113" s="8">
        <v>3.18</v>
      </c>
      <c r="C1113" s="10">
        <f t="shared" si="34"/>
        <v>0.11971830985915505</v>
      </c>
      <c r="E1113" s="7">
        <v>45110</v>
      </c>
      <c r="F1113" s="9">
        <v>43903.29</v>
      </c>
      <c r="G1113" s="10">
        <f t="shared" si="35"/>
        <v>5.9118252426622372E-2</v>
      </c>
      <c r="K1113" s="13"/>
      <c r="L1113" s="13"/>
      <c r="M1113" s="13"/>
    </row>
    <row r="1114" spans="1:13" x14ac:dyDescent="0.3">
      <c r="A1114" s="7">
        <v>45111</v>
      </c>
      <c r="B1114" s="8">
        <v>3.15</v>
      </c>
      <c r="C1114" s="10">
        <f t="shared" si="34"/>
        <v>-9.4339622641510211E-3</v>
      </c>
      <c r="E1114" s="7">
        <v>45111</v>
      </c>
      <c r="F1114" s="9">
        <v>43502.89</v>
      </c>
      <c r="G1114" s="10">
        <f t="shared" si="35"/>
        <v>-9.1200454453413734E-3</v>
      </c>
      <c r="K1114" s="13"/>
      <c r="L1114" s="13"/>
      <c r="M1114" s="13"/>
    </row>
    <row r="1115" spans="1:13" x14ac:dyDescent="0.3">
      <c r="A1115" s="7">
        <v>45112</v>
      </c>
      <c r="B1115" s="8">
        <v>3.18</v>
      </c>
      <c r="C1115" s="10">
        <f t="shared" si="34"/>
        <v>9.5238095238096027E-3</v>
      </c>
      <c r="E1115" s="7">
        <v>45112</v>
      </c>
      <c r="F1115" s="9">
        <v>43553.81</v>
      </c>
      <c r="G1115" s="10">
        <f t="shared" si="35"/>
        <v>1.17049694859349E-3</v>
      </c>
      <c r="K1115" s="13"/>
      <c r="L1115" s="13"/>
      <c r="M1115" s="13"/>
    </row>
    <row r="1116" spans="1:13" x14ac:dyDescent="0.3">
      <c r="A1116" s="7">
        <v>45113</v>
      </c>
      <c r="B1116" s="8">
        <v>3.09</v>
      </c>
      <c r="C1116" s="10">
        <f t="shared" si="34"/>
        <v>-2.8301886792452925E-2</v>
      </c>
      <c r="E1116" s="7">
        <v>45113</v>
      </c>
      <c r="F1116" s="9">
        <v>44211.72</v>
      </c>
      <c r="G1116" s="10">
        <f t="shared" si="35"/>
        <v>1.5105681913935968E-2</v>
      </c>
      <c r="K1116" s="13"/>
      <c r="L1116" s="13"/>
      <c r="M1116" s="13"/>
    </row>
    <row r="1117" spans="1:13" x14ac:dyDescent="0.3">
      <c r="A1117" s="7">
        <v>45114</v>
      </c>
      <c r="B1117" s="8">
        <v>3.05</v>
      </c>
      <c r="C1117" s="10">
        <f t="shared" si="34"/>
        <v>-1.2944983818770239E-2</v>
      </c>
      <c r="E1117" s="7">
        <v>45114</v>
      </c>
      <c r="F1117" s="9">
        <v>44284.92</v>
      </c>
      <c r="G1117" s="10">
        <f t="shared" si="35"/>
        <v>1.6556695826354887E-3</v>
      </c>
      <c r="K1117" s="13"/>
      <c r="L1117" s="13"/>
      <c r="M1117" s="13"/>
    </row>
    <row r="1118" spans="1:13" x14ac:dyDescent="0.3">
      <c r="A1118" s="7">
        <v>45117</v>
      </c>
      <c r="B1118" s="8">
        <v>3.16</v>
      </c>
      <c r="C1118" s="10">
        <f t="shared" si="34"/>
        <v>3.606557377049191E-2</v>
      </c>
      <c r="E1118" s="7">
        <v>45117</v>
      </c>
      <c r="F1118" s="9">
        <v>44561.82</v>
      </c>
      <c r="G1118" s="10">
        <f t="shared" si="35"/>
        <v>6.2526927902320124E-3</v>
      </c>
      <c r="K1118" s="13"/>
      <c r="L1118" s="13"/>
      <c r="M1118" s="13"/>
    </row>
    <row r="1119" spans="1:13" x14ac:dyDescent="0.3">
      <c r="A1119" s="7">
        <v>45118</v>
      </c>
      <c r="B1119" s="8">
        <v>3.26</v>
      </c>
      <c r="C1119" s="10">
        <f t="shared" si="34"/>
        <v>3.1645569620253049E-2</v>
      </c>
      <c r="E1119" s="7">
        <v>45118</v>
      </c>
      <c r="F1119" s="9">
        <v>45179.23</v>
      </c>
      <c r="G1119" s="10">
        <f t="shared" si="35"/>
        <v>1.3855134283115085E-2</v>
      </c>
      <c r="K1119" s="13"/>
      <c r="L1119" s="13"/>
      <c r="M1119" s="13"/>
    </row>
    <row r="1120" spans="1:13" x14ac:dyDescent="0.3">
      <c r="A1120" s="7">
        <v>45119</v>
      </c>
      <c r="B1120" s="8">
        <v>3.24</v>
      </c>
      <c r="C1120" s="10">
        <f t="shared" si="34"/>
        <v>-6.1349693251532443E-3</v>
      </c>
      <c r="E1120" s="7">
        <v>45119</v>
      </c>
      <c r="F1120" s="9">
        <v>45581.13</v>
      </c>
      <c r="G1120" s="10">
        <f t="shared" si="35"/>
        <v>8.895680603675498E-3</v>
      </c>
      <c r="K1120" s="13"/>
      <c r="L1120" s="13"/>
      <c r="M1120" s="13"/>
    </row>
    <row r="1121" spans="1:13" x14ac:dyDescent="0.3">
      <c r="A1121" s="7">
        <v>45120</v>
      </c>
      <c r="B1121" s="8">
        <v>3.25</v>
      </c>
      <c r="C1121" s="10">
        <f t="shared" si="34"/>
        <v>3.0864197530863537E-3</v>
      </c>
      <c r="E1121" s="7">
        <v>45120</v>
      </c>
      <c r="F1121" s="9">
        <v>45296.52</v>
      </c>
      <c r="G1121" s="10">
        <f t="shared" si="35"/>
        <v>-6.2440312471410998E-3</v>
      </c>
      <c r="K1121" s="13"/>
      <c r="L1121" s="13"/>
      <c r="M1121" s="13"/>
    </row>
    <row r="1122" spans="1:13" x14ac:dyDescent="0.3">
      <c r="A1122" s="7">
        <v>45121</v>
      </c>
      <c r="B1122" s="8">
        <v>3.14</v>
      </c>
      <c r="C1122" s="10">
        <f t="shared" si="34"/>
        <v>-3.3846153846153811E-2</v>
      </c>
      <c r="E1122" s="7">
        <v>45121</v>
      </c>
      <c r="F1122" s="9">
        <v>45071.94</v>
      </c>
      <c r="G1122" s="10">
        <f t="shared" si="35"/>
        <v>-4.9579967732619303E-3</v>
      </c>
      <c r="K1122" s="13"/>
      <c r="L1122" s="13"/>
      <c r="M1122" s="13"/>
    </row>
    <row r="1123" spans="1:13" x14ac:dyDescent="0.3">
      <c r="A1123" s="7">
        <v>45124</v>
      </c>
      <c r="B1123" s="8">
        <v>3.12</v>
      </c>
      <c r="C1123" s="10">
        <f t="shared" si="34"/>
        <v>-6.3694267515923622E-3</v>
      </c>
      <c r="E1123" s="7">
        <v>45124</v>
      </c>
      <c r="F1123" s="9">
        <v>45047.35</v>
      </c>
      <c r="G1123" s="10">
        <f t="shared" si="35"/>
        <v>-5.455722562641808E-4</v>
      </c>
      <c r="K1123" s="13"/>
      <c r="L1123" s="13"/>
      <c r="M1123" s="13"/>
    </row>
    <row r="1124" spans="1:13" x14ac:dyDescent="0.3">
      <c r="A1124" s="7">
        <v>45125</v>
      </c>
      <c r="B1124" s="8">
        <v>3.11</v>
      </c>
      <c r="C1124" s="10">
        <f t="shared" si="34"/>
        <v>-3.2051282051282792E-3</v>
      </c>
      <c r="E1124" s="7">
        <v>45125</v>
      </c>
      <c r="F1124" s="9">
        <v>45019.59</v>
      </c>
      <c r="G1124" s="10">
        <f t="shared" si="35"/>
        <v>-6.1624046697535009E-4</v>
      </c>
      <c r="K1124" s="13"/>
      <c r="L1124" s="13"/>
      <c r="M1124" s="13"/>
    </row>
    <row r="1125" spans="1:13" x14ac:dyDescent="0.3">
      <c r="A1125" s="7">
        <v>45126</v>
      </c>
      <c r="B1125" s="8">
        <v>3.04</v>
      </c>
      <c r="C1125" s="10">
        <f t="shared" si="34"/>
        <v>-2.2508038585208952E-2</v>
      </c>
      <c r="E1125" s="7">
        <v>45126</v>
      </c>
      <c r="F1125" s="9">
        <v>45086.33</v>
      </c>
      <c r="G1125" s="10">
        <f t="shared" si="35"/>
        <v>1.482465744357184E-3</v>
      </c>
      <c r="K1125" s="13"/>
      <c r="L1125" s="13"/>
      <c r="M1125" s="13"/>
    </row>
    <row r="1126" spans="1:13" x14ac:dyDescent="0.3">
      <c r="A1126" s="7">
        <v>45127</v>
      </c>
      <c r="B1126" s="8">
        <v>3.09</v>
      </c>
      <c r="C1126" s="10">
        <f t="shared" si="34"/>
        <v>1.6447368421052572E-2</v>
      </c>
      <c r="E1126" s="7">
        <v>45127</v>
      </c>
      <c r="F1126" s="9">
        <v>45426.58</v>
      </c>
      <c r="G1126" s="10">
        <f t="shared" si="35"/>
        <v>7.5466333143549271E-3</v>
      </c>
      <c r="K1126" s="13"/>
      <c r="L1126" s="13"/>
      <c r="M1126" s="13"/>
    </row>
    <row r="1127" spans="1:13" x14ac:dyDescent="0.3">
      <c r="A1127" s="7">
        <v>45128</v>
      </c>
      <c r="B1127" s="8">
        <v>3.32</v>
      </c>
      <c r="C1127" s="10">
        <f t="shared" si="34"/>
        <v>7.4433656957928807E-2</v>
      </c>
      <c r="E1127" s="7">
        <v>45128</v>
      </c>
      <c r="F1127" s="9">
        <v>45888.26</v>
      </c>
      <c r="G1127" s="10">
        <f t="shared" si="35"/>
        <v>1.0163212815052339E-2</v>
      </c>
      <c r="K1127" s="13"/>
      <c r="L1127" s="13"/>
      <c r="M1127" s="13"/>
    </row>
    <row r="1128" spans="1:13" x14ac:dyDescent="0.3">
      <c r="A1128" s="7">
        <v>45131</v>
      </c>
      <c r="B1128" s="8">
        <v>3.3</v>
      </c>
      <c r="C1128" s="10">
        <f t="shared" si="34"/>
        <v>-6.0240963855421742E-3</v>
      </c>
      <c r="E1128" s="7">
        <v>45131</v>
      </c>
      <c r="F1128" s="9">
        <v>46065.55</v>
      </c>
      <c r="G1128" s="10">
        <f t="shared" si="35"/>
        <v>3.863515417668939E-3</v>
      </c>
      <c r="K1128" s="13"/>
      <c r="L1128" s="13"/>
      <c r="M1128" s="13"/>
    </row>
    <row r="1129" spans="1:13" x14ac:dyDescent="0.3">
      <c r="A1129" s="7">
        <v>45132</v>
      </c>
      <c r="B1129" s="8">
        <v>3.32</v>
      </c>
      <c r="C1129" s="10">
        <f t="shared" si="34"/>
        <v>6.0606060606060667E-3</v>
      </c>
      <c r="E1129" s="7">
        <v>45132</v>
      </c>
      <c r="F1129" s="9">
        <v>46399.22</v>
      </c>
      <c r="G1129" s="10">
        <f t="shared" si="35"/>
        <v>7.2433738444455395E-3</v>
      </c>
      <c r="K1129" s="13"/>
      <c r="L1129" s="13"/>
      <c r="M1129" s="13"/>
    </row>
    <row r="1130" spans="1:13" x14ac:dyDescent="0.3">
      <c r="A1130" s="7">
        <v>45133</v>
      </c>
      <c r="B1130" s="8">
        <v>3.33</v>
      </c>
      <c r="C1130" s="10">
        <f t="shared" si="34"/>
        <v>3.0120481927711539E-3</v>
      </c>
      <c r="E1130" s="7">
        <v>45133</v>
      </c>
      <c r="F1130" s="9">
        <v>46724.58</v>
      </c>
      <c r="G1130" s="10">
        <f t="shared" si="35"/>
        <v>7.012186842796077E-3</v>
      </c>
      <c r="K1130" s="13"/>
      <c r="L1130" s="13"/>
      <c r="M1130" s="13"/>
    </row>
    <row r="1131" spans="1:13" x14ac:dyDescent="0.3">
      <c r="A1131" s="7">
        <v>45134</v>
      </c>
      <c r="B1131" s="8">
        <v>3.35</v>
      </c>
      <c r="C1131" s="10">
        <f t="shared" si="34"/>
        <v>6.0060060060060112E-3</v>
      </c>
      <c r="E1131" s="7">
        <v>45134</v>
      </c>
      <c r="F1131" s="9">
        <v>47139.06</v>
      </c>
      <c r="G1131" s="10">
        <f t="shared" si="35"/>
        <v>8.8707057398909935E-3</v>
      </c>
      <c r="K1131" s="13"/>
      <c r="L1131" s="13"/>
      <c r="M1131" s="13"/>
    </row>
    <row r="1132" spans="1:13" x14ac:dyDescent="0.3">
      <c r="A1132" s="7">
        <v>45138</v>
      </c>
      <c r="B1132" s="8">
        <v>3.48</v>
      </c>
      <c r="C1132" s="10">
        <f t="shared" si="34"/>
        <v>3.8805970149253702E-2</v>
      </c>
      <c r="E1132" s="7">
        <v>45138</v>
      </c>
      <c r="F1132" s="9">
        <v>48034.59</v>
      </c>
      <c r="G1132" s="10">
        <f t="shared" si="35"/>
        <v>1.8997621081116148E-2</v>
      </c>
      <c r="K1132" s="13"/>
      <c r="L1132" s="13"/>
      <c r="M1132" s="13"/>
    </row>
    <row r="1133" spans="1:13" x14ac:dyDescent="0.3">
      <c r="A1133" s="7">
        <v>45139</v>
      </c>
      <c r="B1133" s="8">
        <v>3.51</v>
      </c>
      <c r="C1133" s="10">
        <f t="shared" si="34"/>
        <v>8.6206896551723582E-3</v>
      </c>
      <c r="E1133" s="7">
        <v>45139</v>
      </c>
      <c r="F1133" s="9">
        <v>48230.5</v>
      </c>
      <c r="G1133" s="10">
        <f t="shared" si="35"/>
        <v>4.0785192503985882E-3</v>
      </c>
      <c r="K1133" s="13"/>
      <c r="L1133" s="13"/>
      <c r="M1133" s="13"/>
    </row>
    <row r="1134" spans="1:13" x14ac:dyDescent="0.3">
      <c r="A1134" s="7">
        <v>45140</v>
      </c>
      <c r="B1134" s="8">
        <v>3.75</v>
      </c>
      <c r="C1134" s="10">
        <f t="shared" si="34"/>
        <v>6.8376068376068438E-2</v>
      </c>
      <c r="E1134" s="7">
        <v>45140</v>
      </c>
      <c r="F1134" s="9">
        <v>48764.55</v>
      </c>
      <c r="G1134" s="10">
        <f t="shared" si="35"/>
        <v>1.1072868827816483E-2</v>
      </c>
      <c r="K1134" s="13"/>
      <c r="L1134" s="13"/>
      <c r="M1134" s="13"/>
    </row>
    <row r="1135" spans="1:13" x14ac:dyDescent="0.3">
      <c r="A1135" s="7">
        <v>45141</v>
      </c>
      <c r="B1135" s="8">
        <v>3.67</v>
      </c>
      <c r="C1135" s="10">
        <f t="shared" si="34"/>
        <v>-2.1333333333333353E-2</v>
      </c>
      <c r="E1135" s="7">
        <v>45141</v>
      </c>
      <c r="F1135" s="9">
        <v>48611.18</v>
      </c>
      <c r="G1135" s="10">
        <f t="shared" si="35"/>
        <v>-3.1451125869100117E-3</v>
      </c>
      <c r="K1135" s="13"/>
      <c r="L1135" s="13"/>
      <c r="M1135" s="13"/>
    </row>
    <row r="1136" spans="1:13" x14ac:dyDescent="0.3">
      <c r="A1136" s="7">
        <v>45142</v>
      </c>
      <c r="B1136" s="8">
        <v>3.95</v>
      </c>
      <c r="C1136" s="10">
        <f t="shared" si="34"/>
        <v>7.6294277929155385E-2</v>
      </c>
      <c r="E1136" s="7">
        <v>45142</v>
      </c>
      <c r="F1136" s="9">
        <v>48585.71</v>
      </c>
      <c r="G1136" s="10">
        <f t="shared" si="35"/>
        <v>-5.2395354319728844E-4</v>
      </c>
      <c r="K1136" s="13"/>
      <c r="L1136" s="13"/>
      <c r="M1136" s="13"/>
    </row>
    <row r="1137" spans="1:13" x14ac:dyDescent="0.3">
      <c r="A1137" s="7">
        <v>45145</v>
      </c>
      <c r="B1137" s="8">
        <v>3.8</v>
      </c>
      <c r="C1137" s="10">
        <f t="shared" si="34"/>
        <v>-3.7974683544303889E-2</v>
      </c>
      <c r="E1137" s="7">
        <v>45145</v>
      </c>
      <c r="F1137" s="9">
        <v>48386.25</v>
      </c>
      <c r="G1137" s="10">
        <f t="shared" si="35"/>
        <v>-4.1053223262559942E-3</v>
      </c>
      <c r="K1137" s="13"/>
      <c r="L1137" s="13"/>
      <c r="M1137" s="13"/>
    </row>
    <row r="1138" spans="1:13" x14ac:dyDescent="0.3">
      <c r="A1138" s="7">
        <v>45146</v>
      </c>
      <c r="B1138" s="8">
        <v>3.47</v>
      </c>
      <c r="C1138" s="10">
        <f t="shared" si="34"/>
        <v>-8.6842105263157804E-2</v>
      </c>
      <c r="E1138" s="7">
        <v>45146</v>
      </c>
      <c r="F1138" s="9">
        <v>47429.82</v>
      </c>
      <c r="G1138" s="10">
        <f t="shared" si="35"/>
        <v>-1.9766565914903517E-2</v>
      </c>
      <c r="K1138" s="13"/>
      <c r="L1138" s="13"/>
      <c r="M1138" s="13"/>
    </row>
    <row r="1139" spans="1:13" x14ac:dyDescent="0.3">
      <c r="A1139" s="7">
        <v>45147</v>
      </c>
      <c r="B1139" s="8">
        <v>3.6</v>
      </c>
      <c r="C1139" s="10">
        <f t="shared" si="34"/>
        <v>3.7463976945244927E-2</v>
      </c>
      <c r="E1139" s="7">
        <v>45147</v>
      </c>
      <c r="F1139" s="9">
        <v>48227.6</v>
      </c>
      <c r="G1139" s="10">
        <f t="shared" si="35"/>
        <v>1.6820219853248417E-2</v>
      </c>
      <c r="K1139" s="13"/>
      <c r="L1139" s="13"/>
      <c r="M1139" s="13"/>
    </row>
    <row r="1140" spans="1:13" x14ac:dyDescent="0.3">
      <c r="A1140" s="7">
        <v>45148</v>
      </c>
      <c r="B1140" s="8">
        <v>3.48</v>
      </c>
      <c r="C1140" s="10">
        <f t="shared" si="34"/>
        <v>-3.3333333333333361E-2</v>
      </c>
      <c r="E1140" s="7">
        <v>45148</v>
      </c>
      <c r="F1140" s="9">
        <v>47808.34</v>
      </c>
      <c r="G1140" s="10">
        <f t="shared" si="35"/>
        <v>-8.6933623070607289E-3</v>
      </c>
      <c r="K1140" s="13"/>
      <c r="L1140" s="13"/>
      <c r="M1140" s="13"/>
    </row>
    <row r="1141" spans="1:13" x14ac:dyDescent="0.3">
      <c r="A1141" s="7">
        <v>45149</v>
      </c>
      <c r="B1141" s="8">
        <v>3.49</v>
      </c>
      <c r="C1141" s="10">
        <f t="shared" si="34"/>
        <v>2.8735632183908709E-3</v>
      </c>
      <c r="E1141" s="7">
        <v>45149</v>
      </c>
      <c r="F1141" s="9">
        <v>48424.4</v>
      </c>
      <c r="G1141" s="10">
        <f t="shared" si="35"/>
        <v>1.288603620205188E-2</v>
      </c>
      <c r="K1141" s="13"/>
      <c r="L1141" s="13"/>
      <c r="M1141" s="13"/>
    </row>
    <row r="1142" spans="1:13" x14ac:dyDescent="0.3">
      <c r="A1142" s="7">
        <v>45153</v>
      </c>
      <c r="B1142" s="8">
        <v>3.47</v>
      </c>
      <c r="C1142" s="10">
        <f t="shared" si="34"/>
        <v>-5.7306590257879706E-3</v>
      </c>
      <c r="E1142" s="7">
        <v>45153</v>
      </c>
      <c r="F1142" s="9">
        <v>48565.75</v>
      </c>
      <c r="G1142" s="10">
        <f t="shared" si="35"/>
        <v>2.9189829920453023E-3</v>
      </c>
      <c r="K1142" s="13"/>
      <c r="L1142" s="13"/>
      <c r="M1142" s="13"/>
    </row>
    <row r="1143" spans="1:13" x14ac:dyDescent="0.3">
      <c r="A1143" s="7">
        <v>45154</v>
      </c>
      <c r="B1143" s="8">
        <v>3.31</v>
      </c>
      <c r="C1143" s="10">
        <f t="shared" si="34"/>
        <v>-4.610951008645537E-2</v>
      </c>
      <c r="E1143" s="7">
        <v>45154</v>
      </c>
      <c r="F1143" s="9">
        <v>48146.43</v>
      </c>
      <c r="G1143" s="10">
        <f t="shared" si="35"/>
        <v>-8.6340682476848344E-3</v>
      </c>
      <c r="K1143" s="13"/>
      <c r="L1143" s="13"/>
      <c r="M1143" s="13"/>
    </row>
    <row r="1144" spans="1:13" x14ac:dyDescent="0.3">
      <c r="A1144" s="7">
        <v>45155</v>
      </c>
      <c r="B1144" s="8">
        <v>3.39</v>
      </c>
      <c r="C1144" s="10">
        <f t="shared" si="34"/>
        <v>2.4169184290030232E-2</v>
      </c>
      <c r="E1144" s="7">
        <v>45155</v>
      </c>
      <c r="F1144" s="9">
        <v>48325.84</v>
      </c>
      <c r="G1144" s="10">
        <f t="shared" si="35"/>
        <v>3.7263406653410486E-3</v>
      </c>
      <c r="K1144" s="13"/>
      <c r="L1144" s="13"/>
      <c r="M1144" s="13"/>
    </row>
    <row r="1145" spans="1:13" x14ac:dyDescent="0.3">
      <c r="A1145" s="7">
        <v>45156</v>
      </c>
      <c r="B1145" s="8">
        <v>3.29</v>
      </c>
      <c r="C1145" s="10">
        <f t="shared" si="34"/>
        <v>-2.9498525073746337E-2</v>
      </c>
      <c r="E1145" s="7">
        <v>45156</v>
      </c>
      <c r="F1145" s="9">
        <v>48218.49</v>
      </c>
      <c r="G1145" s="10">
        <f t="shared" si="35"/>
        <v>-2.2213788730831899E-3</v>
      </c>
      <c r="K1145" s="13"/>
      <c r="L1145" s="13"/>
      <c r="M1145" s="13"/>
    </row>
    <row r="1146" spans="1:13" x14ac:dyDescent="0.3">
      <c r="A1146" s="7">
        <v>45159</v>
      </c>
      <c r="B1146" s="8">
        <v>3.25</v>
      </c>
      <c r="C1146" s="10">
        <f t="shared" si="34"/>
        <v>-1.2158054711246211E-2</v>
      </c>
      <c r="E1146" s="7">
        <v>45159</v>
      </c>
      <c r="F1146" s="9">
        <v>47447.95</v>
      </c>
      <c r="G1146" s="10">
        <f t="shared" si="35"/>
        <v>-1.5980176898944803E-2</v>
      </c>
      <c r="K1146" s="13"/>
      <c r="L1146" s="13"/>
      <c r="M1146" s="13"/>
    </row>
    <row r="1147" spans="1:13" x14ac:dyDescent="0.3">
      <c r="A1147" s="7">
        <v>45160</v>
      </c>
      <c r="B1147" s="8">
        <v>3.22</v>
      </c>
      <c r="C1147" s="10">
        <f t="shared" si="34"/>
        <v>-9.2307692307691709E-3</v>
      </c>
      <c r="E1147" s="7">
        <v>45160</v>
      </c>
      <c r="F1147" s="9">
        <v>47417.9</v>
      </c>
      <c r="G1147" s="10">
        <f t="shared" si="35"/>
        <v>-6.3332557044078056E-4</v>
      </c>
      <c r="K1147" s="13"/>
      <c r="L1147" s="13"/>
      <c r="M1147" s="13"/>
    </row>
    <row r="1148" spans="1:13" x14ac:dyDescent="0.3">
      <c r="A1148" s="7">
        <v>45161</v>
      </c>
      <c r="B1148" s="8">
        <v>3.21</v>
      </c>
      <c r="C1148" s="10">
        <f t="shared" si="34"/>
        <v>-3.1055900621118726E-3</v>
      </c>
      <c r="E1148" s="7">
        <v>45161</v>
      </c>
      <c r="F1148" s="9">
        <v>47418.63</v>
      </c>
      <c r="G1148" s="10">
        <f t="shared" si="35"/>
        <v>1.5395030146757352E-5</v>
      </c>
      <c r="K1148" s="13"/>
      <c r="L1148" s="13"/>
      <c r="M1148" s="13"/>
    </row>
    <row r="1149" spans="1:13" x14ac:dyDescent="0.3">
      <c r="A1149" s="7">
        <v>45162</v>
      </c>
      <c r="B1149" s="8">
        <v>3.19</v>
      </c>
      <c r="C1149" s="10">
        <f t="shared" si="34"/>
        <v>-6.2305295950155822E-3</v>
      </c>
      <c r="E1149" s="7">
        <v>45162</v>
      </c>
      <c r="F1149" s="9">
        <v>47750.76</v>
      </c>
      <c r="G1149" s="10">
        <f t="shared" si="35"/>
        <v>7.0042091051556038E-3</v>
      </c>
      <c r="K1149" s="13"/>
      <c r="L1149" s="13"/>
      <c r="M1149" s="13"/>
    </row>
    <row r="1150" spans="1:13" x14ac:dyDescent="0.3">
      <c r="A1150" s="7">
        <v>45163</v>
      </c>
      <c r="B1150" s="8">
        <v>3.14</v>
      </c>
      <c r="C1150" s="10">
        <f t="shared" si="34"/>
        <v>-1.5673981191222514E-2</v>
      </c>
      <c r="E1150" s="7">
        <v>45163</v>
      </c>
      <c r="F1150" s="9">
        <v>47671.21</v>
      </c>
      <c r="G1150" s="10">
        <f t="shared" si="35"/>
        <v>-1.6659420708697182E-3</v>
      </c>
      <c r="K1150" s="13"/>
      <c r="L1150" s="13"/>
      <c r="M1150" s="13"/>
    </row>
    <row r="1151" spans="1:13" x14ac:dyDescent="0.3">
      <c r="A1151" s="7">
        <v>45166</v>
      </c>
      <c r="B1151" s="8">
        <v>3.07</v>
      </c>
      <c r="C1151" s="10">
        <f t="shared" si="34"/>
        <v>-2.2292993630573337E-2</v>
      </c>
      <c r="E1151" s="7">
        <v>45166</v>
      </c>
      <c r="F1151" s="9">
        <v>47478.61</v>
      </c>
      <c r="G1151" s="10">
        <f t="shared" si="35"/>
        <v>-4.0401743526123747E-3</v>
      </c>
      <c r="K1151" s="13"/>
      <c r="L1151" s="13"/>
      <c r="M1151" s="13"/>
    </row>
    <row r="1152" spans="1:13" x14ac:dyDescent="0.3">
      <c r="A1152" s="7">
        <v>45167</v>
      </c>
      <c r="B1152" s="8">
        <v>3.04</v>
      </c>
      <c r="C1152" s="10">
        <f t="shared" si="34"/>
        <v>-9.7719869706839758E-3</v>
      </c>
      <c r="E1152" s="7">
        <v>45167</v>
      </c>
      <c r="F1152" s="9">
        <v>46770.41</v>
      </c>
      <c r="G1152" s="10">
        <f t="shared" si="35"/>
        <v>-1.4916190680392646E-2</v>
      </c>
      <c r="K1152" s="13"/>
      <c r="L1152" s="13"/>
      <c r="M1152" s="13"/>
    </row>
    <row r="1153" spans="1:13" x14ac:dyDescent="0.3">
      <c r="A1153" s="7">
        <v>45168</v>
      </c>
      <c r="B1153" s="8">
        <v>2.97</v>
      </c>
      <c r="C1153" s="10">
        <f t="shared" si="34"/>
        <v>-2.3026315789473631E-2</v>
      </c>
      <c r="E1153" s="7">
        <v>45168</v>
      </c>
      <c r="F1153" s="9">
        <v>46244.55</v>
      </c>
      <c r="G1153" s="10">
        <f t="shared" si="35"/>
        <v>-1.1243433615399149E-2</v>
      </c>
      <c r="K1153" s="13"/>
      <c r="L1153" s="13"/>
      <c r="M1153" s="13"/>
    </row>
    <row r="1154" spans="1:13" x14ac:dyDescent="0.3">
      <c r="A1154" s="7">
        <v>45169</v>
      </c>
      <c r="B1154" s="8">
        <v>2.84</v>
      </c>
      <c r="C1154" s="10">
        <f t="shared" si="34"/>
        <v>-4.3771043771043884E-2</v>
      </c>
      <c r="E1154" s="7">
        <v>45169</v>
      </c>
      <c r="F1154" s="9">
        <v>45002.41</v>
      </c>
      <c r="G1154" s="10">
        <f t="shared" si="35"/>
        <v>-2.6860246234421122E-2</v>
      </c>
      <c r="K1154" s="13"/>
      <c r="L1154" s="13"/>
      <c r="M1154" s="13"/>
    </row>
    <row r="1155" spans="1:13" x14ac:dyDescent="0.3">
      <c r="A1155" s="7">
        <v>45170</v>
      </c>
      <c r="B1155" s="8">
        <v>2.84</v>
      </c>
      <c r="C1155" s="10">
        <f t="shared" si="34"/>
        <v>0</v>
      </c>
      <c r="E1155" s="7">
        <v>45170</v>
      </c>
      <c r="F1155" s="9">
        <v>45312.65</v>
      </c>
      <c r="G1155" s="10">
        <f t="shared" si="35"/>
        <v>6.8938530180938738E-3</v>
      </c>
      <c r="K1155" s="13"/>
      <c r="L1155" s="13"/>
      <c r="M1155" s="13"/>
    </row>
    <row r="1156" spans="1:13" x14ac:dyDescent="0.3">
      <c r="A1156" s="7">
        <v>45173</v>
      </c>
      <c r="B1156" s="8">
        <v>2.93</v>
      </c>
      <c r="C1156" s="10">
        <f t="shared" si="34"/>
        <v>3.1690140845070533E-2</v>
      </c>
      <c r="E1156" s="7">
        <v>45173</v>
      </c>
      <c r="F1156" s="9">
        <v>45707.42</v>
      </c>
      <c r="G1156" s="10">
        <f t="shared" si="35"/>
        <v>8.7121366770647225E-3</v>
      </c>
      <c r="K1156" s="13"/>
      <c r="L1156" s="13"/>
      <c r="M1156" s="13"/>
    </row>
    <row r="1157" spans="1:13" x14ac:dyDescent="0.3">
      <c r="A1157" s="7">
        <v>45174</v>
      </c>
      <c r="B1157" s="8">
        <v>2.85</v>
      </c>
      <c r="C1157" s="10">
        <f t="shared" ref="C1157:C1220" si="36">(B1157-B1156)/B1156</f>
        <v>-2.7303754266211625E-2</v>
      </c>
      <c r="E1157" s="7">
        <v>45174</v>
      </c>
      <c r="F1157" s="9">
        <v>45491.48</v>
      </c>
      <c r="G1157" s="10">
        <f t="shared" ref="G1157:G1220" si="37">(F1157-F1156)/F1156</f>
        <v>-4.724397045381145E-3</v>
      </c>
      <c r="K1157" s="13"/>
      <c r="L1157" s="13"/>
      <c r="M1157" s="13"/>
    </row>
    <row r="1158" spans="1:13" x14ac:dyDescent="0.3">
      <c r="A1158" s="7">
        <v>45175</v>
      </c>
      <c r="B1158" s="8">
        <v>2.9</v>
      </c>
      <c r="C1158" s="10">
        <f t="shared" si="36"/>
        <v>1.7543859649122744E-2</v>
      </c>
      <c r="E1158" s="7">
        <v>45175</v>
      </c>
      <c r="F1158" s="9">
        <v>45807.57</v>
      </c>
      <c r="G1158" s="10">
        <f t="shared" si="37"/>
        <v>6.9483340616747682E-3</v>
      </c>
      <c r="K1158" s="13"/>
      <c r="L1158" s="13"/>
      <c r="M1158" s="13"/>
    </row>
    <row r="1159" spans="1:13" x14ac:dyDescent="0.3">
      <c r="A1159" s="7">
        <v>45176</v>
      </c>
      <c r="B1159" s="8">
        <v>2.86</v>
      </c>
      <c r="C1159" s="10">
        <f t="shared" si="36"/>
        <v>-1.3793103448275874E-2</v>
      </c>
      <c r="E1159" s="7">
        <v>45176</v>
      </c>
      <c r="F1159" s="9">
        <v>45757.23</v>
      </c>
      <c r="G1159" s="10">
        <f t="shared" si="37"/>
        <v>-1.0989449997019381E-3</v>
      </c>
      <c r="K1159" s="13"/>
      <c r="L1159" s="13"/>
      <c r="M1159" s="13"/>
    </row>
    <row r="1160" spans="1:13" x14ac:dyDescent="0.3">
      <c r="A1160" s="7">
        <v>45177</v>
      </c>
      <c r="B1160" s="8">
        <v>2.91</v>
      </c>
      <c r="C1160" s="10">
        <f t="shared" si="36"/>
        <v>1.7482517482517577E-2</v>
      </c>
      <c r="E1160" s="7">
        <v>45177</v>
      </c>
      <c r="F1160" s="9">
        <v>46013.48</v>
      </c>
      <c r="G1160" s="10">
        <f t="shared" si="37"/>
        <v>5.6002078797164944E-3</v>
      </c>
      <c r="K1160" s="13"/>
      <c r="L1160" s="13"/>
      <c r="M1160" s="13"/>
    </row>
    <row r="1161" spans="1:13" x14ac:dyDescent="0.3">
      <c r="A1161" s="7">
        <v>45180</v>
      </c>
      <c r="B1161" s="8">
        <v>2.9</v>
      </c>
      <c r="C1161" s="10">
        <f t="shared" si="36"/>
        <v>-3.4364261168385673E-3</v>
      </c>
      <c r="E1161" s="7">
        <v>45180</v>
      </c>
      <c r="F1161" s="9">
        <v>45865.73</v>
      </c>
      <c r="G1161" s="10">
        <f t="shared" si="37"/>
        <v>-3.2110155545722685E-3</v>
      </c>
      <c r="K1161" s="13"/>
      <c r="L1161" s="13"/>
      <c r="M1161" s="13"/>
    </row>
    <row r="1162" spans="1:13" x14ac:dyDescent="0.3">
      <c r="A1162" s="7">
        <v>45181</v>
      </c>
      <c r="B1162" s="8">
        <v>2.89</v>
      </c>
      <c r="C1162" s="10">
        <f t="shared" si="36"/>
        <v>-3.4482758620688922E-3</v>
      </c>
      <c r="E1162" s="7">
        <v>45181</v>
      </c>
      <c r="F1162" s="9">
        <v>45508.39</v>
      </c>
      <c r="G1162" s="10">
        <f t="shared" si="37"/>
        <v>-7.7910021272964312E-3</v>
      </c>
      <c r="K1162" s="13"/>
      <c r="L1162" s="13"/>
      <c r="M1162" s="13"/>
    </row>
    <row r="1163" spans="1:13" x14ac:dyDescent="0.3">
      <c r="A1163" s="7">
        <v>45182</v>
      </c>
      <c r="B1163" s="8">
        <v>2.9</v>
      </c>
      <c r="C1163" s="10">
        <f t="shared" si="36"/>
        <v>3.4602076124566734E-3</v>
      </c>
      <c r="E1163" s="7">
        <v>45182</v>
      </c>
      <c r="F1163" s="9">
        <v>45590.92</v>
      </c>
      <c r="G1163" s="10">
        <f t="shared" si="37"/>
        <v>1.8135117502508622E-3</v>
      </c>
      <c r="K1163" s="13"/>
      <c r="L1163" s="13"/>
      <c r="M1163" s="13"/>
    </row>
    <row r="1164" spans="1:13" x14ac:dyDescent="0.3">
      <c r="A1164" s="7">
        <v>45183</v>
      </c>
      <c r="B1164" s="8">
        <v>2.93</v>
      </c>
      <c r="C1164" s="10">
        <f t="shared" si="36"/>
        <v>1.0344827586206983E-2</v>
      </c>
      <c r="E1164" s="7">
        <v>45183</v>
      </c>
      <c r="F1164" s="9">
        <v>45650.05</v>
      </c>
      <c r="G1164" s="10">
        <f t="shared" si="37"/>
        <v>1.2969687823804533E-3</v>
      </c>
      <c r="K1164" s="13"/>
      <c r="L1164" s="13"/>
      <c r="M1164" s="13"/>
    </row>
    <row r="1165" spans="1:13" x14ac:dyDescent="0.3">
      <c r="A1165" s="7">
        <v>45184</v>
      </c>
      <c r="B1165" s="8">
        <v>2.94</v>
      </c>
      <c r="C1165" s="10">
        <f t="shared" si="36"/>
        <v>3.4129692832763777E-3</v>
      </c>
      <c r="E1165" s="7">
        <v>45184</v>
      </c>
      <c r="F1165" s="9">
        <v>45753.51</v>
      </c>
      <c r="G1165" s="10">
        <f t="shared" si="37"/>
        <v>2.2663721069308604E-3</v>
      </c>
      <c r="K1165" s="13"/>
      <c r="L1165" s="13"/>
      <c r="M1165" s="13"/>
    </row>
    <row r="1166" spans="1:13" x14ac:dyDescent="0.3">
      <c r="A1166" s="7">
        <v>45187</v>
      </c>
      <c r="B1166" s="8">
        <v>2.93</v>
      </c>
      <c r="C1166" s="10">
        <f t="shared" si="36"/>
        <v>-3.4013605442176145E-3</v>
      </c>
      <c r="E1166" s="7">
        <v>45187</v>
      </c>
      <c r="F1166" s="9">
        <v>45837.42</v>
      </c>
      <c r="G1166" s="10">
        <f t="shared" si="37"/>
        <v>1.833957657019018E-3</v>
      </c>
      <c r="K1166" s="13"/>
      <c r="L1166" s="13"/>
      <c r="M1166" s="13"/>
    </row>
    <row r="1167" spans="1:13" x14ac:dyDescent="0.3">
      <c r="A1167" s="7">
        <v>45188</v>
      </c>
      <c r="B1167" s="8">
        <v>2.95</v>
      </c>
      <c r="C1167" s="10">
        <f t="shared" si="36"/>
        <v>6.8259385665529063E-3</v>
      </c>
      <c r="E1167" s="7">
        <v>45188</v>
      </c>
      <c r="F1167" s="9">
        <v>45914.18</v>
      </c>
      <c r="G1167" s="10">
        <f t="shared" si="37"/>
        <v>1.674614321661255E-3</v>
      </c>
      <c r="K1167" s="13"/>
      <c r="L1167" s="13"/>
      <c r="M1167" s="13"/>
    </row>
    <row r="1168" spans="1:13" x14ac:dyDescent="0.3">
      <c r="A1168" s="7">
        <v>45189</v>
      </c>
      <c r="B1168" s="8">
        <v>2.95</v>
      </c>
      <c r="C1168" s="10">
        <f t="shared" si="36"/>
        <v>0</v>
      </c>
      <c r="E1168" s="7">
        <v>45189</v>
      </c>
      <c r="F1168" s="9">
        <v>45932.52</v>
      </c>
      <c r="G1168" s="10">
        <f t="shared" si="37"/>
        <v>3.9944086990111787E-4</v>
      </c>
      <c r="K1168" s="13"/>
      <c r="L1168" s="13"/>
      <c r="M1168" s="13"/>
    </row>
    <row r="1169" spans="1:13" x14ac:dyDescent="0.3">
      <c r="A1169" s="7">
        <v>45190</v>
      </c>
      <c r="B1169" s="8">
        <v>2.98</v>
      </c>
      <c r="C1169" s="10">
        <f t="shared" si="36"/>
        <v>1.0169491525423662E-2</v>
      </c>
      <c r="E1169" s="7">
        <v>45190</v>
      </c>
      <c r="F1169" s="9">
        <v>46304.73</v>
      </c>
      <c r="G1169" s="10">
        <f t="shared" si="37"/>
        <v>8.103409087940449E-3</v>
      </c>
      <c r="K1169" s="13"/>
      <c r="L1169" s="13"/>
      <c r="M1169" s="13"/>
    </row>
    <row r="1170" spans="1:13" x14ac:dyDescent="0.3">
      <c r="A1170" s="7">
        <v>45191</v>
      </c>
      <c r="B1170" s="8">
        <v>3.09</v>
      </c>
      <c r="C1170" s="10">
        <f t="shared" si="36"/>
        <v>3.691275167785231E-2</v>
      </c>
      <c r="E1170" s="7">
        <v>45191</v>
      </c>
      <c r="F1170" s="9">
        <v>46436.41</v>
      </c>
      <c r="G1170" s="10">
        <f t="shared" si="37"/>
        <v>2.8437699561146405E-3</v>
      </c>
      <c r="K1170" s="13"/>
      <c r="L1170" s="13"/>
      <c r="M1170" s="13"/>
    </row>
    <row r="1171" spans="1:13" x14ac:dyDescent="0.3">
      <c r="A1171" s="7">
        <v>45194</v>
      </c>
      <c r="B1171" s="8">
        <v>3.09</v>
      </c>
      <c r="C1171" s="10">
        <f t="shared" si="36"/>
        <v>0</v>
      </c>
      <c r="E1171" s="7">
        <v>45194</v>
      </c>
      <c r="F1171" s="9">
        <v>46394.32</v>
      </c>
      <c r="G1171" s="10">
        <f t="shared" si="37"/>
        <v>-9.0640081780662594E-4</v>
      </c>
      <c r="K1171" s="13"/>
      <c r="L1171" s="13"/>
      <c r="M1171" s="13"/>
    </row>
    <row r="1172" spans="1:13" x14ac:dyDescent="0.3">
      <c r="A1172" s="7">
        <v>45195</v>
      </c>
      <c r="B1172" s="8">
        <v>3.1</v>
      </c>
      <c r="C1172" s="10">
        <f t="shared" si="36"/>
        <v>3.2362459546926314E-3</v>
      </c>
      <c r="E1172" s="7">
        <v>45195</v>
      </c>
      <c r="F1172" s="9">
        <v>46308.54</v>
      </c>
      <c r="G1172" s="10">
        <f t="shared" si="37"/>
        <v>-1.8489332314817598E-3</v>
      </c>
      <c r="K1172" s="13"/>
      <c r="L1172" s="13"/>
      <c r="M1172" s="13"/>
    </row>
    <row r="1173" spans="1:13" x14ac:dyDescent="0.3">
      <c r="A1173" s="7">
        <v>45196</v>
      </c>
      <c r="B1173" s="8">
        <v>3.08</v>
      </c>
      <c r="C1173" s="10">
        <f t="shared" si="36"/>
        <v>-6.4516129032258117E-3</v>
      </c>
      <c r="E1173" s="7">
        <v>45196</v>
      </c>
      <c r="F1173" s="9">
        <v>46408.02</v>
      </c>
      <c r="G1173" s="10">
        <f t="shared" si="37"/>
        <v>2.1481998784672529E-3</v>
      </c>
      <c r="K1173" s="13"/>
      <c r="L1173" s="13"/>
      <c r="M1173" s="13"/>
    </row>
    <row r="1174" spans="1:13" x14ac:dyDescent="0.3">
      <c r="A1174" s="7">
        <v>45197</v>
      </c>
      <c r="B1174" s="8">
        <v>3.04</v>
      </c>
      <c r="C1174" s="10">
        <f t="shared" si="36"/>
        <v>-1.2987012987012998E-2</v>
      </c>
      <c r="E1174" s="7">
        <v>45197</v>
      </c>
      <c r="F1174" s="9">
        <v>46232.59</v>
      </c>
      <c r="G1174" s="10">
        <f t="shared" si="37"/>
        <v>-3.7801655834487293E-3</v>
      </c>
      <c r="K1174" s="13"/>
      <c r="L1174" s="13"/>
      <c r="M1174" s="13"/>
    </row>
    <row r="1175" spans="1:13" x14ac:dyDescent="0.3">
      <c r="A1175" s="7">
        <v>45201</v>
      </c>
      <c r="B1175" s="8">
        <v>3.13</v>
      </c>
      <c r="C1175" s="10">
        <f t="shared" si="36"/>
        <v>2.960526315789469E-2</v>
      </c>
      <c r="E1175" s="7">
        <v>45201</v>
      </c>
      <c r="F1175" s="9">
        <v>46627.08</v>
      </c>
      <c r="G1175" s="10">
        <f t="shared" si="37"/>
        <v>8.532725508131932E-3</v>
      </c>
      <c r="K1175" s="13"/>
      <c r="L1175" s="13"/>
      <c r="M1175" s="13"/>
    </row>
    <row r="1176" spans="1:13" x14ac:dyDescent="0.3">
      <c r="A1176" s="7">
        <v>45202</v>
      </c>
      <c r="B1176" s="8">
        <v>3.28</v>
      </c>
      <c r="C1176" s="10">
        <f t="shared" si="36"/>
        <v>4.7923322683706041E-2</v>
      </c>
      <c r="E1176" s="7">
        <v>45202</v>
      </c>
      <c r="F1176" s="9">
        <v>46756.800000000003</v>
      </c>
      <c r="G1176" s="10">
        <f t="shared" si="37"/>
        <v>2.7820742795817617E-3</v>
      </c>
      <c r="K1176" s="13"/>
      <c r="L1176" s="13"/>
      <c r="M1176" s="13"/>
    </row>
    <row r="1177" spans="1:13" x14ac:dyDescent="0.3">
      <c r="A1177" s="7">
        <v>45203</v>
      </c>
      <c r="B1177" s="8">
        <v>3.25</v>
      </c>
      <c r="C1177" s="10">
        <f t="shared" si="36"/>
        <v>-9.1463414634145746E-3</v>
      </c>
      <c r="E1177" s="7">
        <v>45203</v>
      </c>
      <c r="F1177" s="9">
        <v>47079.83</v>
      </c>
      <c r="G1177" s="10">
        <f t="shared" si="37"/>
        <v>6.9087277144714524E-3</v>
      </c>
      <c r="K1177" s="13"/>
      <c r="L1177" s="13"/>
      <c r="M1177" s="13"/>
    </row>
    <row r="1178" spans="1:13" x14ac:dyDescent="0.3">
      <c r="A1178" s="7">
        <v>45204</v>
      </c>
      <c r="B1178" s="8">
        <v>3.29</v>
      </c>
      <c r="C1178" s="10">
        <f t="shared" si="36"/>
        <v>1.2307692307692318E-2</v>
      </c>
      <c r="E1178" s="7">
        <v>45204</v>
      </c>
      <c r="F1178" s="9">
        <v>47484.56</v>
      </c>
      <c r="G1178" s="10">
        <f t="shared" si="37"/>
        <v>8.5966750517152656E-3</v>
      </c>
      <c r="K1178" s="13"/>
      <c r="L1178" s="13"/>
      <c r="M1178" s="13"/>
    </row>
    <row r="1179" spans="1:13" x14ac:dyDescent="0.3">
      <c r="A1179" s="7">
        <v>45205</v>
      </c>
      <c r="B1179" s="8">
        <v>3.36</v>
      </c>
      <c r="C1179" s="10">
        <f t="shared" si="36"/>
        <v>2.1276595744680802E-2</v>
      </c>
      <c r="E1179" s="7">
        <v>45205</v>
      </c>
      <c r="F1179" s="9">
        <v>47508.67</v>
      </c>
      <c r="G1179" s="10">
        <f t="shared" si="37"/>
        <v>5.0774399088884012E-4</v>
      </c>
      <c r="K1179" s="13"/>
      <c r="L1179" s="13"/>
      <c r="M1179" s="13"/>
    </row>
    <row r="1180" spans="1:13" x14ac:dyDescent="0.3">
      <c r="A1180" s="7">
        <v>45208</v>
      </c>
      <c r="B1180" s="8">
        <v>3.33</v>
      </c>
      <c r="C1180" s="10">
        <f t="shared" si="36"/>
        <v>-8.9285714285713708E-3</v>
      </c>
      <c r="E1180" s="7">
        <v>45208</v>
      </c>
      <c r="F1180" s="9">
        <v>47736.61</v>
      </c>
      <c r="G1180" s="10">
        <f t="shared" si="37"/>
        <v>4.7978611061939291E-3</v>
      </c>
      <c r="K1180" s="13"/>
      <c r="L1180" s="13"/>
      <c r="M1180" s="13"/>
    </row>
    <row r="1181" spans="1:13" x14ac:dyDescent="0.3">
      <c r="A1181" s="7">
        <v>45209</v>
      </c>
      <c r="B1181" s="8">
        <v>3.4</v>
      </c>
      <c r="C1181" s="10">
        <f t="shared" si="36"/>
        <v>2.1021021021020974E-2</v>
      </c>
      <c r="E1181" s="7">
        <v>45209</v>
      </c>
      <c r="F1181" s="9">
        <v>48143.5</v>
      </c>
      <c r="G1181" s="10">
        <f t="shared" si="37"/>
        <v>8.5236467357024184E-3</v>
      </c>
      <c r="K1181" s="13"/>
      <c r="L1181" s="13"/>
      <c r="M1181" s="13"/>
    </row>
    <row r="1182" spans="1:13" x14ac:dyDescent="0.3">
      <c r="A1182" s="7">
        <v>45210</v>
      </c>
      <c r="B1182" s="8">
        <v>3.36</v>
      </c>
      <c r="C1182" s="10">
        <f t="shared" si="36"/>
        <v>-1.1764705882352951E-2</v>
      </c>
      <c r="E1182" s="7">
        <v>45210</v>
      </c>
      <c r="F1182" s="9">
        <v>48501.8</v>
      </c>
      <c r="G1182" s="10">
        <f t="shared" si="37"/>
        <v>7.4423338560761663E-3</v>
      </c>
      <c r="K1182" s="13"/>
      <c r="L1182" s="13"/>
      <c r="M1182" s="13"/>
    </row>
    <row r="1183" spans="1:13" x14ac:dyDescent="0.3">
      <c r="A1183" s="7">
        <v>45211</v>
      </c>
      <c r="B1183" s="8">
        <v>3.34</v>
      </c>
      <c r="C1183" s="10">
        <f t="shared" si="36"/>
        <v>-5.9523809523809581E-3</v>
      </c>
      <c r="E1183" s="7">
        <v>45211</v>
      </c>
      <c r="F1183" s="9">
        <v>48771.71</v>
      </c>
      <c r="G1183" s="10">
        <f t="shared" si="37"/>
        <v>5.5649481050187048E-3</v>
      </c>
      <c r="K1183" s="13"/>
      <c r="L1183" s="13"/>
      <c r="M1183" s="13"/>
    </row>
    <row r="1184" spans="1:13" x14ac:dyDescent="0.3">
      <c r="A1184" s="7">
        <v>45212</v>
      </c>
      <c r="B1184" s="8">
        <v>3.35</v>
      </c>
      <c r="C1184" s="10">
        <f t="shared" si="36"/>
        <v>2.9940119760479733E-3</v>
      </c>
      <c r="E1184" s="7">
        <v>45212</v>
      </c>
      <c r="F1184" s="9">
        <v>49493.47</v>
      </c>
      <c r="G1184" s="10">
        <f t="shared" si="37"/>
        <v>1.4798742959801943E-2</v>
      </c>
      <c r="K1184" s="13"/>
      <c r="L1184" s="13"/>
      <c r="M1184" s="13"/>
    </row>
    <row r="1185" spans="1:13" x14ac:dyDescent="0.3">
      <c r="A1185" s="7">
        <v>45215</v>
      </c>
      <c r="B1185" s="8">
        <v>3.41</v>
      </c>
      <c r="C1185" s="10">
        <f t="shared" si="36"/>
        <v>1.7910447761194045E-2</v>
      </c>
      <c r="E1185" s="7">
        <v>45215</v>
      </c>
      <c r="F1185" s="9">
        <v>49719.87</v>
      </c>
      <c r="G1185" s="10">
        <f t="shared" si="37"/>
        <v>4.5743408170815557E-3</v>
      </c>
      <c r="K1185" s="13"/>
      <c r="L1185" s="13"/>
      <c r="M1185" s="13"/>
    </row>
    <row r="1186" spans="1:13" x14ac:dyDescent="0.3">
      <c r="A1186" s="7">
        <v>45216</v>
      </c>
      <c r="B1186" s="8">
        <v>3.38</v>
      </c>
      <c r="C1186" s="10">
        <f t="shared" si="36"/>
        <v>-8.7976539589443535E-3</v>
      </c>
      <c r="E1186" s="7">
        <v>45216</v>
      </c>
      <c r="F1186" s="9">
        <v>49527.88</v>
      </c>
      <c r="G1186" s="10">
        <f t="shared" si="37"/>
        <v>-3.8614340705236203E-3</v>
      </c>
      <c r="K1186" s="13"/>
      <c r="L1186" s="13"/>
      <c r="M1186" s="13"/>
    </row>
    <row r="1187" spans="1:13" x14ac:dyDescent="0.3">
      <c r="A1187" s="7">
        <v>45217</v>
      </c>
      <c r="B1187" s="8">
        <v>3.52</v>
      </c>
      <c r="C1187" s="10">
        <f t="shared" si="36"/>
        <v>4.1420118343195304E-2</v>
      </c>
      <c r="E1187" s="7">
        <v>45217</v>
      </c>
      <c r="F1187" s="9">
        <v>49406.19</v>
      </c>
      <c r="G1187" s="10">
        <f t="shared" si="37"/>
        <v>-2.4569999765787485E-3</v>
      </c>
      <c r="K1187" s="13"/>
      <c r="L1187" s="13"/>
      <c r="M1187" s="13"/>
    </row>
    <row r="1188" spans="1:13" x14ac:dyDescent="0.3">
      <c r="A1188" s="7">
        <v>45218</v>
      </c>
      <c r="B1188" s="8">
        <v>3.6</v>
      </c>
      <c r="C1188" s="10">
        <f t="shared" si="36"/>
        <v>2.2727272727272749E-2</v>
      </c>
      <c r="E1188" s="7">
        <v>45218</v>
      </c>
      <c r="F1188" s="9">
        <v>50323.97</v>
      </c>
      <c r="G1188" s="10">
        <f t="shared" si="37"/>
        <v>1.8576214842715027E-2</v>
      </c>
      <c r="K1188" s="13"/>
      <c r="L1188" s="13"/>
      <c r="M1188" s="13"/>
    </row>
    <row r="1189" spans="1:13" x14ac:dyDescent="0.3">
      <c r="A1189" s="7">
        <v>45219</v>
      </c>
      <c r="B1189" s="8">
        <v>3.59</v>
      </c>
      <c r="C1189" s="10">
        <f t="shared" si="36"/>
        <v>-2.7777777777778421E-3</v>
      </c>
      <c r="E1189" s="7">
        <v>45219</v>
      </c>
      <c r="F1189" s="9">
        <v>50674.52</v>
      </c>
      <c r="G1189" s="10">
        <f t="shared" si="37"/>
        <v>6.965865371909164E-3</v>
      </c>
      <c r="K1189" s="13"/>
      <c r="L1189" s="13"/>
      <c r="M1189" s="13"/>
    </row>
    <row r="1190" spans="1:13" x14ac:dyDescent="0.3">
      <c r="A1190" s="7">
        <v>45222</v>
      </c>
      <c r="B1190" s="8">
        <v>3.54</v>
      </c>
      <c r="C1190" s="10">
        <f t="shared" si="36"/>
        <v>-1.392757660167126E-2</v>
      </c>
      <c r="E1190" s="7">
        <v>45222</v>
      </c>
      <c r="F1190" s="9">
        <v>51072.73</v>
      </c>
      <c r="G1190" s="10">
        <f t="shared" si="37"/>
        <v>7.858189875306296E-3</v>
      </c>
      <c r="K1190" s="13"/>
      <c r="L1190" s="13"/>
      <c r="M1190" s="13"/>
    </row>
    <row r="1191" spans="1:13" x14ac:dyDescent="0.3">
      <c r="A1191" s="7">
        <v>45223</v>
      </c>
      <c r="B1191" s="8">
        <v>3.56</v>
      </c>
      <c r="C1191" s="10">
        <f t="shared" si="36"/>
        <v>5.649717514124299E-3</v>
      </c>
      <c r="E1191" s="7">
        <v>45223</v>
      </c>
      <c r="F1191" s="9">
        <v>51068.15</v>
      </c>
      <c r="G1191" s="10">
        <f t="shared" si="37"/>
        <v>-8.9676036507187803E-5</v>
      </c>
      <c r="K1191" s="13"/>
      <c r="L1191" s="13"/>
      <c r="M1191" s="13"/>
    </row>
    <row r="1192" spans="1:13" x14ac:dyDescent="0.3">
      <c r="A1192" s="7">
        <v>45224</v>
      </c>
      <c r="B1192" s="8">
        <v>3.55</v>
      </c>
      <c r="C1192" s="10">
        <f t="shared" si="36"/>
        <v>-2.8089887640450088E-3</v>
      </c>
      <c r="E1192" s="7">
        <v>45224</v>
      </c>
      <c r="F1192" s="9">
        <v>51125.32</v>
      </c>
      <c r="G1192" s="10">
        <f t="shared" si="37"/>
        <v>1.1194844536173379E-3</v>
      </c>
      <c r="K1192" s="13"/>
      <c r="L1192" s="13"/>
      <c r="M1192" s="13"/>
    </row>
    <row r="1193" spans="1:13" x14ac:dyDescent="0.3">
      <c r="A1193" s="7">
        <v>45225</v>
      </c>
      <c r="B1193" s="8">
        <v>3.49</v>
      </c>
      <c r="C1193" s="10">
        <f t="shared" si="36"/>
        <v>-1.6901408450704116E-2</v>
      </c>
      <c r="E1193" s="7">
        <v>45225</v>
      </c>
      <c r="F1193" s="9">
        <v>51158.400000000001</v>
      </c>
      <c r="G1193" s="10">
        <f t="shared" si="37"/>
        <v>6.4703751487524665E-4</v>
      </c>
      <c r="K1193" s="13"/>
      <c r="L1193" s="13"/>
      <c r="M1193" s="13"/>
    </row>
    <row r="1194" spans="1:13" x14ac:dyDescent="0.3">
      <c r="A1194" s="7">
        <v>45226</v>
      </c>
      <c r="B1194" s="8">
        <v>3.45</v>
      </c>
      <c r="C1194" s="10">
        <f t="shared" si="36"/>
        <v>-1.1461318051575941E-2</v>
      </c>
      <c r="E1194" s="7">
        <v>45226</v>
      </c>
      <c r="F1194" s="9">
        <v>50958.45</v>
      </c>
      <c r="G1194" s="10">
        <f t="shared" si="37"/>
        <v>-3.9084490523551233E-3</v>
      </c>
      <c r="K1194" s="13"/>
      <c r="L1194" s="13"/>
      <c r="M1194" s="13"/>
    </row>
    <row r="1195" spans="1:13" x14ac:dyDescent="0.3">
      <c r="A1195" s="7">
        <v>45229</v>
      </c>
      <c r="B1195" s="8">
        <v>3.46</v>
      </c>
      <c r="C1195" s="10">
        <f t="shared" si="36"/>
        <v>2.8985507246376192E-3</v>
      </c>
      <c r="E1195" s="7">
        <v>45229</v>
      </c>
      <c r="F1195" s="9">
        <v>51482.93</v>
      </c>
      <c r="G1195" s="10">
        <f t="shared" si="37"/>
        <v>1.0292306771497233E-2</v>
      </c>
      <c r="K1195" s="13"/>
      <c r="L1195" s="13"/>
      <c r="M1195" s="13"/>
    </row>
    <row r="1196" spans="1:13" x14ac:dyDescent="0.3">
      <c r="A1196" s="7">
        <v>45230</v>
      </c>
      <c r="B1196" s="8">
        <v>3.93</v>
      </c>
      <c r="C1196" s="10">
        <f t="shared" si="36"/>
        <v>0.13583815028901741</v>
      </c>
      <c r="E1196" s="7">
        <v>45230</v>
      </c>
      <c r="F1196" s="9">
        <v>51976.31</v>
      </c>
      <c r="G1196" s="10">
        <f t="shared" si="37"/>
        <v>9.583370643434579E-3</v>
      </c>
      <c r="K1196" s="13"/>
      <c r="L1196" s="13"/>
      <c r="M1196" s="13"/>
    </row>
    <row r="1197" spans="1:13" x14ac:dyDescent="0.3">
      <c r="A1197" s="7">
        <v>45231</v>
      </c>
      <c r="B1197" s="8">
        <v>3.88</v>
      </c>
      <c r="C1197" s="10">
        <f t="shared" si="36"/>
        <v>-1.2722646310432637E-2</v>
      </c>
      <c r="E1197" s="7">
        <v>45231</v>
      </c>
      <c r="F1197" s="9">
        <v>52357.05</v>
      </c>
      <c r="G1197" s="10">
        <f t="shared" si="37"/>
        <v>7.3252602964697811E-3</v>
      </c>
      <c r="K1197" s="13"/>
      <c r="L1197" s="13"/>
      <c r="M1197" s="13"/>
    </row>
    <row r="1198" spans="1:13" x14ac:dyDescent="0.3">
      <c r="A1198" s="7">
        <v>45232</v>
      </c>
      <c r="B1198" s="8">
        <v>3.79</v>
      </c>
      <c r="C1198" s="10">
        <f t="shared" si="36"/>
        <v>-2.3195876288659757E-2</v>
      </c>
      <c r="E1198" s="7">
        <v>45232</v>
      </c>
      <c r="F1198" s="9">
        <v>52701.43</v>
      </c>
      <c r="G1198" s="10">
        <f t="shared" si="37"/>
        <v>6.577528718672984E-3</v>
      </c>
      <c r="K1198" s="13"/>
      <c r="L1198" s="13"/>
      <c r="M1198" s="13"/>
    </row>
    <row r="1199" spans="1:13" x14ac:dyDescent="0.3">
      <c r="A1199" s="7">
        <v>45233</v>
      </c>
      <c r="B1199" s="8">
        <v>3.85</v>
      </c>
      <c r="C1199" s="10">
        <f t="shared" si="36"/>
        <v>1.5831134564643815E-2</v>
      </c>
      <c r="E1199" s="7">
        <v>45233</v>
      </c>
      <c r="F1199" s="9">
        <v>53175.72</v>
      </c>
      <c r="G1199" s="10">
        <f t="shared" si="37"/>
        <v>8.9995660459308378E-3</v>
      </c>
      <c r="K1199" s="13"/>
      <c r="L1199" s="13"/>
      <c r="M1199" s="13"/>
    </row>
    <row r="1200" spans="1:13" x14ac:dyDescent="0.3">
      <c r="A1200" s="7">
        <v>45236</v>
      </c>
      <c r="B1200" s="8">
        <v>4.1100000000000003</v>
      </c>
      <c r="C1200" s="10">
        <f t="shared" si="36"/>
        <v>6.7532467532467597E-2</v>
      </c>
      <c r="E1200" s="7">
        <v>45236</v>
      </c>
      <c r="F1200" s="9">
        <v>53941.04</v>
      </c>
      <c r="G1200" s="10">
        <f t="shared" si="37"/>
        <v>1.4392282793726154E-2</v>
      </c>
      <c r="K1200" s="13"/>
      <c r="L1200" s="13"/>
      <c r="M1200" s="13"/>
    </row>
    <row r="1201" spans="1:13" x14ac:dyDescent="0.3">
      <c r="A1201" s="7">
        <v>45237</v>
      </c>
      <c r="B1201" s="8">
        <v>4.1500000000000004</v>
      </c>
      <c r="C1201" s="10">
        <f t="shared" si="36"/>
        <v>9.7323600973236082E-3</v>
      </c>
      <c r="E1201" s="7">
        <v>45237</v>
      </c>
      <c r="F1201" s="9">
        <v>53810.82</v>
      </c>
      <c r="G1201" s="10">
        <f t="shared" si="37"/>
        <v>-2.4141173399697367E-3</v>
      </c>
      <c r="K1201" s="13"/>
      <c r="L1201" s="13"/>
      <c r="M1201" s="13"/>
    </row>
    <row r="1202" spans="1:13" x14ac:dyDescent="0.3">
      <c r="A1202" s="7">
        <v>45238</v>
      </c>
      <c r="B1202" s="8">
        <v>4.3099999999999996</v>
      </c>
      <c r="C1202" s="10">
        <f t="shared" si="36"/>
        <v>3.8554216867469696E-2</v>
      </c>
      <c r="E1202" s="7">
        <v>45238</v>
      </c>
      <c r="F1202" s="9">
        <v>54307.37</v>
      </c>
      <c r="G1202" s="10">
        <f t="shared" si="37"/>
        <v>9.2276980726181627E-3</v>
      </c>
      <c r="K1202" s="13"/>
      <c r="L1202" s="13"/>
      <c r="M1202" s="13"/>
    </row>
    <row r="1203" spans="1:13" x14ac:dyDescent="0.3">
      <c r="A1203" s="7">
        <v>45240</v>
      </c>
      <c r="B1203" s="8">
        <v>4.78</v>
      </c>
      <c r="C1203" s="10">
        <f t="shared" si="36"/>
        <v>0.10904872389791199</v>
      </c>
      <c r="E1203" s="7">
        <v>45240</v>
      </c>
      <c r="F1203" s="9">
        <v>55399.66</v>
      </c>
      <c r="G1203" s="10">
        <f t="shared" si="37"/>
        <v>2.0113108036717682E-2</v>
      </c>
      <c r="K1203" s="13"/>
      <c r="L1203" s="13"/>
      <c r="M1203" s="13"/>
    </row>
    <row r="1204" spans="1:13" x14ac:dyDescent="0.3">
      <c r="A1204" s="7">
        <v>45243</v>
      </c>
      <c r="B1204" s="8">
        <v>4.7</v>
      </c>
      <c r="C1204" s="10">
        <f t="shared" si="36"/>
        <v>-1.673640167364018E-2</v>
      </c>
      <c r="E1204" s="7">
        <v>45243</v>
      </c>
      <c r="F1204" s="9">
        <v>56526.71</v>
      </c>
      <c r="G1204" s="10">
        <f t="shared" si="37"/>
        <v>2.0343987670682375E-2</v>
      </c>
      <c r="K1204" s="13"/>
      <c r="L1204" s="13"/>
      <c r="M1204" s="13"/>
    </row>
    <row r="1205" spans="1:13" x14ac:dyDescent="0.3">
      <c r="A1205" s="7">
        <v>45244</v>
      </c>
      <c r="B1205" s="8">
        <v>4.6900000000000004</v>
      </c>
      <c r="C1205" s="10">
        <f t="shared" si="36"/>
        <v>-2.1276595744680396E-3</v>
      </c>
      <c r="E1205" s="7">
        <v>45244</v>
      </c>
      <c r="F1205" s="9">
        <v>56644.58</v>
      </c>
      <c r="G1205" s="10">
        <f t="shared" si="37"/>
        <v>2.0852089215877348E-3</v>
      </c>
      <c r="K1205" s="13"/>
      <c r="L1205" s="13"/>
      <c r="M1205" s="13"/>
    </row>
    <row r="1206" spans="1:13" x14ac:dyDescent="0.3">
      <c r="A1206" s="7">
        <v>45245</v>
      </c>
      <c r="B1206" s="8">
        <v>4.74</v>
      </c>
      <c r="C1206" s="10">
        <f t="shared" si="36"/>
        <v>1.0660980810234503E-2</v>
      </c>
      <c r="E1206" s="7">
        <v>45245</v>
      </c>
      <c r="F1206" s="9">
        <v>56765.279999999999</v>
      </c>
      <c r="G1206" s="10">
        <f t="shared" si="37"/>
        <v>2.1308305225318483E-3</v>
      </c>
      <c r="K1206" s="13"/>
      <c r="L1206" s="13"/>
      <c r="M1206" s="13"/>
    </row>
    <row r="1207" spans="1:13" x14ac:dyDescent="0.3">
      <c r="A1207" s="7">
        <v>45246</v>
      </c>
      <c r="B1207" s="8">
        <v>4.7</v>
      </c>
      <c r="C1207" s="10">
        <f t="shared" si="36"/>
        <v>-8.4388185654008518E-3</v>
      </c>
      <c r="E1207" s="7">
        <v>45246</v>
      </c>
      <c r="F1207" s="9">
        <v>57344.160000000003</v>
      </c>
      <c r="G1207" s="10">
        <f t="shared" si="37"/>
        <v>1.0197782870092506E-2</v>
      </c>
      <c r="K1207" s="13"/>
      <c r="L1207" s="13"/>
      <c r="M1207" s="13"/>
    </row>
    <row r="1208" spans="1:13" x14ac:dyDescent="0.3">
      <c r="A1208" s="7">
        <v>45247</v>
      </c>
      <c r="B1208" s="8">
        <v>4.5199999999999996</v>
      </c>
      <c r="C1208" s="10">
        <f t="shared" si="36"/>
        <v>-3.8297872340425657E-2</v>
      </c>
      <c r="E1208" s="7">
        <v>45247</v>
      </c>
      <c r="F1208" s="9">
        <v>57016.959999999999</v>
      </c>
      <c r="G1208" s="10">
        <f t="shared" si="37"/>
        <v>-5.705899258093664E-3</v>
      </c>
      <c r="K1208" s="13"/>
      <c r="L1208" s="13"/>
      <c r="M1208" s="13"/>
    </row>
    <row r="1209" spans="1:13" x14ac:dyDescent="0.3">
      <c r="A1209" s="7">
        <v>45250</v>
      </c>
      <c r="B1209" s="8">
        <v>4.5</v>
      </c>
      <c r="C1209" s="10">
        <f t="shared" si="36"/>
        <v>-4.4247787610618532E-3</v>
      </c>
      <c r="E1209" s="7">
        <v>45250</v>
      </c>
      <c r="F1209" s="9">
        <v>57065.99</v>
      </c>
      <c r="G1209" s="10">
        <f t="shared" si="37"/>
        <v>8.599195748071949E-4</v>
      </c>
      <c r="K1209" s="13"/>
      <c r="L1209" s="13"/>
      <c r="M1209" s="13"/>
    </row>
    <row r="1210" spans="1:13" x14ac:dyDescent="0.3">
      <c r="A1210" s="7">
        <v>45251</v>
      </c>
      <c r="B1210" s="8">
        <v>4.47</v>
      </c>
      <c r="C1210" s="10">
        <f t="shared" si="36"/>
        <v>-6.6666666666667217E-3</v>
      </c>
      <c r="E1210" s="7">
        <v>45251</v>
      </c>
      <c r="F1210" s="9">
        <v>57408.18</v>
      </c>
      <c r="G1210" s="10">
        <f t="shared" si="37"/>
        <v>5.9963911955264832E-3</v>
      </c>
      <c r="K1210" s="13"/>
      <c r="L1210" s="13"/>
      <c r="M1210" s="13"/>
    </row>
    <row r="1211" spans="1:13" x14ac:dyDescent="0.3">
      <c r="A1211" s="7">
        <v>45252</v>
      </c>
      <c r="B1211" s="8">
        <v>4.43</v>
      </c>
      <c r="C1211" s="10">
        <f t="shared" si="36"/>
        <v>-8.9485458612975476E-3</v>
      </c>
      <c r="E1211" s="7">
        <v>45252</v>
      </c>
      <c r="F1211" s="9">
        <v>58178.27</v>
      </c>
      <c r="G1211" s="10">
        <f t="shared" si="37"/>
        <v>1.341429043735573E-2</v>
      </c>
      <c r="K1211" s="13"/>
      <c r="L1211" s="13"/>
      <c r="M1211" s="13"/>
    </row>
    <row r="1212" spans="1:13" x14ac:dyDescent="0.3">
      <c r="A1212" s="7">
        <v>45253</v>
      </c>
      <c r="B1212" s="8">
        <v>4.43</v>
      </c>
      <c r="C1212" s="10">
        <f t="shared" si="36"/>
        <v>0</v>
      </c>
      <c r="E1212" s="7">
        <v>45253</v>
      </c>
      <c r="F1212" s="9">
        <v>58910.8</v>
      </c>
      <c r="G1212" s="10">
        <f t="shared" si="37"/>
        <v>1.25911272370252E-2</v>
      </c>
      <c r="K1212" s="13"/>
      <c r="L1212" s="13"/>
      <c r="M1212" s="13"/>
    </row>
    <row r="1213" spans="1:13" x14ac:dyDescent="0.3">
      <c r="A1213" s="7">
        <v>45254</v>
      </c>
      <c r="B1213" s="8">
        <v>4.3</v>
      </c>
      <c r="C1213" s="10">
        <f t="shared" si="36"/>
        <v>-2.934537246049659E-2</v>
      </c>
      <c r="E1213" s="7">
        <v>45254</v>
      </c>
      <c r="F1213" s="9">
        <v>59173.34</v>
      </c>
      <c r="G1213" s="10">
        <f t="shared" si="37"/>
        <v>4.4565682353659023E-3</v>
      </c>
      <c r="K1213" s="13"/>
      <c r="L1213" s="13"/>
      <c r="M1213" s="13"/>
    </row>
    <row r="1214" spans="1:13" x14ac:dyDescent="0.3">
      <c r="A1214" s="7">
        <v>45257</v>
      </c>
      <c r="B1214" s="8">
        <v>4.3600000000000003</v>
      </c>
      <c r="C1214" s="10">
        <f t="shared" si="36"/>
        <v>1.3953488372093139E-2</v>
      </c>
      <c r="E1214" s="7">
        <v>45257</v>
      </c>
      <c r="F1214" s="9">
        <v>59774.06</v>
      </c>
      <c r="G1214" s="10">
        <f t="shared" si="37"/>
        <v>1.0151869068063443E-2</v>
      </c>
      <c r="K1214" s="13"/>
      <c r="L1214" s="13"/>
      <c r="M1214" s="13"/>
    </row>
    <row r="1215" spans="1:13" x14ac:dyDescent="0.3">
      <c r="A1215" s="7">
        <v>45258</v>
      </c>
      <c r="B1215" s="8">
        <v>4.5999999999999996</v>
      </c>
      <c r="C1215" s="10">
        <f t="shared" si="36"/>
        <v>5.5045871559632871E-2</v>
      </c>
      <c r="E1215" s="7">
        <v>45258</v>
      </c>
      <c r="F1215" s="9">
        <v>60845.53</v>
      </c>
      <c r="G1215" s="10">
        <f t="shared" si="37"/>
        <v>1.7925334166693733E-2</v>
      </c>
      <c r="K1215" s="13"/>
      <c r="L1215" s="13"/>
      <c r="M1215" s="13"/>
    </row>
    <row r="1216" spans="1:13" x14ac:dyDescent="0.3">
      <c r="A1216" s="7">
        <v>45259</v>
      </c>
      <c r="B1216" s="8">
        <v>4.5999999999999996</v>
      </c>
      <c r="C1216" s="10">
        <f t="shared" si="36"/>
        <v>0</v>
      </c>
      <c r="E1216" s="7">
        <v>45259</v>
      </c>
      <c r="F1216" s="9">
        <v>60498.96</v>
      </c>
      <c r="G1216" s="10">
        <f t="shared" si="37"/>
        <v>-5.6958991071324339E-3</v>
      </c>
      <c r="K1216" s="13"/>
      <c r="L1216" s="13"/>
      <c r="M1216" s="13"/>
    </row>
    <row r="1217" spans="1:13" x14ac:dyDescent="0.3">
      <c r="A1217" s="7">
        <v>45260</v>
      </c>
      <c r="B1217" s="8">
        <v>4.54</v>
      </c>
      <c r="C1217" s="10">
        <f t="shared" si="36"/>
        <v>-1.3043478260869481E-2</v>
      </c>
      <c r="E1217" s="7">
        <v>45260</v>
      </c>
      <c r="F1217" s="9">
        <v>60526.77</v>
      </c>
      <c r="G1217" s="10">
        <f t="shared" si="37"/>
        <v>4.5967732337874357E-4</v>
      </c>
      <c r="K1217" s="13"/>
      <c r="L1217" s="13"/>
      <c r="M1217" s="13"/>
    </row>
    <row r="1218" spans="1:13" x14ac:dyDescent="0.3">
      <c r="A1218" s="7">
        <v>45261</v>
      </c>
      <c r="B1218" s="8">
        <v>4.54</v>
      </c>
      <c r="C1218" s="10">
        <f t="shared" si="36"/>
        <v>0</v>
      </c>
      <c r="E1218" s="7">
        <v>45261</v>
      </c>
      <c r="F1218" s="9">
        <v>61691.25</v>
      </c>
      <c r="G1218" s="10">
        <f t="shared" si="37"/>
        <v>1.9239090405782488E-2</v>
      </c>
      <c r="K1218" s="13"/>
      <c r="L1218" s="13"/>
      <c r="M1218" s="13"/>
    </row>
    <row r="1219" spans="1:13" x14ac:dyDescent="0.3">
      <c r="A1219" s="7">
        <v>45264</v>
      </c>
      <c r="B1219" s="8">
        <v>4.6100000000000003</v>
      </c>
      <c r="C1219" s="10">
        <f t="shared" si="36"/>
        <v>1.5418502202643234E-2</v>
      </c>
      <c r="E1219" s="7">
        <v>45264</v>
      </c>
      <c r="F1219" s="9">
        <v>62575.35</v>
      </c>
      <c r="G1219" s="10">
        <f t="shared" si="37"/>
        <v>1.433104370554979E-2</v>
      </c>
      <c r="K1219" s="13"/>
      <c r="L1219" s="13"/>
      <c r="M1219" s="13"/>
    </row>
    <row r="1220" spans="1:13" x14ac:dyDescent="0.3">
      <c r="A1220" s="7">
        <v>45265</v>
      </c>
      <c r="B1220" s="8">
        <v>4.8499999999999996</v>
      </c>
      <c r="C1220" s="10">
        <f t="shared" si="36"/>
        <v>5.206073752711482E-2</v>
      </c>
      <c r="E1220" s="7">
        <v>45265</v>
      </c>
      <c r="F1220" s="9">
        <v>63028.13</v>
      </c>
      <c r="G1220" s="10">
        <f t="shared" si="37"/>
        <v>7.2357565718769263E-3</v>
      </c>
      <c r="K1220" s="13"/>
      <c r="L1220" s="13"/>
      <c r="M1220" s="13"/>
    </row>
    <row r="1221" spans="1:13" x14ac:dyDescent="0.3">
      <c r="A1221" s="7">
        <v>45266</v>
      </c>
      <c r="B1221" s="8">
        <v>4.8499999999999996</v>
      </c>
      <c r="C1221" s="10">
        <f t="shared" ref="C1221:C1284" si="38">(B1221-B1220)/B1220</f>
        <v>0</v>
      </c>
      <c r="E1221" s="7">
        <v>45266</v>
      </c>
      <c r="F1221" s="9">
        <v>63778.75</v>
      </c>
      <c r="G1221" s="10">
        <f t="shared" ref="G1221:G1284" si="39">(F1221-F1220)/F1220</f>
        <v>1.190928558407179E-2</v>
      </c>
      <c r="K1221" s="13"/>
      <c r="L1221" s="13"/>
      <c r="M1221" s="13"/>
    </row>
    <row r="1222" spans="1:13" x14ac:dyDescent="0.3">
      <c r="A1222" s="7">
        <v>45267</v>
      </c>
      <c r="B1222" s="8">
        <v>5.07</v>
      </c>
      <c r="C1222" s="10">
        <f t="shared" si="38"/>
        <v>4.5360824742268178E-2</v>
      </c>
      <c r="E1222" s="7">
        <v>45267</v>
      </c>
      <c r="F1222" s="9">
        <v>64718.080000000002</v>
      </c>
      <c r="G1222" s="10">
        <f t="shared" si="39"/>
        <v>1.4727946220332034E-2</v>
      </c>
      <c r="K1222" s="13"/>
      <c r="L1222" s="13"/>
      <c r="M1222" s="13"/>
    </row>
    <row r="1223" spans="1:13" x14ac:dyDescent="0.3">
      <c r="A1223" s="7">
        <v>45268</v>
      </c>
      <c r="B1223" s="8">
        <v>5.12</v>
      </c>
      <c r="C1223" s="10">
        <f t="shared" si="38"/>
        <v>9.8619329388559794E-3</v>
      </c>
      <c r="E1223" s="7">
        <v>45268</v>
      </c>
      <c r="F1223" s="9">
        <v>66223.63</v>
      </c>
      <c r="G1223" s="10">
        <f t="shared" si="39"/>
        <v>2.3263205583354804E-2</v>
      </c>
      <c r="K1223" s="13"/>
      <c r="L1223" s="13"/>
      <c r="M1223" s="13"/>
    </row>
    <row r="1224" spans="1:13" x14ac:dyDescent="0.3">
      <c r="A1224" s="7">
        <v>45271</v>
      </c>
      <c r="B1224" s="8">
        <v>4.96</v>
      </c>
      <c r="C1224" s="10">
        <f t="shared" si="38"/>
        <v>-3.1250000000000028E-2</v>
      </c>
      <c r="E1224" s="7">
        <v>45271</v>
      </c>
      <c r="F1224" s="9">
        <v>66012.33</v>
      </c>
      <c r="G1224" s="10">
        <f t="shared" si="39"/>
        <v>-3.190703982853294E-3</v>
      </c>
      <c r="K1224" s="13"/>
      <c r="L1224" s="13"/>
      <c r="M1224" s="13"/>
    </row>
    <row r="1225" spans="1:13" x14ac:dyDescent="0.3">
      <c r="A1225" s="7">
        <v>45272</v>
      </c>
      <c r="B1225" s="8">
        <v>5.01</v>
      </c>
      <c r="C1225" s="10">
        <f t="shared" si="38"/>
        <v>1.0080645161290288E-2</v>
      </c>
      <c r="E1225" s="7">
        <v>45272</v>
      </c>
      <c r="F1225" s="9">
        <v>66426.78</v>
      </c>
      <c r="G1225" s="10">
        <f t="shared" si="39"/>
        <v>6.2783725404026349E-3</v>
      </c>
      <c r="K1225" s="13"/>
      <c r="L1225" s="13"/>
      <c r="M1225" s="13"/>
    </row>
    <row r="1226" spans="1:13" x14ac:dyDescent="0.3">
      <c r="A1226" s="7">
        <v>45273</v>
      </c>
      <c r="B1226" s="8">
        <v>4.83</v>
      </c>
      <c r="C1226" s="10">
        <f t="shared" si="38"/>
        <v>-3.5928143712574794E-2</v>
      </c>
      <c r="E1226" s="7">
        <v>45273</v>
      </c>
      <c r="F1226" s="9">
        <v>65280.160000000003</v>
      </c>
      <c r="G1226" s="10">
        <f t="shared" si="39"/>
        <v>-1.726141173785626E-2</v>
      </c>
      <c r="K1226" s="13"/>
      <c r="L1226" s="13"/>
      <c r="M1226" s="13"/>
    </row>
    <row r="1227" spans="1:13" x14ac:dyDescent="0.3">
      <c r="A1227" s="7">
        <v>45274</v>
      </c>
      <c r="B1227" s="8">
        <v>4.84</v>
      </c>
      <c r="C1227" s="10">
        <f t="shared" si="38"/>
        <v>2.0703933747411567E-3</v>
      </c>
      <c r="E1227" s="7">
        <v>45274</v>
      </c>
      <c r="F1227" s="9">
        <v>65450.19</v>
      </c>
      <c r="G1227" s="10">
        <f t="shared" si="39"/>
        <v>2.6046198416180173E-3</v>
      </c>
      <c r="K1227" s="13"/>
      <c r="L1227" s="13"/>
      <c r="M1227" s="13"/>
    </row>
    <row r="1228" spans="1:13" x14ac:dyDescent="0.3">
      <c r="A1228" s="7">
        <v>45275</v>
      </c>
      <c r="B1228" s="8">
        <v>5.75</v>
      </c>
      <c r="C1228" s="10">
        <f t="shared" si="38"/>
        <v>0.18801652892561987</v>
      </c>
      <c r="E1228" s="7">
        <v>45275</v>
      </c>
      <c r="F1228" s="9">
        <v>66130.02</v>
      </c>
      <c r="G1228" s="10">
        <f t="shared" si="39"/>
        <v>1.0386982833816094E-2</v>
      </c>
      <c r="K1228" s="13"/>
      <c r="L1228" s="13"/>
      <c r="M1228" s="13"/>
    </row>
    <row r="1229" spans="1:13" x14ac:dyDescent="0.3">
      <c r="A1229" s="7">
        <v>45278</v>
      </c>
      <c r="B1229" s="8">
        <v>5.9</v>
      </c>
      <c r="C1229" s="10">
        <f t="shared" si="38"/>
        <v>2.6086956521739191E-2</v>
      </c>
      <c r="E1229" s="7">
        <v>45278</v>
      </c>
      <c r="F1229" s="9">
        <v>65204.68</v>
      </c>
      <c r="G1229" s="10">
        <f t="shared" si="39"/>
        <v>-1.3992737337747724E-2</v>
      </c>
      <c r="K1229" s="13"/>
      <c r="L1229" s="13"/>
      <c r="M1229" s="13"/>
    </row>
    <row r="1230" spans="1:13" x14ac:dyDescent="0.3">
      <c r="A1230" s="7">
        <v>45279</v>
      </c>
      <c r="B1230" s="8">
        <v>5.01</v>
      </c>
      <c r="C1230" s="10">
        <f t="shared" si="38"/>
        <v>-0.15084745762711874</v>
      </c>
      <c r="E1230" s="7">
        <v>45279</v>
      </c>
      <c r="F1230" s="9">
        <v>62833.03</v>
      </c>
      <c r="G1230" s="10">
        <f t="shared" si="39"/>
        <v>-3.6372389221141818E-2</v>
      </c>
      <c r="K1230" s="13"/>
      <c r="L1230" s="13"/>
      <c r="M1230" s="13"/>
    </row>
    <row r="1231" spans="1:13" x14ac:dyDescent="0.3">
      <c r="A1231" s="7">
        <v>45280</v>
      </c>
      <c r="B1231" s="8">
        <v>4.8899999999999997</v>
      </c>
      <c r="C1231" s="10">
        <f t="shared" si="38"/>
        <v>-2.3952095808383256E-2</v>
      </c>
      <c r="E1231" s="7">
        <v>45280</v>
      </c>
      <c r="F1231" s="9">
        <v>62448.01</v>
      </c>
      <c r="G1231" s="10">
        <f t="shared" si="39"/>
        <v>-6.1276688391439472E-3</v>
      </c>
      <c r="K1231" s="13"/>
      <c r="L1231" s="13"/>
      <c r="M1231" s="13"/>
    </row>
    <row r="1232" spans="1:13" x14ac:dyDescent="0.3">
      <c r="A1232" s="7">
        <v>45281</v>
      </c>
      <c r="B1232" s="8">
        <v>5.49</v>
      </c>
      <c r="C1232" s="10">
        <f t="shared" si="38"/>
        <v>0.1226993865030676</v>
      </c>
      <c r="E1232" s="7">
        <v>45281</v>
      </c>
      <c r="F1232" s="9">
        <v>62693.57</v>
      </c>
      <c r="G1232" s="10">
        <f t="shared" si="39"/>
        <v>3.932230987024209E-3</v>
      </c>
      <c r="K1232" s="13"/>
      <c r="L1232" s="13"/>
      <c r="M1232" s="13"/>
    </row>
    <row r="1233" spans="1:13" x14ac:dyDescent="0.3">
      <c r="A1233" s="7">
        <v>45282</v>
      </c>
      <c r="B1233" s="8">
        <v>5.25</v>
      </c>
      <c r="C1233" s="10">
        <f t="shared" si="38"/>
        <v>-4.3715846994535554E-2</v>
      </c>
      <c r="E1233" s="7">
        <v>45282</v>
      </c>
      <c r="F1233" s="9">
        <v>61705.09</v>
      </c>
      <c r="G1233" s="10">
        <f t="shared" si="39"/>
        <v>-1.5766848179167389E-2</v>
      </c>
      <c r="K1233" s="13"/>
      <c r="L1233" s="13"/>
      <c r="M1233" s="13"/>
    </row>
    <row r="1234" spans="1:13" x14ac:dyDescent="0.3">
      <c r="A1234" s="7">
        <v>45286</v>
      </c>
      <c r="B1234" s="8">
        <v>4.6500000000000004</v>
      </c>
      <c r="C1234" s="10">
        <f t="shared" si="38"/>
        <v>-0.11428571428571421</v>
      </c>
      <c r="E1234" s="7">
        <v>45286</v>
      </c>
      <c r="F1234" s="9">
        <v>59170.98</v>
      </c>
      <c r="G1234" s="10">
        <f t="shared" si="39"/>
        <v>-4.1068086927674739E-2</v>
      </c>
      <c r="K1234" s="13"/>
      <c r="L1234" s="13"/>
      <c r="M1234" s="13"/>
    </row>
    <row r="1235" spans="1:13" x14ac:dyDescent="0.3">
      <c r="A1235" s="7">
        <v>45287</v>
      </c>
      <c r="B1235" s="8">
        <v>5.14</v>
      </c>
      <c r="C1235" s="10">
        <f t="shared" si="38"/>
        <v>0.10537634408602135</v>
      </c>
      <c r="E1235" s="7">
        <v>45287</v>
      </c>
      <c r="F1235" s="9">
        <v>60863.62</v>
      </c>
      <c r="G1235" s="10">
        <f t="shared" si="39"/>
        <v>2.8605914588536462E-2</v>
      </c>
      <c r="K1235" s="13"/>
      <c r="L1235" s="13"/>
      <c r="M1235" s="13"/>
    </row>
    <row r="1236" spans="1:13" x14ac:dyDescent="0.3">
      <c r="A1236" s="7">
        <v>45288</v>
      </c>
      <c r="B1236" s="8">
        <v>5</v>
      </c>
      <c r="C1236" s="10">
        <f t="shared" si="38"/>
        <v>-2.7237354085603051E-2</v>
      </c>
      <c r="E1236" s="7">
        <v>45288</v>
      </c>
      <c r="F1236" s="9">
        <v>62052.24</v>
      </c>
      <c r="G1236" s="10">
        <f t="shared" si="39"/>
        <v>1.9529236019809458E-2</v>
      </c>
      <c r="K1236" s="13"/>
      <c r="L1236" s="13"/>
      <c r="M1236" s="13"/>
    </row>
    <row r="1237" spans="1:13" x14ac:dyDescent="0.3">
      <c r="A1237" s="7">
        <v>45289</v>
      </c>
      <c r="B1237" s="8">
        <v>4.92</v>
      </c>
      <c r="C1237" s="10">
        <f t="shared" si="38"/>
        <v>-1.6000000000000014E-2</v>
      </c>
      <c r="E1237" s="7">
        <v>45289</v>
      </c>
      <c r="F1237" s="9">
        <v>62451.040000000001</v>
      </c>
      <c r="G1237" s="10">
        <f t="shared" si="39"/>
        <v>6.426842931052979E-3</v>
      </c>
      <c r="K1237" s="13"/>
      <c r="L1237" s="13"/>
      <c r="M1237" s="13"/>
    </row>
    <row r="1238" spans="1:13" x14ac:dyDescent="0.3">
      <c r="A1238" s="7">
        <v>45292</v>
      </c>
      <c r="B1238" s="8">
        <v>5.29</v>
      </c>
      <c r="C1238" s="10">
        <f t="shared" si="38"/>
        <v>7.5203252032520346E-2</v>
      </c>
      <c r="E1238" s="7">
        <v>45292</v>
      </c>
      <c r="F1238" s="9">
        <v>64661.78</v>
      </c>
      <c r="G1238" s="10">
        <f t="shared" si="39"/>
        <v>3.5399570607631159E-2</v>
      </c>
      <c r="K1238" s="13"/>
      <c r="L1238" s="13"/>
      <c r="M1238" s="13"/>
    </row>
    <row r="1239" spans="1:13" x14ac:dyDescent="0.3">
      <c r="A1239" s="7">
        <v>45293</v>
      </c>
      <c r="B1239" s="8">
        <v>5.13</v>
      </c>
      <c r="C1239" s="10">
        <f t="shared" si="38"/>
        <v>-3.0245746691871481E-2</v>
      </c>
      <c r="E1239" s="7">
        <v>45293</v>
      </c>
      <c r="F1239" s="9">
        <v>64349.599999999999</v>
      </c>
      <c r="G1239" s="10">
        <f t="shared" si="39"/>
        <v>-4.8278906024548087E-3</v>
      </c>
      <c r="K1239" s="13"/>
      <c r="L1239" s="13"/>
      <c r="M1239" s="13"/>
    </row>
    <row r="1240" spans="1:13" x14ac:dyDescent="0.3">
      <c r="A1240" s="7">
        <v>45294</v>
      </c>
      <c r="B1240" s="8">
        <v>5.0599999999999996</v>
      </c>
      <c r="C1240" s="10">
        <f t="shared" si="38"/>
        <v>-1.3645224171540018E-2</v>
      </c>
      <c r="E1240" s="7">
        <v>45294</v>
      </c>
      <c r="F1240" s="9">
        <v>64646.85</v>
      </c>
      <c r="G1240" s="10">
        <f t="shared" si="39"/>
        <v>4.6192983328567699E-3</v>
      </c>
      <c r="K1240" s="13"/>
      <c r="L1240" s="13"/>
      <c r="M1240" s="13"/>
    </row>
    <row r="1241" spans="1:13" x14ac:dyDescent="0.3">
      <c r="A1241" s="7">
        <v>45295</v>
      </c>
      <c r="B1241" s="8">
        <v>5.15</v>
      </c>
      <c r="C1241" s="10">
        <f t="shared" si="38"/>
        <v>1.7786561264822282E-2</v>
      </c>
      <c r="E1241" s="7">
        <v>45295</v>
      </c>
      <c r="F1241" s="9">
        <v>64639.16</v>
      </c>
      <c r="G1241" s="10">
        <f t="shared" si="39"/>
        <v>-1.1895397842269272E-4</v>
      </c>
      <c r="K1241" s="13"/>
      <c r="L1241" s="13"/>
      <c r="M1241" s="13"/>
    </row>
    <row r="1242" spans="1:13" x14ac:dyDescent="0.3">
      <c r="A1242" s="7">
        <v>45296</v>
      </c>
      <c r="B1242" s="8">
        <v>5.0999999999999996</v>
      </c>
      <c r="C1242" s="10">
        <f t="shared" si="38"/>
        <v>-9.7087378640778078E-3</v>
      </c>
      <c r="E1242" s="7">
        <v>45296</v>
      </c>
      <c r="F1242" s="9">
        <v>64514.9</v>
      </c>
      <c r="G1242" s="10">
        <f t="shared" si="39"/>
        <v>-1.9223640901274402E-3</v>
      </c>
      <c r="K1242" s="13"/>
      <c r="L1242" s="13"/>
      <c r="M1242" s="13"/>
    </row>
    <row r="1243" spans="1:13" x14ac:dyDescent="0.3">
      <c r="A1243" s="7">
        <v>45299</v>
      </c>
      <c r="B1243" s="8">
        <v>4.92</v>
      </c>
      <c r="C1243" s="10">
        <f t="shared" si="38"/>
        <v>-3.5294117647058768E-2</v>
      </c>
      <c r="E1243" s="7">
        <v>45299</v>
      </c>
      <c r="F1243" s="9">
        <v>64237.03</v>
      </c>
      <c r="G1243" s="10">
        <f t="shared" si="39"/>
        <v>-4.3070670496273356E-3</v>
      </c>
      <c r="K1243" s="13"/>
      <c r="L1243" s="13"/>
      <c r="M1243" s="13"/>
    </row>
    <row r="1244" spans="1:13" x14ac:dyDescent="0.3">
      <c r="A1244" s="7">
        <v>45300</v>
      </c>
      <c r="B1244" s="8">
        <v>4.87</v>
      </c>
      <c r="C1244" s="10">
        <f t="shared" si="38"/>
        <v>-1.0162601626016224E-2</v>
      </c>
      <c r="E1244" s="7">
        <v>45300</v>
      </c>
      <c r="F1244" s="9">
        <v>64170.58</v>
      </c>
      <c r="G1244" s="10">
        <f t="shared" si="39"/>
        <v>-1.034450067196399E-3</v>
      </c>
      <c r="K1244" s="13"/>
      <c r="L1244" s="13"/>
      <c r="M1244" s="13"/>
    </row>
    <row r="1245" spans="1:13" x14ac:dyDescent="0.3">
      <c r="A1245" s="7">
        <v>45301</v>
      </c>
      <c r="B1245" s="8">
        <v>4.8099999999999996</v>
      </c>
      <c r="C1245" s="10">
        <f t="shared" si="38"/>
        <v>-1.2320328542094557E-2</v>
      </c>
      <c r="E1245" s="7">
        <v>45301</v>
      </c>
      <c r="F1245" s="9">
        <v>63919.85</v>
      </c>
      <c r="G1245" s="10">
        <f t="shared" si="39"/>
        <v>-3.9072422284480391E-3</v>
      </c>
      <c r="K1245" s="13"/>
      <c r="L1245" s="13"/>
      <c r="M1245" s="13"/>
    </row>
    <row r="1246" spans="1:13" x14ac:dyDescent="0.3">
      <c r="A1246" s="7">
        <v>45302</v>
      </c>
      <c r="B1246" s="8">
        <v>4.76</v>
      </c>
      <c r="C1246" s="10">
        <f t="shared" si="38"/>
        <v>-1.0395010395010359E-2</v>
      </c>
      <c r="E1246" s="7">
        <v>45302</v>
      </c>
      <c r="F1246" s="9">
        <v>64617.57</v>
      </c>
      <c r="G1246" s="10">
        <f t="shared" si="39"/>
        <v>1.0915545014576868E-2</v>
      </c>
      <c r="K1246" s="13"/>
      <c r="L1246" s="13"/>
      <c r="M1246" s="13"/>
    </row>
    <row r="1247" spans="1:13" x14ac:dyDescent="0.3">
      <c r="A1247" s="7">
        <v>45303</v>
      </c>
      <c r="B1247" s="8">
        <v>4.8099999999999996</v>
      </c>
      <c r="C1247" s="10">
        <f t="shared" si="38"/>
        <v>1.0504201680672232E-2</v>
      </c>
      <c r="E1247" s="7">
        <v>45303</v>
      </c>
      <c r="F1247" s="9">
        <v>64637.64</v>
      </c>
      <c r="G1247" s="10">
        <f t="shared" si="39"/>
        <v>3.1059663803513054E-4</v>
      </c>
      <c r="K1247" s="13"/>
      <c r="L1247" s="13"/>
      <c r="M1247" s="13"/>
    </row>
    <row r="1248" spans="1:13" x14ac:dyDescent="0.3">
      <c r="A1248" s="7">
        <v>45306</v>
      </c>
      <c r="B1248" s="8">
        <v>4.71</v>
      </c>
      <c r="C1248" s="10">
        <f t="shared" si="38"/>
        <v>-2.0790020790020718E-2</v>
      </c>
      <c r="E1248" s="7">
        <v>45306</v>
      </c>
      <c r="F1248" s="9">
        <v>64269.38</v>
      </c>
      <c r="G1248" s="10">
        <f t="shared" si="39"/>
        <v>-5.6972995920024621E-3</v>
      </c>
      <c r="K1248" s="13"/>
      <c r="L1248" s="13"/>
      <c r="M1248" s="13"/>
    </row>
    <row r="1249" spans="1:13" x14ac:dyDescent="0.3">
      <c r="A1249" s="7">
        <v>45307</v>
      </c>
      <c r="B1249" s="8">
        <v>4.79</v>
      </c>
      <c r="C1249" s="10">
        <f t="shared" si="38"/>
        <v>1.6985138004246298E-2</v>
      </c>
      <c r="E1249" s="7">
        <v>45307</v>
      </c>
      <c r="F1249" s="9">
        <v>63737.46</v>
      </c>
      <c r="G1249" s="10">
        <f t="shared" si="39"/>
        <v>-8.2764140559625481E-3</v>
      </c>
      <c r="K1249" s="13"/>
      <c r="L1249" s="13"/>
      <c r="M1249" s="13"/>
    </row>
    <row r="1250" spans="1:13" x14ac:dyDescent="0.3">
      <c r="A1250" s="7">
        <v>45308</v>
      </c>
      <c r="B1250" s="8">
        <v>4.6500000000000004</v>
      </c>
      <c r="C1250" s="10">
        <f t="shared" si="38"/>
        <v>-2.9227557411273419E-2</v>
      </c>
      <c r="E1250" s="7">
        <v>45308</v>
      </c>
      <c r="F1250" s="9">
        <v>63567.34</v>
      </c>
      <c r="G1250" s="10">
        <f t="shared" si="39"/>
        <v>-2.6690740421724153E-3</v>
      </c>
      <c r="K1250" s="13"/>
      <c r="L1250" s="13"/>
      <c r="M1250" s="13"/>
    </row>
    <row r="1251" spans="1:13" x14ac:dyDescent="0.3">
      <c r="A1251" s="7">
        <v>45309</v>
      </c>
      <c r="B1251" s="8">
        <v>4.46</v>
      </c>
      <c r="C1251" s="10">
        <f t="shared" si="38"/>
        <v>-4.086021505376352E-2</v>
      </c>
      <c r="E1251" s="7">
        <v>45309</v>
      </c>
      <c r="F1251" s="9">
        <v>63202.400000000001</v>
      </c>
      <c r="G1251" s="10">
        <f t="shared" si="39"/>
        <v>-5.7409984435402685E-3</v>
      </c>
      <c r="K1251" s="13"/>
      <c r="L1251" s="13"/>
      <c r="M1251" s="13"/>
    </row>
    <row r="1252" spans="1:13" x14ac:dyDescent="0.3">
      <c r="A1252" s="7">
        <v>45310</v>
      </c>
      <c r="B1252" s="8">
        <v>4.4400000000000004</v>
      </c>
      <c r="C1252" s="10">
        <f t="shared" si="38"/>
        <v>-4.4843049327353305E-3</v>
      </c>
      <c r="E1252" s="7">
        <v>45310</v>
      </c>
      <c r="F1252" s="9">
        <v>63282.23</v>
      </c>
      <c r="G1252" s="10">
        <f t="shared" si="39"/>
        <v>1.2630849461413133E-3</v>
      </c>
      <c r="K1252" s="13"/>
      <c r="L1252" s="13"/>
      <c r="M1252" s="13"/>
    </row>
    <row r="1253" spans="1:13" x14ac:dyDescent="0.3">
      <c r="A1253" s="7">
        <v>45313</v>
      </c>
      <c r="B1253" s="8">
        <v>4.41</v>
      </c>
      <c r="C1253" s="10">
        <f t="shared" si="38"/>
        <v>-6.7567567567568118E-3</v>
      </c>
      <c r="E1253" s="7">
        <v>45313</v>
      </c>
      <c r="F1253" s="9">
        <v>63939.41</v>
      </c>
      <c r="G1253" s="10">
        <f t="shared" si="39"/>
        <v>1.038490584165571E-2</v>
      </c>
      <c r="K1253" s="13"/>
      <c r="L1253" s="13"/>
      <c r="M1253" s="13"/>
    </row>
    <row r="1254" spans="1:13" x14ac:dyDescent="0.3">
      <c r="A1254" s="7">
        <v>45314</v>
      </c>
      <c r="B1254" s="8">
        <v>4.5199999999999996</v>
      </c>
      <c r="C1254" s="10">
        <f t="shared" si="38"/>
        <v>2.4943310657596241E-2</v>
      </c>
      <c r="E1254" s="7">
        <v>45314</v>
      </c>
      <c r="F1254" s="9">
        <v>64454.22</v>
      </c>
      <c r="G1254" s="10">
        <f t="shared" si="39"/>
        <v>8.0515287832652448E-3</v>
      </c>
      <c r="K1254" s="13"/>
      <c r="L1254" s="13"/>
      <c r="M1254" s="13"/>
    </row>
    <row r="1255" spans="1:13" x14ac:dyDescent="0.3">
      <c r="A1255" s="7">
        <v>45315</v>
      </c>
      <c r="B1255" s="8">
        <v>4.54</v>
      </c>
      <c r="C1255" s="10">
        <f t="shared" si="38"/>
        <v>4.4247787610620492E-3</v>
      </c>
      <c r="E1255" s="7">
        <v>45315</v>
      </c>
      <c r="F1255" s="9">
        <v>64822.43</v>
      </c>
      <c r="G1255" s="10">
        <f t="shared" si="39"/>
        <v>5.7127368851876432E-3</v>
      </c>
      <c r="K1255" s="13"/>
      <c r="L1255" s="13"/>
      <c r="M1255" s="13"/>
    </row>
    <row r="1256" spans="1:13" x14ac:dyDescent="0.3">
      <c r="A1256" s="7">
        <v>45316</v>
      </c>
      <c r="B1256" s="8">
        <v>4.3600000000000003</v>
      </c>
      <c r="C1256" s="10">
        <f t="shared" si="38"/>
        <v>-3.9647577092510954E-2</v>
      </c>
      <c r="E1256" s="7">
        <v>45316</v>
      </c>
      <c r="F1256" s="9">
        <v>64298.01</v>
      </c>
      <c r="G1256" s="10">
        <f t="shared" si="39"/>
        <v>-8.0901009110580738E-3</v>
      </c>
      <c r="K1256" s="13"/>
      <c r="L1256" s="13"/>
      <c r="M1256" s="13"/>
    </row>
    <row r="1257" spans="1:13" x14ac:dyDescent="0.3">
      <c r="A1257" s="7">
        <v>45317</v>
      </c>
      <c r="B1257" s="8">
        <v>4.3</v>
      </c>
      <c r="C1257" s="10">
        <f t="shared" si="38"/>
        <v>-1.376146788990837E-2</v>
      </c>
      <c r="E1257" s="7">
        <v>45317</v>
      </c>
      <c r="F1257" s="9">
        <v>63813.06</v>
      </c>
      <c r="G1257" s="10">
        <f t="shared" si="39"/>
        <v>-7.5422240906056716E-3</v>
      </c>
      <c r="K1257" s="13"/>
      <c r="L1257" s="13"/>
      <c r="M1257" s="13"/>
    </row>
    <row r="1258" spans="1:13" x14ac:dyDescent="0.3">
      <c r="A1258" s="7">
        <v>45320</v>
      </c>
      <c r="B1258" s="8">
        <v>4.13</v>
      </c>
      <c r="C1258" s="10">
        <f t="shared" si="38"/>
        <v>-3.9534883720930218E-2</v>
      </c>
      <c r="E1258" s="7">
        <v>45320</v>
      </c>
      <c r="F1258" s="9">
        <v>62773.72</v>
      </c>
      <c r="G1258" s="10">
        <f t="shared" si="39"/>
        <v>-1.6287261573101126E-2</v>
      </c>
      <c r="K1258" s="13"/>
      <c r="L1258" s="13"/>
      <c r="M1258" s="13"/>
    </row>
    <row r="1259" spans="1:13" x14ac:dyDescent="0.3">
      <c r="A1259" s="7">
        <v>45321</v>
      </c>
      <c r="B1259" s="8">
        <v>3.98</v>
      </c>
      <c r="C1259" s="10">
        <f t="shared" si="38"/>
        <v>-3.6319612590799008E-2</v>
      </c>
      <c r="E1259" s="7">
        <v>45321</v>
      </c>
      <c r="F1259" s="9">
        <v>61841.74</v>
      </c>
      <c r="G1259" s="10">
        <f t="shared" si="39"/>
        <v>-1.4846658761022976E-2</v>
      </c>
      <c r="K1259" s="13"/>
      <c r="L1259" s="13"/>
      <c r="M1259" s="13"/>
    </row>
    <row r="1260" spans="1:13" x14ac:dyDescent="0.3">
      <c r="A1260" s="7">
        <v>45322</v>
      </c>
      <c r="B1260" s="8">
        <v>3.9</v>
      </c>
      <c r="C1260" s="10">
        <f t="shared" si="38"/>
        <v>-2.0100502512562832E-2</v>
      </c>
      <c r="E1260" s="7">
        <v>45322</v>
      </c>
      <c r="F1260" s="9">
        <v>61979.18</v>
      </c>
      <c r="G1260" s="10">
        <f t="shared" si="39"/>
        <v>2.2224471691773603E-3</v>
      </c>
      <c r="K1260" s="13"/>
      <c r="L1260" s="13"/>
      <c r="M1260" s="13"/>
    </row>
    <row r="1261" spans="1:13" x14ac:dyDescent="0.3">
      <c r="A1261" s="7">
        <v>45323</v>
      </c>
      <c r="B1261" s="8">
        <v>3.99</v>
      </c>
      <c r="C1261" s="10">
        <f t="shared" si="38"/>
        <v>2.3076923076923155E-2</v>
      </c>
      <c r="E1261" s="7">
        <v>45323</v>
      </c>
      <c r="F1261" s="9">
        <v>62393.74</v>
      </c>
      <c r="G1261" s="10">
        <f t="shared" si="39"/>
        <v>6.6886977207507052E-3</v>
      </c>
      <c r="K1261" s="13"/>
      <c r="L1261" s="13"/>
      <c r="M1261" s="13"/>
    </row>
    <row r="1262" spans="1:13" x14ac:dyDescent="0.3">
      <c r="A1262" s="7">
        <v>45324</v>
      </c>
      <c r="B1262" s="8">
        <v>3.99</v>
      </c>
      <c r="C1262" s="10">
        <f t="shared" si="38"/>
        <v>0</v>
      </c>
      <c r="E1262" s="7">
        <v>45324</v>
      </c>
      <c r="F1262" s="9">
        <v>63002.92</v>
      </c>
      <c r="G1262" s="10">
        <f t="shared" si="39"/>
        <v>9.7634794772680777E-3</v>
      </c>
      <c r="K1262" s="13"/>
      <c r="L1262" s="13"/>
      <c r="M1262" s="13"/>
    </row>
    <row r="1263" spans="1:13" x14ac:dyDescent="0.3">
      <c r="A1263" s="7">
        <v>45328</v>
      </c>
      <c r="B1263" s="8">
        <v>4.1500000000000004</v>
      </c>
      <c r="C1263" s="10">
        <f t="shared" si="38"/>
        <v>4.0100250626566449E-2</v>
      </c>
      <c r="E1263" s="7">
        <v>45328</v>
      </c>
      <c r="F1263" s="9">
        <v>63799.02</v>
      </c>
      <c r="G1263" s="10">
        <f t="shared" si="39"/>
        <v>1.2635922271539137E-2</v>
      </c>
      <c r="K1263" s="13"/>
      <c r="L1263" s="13"/>
      <c r="M1263" s="13"/>
    </row>
    <row r="1264" spans="1:13" x14ac:dyDescent="0.3">
      <c r="A1264" s="7">
        <v>45329</v>
      </c>
      <c r="B1264" s="8">
        <v>4.25</v>
      </c>
      <c r="C1264" s="10">
        <f t="shared" si="38"/>
        <v>2.4096385542168586E-2</v>
      </c>
      <c r="E1264" s="7">
        <v>45329</v>
      </c>
      <c r="F1264" s="9">
        <v>64143.87</v>
      </c>
      <c r="G1264" s="10">
        <f t="shared" si="39"/>
        <v>5.4052554412278722E-3</v>
      </c>
      <c r="K1264" s="13"/>
      <c r="L1264" s="13"/>
      <c r="M1264" s="13"/>
    </row>
    <row r="1265" spans="1:13" x14ac:dyDescent="0.3">
      <c r="A1265" s="7">
        <v>45331</v>
      </c>
      <c r="B1265" s="8">
        <v>4.05</v>
      </c>
      <c r="C1265" s="10">
        <f t="shared" si="38"/>
        <v>-4.7058823529411806E-2</v>
      </c>
      <c r="E1265" s="7">
        <v>45331</v>
      </c>
      <c r="F1265" s="9">
        <v>62943.75</v>
      </c>
      <c r="G1265" s="10">
        <f t="shared" si="39"/>
        <v>-1.8709815918497005E-2</v>
      </c>
      <c r="K1265" s="13"/>
      <c r="L1265" s="13"/>
      <c r="M1265" s="13"/>
    </row>
    <row r="1266" spans="1:13" x14ac:dyDescent="0.3">
      <c r="A1266" s="7">
        <v>45334</v>
      </c>
      <c r="B1266" s="8">
        <v>3.82</v>
      </c>
      <c r="C1266" s="10">
        <f t="shared" si="38"/>
        <v>-5.6790123456790124E-2</v>
      </c>
      <c r="E1266" s="7">
        <v>45334</v>
      </c>
      <c r="F1266" s="9">
        <v>61065.32</v>
      </c>
      <c r="G1266" s="10">
        <f t="shared" si="39"/>
        <v>-2.9842994737364716E-2</v>
      </c>
      <c r="K1266" s="13"/>
      <c r="L1266" s="13"/>
      <c r="M1266" s="13"/>
    </row>
    <row r="1267" spans="1:13" x14ac:dyDescent="0.3">
      <c r="A1267" s="7">
        <v>45335</v>
      </c>
      <c r="B1267" s="8">
        <v>3.79</v>
      </c>
      <c r="C1267" s="10">
        <f t="shared" si="38"/>
        <v>-7.8534031413612058E-3</v>
      </c>
      <c r="E1267" s="7">
        <v>45335</v>
      </c>
      <c r="F1267" s="9">
        <v>61226.93</v>
      </c>
      <c r="G1267" s="10">
        <f t="shared" si="39"/>
        <v>2.6465103269744691E-3</v>
      </c>
      <c r="K1267" s="13"/>
      <c r="L1267" s="13"/>
      <c r="M1267" s="13"/>
    </row>
    <row r="1268" spans="1:13" x14ac:dyDescent="0.3">
      <c r="A1268" s="7">
        <v>45336</v>
      </c>
      <c r="B1268" s="8">
        <v>3.94</v>
      </c>
      <c r="C1268" s="10">
        <f t="shared" si="38"/>
        <v>3.9577836411609474E-2</v>
      </c>
      <c r="E1268" s="7">
        <v>45336</v>
      </c>
      <c r="F1268" s="9">
        <v>62153.84</v>
      </c>
      <c r="G1268" s="10">
        <f t="shared" si="39"/>
        <v>1.5138926612848238E-2</v>
      </c>
      <c r="K1268" s="13"/>
      <c r="L1268" s="13"/>
      <c r="M1268" s="13"/>
    </row>
    <row r="1269" spans="1:13" x14ac:dyDescent="0.3">
      <c r="A1269" s="7">
        <v>45337</v>
      </c>
      <c r="B1269" s="8">
        <v>3.8</v>
      </c>
      <c r="C1269" s="10">
        <f t="shared" si="38"/>
        <v>-3.5532994923857898E-2</v>
      </c>
      <c r="E1269" s="7">
        <v>45337</v>
      </c>
      <c r="F1269" s="9">
        <v>61020.06</v>
      </c>
      <c r="G1269" s="10">
        <f t="shared" si="39"/>
        <v>-1.8241511707080351E-2</v>
      </c>
      <c r="K1269" s="13"/>
      <c r="L1269" s="13"/>
      <c r="M1269" s="13"/>
    </row>
    <row r="1270" spans="1:13" x14ac:dyDescent="0.3">
      <c r="A1270" s="7">
        <v>45338</v>
      </c>
      <c r="B1270" s="8">
        <v>3.69</v>
      </c>
      <c r="C1270" s="10">
        <f t="shared" si="38"/>
        <v>-2.89473684210526E-2</v>
      </c>
      <c r="E1270" s="7">
        <v>45338</v>
      </c>
      <c r="F1270" s="9">
        <v>59872.959999999999</v>
      </c>
      <c r="G1270" s="10">
        <f t="shared" si="39"/>
        <v>-1.8798736022219556E-2</v>
      </c>
      <c r="K1270" s="13"/>
      <c r="L1270" s="13"/>
      <c r="M1270" s="13"/>
    </row>
    <row r="1271" spans="1:13" x14ac:dyDescent="0.3">
      <c r="A1271" s="7">
        <v>45341</v>
      </c>
      <c r="B1271" s="8">
        <v>3.95</v>
      </c>
      <c r="C1271" s="10">
        <f t="shared" si="38"/>
        <v>7.0460704607046135E-2</v>
      </c>
      <c r="E1271" s="7">
        <v>45341</v>
      </c>
      <c r="F1271" s="9">
        <v>60459.75</v>
      </c>
      <c r="G1271" s="10">
        <f t="shared" si="39"/>
        <v>9.8005844374489063E-3</v>
      </c>
      <c r="K1271" s="13"/>
      <c r="L1271" s="13"/>
      <c r="M1271" s="13"/>
    </row>
    <row r="1272" spans="1:13" x14ac:dyDescent="0.3">
      <c r="A1272" s="7">
        <v>45342</v>
      </c>
      <c r="B1272" s="8">
        <v>3.94</v>
      </c>
      <c r="C1272" s="10">
        <f t="shared" si="38"/>
        <v>-2.5316455696203113E-3</v>
      </c>
      <c r="E1272" s="7">
        <v>45342</v>
      </c>
      <c r="F1272" s="9">
        <v>60464.24</v>
      </c>
      <c r="G1272" s="10">
        <f t="shared" si="39"/>
        <v>7.4264283262798192E-5</v>
      </c>
      <c r="K1272" s="13"/>
      <c r="L1272" s="13"/>
      <c r="M1272" s="13"/>
    </row>
    <row r="1273" spans="1:13" x14ac:dyDescent="0.3">
      <c r="A1273" s="7">
        <v>45343</v>
      </c>
      <c r="B1273" s="8">
        <v>4.0199999999999996</v>
      </c>
      <c r="C1273" s="10">
        <f t="shared" si="38"/>
        <v>2.0304568527918686E-2</v>
      </c>
      <c r="E1273" s="7">
        <v>45343</v>
      </c>
      <c r="F1273" s="9">
        <v>61559.16</v>
      </c>
      <c r="G1273" s="10">
        <f t="shared" si="39"/>
        <v>1.8108554742439591E-2</v>
      </c>
      <c r="K1273" s="13"/>
      <c r="L1273" s="13"/>
      <c r="M1273" s="13"/>
    </row>
    <row r="1274" spans="1:13" x14ac:dyDescent="0.3">
      <c r="A1274" s="7">
        <v>45344</v>
      </c>
      <c r="B1274" s="8">
        <v>3.95</v>
      </c>
      <c r="C1274" s="10">
        <f t="shared" si="38"/>
        <v>-1.7412935323382936E-2</v>
      </c>
      <c r="E1274" s="7">
        <v>45344</v>
      </c>
      <c r="F1274" s="9">
        <v>61914.34</v>
      </c>
      <c r="G1274" s="10">
        <f t="shared" si="39"/>
        <v>5.769734349851314E-3</v>
      </c>
      <c r="K1274" s="13"/>
      <c r="L1274" s="13"/>
      <c r="M1274" s="13"/>
    </row>
    <row r="1275" spans="1:13" x14ac:dyDescent="0.3">
      <c r="A1275" s="7">
        <v>45345</v>
      </c>
      <c r="B1275" s="8">
        <v>3.97</v>
      </c>
      <c r="C1275" s="10">
        <f t="shared" si="38"/>
        <v>5.0632911392405108E-3</v>
      </c>
      <c r="E1275" s="7">
        <v>45345</v>
      </c>
      <c r="F1275" s="9">
        <v>62815.82</v>
      </c>
      <c r="G1275" s="10">
        <f t="shared" si="39"/>
        <v>1.4560116444752592E-2</v>
      </c>
      <c r="K1275" s="13"/>
      <c r="L1275" s="13"/>
      <c r="M1275" s="13"/>
    </row>
    <row r="1276" spans="1:13" x14ac:dyDescent="0.3">
      <c r="A1276" s="7">
        <v>45348</v>
      </c>
      <c r="B1276" s="8">
        <v>4.1500000000000004</v>
      </c>
      <c r="C1276" s="10">
        <f t="shared" si="38"/>
        <v>4.5340050377833792E-2</v>
      </c>
      <c r="E1276" s="7">
        <v>45348</v>
      </c>
      <c r="F1276" s="9">
        <v>63305.93</v>
      </c>
      <c r="G1276" s="10">
        <f t="shared" si="39"/>
        <v>7.8023338706714419E-3</v>
      </c>
      <c r="K1276" s="13"/>
      <c r="L1276" s="13"/>
      <c r="M1276" s="13"/>
    </row>
    <row r="1277" spans="1:13" x14ac:dyDescent="0.3">
      <c r="A1277" s="7">
        <v>45349</v>
      </c>
      <c r="B1277" s="8">
        <v>4.05</v>
      </c>
      <c r="C1277" s="10">
        <f t="shared" si="38"/>
        <v>-2.4096385542168801E-2</v>
      </c>
      <c r="E1277" s="7">
        <v>45349</v>
      </c>
      <c r="F1277" s="9">
        <v>63219.1</v>
      </c>
      <c r="G1277" s="10">
        <f t="shared" si="39"/>
        <v>-1.3715934668363887E-3</v>
      </c>
      <c r="K1277" s="13"/>
      <c r="L1277" s="13"/>
      <c r="M1277" s="13"/>
    </row>
    <row r="1278" spans="1:13" x14ac:dyDescent="0.3">
      <c r="A1278" s="7">
        <v>45350</v>
      </c>
      <c r="B1278" s="8">
        <v>4.3899999999999997</v>
      </c>
      <c r="C1278" s="10">
        <f t="shared" si="38"/>
        <v>8.395061728395059E-2</v>
      </c>
      <c r="E1278" s="7">
        <v>45350</v>
      </c>
      <c r="F1278" s="9">
        <v>63703.45</v>
      </c>
      <c r="G1278" s="10">
        <f t="shared" si="39"/>
        <v>7.6614504160925825E-3</v>
      </c>
      <c r="K1278" s="13"/>
      <c r="L1278" s="13"/>
      <c r="M1278" s="13"/>
    </row>
    <row r="1279" spans="1:13" x14ac:dyDescent="0.3">
      <c r="A1279" s="7">
        <v>45351</v>
      </c>
      <c r="B1279" s="8">
        <v>4.29</v>
      </c>
      <c r="C1279" s="10">
        <f t="shared" si="38"/>
        <v>-2.2779043280182154E-2</v>
      </c>
      <c r="E1279" s="7">
        <v>45351</v>
      </c>
      <c r="F1279" s="9">
        <v>64578.52</v>
      </c>
      <c r="G1279" s="10">
        <f t="shared" si="39"/>
        <v>1.3736618660370823E-2</v>
      </c>
      <c r="K1279" s="13"/>
      <c r="L1279" s="13"/>
      <c r="M1279" s="13"/>
    </row>
    <row r="1280" spans="1:13" x14ac:dyDescent="0.3">
      <c r="A1280" s="7">
        <v>45352</v>
      </c>
      <c r="B1280" s="8">
        <v>4.32</v>
      </c>
      <c r="C1280" s="10">
        <f t="shared" si="38"/>
        <v>6.9930069930070511E-3</v>
      </c>
      <c r="E1280" s="7">
        <v>45352</v>
      </c>
      <c r="F1280" s="9">
        <v>65325.69</v>
      </c>
      <c r="G1280" s="10">
        <f t="shared" si="39"/>
        <v>1.1569946167858997E-2</v>
      </c>
      <c r="K1280" s="13"/>
      <c r="L1280" s="13"/>
      <c r="M1280" s="13"/>
    </row>
    <row r="1281" spans="1:13" x14ac:dyDescent="0.3">
      <c r="A1281" s="7">
        <v>45355</v>
      </c>
      <c r="B1281" s="8">
        <v>4.3899999999999997</v>
      </c>
      <c r="C1281" s="10">
        <f t="shared" si="38"/>
        <v>1.6203703703703564E-2</v>
      </c>
      <c r="E1281" s="7">
        <v>45355</v>
      </c>
      <c r="F1281" s="9">
        <v>65951.73</v>
      </c>
      <c r="G1281" s="10">
        <f t="shared" si="39"/>
        <v>9.5833660539979531E-3</v>
      </c>
      <c r="K1281" s="13"/>
      <c r="L1281" s="13"/>
      <c r="M1281" s="13"/>
    </row>
    <row r="1282" spans="1:13" x14ac:dyDescent="0.3">
      <c r="A1282" s="7">
        <v>45356</v>
      </c>
      <c r="B1282" s="8">
        <v>4.59</v>
      </c>
      <c r="C1282" s="10">
        <f t="shared" si="38"/>
        <v>4.5558086560364509E-2</v>
      </c>
      <c r="E1282" s="7">
        <v>45356</v>
      </c>
      <c r="F1282" s="9">
        <v>65726.039999999994</v>
      </c>
      <c r="G1282" s="10">
        <f t="shared" si="39"/>
        <v>-3.4220482161726818E-3</v>
      </c>
      <c r="K1282" s="13"/>
      <c r="L1282" s="13"/>
      <c r="M1282" s="13"/>
    </row>
    <row r="1283" spans="1:13" x14ac:dyDescent="0.3">
      <c r="A1283" s="7">
        <v>45357</v>
      </c>
      <c r="B1283" s="8">
        <v>4.63</v>
      </c>
      <c r="C1283" s="10">
        <f t="shared" si="38"/>
        <v>8.7145969498910753E-3</v>
      </c>
      <c r="E1283" s="7">
        <v>45357</v>
      </c>
      <c r="F1283" s="9">
        <v>65656.62</v>
      </c>
      <c r="G1283" s="10">
        <f t="shared" si="39"/>
        <v>-1.05620238188697E-3</v>
      </c>
      <c r="K1283" s="13"/>
      <c r="L1283" s="13"/>
      <c r="M1283" s="13"/>
    </row>
    <row r="1284" spans="1:13" x14ac:dyDescent="0.3">
      <c r="A1284" s="7">
        <v>45358</v>
      </c>
      <c r="B1284" s="8">
        <v>4.58</v>
      </c>
      <c r="C1284" s="10">
        <f t="shared" si="38"/>
        <v>-1.0799136069114432E-2</v>
      </c>
      <c r="E1284" s="7">
        <v>45358</v>
      </c>
      <c r="F1284" s="9">
        <v>65603.09</v>
      </c>
      <c r="G1284" s="10">
        <f t="shared" si="39"/>
        <v>-8.1530240210353261E-4</v>
      </c>
      <c r="K1284" s="13"/>
      <c r="L1284" s="13"/>
      <c r="M1284" s="13"/>
    </row>
    <row r="1285" spans="1:13" x14ac:dyDescent="0.3">
      <c r="A1285" s="7">
        <v>45359</v>
      </c>
      <c r="B1285" s="8">
        <v>4.8899999999999997</v>
      </c>
      <c r="C1285" s="10">
        <f t="shared" ref="C1285:C1348" si="40">(B1285-B1284)/B1284</f>
        <v>6.7685589519650563E-2</v>
      </c>
      <c r="E1285" s="7">
        <v>45359</v>
      </c>
      <c r="F1285" s="9">
        <v>65793.759999999995</v>
      </c>
      <c r="G1285" s="10">
        <f t="shared" ref="G1285:G1348" si="41">(F1285-F1284)/F1284</f>
        <v>2.9064179751288888E-3</v>
      </c>
      <c r="K1285" s="13"/>
      <c r="L1285" s="13"/>
      <c r="M1285" s="13"/>
    </row>
    <row r="1286" spans="1:13" x14ac:dyDescent="0.3">
      <c r="A1286" s="7">
        <v>45362</v>
      </c>
      <c r="B1286" s="8">
        <v>5.1100000000000003</v>
      </c>
      <c r="C1286" s="10">
        <f t="shared" si="40"/>
        <v>4.4989775051124878E-2</v>
      </c>
      <c r="E1286" s="7">
        <v>45362</v>
      </c>
      <c r="F1286" s="9">
        <v>65755.31</v>
      </c>
      <c r="G1286" s="10">
        <f t="shared" si="41"/>
        <v>-5.8440192504573523E-4</v>
      </c>
      <c r="K1286" s="13"/>
      <c r="L1286" s="13"/>
      <c r="M1286" s="13"/>
    </row>
    <row r="1287" spans="1:13" x14ac:dyDescent="0.3">
      <c r="A1287" s="7">
        <v>45363</v>
      </c>
      <c r="B1287" s="8">
        <v>4.7699999999999996</v>
      </c>
      <c r="C1287" s="10">
        <f t="shared" si="40"/>
        <v>-6.6536203522505027E-2</v>
      </c>
      <c r="E1287" s="7">
        <v>45363</v>
      </c>
      <c r="F1287" s="9">
        <v>64801.7</v>
      </c>
      <c r="G1287" s="10">
        <f t="shared" si="41"/>
        <v>-1.4502402923809509E-2</v>
      </c>
      <c r="K1287" s="13"/>
      <c r="L1287" s="13"/>
      <c r="M1287" s="13"/>
    </row>
    <row r="1288" spans="1:13" x14ac:dyDescent="0.3">
      <c r="A1288" s="7">
        <v>45364</v>
      </c>
      <c r="B1288" s="8">
        <v>4.63</v>
      </c>
      <c r="C1288" s="10">
        <f t="shared" si="40"/>
        <v>-2.9350104821802871E-2</v>
      </c>
      <c r="E1288" s="7">
        <v>45364</v>
      </c>
      <c r="F1288" s="9">
        <v>64048.44</v>
      </c>
      <c r="G1288" s="10">
        <f t="shared" si="41"/>
        <v>-1.162407776339193E-2</v>
      </c>
      <c r="K1288" s="13"/>
      <c r="L1288" s="13"/>
      <c r="M1288" s="13"/>
    </row>
    <row r="1289" spans="1:13" x14ac:dyDescent="0.3">
      <c r="A1289" s="7">
        <v>45365</v>
      </c>
      <c r="B1289" s="8">
        <v>5.09</v>
      </c>
      <c r="C1289" s="10">
        <f t="shared" si="40"/>
        <v>9.935205183585312E-2</v>
      </c>
      <c r="E1289" s="7">
        <v>45365</v>
      </c>
      <c r="F1289" s="9">
        <v>65064.27</v>
      </c>
      <c r="G1289" s="10">
        <f t="shared" si="41"/>
        <v>1.5860339455574475E-2</v>
      </c>
      <c r="K1289" s="13"/>
      <c r="L1289" s="13"/>
      <c r="M1289" s="13"/>
    </row>
    <row r="1290" spans="1:13" x14ac:dyDescent="0.3">
      <c r="A1290" s="7">
        <v>45366</v>
      </c>
      <c r="B1290" s="8">
        <v>4.9400000000000004</v>
      </c>
      <c r="C1290" s="10">
        <f t="shared" si="40"/>
        <v>-2.9469548133595182E-2</v>
      </c>
      <c r="E1290" s="7">
        <v>45366</v>
      </c>
      <c r="F1290" s="9">
        <v>64816.47</v>
      </c>
      <c r="G1290" s="10">
        <f t="shared" si="41"/>
        <v>-3.8085419232398313E-3</v>
      </c>
      <c r="K1290" s="13"/>
      <c r="L1290" s="13"/>
      <c r="M1290" s="13"/>
    </row>
    <row r="1291" spans="1:13" x14ac:dyDescent="0.3">
      <c r="A1291" s="7">
        <v>45369</v>
      </c>
      <c r="B1291" s="8">
        <v>4.9800000000000004</v>
      </c>
      <c r="C1291" s="10">
        <f t="shared" si="40"/>
        <v>8.097165991902841E-3</v>
      </c>
      <c r="E1291" s="7">
        <v>45369</v>
      </c>
      <c r="F1291" s="9">
        <v>64890.51</v>
      </c>
      <c r="G1291" s="10">
        <f t="shared" si="41"/>
        <v>1.1423022574355078E-3</v>
      </c>
      <c r="K1291" s="13"/>
      <c r="L1291" s="13"/>
      <c r="M1291" s="13"/>
    </row>
    <row r="1292" spans="1:13" x14ac:dyDescent="0.3">
      <c r="A1292" s="7">
        <v>45370</v>
      </c>
      <c r="B1292" s="8">
        <v>4.87</v>
      </c>
      <c r="C1292" s="10">
        <f t="shared" si="40"/>
        <v>-2.2088353413654681E-2</v>
      </c>
      <c r="E1292" s="7">
        <v>45370</v>
      </c>
      <c r="F1292" s="9">
        <v>65502.6</v>
      </c>
      <c r="G1292" s="10">
        <f t="shared" si="41"/>
        <v>9.4326581806799866E-3</v>
      </c>
      <c r="K1292" s="13"/>
      <c r="L1292" s="13"/>
      <c r="M1292" s="13"/>
    </row>
    <row r="1293" spans="1:13" x14ac:dyDescent="0.3">
      <c r="A1293" s="7">
        <v>45371</v>
      </c>
      <c r="B1293" s="8">
        <v>4.79</v>
      </c>
      <c r="C1293" s="10">
        <f t="shared" si="40"/>
        <v>-1.6427104722792622E-2</v>
      </c>
      <c r="E1293" s="7">
        <v>45371</v>
      </c>
      <c r="F1293" s="9">
        <v>65731.789999999994</v>
      </c>
      <c r="G1293" s="10">
        <f t="shared" si="41"/>
        <v>3.4989450800425488E-3</v>
      </c>
      <c r="K1293" s="13"/>
      <c r="L1293" s="13"/>
      <c r="M1293" s="13"/>
    </row>
    <row r="1294" spans="1:13" x14ac:dyDescent="0.3">
      <c r="A1294" s="7">
        <v>45372</v>
      </c>
      <c r="B1294" s="8">
        <v>4.66</v>
      </c>
      <c r="C1294" s="10">
        <f t="shared" si="40"/>
        <v>-2.7139874739039643E-2</v>
      </c>
      <c r="E1294" s="7">
        <v>45372</v>
      </c>
      <c r="F1294" s="9">
        <v>65417.4</v>
      </c>
      <c r="G1294" s="10">
        <f t="shared" si="41"/>
        <v>-4.7829216274194297E-3</v>
      </c>
      <c r="K1294" s="13"/>
      <c r="L1294" s="13"/>
      <c r="M1294" s="13"/>
    </row>
    <row r="1295" spans="1:13" x14ac:dyDescent="0.3">
      <c r="A1295" s="7">
        <v>45373</v>
      </c>
      <c r="B1295" s="8">
        <v>4.5599999999999996</v>
      </c>
      <c r="C1295" s="10">
        <f t="shared" si="40"/>
        <v>-2.1459227467811273E-2</v>
      </c>
      <c r="E1295" s="7">
        <v>45373</v>
      </c>
      <c r="F1295" s="9">
        <v>65151.83</v>
      </c>
      <c r="G1295" s="10">
        <f t="shared" si="41"/>
        <v>-4.0596232806562127E-3</v>
      </c>
      <c r="K1295" s="13"/>
      <c r="L1295" s="13"/>
      <c r="M1295" s="13"/>
    </row>
    <row r="1296" spans="1:13" x14ac:dyDescent="0.3">
      <c r="A1296" s="7">
        <v>45376</v>
      </c>
      <c r="B1296" s="8">
        <v>4.54</v>
      </c>
      <c r="C1296" s="10">
        <f t="shared" si="40"/>
        <v>-4.3859649122806087E-3</v>
      </c>
      <c r="E1296" s="7">
        <v>45376</v>
      </c>
      <c r="F1296" s="9">
        <v>65525.65</v>
      </c>
      <c r="G1296" s="10">
        <f t="shared" si="41"/>
        <v>5.7376745979353105E-3</v>
      </c>
      <c r="K1296" s="13"/>
      <c r="L1296" s="13"/>
      <c r="M1296" s="13"/>
    </row>
    <row r="1297" spans="1:13" x14ac:dyDescent="0.3">
      <c r="A1297" s="7">
        <v>45377</v>
      </c>
      <c r="B1297" s="8">
        <v>4.5999999999999996</v>
      </c>
      <c r="C1297" s="10">
        <f t="shared" si="40"/>
        <v>1.3215859030836918E-2</v>
      </c>
      <c r="E1297" s="7">
        <v>45377</v>
      </c>
      <c r="F1297" s="9">
        <v>65906.28</v>
      </c>
      <c r="G1297" s="10">
        <f t="shared" si="41"/>
        <v>5.8088702668343982E-3</v>
      </c>
      <c r="K1297" s="13"/>
      <c r="L1297" s="13"/>
      <c r="M1297" s="13"/>
    </row>
    <row r="1298" spans="1:13" x14ac:dyDescent="0.3">
      <c r="A1298" s="7">
        <v>45378</v>
      </c>
      <c r="B1298" s="8">
        <v>4.5199999999999996</v>
      </c>
      <c r="C1298" s="10">
        <f t="shared" si="40"/>
        <v>-1.7391304347826105E-2</v>
      </c>
      <c r="E1298" s="7">
        <v>45378</v>
      </c>
      <c r="F1298" s="9">
        <v>66547.789999999994</v>
      </c>
      <c r="G1298" s="10">
        <f t="shared" si="41"/>
        <v>9.7336702966696765E-3</v>
      </c>
      <c r="K1298" s="13"/>
      <c r="L1298" s="13"/>
      <c r="M1298" s="13"/>
    </row>
    <row r="1299" spans="1:13" x14ac:dyDescent="0.3">
      <c r="A1299" s="7">
        <v>45379</v>
      </c>
      <c r="B1299" s="8">
        <v>4.5599999999999996</v>
      </c>
      <c r="C1299" s="10">
        <f t="shared" si="40"/>
        <v>8.8495575221239024E-3</v>
      </c>
      <c r="E1299" s="7">
        <v>45379</v>
      </c>
      <c r="F1299" s="9">
        <v>67142.12</v>
      </c>
      <c r="G1299" s="10">
        <f t="shared" si="41"/>
        <v>8.9308750899166119E-3</v>
      </c>
      <c r="K1299" s="13"/>
      <c r="L1299" s="13"/>
      <c r="M1299" s="13"/>
    </row>
    <row r="1300" spans="1:13" x14ac:dyDescent="0.3">
      <c r="A1300" s="7">
        <v>45380</v>
      </c>
      <c r="B1300" s="8">
        <v>4.42</v>
      </c>
      <c r="C1300" s="10">
        <f t="shared" si="40"/>
        <v>-3.0701754385964845E-2</v>
      </c>
      <c r="E1300" s="7">
        <v>45380</v>
      </c>
      <c r="F1300" s="9">
        <v>67005.11</v>
      </c>
      <c r="G1300" s="10">
        <f t="shared" si="41"/>
        <v>-2.0405968712336573E-3</v>
      </c>
      <c r="K1300" s="13"/>
      <c r="L1300" s="13"/>
      <c r="M1300" s="13"/>
    </row>
    <row r="1301" spans="1:13" x14ac:dyDescent="0.3">
      <c r="A1301" s="7">
        <v>45383</v>
      </c>
      <c r="B1301" s="8">
        <v>4.38</v>
      </c>
      <c r="C1301" s="10">
        <f t="shared" si="40"/>
        <v>-9.0497737556561163E-3</v>
      </c>
      <c r="E1301" s="7">
        <v>45383</v>
      </c>
      <c r="F1301" s="9">
        <v>66796.320000000007</v>
      </c>
      <c r="G1301" s="10">
        <f t="shared" si="41"/>
        <v>-3.1160310012175729E-3</v>
      </c>
      <c r="K1301" s="13"/>
      <c r="L1301" s="13"/>
      <c r="M1301" s="13"/>
    </row>
    <row r="1302" spans="1:13" x14ac:dyDescent="0.3">
      <c r="A1302" s="7">
        <v>45384</v>
      </c>
      <c r="B1302" s="8">
        <v>4.34</v>
      </c>
      <c r="C1302" s="10">
        <f t="shared" si="40"/>
        <v>-9.1324200913242091E-3</v>
      </c>
      <c r="E1302" s="7">
        <v>45384</v>
      </c>
      <c r="F1302" s="9">
        <v>66886.259999999995</v>
      </c>
      <c r="G1302" s="10">
        <f t="shared" si="41"/>
        <v>1.3464813630449666E-3</v>
      </c>
      <c r="K1302" s="13"/>
      <c r="L1302" s="13"/>
      <c r="M1302" s="13"/>
    </row>
    <row r="1303" spans="1:13" x14ac:dyDescent="0.3">
      <c r="A1303" s="7">
        <v>45385</v>
      </c>
      <c r="B1303" s="8">
        <v>4.26</v>
      </c>
      <c r="C1303" s="10">
        <f t="shared" si="40"/>
        <v>-1.8433179723502321E-2</v>
      </c>
      <c r="E1303" s="7">
        <v>45385</v>
      </c>
      <c r="F1303" s="9">
        <v>67756.039999999994</v>
      </c>
      <c r="G1303" s="10">
        <f t="shared" si="41"/>
        <v>1.3003866563925071E-2</v>
      </c>
      <c r="K1303" s="13"/>
      <c r="L1303" s="13"/>
      <c r="M1303" s="13"/>
    </row>
    <row r="1304" spans="1:13" x14ac:dyDescent="0.3">
      <c r="A1304" s="7">
        <v>45386</v>
      </c>
      <c r="B1304" s="8">
        <v>4.5999999999999996</v>
      </c>
      <c r="C1304" s="10">
        <f t="shared" si="40"/>
        <v>7.9812206572769925E-2</v>
      </c>
      <c r="E1304" s="7">
        <v>45386</v>
      </c>
      <c r="F1304" s="9">
        <v>68416.78</v>
      </c>
      <c r="G1304" s="10">
        <f t="shared" si="41"/>
        <v>9.7517505450437376E-3</v>
      </c>
      <c r="K1304" s="13"/>
      <c r="L1304" s="13"/>
      <c r="M1304" s="13"/>
    </row>
    <row r="1305" spans="1:13" x14ac:dyDescent="0.3">
      <c r="A1305" s="7">
        <v>45390</v>
      </c>
      <c r="B1305" s="8">
        <v>4.53</v>
      </c>
      <c r="C1305" s="10">
        <f t="shared" si="40"/>
        <v>-1.5217391304347697E-2</v>
      </c>
      <c r="E1305" s="7">
        <v>45390</v>
      </c>
      <c r="F1305" s="9">
        <v>69619.990000000005</v>
      </c>
      <c r="G1305" s="10">
        <f t="shared" si="41"/>
        <v>1.7586475130808646E-2</v>
      </c>
      <c r="K1305" s="13"/>
      <c r="L1305" s="13"/>
      <c r="M1305" s="13"/>
    </row>
    <row r="1306" spans="1:13" x14ac:dyDescent="0.3">
      <c r="A1306" s="7">
        <v>45391</v>
      </c>
      <c r="B1306" s="8">
        <v>4.66</v>
      </c>
      <c r="C1306" s="10">
        <f t="shared" si="40"/>
        <v>2.8697571743929336E-2</v>
      </c>
      <c r="E1306" s="7">
        <v>45391</v>
      </c>
      <c r="F1306" s="9">
        <v>70314.720000000001</v>
      </c>
      <c r="G1306" s="10">
        <f t="shared" si="41"/>
        <v>9.9788868111011769E-3</v>
      </c>
      <c r="K1306" s="13"/>
      <c r="L1306" s="13"/>
      <c r="M1306" s="13"/>
    </row>
    <row r="1307" spans="1:13" x14ac:dyDescent="0.3">
      <c r="A1307" s="7">
        <v>45397</v>
      </c>
      <c r="B1307" s="8">
        <v>4.74</v>
      </c>
      <c r="C1307" s="10">
        <f t="shared" si="40"/>
        <v>1.7167381974248941E-2</v>
      </c>
      <c r="E1307" s="7">
        <v>45397</v>
      </c>
      <c r="F1307" s="9">
        <v>70544.58</v>
      </c>
      <c r="G1307" s="10">
        <f t="shared" si="41"/>
        <v>3.2690167862433439E-3</v>
      </c>
      <c r="K1307" s="13"/>
      <c r="L1307" s="13"/>
      <c r="M1307" s="13"/>
    </row>
    <row r="1308" spans="1:13" x14ac:dyDescent="0.3">
      <c r="A1308" s="7">
        <v>45398</v>
      </c>
      <c r="B1308" s="8">
        <v>4.62</v>
      </c>
      <c r="C1308" s="10">
        <f t="shared" si="40"/>
        <v>-2.5316455696202552E-2</v>
      </c>
      <c r="E1308" s="7">
        <v>45398</v>
      </c>
      <c r="F1308" s="9">
        <v>70483.66</v>
      </c>
      <c r="G1308" s="10">
        <f t="shared" si="41"/>
        <v>-8.6356740659591783E-4</v>
      </c>
      <c r="K1308" s="13"/>
      <c r="L1308" s="13"/>
      <c r="M1308" s="13"/>
    </row>
    <row r="1309" spans="1:13" x14ac:dyDescent="0.3">
      <c r="A1309" s="7">
        <v>45399</v>
      </c>
      <c r="B1309" s="8">
        <v>4.63</v>
      </c>
      <c r="C1309" s="10">
        <f t="shared" si="40"/>
        <v>2.1645021645021181E-3</v>
      </c>
      <c r="E1309" s="7">
        <v>45399</v>
      </c>
      <c r="F1309" s="9">
        <v>70333.320000000007</v>
      </c>
      <c r="G1309" s="10">
        <f t="shared" si="41"/>
        <v>-2.1329766360032453E-3</v>
      </c>
      <c r="K1309" s="13"/>
      <c r="L1309" s="13"/>
      <c r="M1309" s="13"/>
    </row>
    <row r="1310" spans="1:13" x14ac:dyDescent="0.3">
      <c r="A1310" s="7">
        <v>45400</v>
      </c>
      <c r="B1310" s="8">
        <v>4.55</v>
      </c>
      <c r="C1310" s="10">
        <f t="shared" si="40"/>
        <v>-1.7278617710583168E-2</v>
      </c>
      <c r="E1310" s="7">
        <v>45400</v>
      </c>
      <c r="F1310" s="9">
        <v>70290.12</v>
      </c>
      <c r="G1310" s="10">
        <f t="shared" si="41"/>
        <v>-6.1421812591829362E-4</v>
      </c>
      <c r="K1310" s="13"/>
      <c r="L1310" s="13"/>
      <c r="M1310" s="13"/>
    </row>
    <row r="1311" spans="1:13" x14ac:dyDescent="0.3">
      <c r="A1311" s="7">
        <v>45401</v>
      </c>
      <c r="B1311" s="8">
        <v>4.47</v>
      </c>
      <c r="C1311" s="10">
        <f t="shared" si="40"/>
        <v>-1.75824175824176E-2</v>
      </c>
      <c r="E1311" s="7">
        <v>45401</v>
      </c>
      <c r="F1311" s="9">
        <v>70909.899999999994</v>
      </c>
      <c r="G1311" s="10">
        <f t="shared" si="41"/>
        <v>8.8174554261679864E-3</v>
      </c>
      <c r="K1311" s="13"/>
      <c r="L1311" s="13"/>
      <c r="M1311" s="13"/>
    </row>
    <row r="1312" spans="1:13" x14ac:dyDescent="0.3">
      <c r="A1312" s="7">
        <v>45404</v>
      </c>
      <c r="B1312" s="8">
        <v>4.3899999999999997</v>
      </c>
      <c r="C1312" s="10">
        <f t="shared" si="40"/>
        <v>-1.7897091722595095E-2</v>
      </c>
      <c r="E1312" s="7">
        <v>45404</v>
      </c>
      <c r="F1312" s="9">
        <v>71433.460000000006</v>
      </c>
      <c r="G1312" s="10">
        <f t="shared" si="41"/>
        <v>7.3834542144328545E-3</v>
      </c>
      <c r="K1312" s="13"/>
      <c r="L1312" s="13"/>
      <c r="M1312" s="13"/>
    </row>
    <row r="1313" spans="1:13" x14ac:dyDescent="0.3">
      <c r="A1313" s="7">
        <v>45405</v>
      </c>
      <c r="B1313" s="8">
        <v>4.3099999999999996</v>
      </c>
      <c r="C1313" s="10">
        <f t="shared" si="40"/>
        <v>-1.8223234624145802E-2</v>
      </c>
      <c r="E1313" s="7">
        <v>45405</v>
      </c>
      <c r="F1313" s="9">
        <v>71359.41</v>
      </c>
      <c r="G1313" s="10">
        <f t="shared" si="41"/>
        <v>-1.036629053107646E-3</v>
      </c>
      <c r="K1313" s="13"/>
      <c r="L1313" s="13"/>
      <c r="M1313" s="13"/>
    </row>
    <row r="1314" spans="1:13" x14ac:dyDescent="0.3">
      <c r="A1314" s="7">
        <v>45406</v>
      </c>
      <c r="B1314" s="8">
        <v>4.3</v>
      </c>
      <c r="C1314" s="10">
        <f t="shared" si="40"/>
        <v>-2.3201856148491388E-3</v>
      </c>
      <c r="E1314" s="7">
        <v>45406</v>
      </c>
      <c r="F1314" s="9">
        <v>72051.89</v>
      </c>
      <c r="G1314" s="10">
        <f t="shared" si="41"/>
        <v>9.7041161074621542E-3</v>
      </c>
      <c r="K1314" s="13"/>
      <c r="L1314" s="13"/>
      <c r="M1314" s="13"/>
    </row>
    <row r="1315" spans="1:13" x14ac:dyDescent="0.3">
      <c r="A1315" s="7">
        <v>45407</v>
      </c>
      <c r="B1315" s="8">
        <v>4.38</v>
      </c>
      <c r="C1315" s="10">
        <f t="shared" si="40"/>
        <v>1.8604651162790715E-2</v>
      </c>
      <c r="E1315" s="7">
        <v>45407</v>
      </c>
      <c r="F1315" s="9">
        <v>71971.399999999994</v>
      </c>
      <c r="G1315" s="10">
        <f t="shared" si="41"/>
        <v>-1.1171115705640093E-3</v>
      </c>
      <c r="K1315" s="13"/>
      <c r="L1315" s="13"/>
      <c r="M1315" s="13"/>
    </row>
    <row r="1316" spans="1:13" x14ac:dyDescent="0.3">
      <c r="A1316" s="7">
        <v>45408</v>
      </c>
      <c r="B1316" s="8">
        <v>4.54</v>
      </c>
      <c r="C1316" s="10">
        <f t="shared" si="40"/>
        <v>3.6529680365296836E-2</v>
      </c>
      <c r="E1316" s="7">
        <v>45408</v>
      </c>
      <c r="F1316" s="9">
        <v>72742.75</v>
      </c>
      <c r="G1316" s="10">
        <f t="shared" si="41"/>
        <v>1.0717451654407248E-2</v>
      </c>
      <c r="K1316" s="13"/>
      <c r="L1316" s="13"/>
      <c r="M1316" s="13"/>
    </row>
    <row r="1317" spans="1:13" x14ac:dyDescent="0.3">
      <c r="A1317" s="7">
        <v>45411</v>
      </c>
      <c r="B1317" s="8">
        <v>4.45</v>
      </c>
      <c r="C1317" s="10">
        <f t="shared" si="40"/>
        <v>-1.9823788546255477E-2</v>
      </c>
      <c r="E1317" s="7">
        <v>45411</v>
      </c>
      <c r="F1317" s="9">
        <v>71695.03</v>
      </c>
      <c r="G1317" s="10">
        <f t="shared" si="41"/>
        <v>-1.4403084843506758E-2</v>
      </c>
      <c r="K1317" s="13"/>
      <c r="L1317" s="13"/>
      <c r="M1317" s="13"/>
    </row>
    <row r="1318" spans="1:13" x14ac:dyDescent="0.3">
      <c r="A1318" s="7">
        <v>45412</v>
      </c>
      <c r="B1318" s="8">
        <v>4.33</v>
      </c>
      <c r="C1318" s="10">
        <f t="shared" si="40"/>
        <v>-2.6966292134831482E-2</v>
      </c>
      <c r="E1318" s="7">
        <v>45412</v>
      </c>
      <c r="F1318" s="9">
        <v>71102.55</v>
      </c>
      <c r="G1318" s="10">
        <f t="shared" si="41"/>
        <v>-8.2638922112173736E-3</v>
      </c>
      <c r="K1318" s="13"/>
      <c r="L1318" s="13"/>
      <c r="M1318" s="13"/>
    </row>
    <row r="1319" spans="1:13" x14ac:dyDescent="0.3">
      <c r="A1319" s="7">
        <v>45414</v>
      </c>
      <c r="B1319" s="8">
        <v>4.21</v>
      </c>
      <c r="C1319" s="10">
        <f t="shared" si="40"/>
        <v>-2.7713625866050834E-2</v>
      </c>
      <c r="E1319" s="7">
        <v>45414</v>
      </c>
      <c r="F1319" s="9">
        <v>70657.64</v>
      </c>
      <c r="G1319" s="10">
        <f t="shared" si="41"/>
        <v>-6.2573001952813713E-3</v>
      </c>
      <c r="K1319" s="13"/>
      <c r="L1319" s="13"/>
      <c r="M1319" s="13"/>
    </row>
    <row r="1320" spans="1:13" x14ac:dyDescent="0.3">
      <c r="A1320" s="7">
        <v>45415</v>
      </c>
      <c r="B1320" s="8">
        <v>4.3099999999999996</v>
      </c>
      <c r="C1320" s="10">
        <f t="shared" si="40"/>
        <v>2.3752969121140059E-2</v>
      </c>
      <c r="E1320" s="7">
        <v>45415</v>
      </c>
      <c r="F1320" s="9">
        <v>71902.09</v>
      </c>
      <c r="G1320" s="10">
        <f t="shared" si="41"/>
        <v>1.7612391243183288E-2</v>
      </c>
      <c r="K1320" s="13"/>
      <c r="L1320" s="13"/>
      <c r="M1320" s="13"/>
    </row>
    <row r="1321" spans="1:13" x14ac:dyDescent="0.3">
      <c r="A1321" s="7">
        <v>45418</v>
      </c>
      <c r="B1321" s="8">
        <v>4.33</v>
      </c>
      <c r="C1321" s="10">
        <f t="shared" si="40"/>
        <v>4.6403712296984832E-3</v>
      </c>
      <c r="E1321" s="7">
        <v>45418</v>
      </c>
      <c r="F1321" s="9">
        <v>72764.240000000005</v>
      </c>
      <c r="G1321" s="10">
        <f t="shared" si="41"/>
        <v>1.1990611121318015E-2</v>
      </c>
      <c r="K1321" s="13"/>
      <c r="L1321" s="13"/>
      <c r="M1321" s="13"/>
    </row>
    <row r="1322" spans="1:13" x14ac:dyDescent="0.3">
      <c r="A1322" s="7">
        <v>45419</v>
      </c>
      <c r="B1322" s="8">
        <v>4.4000000000000004</v>
      </c>
      <c r="C1322" s="10">
        <f t="shared" si="40"/>
        <v>1.6166281755196372E-2</v>
      </c>
      <c r="E1322" s="7">
        <v>45419</v>
      </c>
      <c r="F1322" s="9">
        <v>72761.2</v>
      </c>
      <c r="G1322" s="10">
        <f t="shared" si="41"/>
        <v>-4.177876385444483E-5</v>
      </c>
      <c r="K1322" s="13"/>
      <c r="L1322" s="13"/>
      <c r="M1322" s="13"/>
    </row>
    <row r="1323" spans="1:13" x14ac:dyDescent="0.3">
      <c r="A1323" s="7">
        <v>45420</v>
      </c>
      <c r="B1323" s="8">
        <v>4.33</v>
      </c>
      <c r="C1323" s="10">
        <f t="shared" si="40"/>
        <v>-1.5909090909090973E-2</v>
      </c>
      <c r="E1323" s="7">
        <v>45420</v>
      </c>
      <c r="F1323" s="9">
        <v>72601.820000000007</v>
      </c>
      <c r="G1323" s="10">
        <f t="shared" si="41"/>
        <v>-2.1904531536037081E-3</v>
      </c>
      <c r="K1323" s="13"/>
      <c r="L1323" s="13"/>
      <c r="M1323" s="13"/>
    </row>
    <row r="1324" spans="1:13" x14ac:dyDescent="0.3">
      <c r="A1324" s="7">
        <v>45421</v>
      </c>
      <c r="B1324" s="8">
        <v>4.32</v>
      </c>
      <c r="C1324" s="10">
        <f t="shared" si="40"/>
        <v>-2.3094688221708512E-3</v>
      </c>
      <c r="E1324" s="7">
        <v>45421</v>
      </c>
      <c r="F1324" s="9">
        <v>72658.05</v>
      </c>
      <c r="G1324" s="10">
        <f t="shared" si="41"/>
        <v>7.744984905336522E-4</v>
      </c>
      <c r="K1324" s="13"/>
      <c r="L1324" s="13"/>
      <c r="M1324" s="13"/>
    </row>
    <row r="1325" spans="1:13" x14ac:dyDescent="0.3">
      <c r="A1325" s="7">
        <v>45422</v>
      </c>
      <c r="B1325" s="8">
        <v>4.37</v>
      </c>
      <c r="C1325" s="10">
        <f t="shared" si="40"/>
        <v>1.1574074074074032E-2</v>
      </c>
      <c r="E1325" s="7">
        <v>45422</v>
      </c>
      <c r="F1325" s="9">
        <v>73085.5</v>
      </c>
      <c r="G1325" s="10">
        <f t="shared" si="41"/>
        <v>5.8830370482004001E-3</v>
      </c>
      <c r="K1325" s="13"/>
      <c r="L1325" s="13"/>
      <c r="M1325" s="13"/>
    </row>
    <row r="1326" spans="1:13" x14ac:dyDescent="0.3">
      <c r="A1326" s="7">
        <v>45425</v>
      </c>
      <c r="B1326" s="8">
        <v>4.74</v>
      </c>
      <c r="C1326" s="10">
        <f t="shared" si="40"/>
        <v>8.4668192219679653E-2</v>
      </c>
      <c r="E1326" s="7">
        <v>45425</v>
      </c>
      <c r="F1326" s="9">
        <v>73799.11</v>
      </c>
      <c r="G1326" s="10">
        <f t="shared" si="41"/>
        <v>9.764043483317492E-3</v>
      </c>
      <c r="K1326" s="13"/>
      <c r="L1326" s="13"/>
      <c r="M1326" s="13"/>
    </row>
    <row r="1327" spans="1:13" x14ac:dyDescent="0.3">
      <c r="A1327" s="7">
        <v>45426</v>
      </c>
      <c r="B1327" s="8">
        <v>4.63</v>
      </c>
      <c r="C1327" s="10">
        <f t="shared" si="40"/>
        <v>-2.3206751054852388E-2</v>
      </c>
      <c r="E1327" s="7">
        <v>45426</v>
      </c>
      <c r="F1327" s="9">
        <v>74531.19</v>
      </c>
      <c r="G1327" s="10">
        <f t="shared" si="41"/>
        <v>9.9199028280964607E-3</v>
      </c>
      <c r="K1327" s="13"/>
      <c r="L1327" s="13"/>
      <c r="M1327" s="13"/>
    </row>
    <row r="1328" spans="1:13" x14ac:dyDescent="0.3">
      <c r="A1328" s="7">
        <v>45427</v>
      </c>
      <c r="B1328" s="8">
        <v>4.4800000000000004</v>
      </c>
      <c r="C1328" s="10">
        <f t="shared" si="40"/>
        <v>-3.2397408207343298E-2</v>
      </c>
      <c r="E1328" s="7">
        <v>45427</v>
      </c>
      <c r="F1328" s="9">
        <v>74663.98</v>
      </c>
      <c r="G1328" s="10">
        <f t="shared" si="41"/>
        <v>1.7816701974031756E-3</v>
      </c>
      <c r="K1328" s="13"/>
      <c r="L1328" s="13"/>
      <c r="M1328" s="13"/>
    </row>
    <row r="1329" spans="1:13" x14ac:dyDescent="0.3">
      <c r="A1329" s="7">
        <v>45428</v>
      </c>
      <c r="B1329" s="8">
        <v>4.42</v>
      </c>
      <c r="C1329" s="10">
        <f t="shared" si="40"/>
        <v>-1.3392857142857253E-2</v>
      </c>
      <c r="E1329" s="7">
        <v>45428</v>
      </c>
      <c r="F1329" s="9">
        <v>74930.7</v>
      </c>
      <c r="G1329" s="10">
        <f t="shared" si="41"/>
        <v>3.5722713951225368E-3</v>
      </c>
      <c r="K1329" s="13"/>
      <c r="L1329" s="13"/>
      <c r="M1329" s="13"/>
    </row>
    <row r="1330" spans="1:13" x14ac:dyDescent="0.3">
      <c r="A1330" s="7">
        <v>45429</v>
      </c>
      <c r="B1330" s="8">
        <v>4.5599999999999996</v>
      </c>
      <c r="C1330" s="10">
        <f t="shared" si="40"/>
        <v>3.1674208144796309E-2</v>
      </c>
      <c r="E1330" s="7">
        <v>45429</v>
      </c>
      <c r="F1330" s="9">
        <v>75342.350000000006</v>
      </c>
      <c r="G1330" s="10">
        <f t="shared" si="41"/>
        <v>5.4937428850926088E-3</v>
      </c>
      <c r="K1330" s="13"/>
      <c r="L1330" s="13"/>
      <c r="M1330" s="13"/>
    </row>
    <row r="1331" spans="1:13" x14ac:dyDescent="0.3">
      <c r="A1331" s="7">
        <v>45432</v>
      </c>
      <c r="B1331" s="8">
        <v>4.46</v>
      </c>
      <c r="C1331" s="10">
        <f t="shared" si="40"/>
        <v>-2.1929824561403431E-2</v>
      </c>
      <c r="E1331" s="7">
        <v>45432</v>
      </c>
      <c r="F1331" s="9">
        <v>75084</v>
      </c>
      <c r="G1331" s="10">
        <f t="shared" si="41"/>
        <v>-3.429014359122138E-3</v>
      </c>
      <c r="K1331" s="13"/>
      <c r="L1331" s="13"/>
      <c r="M1331" s="13"/>
    </row>
    <row r="1332" spans="1:13" x14ac:dyDescent="0.3">
      <c r="A1332" s="7">
        <v>45433</v>
      </c>
      <c r="B1332" s="8">
        <v>4.43</v>
      </c>
      <c r="C1332" s="10">
        <f t="shared" si="40"/>
        <v>-6.7264573991031949E-3</v>
      </c>
      <c r="E1332" s="7">
        <v>45433</v>
      </c>
      <c r="F1332" s="9">
        <v>75206.77</v>
      </c>
      <c r="G1332" s="10">
        <f t="shared" si="41"/>
        <v>1.635102019072027E-3</v>
      </c>
      <c r="K1332" s="13"/>
      <c r="L1332" s="13"/>
      <c r="M1332" s="13"/>
    </row>
    <row r="1333" spans="1:13" x14ac:dyDescent="0.3">
      <c r="A1333" s="7">
        <v>45434</v>
      </c>
      <c r="B1333" s="8">
        <v>4.38</v>
      </c>
      <c r="C1333" s="10">
        <f t="shared" si="40"/>
        <v>-1.1286681715575581E-2</v>
      </c>
      <c r="E1333" s="7">
        <v>45434</v>
      </c>
      <c r="F1333" s="9">
        <v>74956.67</v>
      </c>
      <c r="G1333" s="10">
        <f t="shared" si="41"/>
        <v>-3.3254984890323811E-3</v>
      </c>
      <c r="K1333" s="13"/>
      <c r="L1333" s="13"/>
      <c r="M1333" s="13"/>
    </row>
    <row r="1334" spans="1:13" x14ac:dyDescent="0.3">
      <c r="A1334" s="7">
        <v>45435</v>
      </c>
      <c r="B1334" s="8">
        <v>4.47</v>
      </c>
      <c r="C1334" s="10">
        <f t="shared" si="40"/>
        <v>2.054794520547942E-2</v>
      </c>
      <c r="E1334" s="7">
        <v>45435</v>
      </c>
      <c r="F1334" s="9">
        <v>75114.47</v>
      </c>
      <c r="G1334" s="10">
        <f t="shared" si="41"/>
        <v>2.1052162536036208E-3</v>
      </c>
      <c r="K1334" s="13"/>
      <c r="L1334" s="13"/>
      <c r="M1334" s="13"/>
    </row>
    <row r="1335" spans="1:13" x14ac:dyDescent="0.3">
      <c r="A1335" s="7">
        <v>45436</v>
      </c>
      <c r="B1335" s="8">
        <v>4.51</v>
      </c>
      <c r="C1335" s="10">
        <f t="shared" si="40"/>
        <v>8.9485458612975476E-3</v>
      </c>
      <c r="E1335" s="7">
        <v>45436</v>
      </c>
      <c r="F1335" s="9">
        <v>75983.039999999994</v>
      </c>
      <c r="G1335" s="10">
        <f t="shared" si="41"/>
        <v>1.1563284677372981E-2</v>
      </c>
      <c r="K1335" s="13"/>
      <c r="L1335" s="13"/>
      <c r="M1335" s="13"/>
    </row>
    <row r="1336" spans="1:13" x14ac:dyDescent="0.3">
      <c r="A1336" s="7">
        <v>45439</v>
      </c>
      <c r="B1336" s="8">
        <v>4.5199999999999996</v>
      </c>
      <c r="C1336" s="10">
        <f t="shared" si="40"/>
        <v>2.2172949002216822E-3</v>
      </c>
      <c r="E1336" s="7">
        <v>45439</v>
      </c>
      <c r="F1336" s="9">
        <v>75517.490000000005</v>
      </c>
      <c r="G1336" s="10">
        <f t="shared" si="41"/>
        <v>-6.1270251887788167E-3</v>
      </c>
      <c r="K1336" s="13"/>
      <c r="L1336" s="13"/>
      <c r="M1336" s="13"/>
    </row>
    <row r="1337" spans="1:13" x14ac:dyDescent="0.3">
      <c r="A1337" s="7">
        <v>45441</v>
      </c>
      <c r="B1337" s="8">
        <v>4.38</v>
      </c>
      <c r="C1337" s="10">
        <f t="shared" si="40"/>
        <v>-3.0973451327433562E-2</v>
      </c>
      <c r="E1337" s="7">
        <v>45441</v>
      </c>
      <c r="F1337" s="9">
        <v>74836.3</v>
      </c>
      <c r="G1337" s="10">
        <f t="shared" si="41"/>
        <v>-9.0202945039619606E-3</v>
      </c>
      <c r="K1337" s="13"/>
      <c r="L1337" s="13"/>
      <c r="M1337" s="13"/>
    </row>
    <row r="1338" spans="1:13" x14ac:dyDescent="0.3">
      <c r="A1338" s="7">
        <v>45442</v>
      </c>
      <c r="B1338" s="8">
        <v>4.33</v>
      </c>
      <c r="C1338" s="10">
        <f t="shared" si="40"/>
        <v>-1.1415525114155211E-2</v>
      </c>
      <c r="E1338" s="7">
        <v>45442</v>
      </c>
      <c r="F1338" s="9">
        <v>74878.12</v>
      </c>
      <c r="G1338" s="10">
        <f t="shared" si="41"/>
        <v>5.5881971716924045E-4</v>
      </c>
      <c r="K1338" s="13"/>
      <c r="L1338" s="13"/>
      <c r="M1338" s="13"/>
    </row>
    <row r="1339" spans="1:13" x14ac:dyDescent="0.3">
      <c r="A1339" s="7">
        <v>45443</v>
      </c>
      <c r="B1339" s="8">
        <v>4.32</v>
      </c>
      <c r="C1339" s="10">
        <f t="shared" si="40"/>
        <v>-2.3094688221708512E-3</v>
      </c>
      <c r="E1339" s="7">
        <v>45443</v>
      </c>
      <c r="F1339" s="9">
        <v>75878.48</v>
      </c>
      <c r="G1339" s="10">
        <f t="shared" si="41"/>
        <v>1.3359843970441574E-2</v>
      </c>
      <c r="K1339" s="13"/>
      <c r="L1339" s="13"/>
      <c r="M1339" s="13"/>
    </row>
    <row r="1340" spans="1:13" x14ac:dyDescent="0.3">
      <c r="A1340" s="7">
        <v>45446</v>
      </c>
      <c r="B1340" s="8">
        <v>4.3499999999999996</v>
      </c>
      <c r="C1340" s="10">
        <f t="shared" si="40"/>
        <v>6.9444444444442957E-3</v>
      </c>
      <c r="E1340" s="7">
        <v>45446</v>
      </c>
      <c r="F1340" s="9">
        <v>75575.259999999995</v>
      </c>
      <c r="G1340" s="10">
        <f t="shared" si="41"/>
        <v>-3.996126437957128E-3</v>
      </c>
      <c r="K1340" s="13"/>
      <c r="L1340" s="13"/>
      <c r="M1340" s="13"/>
    </row>
    <row r="1341" spans="1:13" x14ac:dyDescent="0.3">
      <c r="A1341" s="7">
        <v>45447</v>
      </c>
      <c r="B1341" s="8">
        <v>4.29</v>
      </c>
      <c r="C1341" s="10">
        <f t="shared" si="40"/>
        <v>-1.3793103448275773E-2</v>
      </c>
      <c r="E1341" s="7">
        <v>45447</v>
      </c>
      <c r="F1341" s="9">
        <v>74666.66</v>
      </c>
      <c r="G1341" s="10">
        <f t="shared" si="41"/>
        <v>-1.2022452850310953E-2</v>
      </c>
      <c r="K1341" s="13"/>
      <c r="L1341" s="13"/>
      <c r="M1341" s="13"/>
    </row>
    <row r="1342" spans="1:13" x14ac:dyDescent="0.3">
      <c r="A1342" s="7">
        <v>45448</v>
      </c>
      <c r="B1342" s="8">
        <v>4.22</v>
      </c>
      <c r="C1342" s="10">
        <f t="shared" si="40"/>
        <v>-1.6317016317016382E-2</v>
      </c>
      <c r="E1342" s="7">
        <v>45448</v>
      </c>
      <c r="F1342" s="9">
        <v>74219.44</v>
      </c>
      <c r="G1342" s="10">
        <f t="shared" si="41"/>
        <v>-5.9895541062102032E-3</v>
      </c>
      <c r="K1342" s="13"/>
      <c r="L1342" s="13"/>
      <c r="M1342" s="13"/>
    </row>
    <row r="1343" spans="1:13" x14ac:dyDescent="0.3">
      <c r="A1343" s="7">
        <v>45449</v>
      </c>
      <c r="B1343" s="8">
        <v>4.17</v>
      </c>
      <c r="C1343" s="10">
        <f t="shared" si="40"/>
        <v>-1.1848341232227447E-2</v>
      </c>
      <c r="E1343" s="7">
        <v>45449</v>
      </c>
      <c r="F1343" s="9">
        <v>73862.929999999993</v>
      </c>
      <c r="G1343" s="10">
        <f t="shared" si="41"/>
        <v>-4.8034585008996204E-3</v>
      </c>
      <c r="K1343" s="13"/>
      <c r="L1343" s="13"/>
      <c r="M1343" s="13"/>
    </row>
    <row r="1344" spans="1:13" x14ac:dyDescent="0.3">
      <c r="A1344" s="7">
        <v>45450</v>
      </c>
      <c r="B1344" s="8">
        <v>4.13</v>
      </c>
      <c r="C1344" s="10">
        <f t="shared" si="40"/>
        <v>-9.592326139088737E-3</v>
      </c>
      <c r="E1344" s="7">
        <v>45450</v>
      </c>
      <c r="F1344" s="9">
        <v>73754.02</v>
      </c>
      <c r="G1344" s="10">
        <f t="shared" si="41"/>
        <v>-1.4744879467953539E-3</v>
      </c>
      <c r="K1344" s="13"/>
      <c r="L1344" s="13"/>
      <c r="M1344" s="13"/>
    </row>
    <row r="1345" spans="1:13" x14ac:dyDescent="0.3">
      <c r="A1345" s="7">
        <v>45453</v>
      </c>
      <c r="B1345" s="8">
        <v>4.09</v>
      </c>
      <c r="C1345" s="10">
        <f t="shared" si="40"/>
        <v>-9.6852300242130842E-3</v>
      </c>
      <c r="E1345" s="7">
        <v>45453</v>
      </c>
      <c r="F1345" s="9">
        <v>73252.56</v>
      </c>
      <c r="G1345" s="10">
        <f t="shared" si="41"/>
        <v>-6.7990870192567998E-3</v>
      </c>
      <c r="K1345" s="13"/>
      <c r="L1345" s="13"/>
      <c r="M1345" s="13"/>
    </row>
    <row r="1346" spans="1:13" x14ac:dyDescent="0.3">
      <c r="A1346" s="7">
        <v>45454</v>
      </c>
      <c r="B1346" s="8">
        <v>3.98</v>
      </c>
      <c r="C1346" s="10">
        <f t="shared" si="40"/>
        <v>-2.6894865525672343E-2</v>
      </c>
      <c r="E1346" s="7">
        <v>45454</v>
      </c>
      <c r="F1346" s="9">
        <v>72589.490000000005</v>
      </c>
      <c r="G1346" s="10">
        <f t="shared" si="41"/>
        <v>-9.0518338198691279E-3</v>
      </c>
      <c r="K1346" s="13"/>
      <c r="L1346" s="13"/>
      <c r="M1346" s="13"/>
    </row>
    <row r="1347" spans="1:13" x14ac:dyDescent="0.3">
      <c r="A1347" s="7">
        <v>45455</v>
      </c>
      <c r="B1347" s="8">
        <v>4</v>
      </c>
      <c r="C1347" s="10">
        <f t="shared" si="40"/>
        <v>5.0251256281407079E-3</v>
      </c>
      <c r="E1347" s="7">
        <v>45455</v>
      </c>
      <c r="F1347" s="9">
        <v>72797.429999999993</v>
      </c>
      <c r="G1347" s="10">
        <f t="shared" si="41"/>
        <v>2.8646020243424737E-3</v>
      </c>
      <c r="K1347" s="13"/>
      <c r="L1347" s="13"/>
      <c r="M1347" s="13"/>
    </row>
    <row r="1348" spans="1:13" x14ac:dyDescent="0.3">
      <c r="A1348" s="7">
        <v>45456</v>
      </c>
      <c r="B1348" s="8">
        <v>4.16</v>
      </c>
      <c r="C1348" s="10">
        <f t="shared" si="40"/>
        <v>4.0000000000000036E-2</v>
      </c>
      <c r="E1348" s="7">
        <v>45456</v>
      </c>
      <c r="F1348" s="9">
        <v>76208.160000000003</v>
      </c>
      <c r="G1348" s="10">
        <f t="shared" si="41"/>
        <v>4.6852340803789513E-2</v>
      </c>
      <c r="K1348" s="13"/>
      <c r="L1348" s="13"/>
      <c r="M1348" s="13"/>
    </row>
    <row r="1349" spans="1:13" x14ac:dyDescent="0.3">
      <c r="A1349" s="7">
        <v>45457</v>
      </c>
      <c r="B1349" s="8">
        <v>4.0999999999999996</v>
      </c>
      <c r="C1349" s="10">
        <f t="shared" ref="C1349:C1412" si="42">(B1349-B1348)/B1348</f>
        <v>-1.4423076923077042E-2</v>
      </c>
      <c r="E1349" s="7">
        <v>45457</v>
      </c>
      <c r="F1349" s="9">
        <v>76706.77</v>
      </c>
      <c r="G1349" s="10">
        <f t="shared" ref="G1349:G1412" si="43">(F1349-F1348)/F1348</f>
        <v>6.5427376805843439E-3</v>
      </c>
      <c r="K1349" s="13"/>
      <c r="L1349" s="13"/>
      <c r="M1349" s="13"/>
    </row>
    <row r="1350" spans="1:13" x14ac:dyDescent="0.3">
      <c r="A1350" s="7">
        <v>45463</v>
      </c>
      <c r="B1350" s="8">
        <v>4.0999999999999996</v>
      </c>
      <c r="C1350" s="10">
        <f t="shared" si="42"/>
        <v>0</v>
      </c>
      <c r="E1350" s="7">
        <v>45463</v>
      </c>
      <c r="F1350" s="9">
        <v>78801.53</v>
      </c>
      <c r="G1350" s="10">
        <f t="shared" si="43"/>
        <v>2.7308671711766701E-2</v>
      </c>
      <c r="K1350" s="13"/>
      <c r="L1350" s="13"/>
      <c r="M1350" s="13"/>
    </row>
    <row r="1351" spans="1:13" x14ac:dyDescent="0.3">
      <c r="A1351" s="7">
        <v>45464</v>
      </c>
      <c r="B1351" s="8">
        <v>4.09</v>
      </c>
      <c r="C1351" s="10">
        <f t="shared" si="42"/>
        <v>-2.4390243902438508E-3</v>
      </c>
      <c r="E1351" s="7">
        <v>45464</v>
      </c>
      <c r="F1351" s="9">
        <v>78810.490000000005</v>
      </c>
      <c r="G1351" s="10">
        <f t="shared" si="43"/>
        <v>1.1370337606397239E-4</v>
      </c>
      <c r="K1351" s="13"/>
      <c r="L1351" s="13"/>
      <c r="M1351" s="13"/>
    </row>
    <row r="1352" spans="1:13" x14ac:dyDescent="0.3">
      <c r="A1352" s="7">
        <v>45467</v>
      </c>
      <c r="B1352" s="8">
        <v>4.03</v>
      </c>
      <c r="C1352" s="10">
        <f t="shared" si="42"/>
        <v>-1.4669926650366653E-2</v>
      </c>
      <c r="E1352" s="7">
        <v>45467</v>
      </c>
      <c r="F1352" s="9">
        <v>78232.100000000006</v>
      </c>
      <c r="G1352" s="10">
        <f t="shared" si="43"/>
        <v>-7.3389976385123271E-3</v>
      </c>
      <c r="K1352" s="13"/>
      <c r="L1352" s="13"/>
      <c r="M1352" s="13"/>
    </row>
    <row r="1353" spans="1:13" x14ac:dyDescent="0.3">
      <c r="A1353" s="7">
        <v>45468</v>
      </c>
      <c r="B1353" s="8">
        <v>3.96</v>
      </c>
      <c r="C1353" s="10">
        <f t="shared" si="42"/>
        <v>-1.7369727047146472E-2</v>
      </c>
      <c r="E1353" s="7">
        <v>45468</v>
      </c>
      <c r="F1353" s="9">
        <v>77940.58</v>
      </c>
      <c r="G1353" s="10">
        <f t="shared" si="43"/>
        <v>-3.7263476245684834E-3</v>
      </c>
      <c r="K1353" s="13"/>
      <c r="L1353" s="13"/>
      <c r="M1353" s="13"/>
    </row>
    <row r="1354" spans="1:13" x14ac:dyDescent="0.3">
      <c r="A1354" s="7">
        <v>45469</v>
      </c>
      <c r="B1354" s="8">
        <v>3.89</v>
      </c>
      <c r="C1354" s="10">
        <f t="shared" si="42"/>
        <v>-1.7676767676767638E-2</v>
      </c>
      <c r="E1354" s="7">
        <v>45469</v>
      </c>
      <c r="F1354" s="9">
        <v>78275.649999999994</v>
      </c>
      <c r="G1354" s="10">
        <f t="shared" si="43"/>
        <v>4.2990442206100139E-3</v>
      </c>
      <c r="K1354" s="13"/>
      <c r="L1354" s="13"/>
      <c r="M1354" s="13"/>
    </row>
    <row r="1355" spans="1:13" x14ac:dyDescent="0.3">
      <c r="A1355" s="7">
        <v>45470</v>
      </c>
      <c r="B1355" s="8">
        <v>3.9</v>
      </c>
      <c r="C1355" s="10">
        <f t="shared" si="42"/>
        <v>2.5706940874035441E-3</v>
      </c>
      <c r="E1355" s="7">
        <v>45470</v>
      </c>
      <c r="F1355" s="9">
        <v>78528.25</v>
      </c>
      <c r="G1355" s="10">
        <f t="shared" si="43"/>
        <v>3.2270572010581304E-3</v>
      </c>
      <c r="K1355" s="13"/>
      <c r="L1355" s="13"/>
      <c r="M1355" s="13"/>
    </row>
    <row r="1356" spans="1:13" x14ac:dyDescent="0.3">
      <c r="A1356" s="7">
        <v>45471</v>
      </c>
      <c r="B1356" s="8">
        <v>3.85</v>
      </c>
      <c r="C1356" s="10">
        <f t="shared" si="42"/>
        <v>-1.2820512820512775E-2</v>
      </c>
      <c r="E1356" s="7">
        <v>45471</v>
      </c>
      <c r="F1356" s="9">
        <v>78444.960000000006</v>
      </c>
      <c r="G1356" s="10">
        <f t="shared" si="43"/>
        <v>-1.0606374139242069E-3</v>
      </c>
      <c r="K1356" s="13"/>
      <c r="L1356" s="13"/>
      <c r="M1356" s="13"/>
    </row>
    <row r="1357" spans="1:13" x14ac:dyDescent="0.3">
      <c r="A1357" s="7">
        <v>45474</v>
      </c>
      <c r="B1357" s="8">
        <v>3.77</v>
      </c>
      <c r="C1357" s="10">
        <f t="shared" si="42"/>
        <v>-2.0779220779220797E-2</v>
      </c>
      <c r="E1357" s="7">
        <v>45474</v>
      </c>
      <c r="F1357" s="9">
        <v>78824.33</v>
      </c>
      <c r="G1357" s="10">
        <f t="shared" si="43"/>
        <v>4.8361296888926363E-3</v>
      </c>
      <c r="K1357" s="13"/>
      <c r="L1357" s="13"/>
      <c r="M1357" s="13"/>
    </row>
    <row r="1358" spans="1:13" x14ac:dyDescent="0.3">
      <c r="A1358" s="7">
        <v>45475</v>
      </c>
      <c r="B1358" s="8">
        <v>3.86</v>
      </c>
      <c r="C1358" s="10">
        <f t="shared" si="42"/>
        <v>2.3872679045092802E-2</v>
      </c>
      <c r="E1358" s="7">
        <v>45475</v>
      </c>
      <c r="F1358" s="9">
        <v>79552.89</v>
      </c>
      <c r="G1358" s="10">
        <f t="shared" si="43"/>
        <v>9.2428314963158929E-3</v>
      </c>
      <c r="K1358" s="13"/>
      <c r="L1358" s="13"/>
      <c r="M1358" s="13"/>
    </row>
    <row r="1359" spans="1:13" x14ac:dyDescent="0.3">
      <c r="A1359" s="7">
        <v>45476</v>
      </c>
      <c r="B1359" s="8">
        <v>3.95</v>
      </c>
      <c r="C1359" s="10">
        <f t="shared" si="42"/>
        <v>2.3316062176165882E-2</v>
      </c>
      <c r="E1359" s="7">
        <v>45476</v>
      </c>
      <c r="F1359" s="9">
        <v>80233.67</v>
      </c>
      <c r="G1359" s="10">
        <f t="shared" si="43"/>
        <v>8.5575772294381614E-3</v>
      </c>
      <c r="K1359" s="13"/>
      <c r="L1359" s="13"/>
      <c r="M1359" s="13"/>
    </row>
    <row r="1360" spans="1:13" x14ac:dyDescent="0.3">
      <c r="A1360" s="7">
        <v>45477</v>
      </c>
      <c r="B1360" s="8">
        <v>3.98</v>
      </c>
      <c r="C1360" s="10">
        <f t="shared" si="42"/>
        <v>7.5949367088607098E-3</v>
      </c>
      <c r="E1360" s="7">
        <v>45477</v>
      </c>
      <c r="F1360" s="9">
        <v>80282.8</v>
      </c>
      <c r="G1360" s="10">
        <f t="shared" si="43"/>
        <v>6.123364417956284E-4</v>
      </c>
      <c r="K1360" s="13"/>
      <c r="L1360" s="13"/>
      <c r="M1360" s="13"/>
    </row>
    <row r="1361" spans="1:13" x14ac:dyDescent="0.3">
      <c r="A1361" s="7">
        <v>45478</v>
      </c>
      <c r="B1361" s="8">
        <v>3.94</v>
      </c>
      <c r="C1361" s="10">
        <f t="shared" si="42"/>
        <v>-1.0050251256281416E-2</v>
      </c>
      <c r="E1361" s="7">
        <v>45478</v>
      </c>
      <c r="F1361" s="9">
        <v>80212.789999999994</v>
      </c>
      <c r="G1361" s="10">
        <f t="shared" si="43"/>
        <v>-8.7204233036228566E-4</v>
      </c>
      <c r="K1361" s="13"/>
      <c r="L1361" s="13"/>
      <c r="M1361" s="13"/>
    </row>
    <row r="1362" spans="1:13" x14ac:dyDescent="0.3">
      <c r="A1362" s="7">
        <v>45481</v>
      </c>
      <c r="B1362" s="8">
        <v>4.1100000000000003</v>
      </c>
      <c r="C1362" s="10">
        <f t="shared" si="42"/>
        <v>4.3147208121827506E-2</v>
      </c>
      <c r="E1362" s="7">
        <v>45481</v>
      </c>
      <c r="F1362" s="9">
        <v>80566.210000000006</v>
      </c>
      <c r="G1362" s="10">
        <f t="shared" si="43"/>
        <v>4.4060305095984425E-3</v>
      </c>
      <c r="K1362" s="13"/>
      <c r="L1362" s="13"/>
      <c r="M1362" s="13"/>
    </row>
    <row r="1363" spans="1:13" x14ac:dyDescent="0.3">
      <c r="A1363" s="7">
        <v>45482</v>
      </c>
      <c r="B1363" s="8">
        <v>4.09</v>
      </c>
      <c r="C1363" s="10">
        <f t="shared" si="42"/>
        <v>-4.8661800486619125E-3</v>
      </c>
      <c r="E1363" s="7">
        <v>45482</v>
      </c>
      <c r="F1363" s="9">
        <v>80672.06</v>
      </c>
      <c r="G1363" s="10">
        <f t="shared" si="43"/>
        <v>1.3138262306243681E-3</v>
      </c>
      <c r="K1363" s="13"/>
      <c r="L1363" s="13"/>
      <c r="M1363" s="13"/>
    </row>
    <row r="1364" spans="1:13" x14ac:dyDescent="0.3">
      <c r="A1364" s="7">
        <v>45483</v>
      </c>
      <c r="B1364" s="8">
        <v>3.99</v>
      </c>
      <c r="C1364" s="10">
        <f t="shared" si="42"/>
        <v>-2.4449877750611162E-2</v>
      </c>
      <c r="E1364" s="7">
        <v>45483</v>
      </c>
      <c r="F1364" s="9">
        <v>79841.56</v>
      </c>
      <c r="G1364" s="10">
        <f t="shared" si="43"/>
        <v>-1.0294766242488415E-2</v>
      </c>
      <c r="K1364" s="13"/>
      <c r="L1364" s="13"/>
      <c r="M1364" s="13"/>
    </row>
    <row r="1365" spans="1:13" x14ac:dyDescent="0.3">
      <c r="A1365" s="7">
        <v>45484</v>
      </c>
      <c r="B1365" s="8">
        <v>3.95</v>
      </c>
      <c r="C1365" s="10">
        <f t="shared" si="42"/>
        <v>-1.0025062656641612E-2</v>
      </c>
      <c r="E1365" s="7">
        <v>45484</v>
      </c>
      <c r="F1365" s="9">
        <v>79992.350000000006</v>
      </c>
      <c r="G1365" s="10">
        <f t="shared" si="43"/>
        <v>1.888615402805358E-3</v>
      </c>
      <c r="K1365" s="13"/>
      <c r="L1365" s="13"/>
      <c r="M1365" s="13"/>
    </row>
    <row r="1366" spans="1:13" x14ac:dyDescent="0.3">
      <c r="A1366" s="7">
        <v>45485</v>
      </c>
      <c r="B1366" s="8">
        <v>3.92</v>
      </c>
      <c r="C1366" s="10">
        <f t="shared" si="42"/>
        <v>-7.5949367088608225E-3</v>
      </c>
      <c r="E1366" s="7">
        <v>45485</v>
      </c>
      <c r="F1366" s="9">
        <v>79944.100000000006</v>
      </c>
      <c r="G1366" s="10">
        <f t="shared" si="43"/>
        <v>-6.0318267934371221E-4</v>
      </c>
      <c r="K1366" s="13"/>
      <c r="L1366" s="13"/>
      <c r="M1366" s="13"/>
    </row>
    <row r="1367" spans="1:13" x14ac:dyDescent="0.3">
      <c r="A1367" s="7">
        <v>45488</v>
      </c>
      <c r="B1367" s="8">
        <v>3.92</v>
      </c>
      <c r="C1367" s="10">
        <f t="shared" si="42"/>
        <v>0</v>
      </c>
      <c r="E1367" s="7">
        <v>45488</v>
      </c>
      <c r="F1367" s="9">
        <v>81155.61</v>
      </c>
      <c r="G1367" s="10">
        <f t="shared" si="43"/>
        <v>1.5154464181846999E-2</v>
      </c>
      <c r="K1367" s="13"/>
      <c r="L1367" s="13"/>
      <c r="M1367" s="13"/>
    </row>
    <row r="1368" spans="1:13" x14ac:dyDescent="0.3">
      <c r="A1368" s="7">
        <v>45491</v>
      </c>
      <c r="B1368" s="8">
        <v>3.89</v>
      </c>
      <c r="C1368" s="10">
        <f t="shared" si="42"/>
        <v>-7.6530612244897463E-3</v>
      </c>
      <c r="E1368" s="7">
        <v>45491</v>
      </c>
      <c r="F1368" s="9">
        <v>81839.86</v>
      </c>
      <c r="G1368" s="10">
        <f t="shared" si="43"/>
        <v>8.4313333360441743E-3</v>
      </c>
      <c r="K1368" s="13"/>
      <c r="L1368" s="13"/>
      <c r="M1368" s="13"/>
    </row>
    <row r="1369" spans="1:13" x14ac:dyDescent="0.3">
      <c r="A1369" s="7">
        <v>45492</v>
      </c>
      <c r="B1369" s="8">
        <v>3.83</v>
      </c>
      <c r="C1369" s="10">
        <f t="shared" si="42"/>
        <v>-1.5424164524421607E-2</v>
      </c>
      <c r="E1369" s="7">
        <v>45492</v>
      </c>
      <c r="F1369" s="9">
        <v>80117.89</v>
      </c>
      <c r="G1369" s="10">
        <f t="shared" si="43"/>
        <v>-2.1040725142980464E-2</v>
      </c>
      <c r="K1369" s="13"/>
      <c r="L1369" s="13"/>
      <c r="M1369" s="13"/>
    </row>
    <row r="1370" spans="1:13" x14ac:dyDescent="0.3">
      <c r="A1370" s="7">
        <v>45495</v>
      </c>
      <c r="B1370" s="8">
        <v>3.73</v>
      </c>
      <c r="C1370" s="10">
        <f t="shared" si="42"/>
        <v>-2.6109660574412556E-2</v>
      </c>
      <c r="E1370" s="7">
        <v>45495</v>
      </c>
      <c r="F1370" s="9">
        <v>78539.19</v>
      </c>
      <c r="G1370" s="10">
        <f t="shared" si="43"/>
        <v>-1.9704712642831673E-2</v>
      </c>
      <c r="K1370" s="13"/>
      <c r="L1370" s="13"/>
      <c r="M1370" s="13"/>
    </row>
    <row r="1371" spans="1:13" x14ac:dyDescent="0.3">
      <c r="A1371" s="7">
        <v>45496</v>
      </c>
      <c r="B1371" s="8">
        <v>3.72</v>
      </c>
      <c r="C1371" s="10">
        <f t="shared" si="42"/>
        <v>-2.6809651474530259E-3</v>
      </c>
      <c r="E1371" s="7">
        <v>45496</v>
      </c>
      <c r="F1371" s="9">
        <v>78987.09</v>
      </c>
      <c r="G1371" s="10">
        <f t="shared" si="43"/>
        <v>5.7028854002695237E-3</v>
      </c>
      <c r="K1371" s="13"/>
      <c r="L1371" s="13"/>
      <c r="M1371" s="13"/>
    </row>
    <row r="1372" spans="1:13" x14ac:dyDescent="0.3">
      <c r="A1372" s="7">
        <v>45497</v>
      </c>
      <c r="B1372" s="8">
        <v>3.68</v>
      </c>
      <c r="C1372" s="10">
        <f t="shared" si="42"/>
        <v>-1.075268817204302E-2</v>
      </c>
      <c r="E1372" s="7">
        <v>45497</v>
      </c>
      <c r="F1372" s="9">
        <v>79397.009999999995</v>
      </c>
      <c r="G1372" s="10">
        <f t="shared" si="43"/>
        <v>5.1897088498892453E-3</v>
      </c>
      <c r="K1372" s="13"/>
      <c r="L1372" s="13"/>
      <c r="M1372" s="13"/>
    </row>
    <row r="1373" spans="1:13" x14ac:dyDescent="0.3">
      <c r="A1373" s="7">
        <v>45498</v>
      </c>
      <c r="B1373" s="8">
        <v>3.67</v>
      </c>
      <c r="C1373" s="10">
        <f t="shared" si="42"/>
        <v>-2.7173913043478889E-3</v>
      </c>
      <c r="E1373" s="7">
        <v>45498</v>
      </c>
      <c r="F1373" s="9">
        <v>78469.33</v>
      </c>
      <c r="G1373" s="10">
        <f t="shared" si="43"/>
        <v>-1.1684067195981222E-2</v>
      </c>
      <c r="K1373" s="13"/>
      <c r="L1373" s="13"/>
      <c r="M1373" s="13"/>
    </row>
    <row r="1374" spans="1:13" x14ac:dyDescent="0.3">
      <c r="A1374" s="7">
        <v>45499</v>
      </c>
      <c r="B1374" s="8">
        <v>3.59</v>
      </c>
      <c r="C1374" s="10">
        <f t="shared" si="42"/>
        <v>-2.1798365122615824E-2</v>
      </c>
      <c r="E1374" s="7">
        <v>45499</v>
      </c>
      <c r="F1374" s="9">
        <v>78029.509999999995</v>
      </c>
      <c r="G1374" s="10">
        <f t="shared" si="43"/>
        <v>-5.6049924218800765E-3</v>
      </c>
      <c r="K1374" s="13"/>
      <c r="L1374" s="13"/>
      <c r="M1374" s="13"/>
    </row>
    <row r="1375" spans="1:13" x14ac:dyDescent="0.3">
      <c r="A1375" s="7">
        <v>45502</v>
      </c>
      <c r="B1375" s="8">
        <v>3.57</v>
      </c>
      <c r="C1375" s="10">
        <f t="shared" si="42"/>
        <v>-5.5710306406685289E-3</v>
      </c>
      <c r="E1375" s="7">
        <v>45502</v>
      </c>
      <c r="F1375" s="9">
        <v>78827.740000000005</v>
      </c>
      <c r="G1375" s="10">
        <f t="shared" si="43"/>
        <v>1.0229847656354762E-2</v>
      </c>
      <c r="K1375" s="13"/>
      <c r="L1375" s="13"/>
      <c r="M1375" s="13"/>
    </row>
    <row r="1376" spans="1:13" x14ac:dyDescent="0.3">
      <c r="A1376" s="7">
        <v>45503</v>
      </c>
      <c r="B1376" s="8">
        <v>3.5</v>
      </c>
      <c r="C1376" s="10">
        <f t="shared" si="42"/>
        <v>-1.9607843137254857E-2</v>
      </c>
      <c r="E1376" s="7">
        <v>45503</v>
      </c>
      <c r="F1376" s="9">
        <v>78628.81</v>
      </c>
      <c r="G1376" s="10">
        <f t="shared" si="43"/>
        <v>-2.5236040003177506E-3</v>
      </c>
      <c r="K1376" s="13"/>
      <c r="L1376" s="13"/>
      <c r="M1376" s="13"/>
    </row>
    <row r="1377" spans="1:13" x14ac:dyDescent="0.3">
      <c r="A1377" s="7">
        <v>45504</v>
      </c>
      <c r="B1377" s="8">
        <v>3.51</v>
      </c>
      <c r="C1377" s="10">
        <f t="shared" si="42"/>
        <v>2.8571428571427964E-3</v>
      </c>
      <c r="E1377" s="7">
        <v>45504</v>
      </c>
      <c r="F1377" s="9">
        <v>77886.990000000005</v>
      </c>
      <c r="G1377" s="10">
        <f t="shared" si="43"/>
        <v>-9.4344553860091791E-3</v>
      </c>
      <c r="K1377" s="13"/>
      <c r="L1377" s="13"/>
      <c r="M1377" s="13"/>
    </row>
    <row r="1378" spans="1:13" x14ac:dyDescent="0.3">
      <c r="A1378" s="7">
        <v>45505</v>
      </c>
      <c r="B1378" s="8">
        <v>3.45</v>
      </c>
      <c r="C1378" s="10">
        <f t="shared" si="42"/>
        <v>-1.7094017094016985E-2</v>
      </c>
      <c r="E1378" s="7">
        <v>45505</v>
      </c>
      <c r="F1378" s="9">
        <v>77740.31</v>
      </c>
      <c r="G1378" s="10">
        <f t="shared" si="43"/>
        <v>-1.8832413474960011E-3</v>
      </c>
      <c r="K1378" s="13"/>
      <c r="L1378" s="13"/>
      <c r="M1378" s="13"/>
    </row>
    <row r="1379" spans="1:13" x14ac:dyDescent="0.3">
      <c r="A1379" s="7">
        <v>45506</v>
      </c>
      <c r="B1379" s="8">
        <v>4</v>
      </c>
      <c r="C1379" s="10">
        <f t="shared" si="42"/>
        <v>0.15942028985507239</v>
      </c>
      <c r="E1379" s="7">
        <v>45506</v>
      </c>
      <c r="F1379" s="9">
        <v>78225.98</v>
      </c>
      <c r="G1379" s="10">
        <f t="shared" si="43"/>
        <v>6.2473380926831691E-3</v>
      </c>
      <c r="K1379" s="13"/>
      <c r="L1379" s="13"/>
      <c r="M1379" s="13"/>
    </row>
    <row r="1380" spans="1:13" x14ac:dyDescent="0.3">
      <c r="A1380" s="7">
        <v>45509</v>
      </c>
      <c r="B1380" s="8">
        <v>3.82</v>
      </c>
      <c r="C1380" s="10">
        <f t="shared" si="42"/>
        <v>-4.500000000000004E-2</v>
      </c>
      <c r="E1380" s="7">
        <v>45509</v>
      </c>
      <c r="F1380" s="9">
        <v>77084.490000000005</v>
      </c>
      <c r="G1380" s="10">
        <f t="shared" si="43"/>
        <v>-1.4592210925321623E-2</v>
      </c>
      <c r="K1380" s="13"/>
      <c r="L1380" s="13"/>
      <c r="M1380" s="13"/>
    </row>
    <row r="1381" spans="1:13" x14ac:dyDescent="0.3">
      <c r="A1381" s="7">
        <v>45510</v>
      </c>
      <c r="B1381" s="8">
        <v>3.72</v>
      </c>
      <c r="C1381" s="10">
        <f t="shared" si="42"/>
        <v>-2.6178010471204098E-2</v>
      </c>
      <c r="E1381" s="7">
        <v>45510</v>
      </c>
      <c r="F1381" s="9">
        <v>77191.34</v>
      </c>
      <c r="G1381" s="10">
        <f t="shared" si="43"/>
        <v>1.3861413625489546E-3</v>
      </c>
      <c r="K1381" s="13"/>
      <c r="L1381" s="13"/>
      <c r="M1381" s="13"/>
    </row>
    <row r="1382" spans="1:13" x14ac:dyDescent="0.3">
      <c r="A1382" s="7">
        <v>45511</v>
      </c>
      <c r="B1382" s="8">
        <v>3.84</v>
      </c>
      <c r="C1382" s="10">
        <f t="shared" si="42"/>
        <v>3.2258064516128941E-2</v>
      </c>
      <c r="E1382" s="7">
        <v>45511</v>
      </c>
      <c r="F1382" s="9">
        <v>77114.490000000005</v>
      </c>
      <c r="G1382" s="10">
        <f t="shared" si="43"/>
        <v>-9.9557800136636145E-4</v>
      </c>
      <c r="K1382" s="13"/>
      <c r="L1382" s="13"/>
      <c r="M1382" s="13"/>
    </row>
    <row r="1383" spans="1:13" x14ac:dyDescent="0.3">
      <c r="A1383" s="7">
        <v>45512</v>
      </c>
      <c r="B1383" s="8">
        <v>3.95</v>
      </c>
      <c r="C1383" s="10">
        <f t="shared" si="42"/>
        <v>2.8645833333333419E-2</v>
      </c>
      <c r="E1383" s="7">
        <v>45512</v>
      </c>
      <c r="F1383" s="9">
        <v>77874.22</v>
      </c>
      <c r="G1383" s="10">
        <f t="shared" si="43"/>
        <v>9.8519746418603803E-3</v>
      </c>
      <c r="K1383" s="13"/>
      <c r="L1383" s="13"/>
      <c r="M1383" s="13"/>
    </row>
    <row r="1384" spans="1:13" x14ac:dyDescent="0.3">
      <c r="A1384" s="7">
        <v>45513</v>
      </c>
      <c r="B1384" s="8">
        <v>3.9</v>
      </c>
      <c r="C1384" s="10">
        <f t="shared" si="42"/>
        <v>-1.2658227848101333E-2</v>
      </c>
      <c r="E1384" s="7">
        <v>45513</v>
      </c>
      <c r="F1384" s="9">
        <v>78569.59</v>
      </c>
      <c r="G1384" s="10">
        <f t="shared" si="43"/>
        <v>8.9293992286535312E-3</v>
      </c>
      <c r="K1384" s="13"/>
      <c r="L1384" s="13"/>
      <c r="M1384" s="13"/>
    </row>
    <row r="1385" spans="1:13" x14ac:dyDescent="0.3">
      <c r="A1385" s="7">
        <v>45516</v>
      </c>
      <c r="B1385" s="8">
        <v>3.78</v>
      </c>
      <c r="C1385" s="10">
        <f t="shared" si="42"/>
        <v>-3.0769230769230799E-2</v>
      </c>
      <c r="E1385" s="7">
        <v>45516</v>
      </c>
      <c r="F1385" s="9">
        <v>77980.289999999994</v>
      </c>
      <c r="G1385" s="10">
        <f t="shared" si="43"/>
        <v>-7.5003573265432968E-3</v>
      </c>
      <c r="K1385" s="13"/>
      <c r="L1385" s="13"/>
      <c r="M1385" s="13"/>
    </row>
    <row r="1386" spans="1:13" x14ac:dyDescent="0.3">
      <c r="A1386" s="7">
        <v>45517</v>
      </c>
      <c r="B1386" s="8">
        <v>3.75</v>
      </c>
      <c r="C1386" s="10">
        <f t="shared" si="42"/>
        <v>-7.9365079365078858E-3</v>
      </c>
      <c r="E1386" s="7">
        <v>45517</v>
      </c>
      <c r="F1386" s="9">
        <v>77877.42</v>
      </c>
      <c r="G1386" s="10">
        <f t="shared" si="43"/>
        <v>-1.3191795003583001E-3</v>
      </c>
      <c r="K1386" s="13"/>
      <c r="L1386" s="13"/>
      <c r="M1386" s="13"/>
    </row>
    <row r="1387" spans="1:13" x14ac:dyDescent="0.3">
      <c r="A1387" s="7">
        <v>45519</v>
      </c>
      <c r="B1387" s="8">
        <v>3.7</v>
      </c>
      <c r="C1387" s="10">
        <f t="shared" si="42"/>
        <v>-1.3333333333333286E-2</v>
      </c>
      <c r="E1387" s="7">
        <v>45519</v>
      </c>
      <c r="F1387" s="9">
        <v>78105.98</v>
      </c>
      <c r="G1387" s="10">
        <f t="shared" si="43"/>
        <v>2.9348686692496706E-3</v>
      </c>
      <c r="K1387" s="13"/>
      <c r="L1387" s="13"/>
      <c r="M1387" s="13"/>
    </row>
    <row r="1388" spans="1:13" x14ac:dyDescent="0.3">
      <c r="A1388" s="7">
        <v>45520</v>
      </c>
      <c r="B1388" s="8">
        <v>3.66</v>
      </c>
      <c r="C1388" s="10">
        <f t="shared" si="42"/>
        <v>-1.081081081081082E-2</v>
      </c>
      <c r="E1388" s="7">
        <v>45520</v>
      </c>
      <c r="F1388" s="9">
        <v>78045.31</v>
      </c>
      <c r="G1388" s="10">
        <f t="shared" si="43"/>
        <v>-7.7676510812614162E-4</v>
      </c>
      <c r="K1388" s="13"/>
      <c r="L1388" s="13"/>
      <c r="M1388" s="13"/>
    </row>
    <row r="1389" spans="1:13" x14ac:dyDescent="0.3">
      <c r="A1389" s="7">
        <v>45523</v>
      </c>
      <c r="B1389" s="8">
        <v>3.63</v>
      </c>
      <c r="C1389" s="10">
        <f t="shared" si="42"/>
        <v>-8.1967213114754779E-3</v>
      </c>
      <c r="E1389" s="7">
        <v>45523</v>
      </c>
      <c r="F1389" s="9">
        <v>77830.34</v>
      </c>
      <c r="G1389" s="10">
        <f t="shared" si="43"/>
        <v>-2.7544256022559352E-3</v>
      </c>
      <c r="K1389" s="13"/>
      <c r="L1389" s="13"/>
      <c r="M1389" s="13"/>
    </row>
    <row r="1390" spans="1:13" x14ac:dyDescent="0.3">
      <c r="A1390" s="7">
        <v>45524</v>
      </c>
      <c r="B1390" s="8">
        <v>3.58</v>
      </c>
      <c r="C1390" s="10">
        <f t="shared" si="42"/>
        <v>-1.3774104683195544E-2</v>
      </c>
      <c r="E1390" s="7">
        <v>45524</v>
      </c>
      <c r="F1390" s="9">
        <v>77745.52</v>
      </c>
      <c r="G1390" s="10">
        <f t="shared" si="43"/>
        <v>-1.0898063660006168E-3</v>
      </c>
      <c r="K1390" s="13"/>
      <c r="L1390" s="13"/>
      <c r="M1390" s="13"/>
    </row>
    <row r="1391" spans="1:13" x14ac:dyDescent="0.3">
      <c r="A1391" s="7">
        <v>45525</v>
      </c>
      <c r="B1391" s="8">
        <v>3.77</v>
      </c>
      <c r="C1391" s="10">
        <f t="shared" si="42"/>
        <v>5.3072625698324008E-2</v>
      </c>
      <c r="E1391" s="7">
        <v>45525</v>
      </c>
      <c r="F1391" s="9">
        <v>78260.86</v>
      </c>
      <c r="G1391" s="10">
        <f t="shared" si="43"/>
        <v>6.6285491434104043E-3</v>
      </c>
      <c r="K1391" s="13"/>
      <c r="L1391" s="13"/>
      <c r="M1391" s="13"/>
    </row>
    <row r="1392" spans="1:13" x14ac:dyDescent="0.3">
      <c r="A1392" s="7">
        <v>45526</v>
      </c>
      <c r="B1392" s="8">
        <v>3.92</v>
      </c>
      <c r="C1392" s="10">
        <f t="shared" si="42"/>
        <v>3.9787798408488041E-2</v>
      </c>
      <c r="E1392" s="7">
        <v>45526</v>
      </c>
      <c r="F1392" s="9">
        <v>78793.41</v>
      </c>
      <c r="G1392" s="10">
        <f t="shared" si="43"/>
        <v>6.8048063872541515E-3</v>
      </c>
      <c r="K1392" s="13"/>
      <c r="L1392" s="13"/>
      <c r="M1392" s="13"/>
    </row>
    <row r="1393" spans="1:13" x14ac:dyDescent="0.3">
      <c r="A1393" s="7">
        <v>45527</v>
      </c>
      <c r="B1393" s="8">
        <v>3.81</v>
      </c>
      <c r="C1393" s="10">
        <f t="shared" si="42"/>
        <v>-2.8061224489795887E-2</v>
      </c>
      <c r="E1393" s="7">
        <v>45527</v>
      </c>
      <c r="F1393" s="9">
        <v>78801.429999999993</v>
      </c>
      <c r="G1393" s="10">
        <f t="shared" si="43"/>
        <v>1.0178516198232216E-4</v>
      </c>
      <c r="K1393" s="13"/>
      <c r="L1393" s="13"/>
      <c r="M1393" s="13"/>
    </row>
    <row r="1394" spans="1:13" x14ac:dyDescent="0.3">
      <c r="A1394" s="7">
        <v>45530</v>
      </c>
      <c r="B1394" s="8">
        <v>3.79</v>
      </c>
      <c r="C1394" s="10">
        <f t="shared" si="42"/>
        <v>-5.2493438320210016E-3</v>
      </c>
      <c r="E1394" s="7">
        <v>45530</v>
      </c>
      <c r="F1394" s="9">
        <v>78571.06</v>
      </c>
      <c r="G1394" s="10">
        <f t="shared" si="43"/>
        <v>-2.9234241053746786E-3</v>
      </c>
      <c r="K1394" s="13"/>
      <c r="L1394" s="13"/>
      <c r="M1394" s="13"/>
    </row>
    <row r="1395" spans="1:13" x14ac:dyDescent="0.3">
      <c r="A1395" s="7">
        <v>45531</v>
      </c>
      <c r="B1395" s="8">
        <v>3.98</v>
      </c>
      <c r="C1395" s="10">
        <f t="shared" si="42"/>
        <v>5.0131926121372017E-2</v>
      </c>
      <c r="E1395" s="7">
        <v>45531</v>
      </c>
      <c r="F1395" s="9">
        <v>78084.240000000005</v>
      </c>
      <c r="G1395" s="10">
        <f t="shared" si="43"/>
        <v>-6.1959199735881435E-3</v>
      </c>
      <c r="K1395" s="13"/>
      <c r="L1395" s="13"/>
      <c r="M1395" s="13"/>
    </row>
    <row r="1396" spans="1:13" x14ac:dyDescent="0.3">
      <c r="A1396" s="7">
        <v>45532</v>
      </c>
      <c r="B1396" s="8">
        <v>3.95</v>
      </c>
      <c r="C1396" s="10">
        <f t="shared" si="42"/>
        <v>-7.5376884422110064E-3</v>
      </c>
      <c r="E1396" s="7">
        <v>45532</v>
      </c>
      <c r="F1396" s="9">
        <v>77992.789999999994</v>
      </c>
      <c r="G1396" s="10">
        <f t="shared" si="43"/>
        <v>-1.1711710327207082E-3</v>
      </c>
      <c r="K1396" s="13"/>
      <c r="L1396" s="13"/>
      <c r="M1396" s="13"/>
    </row>
    <row r="1397" spans="1:13" x14ac:dyDescent="0.3">
      <c r="A1397" s="7">
        <v>45533</v>
      </c>
      <c r="B1397" s="8">
        <v>3.9</v>
      </c>
      <c r="C1397" s="10">
        <f t="shared" si="42"/>
        <v>-1.2658227848101333E-2</v>
      </c>
      <c r="E1397" s="7">
        <v>45533</v>
      </c>
      <c r="F1397" s="9">
        <v>78349.66</v>
      </c>
      <c r="G1397" s="10">
        <f t="shared" si="43"/>
        <v>4.5756793672852318E-3</v>
      </c>
      <c r="K1397" s="13"/>
      <c r="L1397" s="13"/>
      <c r="M1397" s="13"/>
    </row>
    <row r="1398" spans="1:13" x14ac:dyDescent="0.3">
      <c r="A1398" s="7">
        <v>45534</v>
      </c>
      <c r="B1398" s="8">
        <v>3.86</v>
      </c>
      <c r="C1398" s="10">
        <f t="shared" si="42"/>
        <v>-1.0256410256410265E-2</v>
      </c>
      <c r="E1398" s="7">
        <v>45534</v>
      </c>
      <c r="F1398" s="9">
        <v>78488.22</v>
      </c>
      <c r="G1398" s="10">
        <f t="shared" si="43"/>
        <v>1.7684824669309052E-3</v>
      </c>
      <c r="K1398" s="13"/>
      <c r="L1398" s="13"/>
      <c r="M1398" s="13"/>
    </row>
    <row r="1399" spans="1:13" x14ac:dyDescent="0.3">
      <c r="A1399" s="7">
        <v>45537</v>
      </c>
      <c r="B1399" s="8">
        <v>3.82</v>
      </c>
      <c r="C1399" s="10">
        <f t="shared" si="42"/>
        <v>-1.0362694300518144E-2</v>
      </c>
      <c r="E1399" s="7">
        <v>45537</v>
      </c>
      <c r="F1399" s="9">
        <v>78283.3</v>
      </c>
      <c r="G1399" s="10">
        <f t="shared" si="43"/>
        <v>-2.6108376518157532E-3</v>
      </c>
      <c r="K1399" s="13"/>
      <c r="L1399" s="13"/>
      <c r="M1399" s="13"/>
    </row>
    <row r="1400" spans="1:13" x14ac:dyDescent="0.3">
      <c r="A1400" s="7">
        <v>45538</v>
      </c>
      <c r="B1400" s="8">
        <v>3.89</v>
      </c>
      <c r="C1400" s="10">
        <f t="shared" si="42"/>
        <v>1.8324607329843007E-2</v>
      </c>
      <c r="E1400" s="7">
        <v>45538</v>
      </c>
      <c r="F1400" s="9">
        <v>78356.320000000007</v>
      </c>
      <c r="G1400" s="10">
        <f t="shared" si="43"/>
        <v>9.3276599223594391E-4</v>
      </c>
      <c r="K1400" s="13"/>
      <c r="L1400" s="13"/>
      <c r="M1400" s="13"/>
    </row>
    <row r="1401" spans="1:13" x14ac:dyDescent="0.3">
      <c r="A1401" s="7">
        <v>45539</v>
      </c>
      <c r="B1401" s="8">
        <v>3.95</v>
      </c>
      <c r="C1401" s="10">
        <f t="shared" si="42"/>
        <v>1.5424164524421607E-2</v>
      </c>
      <c r="E1401" s="7">
        <v>45539</v>
      </c>
      <c r="F1401" s="9">
        <v>78848.009999999995</v>
      </c>
      <c r="G1401" s="10">
        <f t="shared" si="43"/>
        <v>6.2750522229730512E-3</v>
      </c>
      <c r="K1401" s="13"/>
      <c r="L1401" s="13"/>
      <c r="M1401" s="13"/>
    </row>
    <row r="1402" spans="1:13" x14ac:dyDescent="0.3">
      <c r="A1402" s="7">
        <v>45540</v>
      </c>
      <c r="B1402" s="8">
        <v>4.0199999999999996</v>
      </c>
      <c r="C1402" s="10">
        <f t="shared" si="42"/>
        <v>1.7721518987341617E-2</v>
      </c>
      <c r="E1402" s="7">
        <v>45540</v>
      </c>
      <c r="F1402" s="9">
        <v>78863.34</v>
      </c>
      <c r="G1402" s="10">
        <f t="shared" si="43"/>
        <v>1.9442469125094909E-4</v>
      </c>
      <c r="K1402" s="13"/>
      <c r="L1402" s="13"/>
      <c r="M1402" s="13"/>
    </row>
    <row r="1403" spans="1:13" x14ac:dyDescent="0.3">
      <c r="A1403" s="7">
        <v>45541</v>
      </c>
      <c r="B1403" s="8">
        <v>4.08</v>
      </c>
      <c r="C1403" s="10">
        <f t="shared" si="42"/>
        <v>1.4925373134328483E-2</v>
      </c>
      <c r="E1403" s="7">
        <v>45541</v>
      </c>
      <c r="F1403" s="9">
        <v>78897.73</v>
      </c>
      <c r="G1403" s="10">
        <f t="shared" si="43"/>
        <v>4.3607080298652606E-4</v>
      </c>
      <c r="K1403" s="13"/>
      <c r="L1403" s="13"/>
      <c r="M1403" s="13"/>
    </row>
    <row r="1404" spans="1:13" x14ac:dyDescent="0.3">
      <c r="A1404" s="7">
        <v>45544</v>
      </c>
      <c r="B1404" s="8">
        <v>4.16</v>
      </c>
      <c r="C1404" s="10">
        <f t="shared" si="42"/>
        <v>1.9607843137254919E-2</v>
      </c>
      <c r="E1404" s="7">
        <v>45544</v>
      </c>
      <c r="F1404" s="9">
        <v>78615</v>
      </c>
      <c r="G1404" s="10">
        <f t="shared" si="43"/>
        <v>-3.5834998041134507E-3</v>
      </c>
      <c r="K1404" s="13"/>
      <c r="L1404" s="13"/>
      <c r="M1404" s="13"/>
    </row>
    <row r="1405" spans="1:13" x14ac:dyDescent="0.3">
      <c r="A1405" s="7">
        <v>45545</v>
      </c>
      <c r="B1405" s="8">
        <v>4.0999999999999996</v>
      </c>
      <c r="C1405" s="10">
        <f t="shared" si="42"/>
        <v>-1.4423076923077042E-2</v>
      </c>
      <c r="E1405" s="7">
        <v>45545</v>
      </c>
      <c r="F1405" s="9">
        <v>79286.740000000005</v>
      </c>
      <c r="G1405" s="10">
        <f t="shared" si="43"/>
        <v>8.5446797684920854E-3</v>
      </c>
      <c r="K1405" s="13"/>
      <c r="L1405" s="13"/>
      <c r="M1405" s="13"/>
    </row>
    <row r="1406" spans="1:13" x14ac:dyDescent="0.3">
      <c r="A1406" s="7">
        <v>45546</v>
      </c>
      <c r="B1406" s="8">
        <v>4.13</v>
      </c>
      <c r="C1406" s="10">
        <f t="shared" si="42"/>
        <v>7.3170731707317685E-3</v>
      </c>
      <c r="E1406" s="7">
        <v>45546</v>
      </c>
      <c r="F1406" s="9">
        <v>78651.8</v>
      </c>
      <c r="G1406" s="10">
        <f t="shared" si="43"/>
        <v>-8.0081486513381966E-3</v>
      </c>
      <c r="K1406" s="13"/>
      <c r="L1406" s="13"/>
      <c r="M1406" s="13"/>
    </row>
    <row r="1407" spans="1:13" x14ac:dyDescent="0.3">
      <c r="A1407" s="7">
        <v>45547</v>
      </c>
      <c r="B1407" s="8">
        <v>4.1399999999999997</v>
      </c>
      <c r="C1407" s="10">
        <f t="shared" si="42"/>
        <v>2.4213075060532173E-3</v>
      </c>
      <c r="E1407" s="7">
        <v>45547</v>
      </c>
      <c r="F1407" s="9">
        <v>79017.62</v>
      </c>
      <c r="G1407" s="10">
        <f t="shared" si="43"/>
        <v>4.6511332226343511E-3</v>
      </c>
      <c r="K1407" s="13"/>
      <c r="L1407" s="13"/>
      <c r="M1407" s="13"/>
    </row>
    <row r="1408" spans="1:13" x14ac:dyDescent="0.3">
      <c r="A1408" s="7">
        <v>45548</v>
      </c>
      <c r="B1408" s="8">
        <v>4.0599999999999996</v>
      </c>
      <c r="C1408" s="10">
        <f t="shared" si="42"/>
        <v>-1.9323671497584561E-2</v>
      </c>
      <c r="E1408" s="7">
        <v>45548</v>
      </c>
      <c r="F1408" s="9">
        <v>79333.06</v>
      </c>
      <c r="G1408" s="10">
        <f t="shared" si="43"/>
        <v>3.9920210201218713E-3</v>
      </c>
      <c r="K1408" s="13"/>
      <c r="L1408" s="13"/>
      <c r="M1408" s="13"/>
    </row>
    <row r="1409" spans="1:13" x14ac:dyDescent="0.3">
      <c r="A1409" s="7">
        <v>45551</v>
      </c>
      <c r="B1409" s="8">
        <v>4.16</v>
      </c>
      <c r="C1409" s="10">
        <f t="shared" si="42"/>
        <v>2.4630541871921315E-2</v>
      </c>
      <c r="E1409" s="7">
        <v>45551</v>
      </c>
      <c r="F1409" s="9">
        <v>79491.14</v>
      </c>
      <c r="G1409" s="10">
        <f t="shared" si="43"/>
        <v>1.9926119073183581E-3</v>
      </c>
      <c r="K1409" s="13"/>
      <c r="L1409" s="13"/>
      <c r="M1409" s="13"/>
    </row>
    <row r="1410" spans="1:13" x14ac:dyDescent="0.3">
      <c r="A1410" s="7">
        <v>45553</v>
      </c>
      <c r="B1410" s="8">
        <v>4.03</v>
      </c>
      <c r="C1410" s="10">
        <f t="shared" si="42"/>
        <v>-3.1249999999999972E-2</v>
      </c>
      <c r="E1410" s="7">
        <v>45553</v>
      </c>
      <c r="F1410" s="9">
        <v>80461.34</v>
      </c>
      <c r="G1410" s="10">
        <f t="shared" si="43"/>
        <v>1.2205133804849158E-2</v>
      </c>
      <c r="K1410" s="13"/>
      <c r="L1410" s="13"/>
      <c r="M1410" s="13"/>
    </row>
    <row r="1411" spans="1:13" x14ac:dyDescent="0.3">
      <c r="A1411" s="7">
        <v>45554</v>
      </c>
      <c r="B1411" s="8">
        <v>3.92</v>
      </c>
      <c r="C1411" s="10">
        <f t="shared" si="42"/>
        <v>-2.7295285359801566E-2</v>
      </c>
      <c r="E1411" s="7">
        <v>45554</v>
      </c>
      <c r="F1411" s="9">
        <v>81459.289999999994</v>
      </c>
      <c r="G1411" s="10">
        <f t="shared" si="43"/>
        <v>1.2402850859804188E-2</v>
      </c>
      <c r="K1411" s="13"/>
      <c r="L1411" s="13"/>
      <c r="M1411" s="13"/>
    </row>
    <row r="1412" spans="1:13" x14ac:dyDescent="0.3">
      <c r="A1412" s="7">
        <v>45555</v>
      </c>
      <c r="B1412" s="8">
        <v>3.83</v>
      </c>
      <c r="C1412" s="10">
        <f t="shared" si="42"/>
        <v>-2.2959183673469351E-2</v>
      </c>
      <c r="E1412" s="7">
        <v>45555</v>
      </c>
      <c r="F1412" s="9">
        <v>82074.45</v>
      </c>
      <c r="G1412" s="10">
        <f t="shared" si="43"/>
        <v>7.5517476275573179E-3</v>
      </c>
      <c r="K1412" s="13"/>
      <c r="L1412" s="13"/>
      <c r="M1412" s="13"/>
    </row>
    <row r="1413" spans="1:13" x14ac:dyDescent="0.3">
      <c r="A1413" s="7">
        <v>45558</v>
      </c>
      <c r="B1413" s="8">
        <v>3.79</v>
      </c>
      <c r="C1413" s="10">
        <f t="shared" ref="C1413:C1476" si="44">(B1413-B1412)/B1412</f>
        <v>-1.0443864229765022E-2</v>
      </c>
      <c r="E1413" s="7">
        <v>45558</v>
      </c>
      <c r="F1413" s="9">
        <v>81850.5</v>
      </c>
      <c r="G1413" s="10">
        <f t="shared" ref="G1413:G1476" si="45">(F1413-F1412)/F1412</f>
        <v>-2.7286201735131589E-3</v>
      </c>
      <c r="K1413" s="13"/>
      <c r="L1413" s="13"/>
      <c r="M1413" s="13"/>
    </row>
    <row r="1414" spans="1:13" x14ac:dyDescent="0.3">
      <c r="A1414" s="7">
        <v>45559</v>
      </c>
      <c r="B1414" s="8">
        <v>3.77</v>
      </c>
      <c r="C1414" s="10">
        <f t="shared" si="44"/>
        <v>-5.2770448548812715E-3</v>
      </c>
      <c r="E1414" s="7">
        <v>45559</v>
      </c>
      <c r="F1414" s="9">
        <v>81483.64</v>
      </c>
      <c r="G1414" s="10">
        <f t="shared" si="45"/>
        <v>-4.4820740252044956E-3</v>
      </c>
      <c r="K1414" s="13"/>
      <c r="L1414" s="13"/>
      <c r="M1414" s="13"/>
    </row>
    <row r="1415" spans="1:13" x14ac:dyDescent="0.3">
      <c r="A1415" s="7">
        <v>45560</v>
      </c>
      <c r="B1415" s="8">
        <v>3.82</v>
      </c>
      <c r="C1415" s="10">
        <f t="shared" si="44"/>
        <v>1.3262599469495973E-2</v>
      </c>
      <c r="E1415" s="7">
        <v>45560</v>
      </c>
      <c r="F1415" s="9">
        <v>82247.92</v>
      </c>
      <c r="G1415" s="10">
        <f t="shared" si="45"/>
        <v>9.3795515271531665E-3</v>
      </c>
      <c r="K1415" s="13"/>
      <c r="L1415" s="13"/>
      <c r="M1415" s="13"/>
    </row>
    <row r="1416" spans="1:13" x14ac:dyDescent="0.3">
      <c r="A1416" s="7">
        <v>45561</v>
      </c>
      <c r="B1416" s="8">
        <v>3.81</v>
      </c>
      <c r="C1416" s="10">
        <f t="shared" si="44"/>
        <v>-2.6178010471203631E-3</v>
      </c>
      <c r="E1416" s="7">
        <v>45561</v>
      </c>
      <c r="F1416" s="9">
        <v>81657.97</v>
      </c>
      <c r="G1416" s="10">
        <f t="shared" si="45"/>
        <v>-7.1728257687245717E-3</v>
      </c>
      <c r="K1416" s="13"/>
      <c r="L1416" s="13"/>
      <c r="M1416" s="13"/>
    </row>
    <row r="1417" spans="1:13" x14ac:dyDescent="0.3">
      <c r="A1417" s="7">
        <v>45562</v>
      </c>
      <c r="B1417" s="8">
        <v>3.74</v>
      </c>
      <c r="C1417" s="10">
        <f t="shared" si="44"/>
        <v>-1.8372703412073449E-2</v>
      </c>
      <c r="E1417" s="7">
        <v>45562</v>
      </c>
      <c r="F1417" s="9">
        <v>81292.13</v>
      </c>
      <c r="G1417" s="10">
        <f t="shared" si="45"/>
        <v>-4.4801505597064986E-3</v>
      </c>
      <c r="K1417" s="13"/>
      <c r="L1417" s="13"/>
      <c r="M1417" s="13"/>
    </row>
    <row r="1418" spans="1:13" x14ac:dyDescent="0.3">
      <c r="A1418" s="7">
        <v>45565</v>
      </c>
      <c r="B1418" s="8">
        <v>3.78</v>
      </c>
      <c r="C1418" s="10">
        <f t="shared" si="44"/>
        <v>1.0695187165775291E-2</v>
      </c>
      <c r="E1418" s="7">
        <v>45565</v>
      </c>
      <c r="F1418" s="9">
        <v>81114.2</v>
      </c>
      <c r="G1418" s="10">
        <f t="shared" si="45"/>
        <v>-2.1887727631199668E-3</v>
      </c>
      <c r="K1418" s="13"/>
      <c r="L1418" s="13"/>
      <c r="M1418" s="13"/>
    </row>
    <row r="1419" spans="1:13" x14ac:dyDescent="0.3">
      <c r="A1419" s="7">
        <v>45566</v>
      </c>
      <c r="B1419" s="8">
        <v>3.83</v>
      </c>
      <c r="C1419" s="10">
        <f t="shared" si="44"/>
        <v>1.3227513227513298E-2</v>
      </c>
      <c r="E1419" s="7">
        <v>45566</v>
      </c>
      <c r="F1419" s="9">
        <v>81804.59</v>
      </c>
      <c r="G1419" s="10">
        <f t="shared" si="45"/>
        <v>8.5113334040155669E-3</v>
      </c>
      <c r="K1419" s="13"/>
      <c r="L1419" s="13"/>
      <c r="M1419" s="13"/>
    </row>
    <row r="1420" spans="1:13" x14ac:dyDescent="0.3">
      <c r="A1420" s="7">
        <v>45567</v>
      </c>
      <c r="B1420" s="8">
        <v>3.8</v>
      </c>
      <c r="C1420" s="10">
        <f t="shared" si="44"/>
        <v>-7.8328981723238249E-3</v>
      </c>
      <c r="E1420" s="7">
        <v>45567</v>
      </c>
      <c r="F1420" s="9">
        <v>81967.009999999995</v>
      </c>
      <c r="G1420" s="10">
        <f t="shared" si="45"/>
        <v>1.9854631628860712E-3</v>
      </c>
      <c r="K1420" s="13"/>
      <c r="L1420" s="13"/>
      <c r="M1420" s="13"/>
    </row>
    <row r="1421" spans="1:13" x14ac:dyDescent="0.3">
      <c r="A1421" s="7">
        <v>45568</v>
      </c>
      <c r="B1421" s="8">
        <v>3.78</v>
      </c>
      <c r="C1421" s="10">
        <f t="shared" si="44"/>
        <v>-5.2631578947368472E-3</v>
      </c>
      <c r="E1421" s="7">
        <v>45568</v>
      </c>
      <c r="F1421" s="9">
        <v>82721.77</v>
      </c>
      <c r="G1421" s="10">
        <f t="shared" si="45"/>
        <v>9.2080948176590724E-3</v>
      </c>
      <c r="K1421" s="13"/>
      <c r="L1421" s="13"/>
      <c r="M1421" s="13"/>
    </row>
    <row r="1422" spans="1:13" x14ac:dyDescent="0.3">
      <c r="A1422" s="7">
        <v>45569</v>
      </c>
      <c r="B1422" s="8">
        <v>3.76</v>
      </c>
      <c r="C1422" s="10">
        <f t="shared" si="44"/>
        <v>-5.2910052910052959E-3</v>
      </c>
      <c r="E1422" s="7">
        <v>45569</v>
      </c>
      <c r="F1422" s="9">
        <v>83531.960000000006</v>
      </c>
      <c r="G1422" s="10">
        <f t="shared" si="45"/>
        <v>9.7941569673860012E-3</v>
      </c>
      <c r="K1422" s="13"/>
      <c r="L1422" s="13"/>
      <c r="M1422" s="13"/>
    </row>
    <row r="1423" spans="1:13" x14ac:dyDescent="0.3">
      <c r="A1423" s="7">
        <v>45572</v>
      </c>
      <c r="B1423" s="8">
        <v>3.77</v>
      </c>
      <c r="C1423" s="10">
        <f t="shared" si="44"/>
        <v>2.6595744680851679E-3</v>
      </c>
      <c r="E1423" s="7">
        <v>45572</v>
      </c>
      <c r="F1423" s="9">
        <v>84910.3</v>
      </c>
      <c r="G1423" s="10">
        <f t="shared" si="45"/>
        <v>1.6500750132045224E-2</v>
      </c>
      <c r="K1423" s="13"/>
      <c r="L1423" s="13"/>
      <c r="M1423" s="13"/>
    </row>
    <row r="1424" spans="1:13" x14ac:dyDescent="0.3">
      <c r="A1424" s="7">
        <v>45573</v>
      </c>
      <c r="B1424" s="8">
        <v>3.74</v>
      </c>
      <c r="C1424" s="10">
        <f t="shared" si="44"/>
        <v>-7.9575596816975607E-3</v>
      </c>
      <c r="E1424" s="7">
        <v>45573</v>
      </c>
      <c r="F1424" s="9">
        <v>85663.98</v>
      </c>
      <c r="G1424" s="10">
        <f t="shared" si="45"/>
        <v>8.8761905210556664E-3</v>
      </c>
      <c r="K1424" s="13"/>
      <c r="L1424" s="13"/>
      <c r="M1424" s="13"/>
    </row>
    <row r="1425" spans="1:13" x14ac:dyDescent="0.3">
      <c r="A1425" s="7">
        <v>45574</v>
      </c>
      <c r="B1425" s="8">
        <v>3.86</v>
      </c>
      <c r="C1425" s="10">
        <f t="shared" si="44"/>
        <v>3.2085561497326109E-2</v>
      </c>
      <c r="E1425" s="7">
        <v>45574</v>
      </c>
      <c r="F1425" s="9">
        <v>85669.28</v>
      </c>
      <c r="G1425" s="10">
        <f t="shared" si="45"/>
        <v>6.1869644627799341E-5</v>
      </c>
      <c r="K1425" s="13"/>
      <c r="L1425" s="13"/>
      <c r="M1425" s="13"/>
    </row>
    <row r="1426" spans="1:13" x14ac:dyDescent="0.3">
      <c r="A1426" s="7">
        <v>45575</v>
      </c>
      <c r="B1426" s="8">
        <v>3.81</v>
      </c>
      <c r="C1426" s="10">
        <f t="shared" si="44"/>
        <v>-1.2953367875647622E-2</v>
      </c>
      <c r="E1426" s="7">
        <v>45575</v>
      </c>
      <c r="F1426" s="9">
        <v>85453.22</v>
      </c>
      <c r="G1426" s="10">
        <f t="shared" si="45"/>
        <v>-2.522024230856121E-3</v>
      </c>
      <c r="K1426" s="13"/>
      <c r="L1426" s="13"/>
      <c r="M1426" s="13"/>
    </row>
    <row r="1427" spans="1:13" x14ac:dyDescent="0.3">
      <c r="A1427" s="7">
        <v>45576</v>
      </c>
      <c r="B1427" s="8">
        <v>3.81</v>
      </c>
      <c r="C1427" s="10">
        <f t="shared" si="44"/>
        <v>0</v>
      </c>
      <c r="E1427" s="7">
        <v>45576</v>
      </c>
      <c r="F1427" s="9">
        <v>85483.4</v>
      </c>
      <c r="G1427" s="10">
        <f t="shared" si="45"/>
        <v>3.5317569074627046E-4</v>
      </c>
      <c r="K1427" s="13"/>
      <c r="L1427" s="13"/>
      <c r="M1427" s="13"/>
    </row>
    <row r="1428" spans="1:13" x14ac:dyDescent="0.3">
      <c r="A1428" s="7">
        <v>45579</v>
      </c>
      <c r="B1428" s="8">
        <v>3.86</v>
      </c>
      <c r="C1428" s="10">
        <f t="shared" si="44"/>
        <v>1.3123359580052446E-2</v>
      </c>
      <c r="E1428" s="7">
        <v>45579</v>
      </c>
      <c r="F1428" s="9">
        <v>85261.39</v>
      </c>
      <c r="G1428" s="10">
        <f t="shared" si="45"/>
        <v>-2.5971124218268668E-3</v>
      </c>
      <c r="K1428" s="13"/>
      <c r="L1428" s="13"/>
      <c r="M1428" s="13"/>
    </row>
    <row r="1429" spans="1:13" x14ac:dyDescent="0.3">
      <c r="A1429" s="7">
        <v>45580</v>
      </c>
      <c r="B1429" s="8">
        <v>3.83</v>
      </c>
      <c r="C1429" s="10">
        <f t="shared" si="44"/>
        <v>-7.7720207253885506E-3</v>
      </c>
      <c r="E1429" s="7">
        <v>45580</v>
      </c>
      <c r="F1429" s="9">
        <v>85840.34</v>
      </c>
      <c r="G1429" s="10">
        <f t="shared" si="45"/>
        <v>6.7902951148227477E-3</v>
      </c>
      <c r="K1429" s="13"/>
      <c r="L1429" s="13"/>
      <c r="M1429" s="13"/>
    </row>
    <row r="1430" spans="1:13" x14ac:dyDescent="0.3">
      <c r="A1430" s="7">
        <v>45581</v>
      </c>
      <c r="B1430" s="8">
        <v>3.8</v>
      </c>
      <c r="C1430" s="10">
        <f t="shared" si="44"/>
        <v>-7.8328981723238249E-3</v>
      </c>
      <c r="E1430" s="7">
        <v>45581</v>
      </c>
      <c r="F1430" s="9">
        <v>86205.66</v>
      </c>
      <c r="G1430" s="10">
        <f t="shared" si="45"/>
        <v>4.2558079336592449E-3</v>
      </c>
      <c r="K1430" s="13"/>
      <c r="L1430" s="13"/>
      <c r="M1430" s="13"/>
    </row>
    <row r="1431" spans="1:13" x14ac:dyDescent="0.3">
      <c r="A1431" s="7">
        <v>45582</v>
      </c>
      <c r="B1431" s="8">
        <v>3.8</v>
      </c>
      <c r="C1431" s="10">
        <f t="shared" si="44"/>
        <v>0</v>
      </c>
      <c r="E1431" s="7">
        <v>45582</v>
      </c>
      <c r="F1431" s="9">
        <v>85585.43</v>
      </c>
      <c r="G1431" s="10">
        <f t="shared" si="45"/>
        <v>-7.1947712017982396E-3</v>
      </c>
      <c r="K1431" s="13"/>
      <c r="L1431" s="13"/>
      <c r="M1431" s="13"/>
    </row>
    <row r="1432" spans="1:13" x14ac:dyDescent="0.3">
      <c r="A1432" s="7">
        <v>45583</v>
      </c>
      <c r="B1432" s="8">
        <v>3.71</v>
      </c>
      <c r="C1432" s="10">
        <f t="shared" si="44"/>
        <v>-2.3684210526315752E-2</v>
      </c>
      <c r="E1432" s="7">
        <v>45583</v>
      </c>
      <c r="F1432" s="9">
        <v>85250.09</v>
      </c>
      <c r="G1432" s="10">
        <f t="shared" si="45"/>
        <v>-3.9181902807521856E-3</v>
      </c>
      <c r="K1432" s="13"/>
      <c r="L1432" s="13"/>
      <c r="M1432" s="13"/>
    </row>
    <row r="1433" spans="1:13" x14ac:dyDescent="0.3">
      <c r="A1433" s="7">
        <v>45586</v>
      </c>
      <c r="B1433" s="8">
        <v>3.76</v>
      </c>
      <c r="C1433" s="10">
        <f t="shared" si="44"/>
        <v>1.3477088948787014E-2</v>
      </c>
      <c r="E1433" s="7">
        <v>45586</v>
      </c>
      <c r="F1433" s="9">
        <v>86057.52</v>
      </c>
      <c r="G1433" s="10">
        <f t="shared" si="45"/>
        <v>9.4713096490573519E-3</v>
      </c>
      <c r="K1433" s="13"/>
      <c r="L1433" s="13"/>
      <c r="M1433" s="13"/>
    </row>
    <row r="1434" spans="1:13" x14ac:dyDescent="0.3">
      <c r="A1434" s="7">
        <v>45587</v>
      </c>
      <c r="B1434" s="8">
        <v>3.77</v>
      </c>
      <c r="C1434" s="10">
        <f t="shared" si="44"/>
        <v>2.6595744680851679E-3</v>
      </c>
      <c r="E1434" s="7">
        <v>45587</v>
      </c>
      <c r="F1434" s="9">
        <v>86466.58</v>
      </c>
      <c r="G1434" s="10">
        <f t="shared" si="45"/>
        <v>4.7533324223147221E-3</v>
      </c>
      <c r="K1434" s="13"/>
      <c r="L1434" s="13"/>
      <c r="M1434" s="13"/>
    </row>
    <row r="1435" spans="1:13" x14ac:dyDescent="0.3">
      <c r="A1435" s="7">
        <v>45588</v>
      </c>
      <c r="B1435" s="8">
        <v>3.83</v>
      </c>
      <c r="C1435" s="10">
        <f t="shared" si="44"/>
        <v>1.5915119363395239E-2</v>
      </c>
      <c r="E1435" s="7">
        <v>45588</v>
      </c>
      <c r="F1435" s="9">
        <v>87194.54</v>
      </c>
      <c r="G1435" s="10">
        <f t="shared" si="45"/>
        <v>8.4189752850175395E-3</v>
      </c>
      <c r="K1435" s="13"/>
      <c r="L1435" s="13"/>
      <c r="M1435" s="13"/>
    </row>
    <row r="1436" spans="1:13" x14ac:dyDescent="0.3">
      <c r="A1436" s="7">
        <v>45589</v>
      </c>
      <c r="B1436" s="8">
        <v>3.85</v>
      </c>
      <c r="C1436" s="10">
        <f t="shared" si="44"/>
        <v>5.2219321148825109E-3</v>
      </c>
      <c r="E1436" s="7">
        <v>45589</v>
      </c>
      <c r="F1436" s="9">
        <v>88945.99</v>
      </c>
      <c r="G1436" s="10">
        <f t="shared" si="45"/>
        <v>2.0086693501680401E-2</v>
      </c>
      <c r="K1436" s="13"/>
      <c r="L1436" s="13"/>
      <c r="M1436" s="13"/>
    </row>
    <row r="1437" spans="1:13" x14ac:dyDescent="0.3">
      <c r="A1437" s="7">
        <v>45590</v>
      </c>
      <c r="B1437" s="8">
        <v>3.83</v>
      </c>
      <c r="C1437" s="10">
        <f t="shared" si="44"/>
        <v>-5.1948051948051991E-3</v>
      </c>
      <c r="E1437" s="7">
        <v>45590</v>
      </c>
      <c r="F1437" s="9">
        <v>89993.97</v>
      </c>
      <c r="G1437" s="10">
        <f t="shared" si="45"/>
        <v>1.1782206257977407E-2</v>
      </c>
      <c r="K1437" s="13"/>
      <c r="L1437" s="13"/>
      <c r="M1437" s="13"/>
    </row>
    <row r="1438" spans="1:13" x14ac:dyDescent="0.3">
      <c r="A1438" s="7">
        <v>45593</v>
      </c>
      <c r="B1438" s="8">
        <v>3.78</v>
      </c>
      <c r="C1438" s="10">
        <f t="shared" si="44"/>
        <v>-1.3054830287206335E-2</v>
      </c>
      <c r="E1438" s="7">
        <v>45593</v>
      </c>
      <c r="F1438" s="9">
        <v>90195.520000000004</v>
      </c>
      <c r="G1438" s="10">
        <f t="shared" si="45"/>
        <v>2.239594497275794E-3</v>
      </c>
      <c r="K1438" s="13"/>
      <c r="L1438" s="13"/>
      <c r="M1438" s="13"/>
    </row>
    <row r="1439" spans="1:13" x14ac:dyDescent="0.3">
      <c r="A1439" s="7">
        <v>45594</v>
      </c>
      <c r="B1439" s="8">
        <v>3.74</v>
      </c>
      <c r="C1439" s="10">
        <f t="shared" si="44"/>
        <v>-1.0582010582010474E-2</v>
      </c>
      <c r="E1439" s="7">
        <v>45594</v>
      </c>
      <c r="F1439" s="9">
        <v>90864.09</v>
      </c>
      <c r="G1439" s="10">
        <f t="shared" si="45"/>
        <v>7.4124524144879083E-3</v>
      </c>
      <c r="K1439" s="13"/>
      <c r="L1439" s="13"/>
      <c r="M1439" s="13"/>
    </row>
    <row r="1440" spans="1:13" x14ac:dyDescent="0.3">
      <c r="A1440" s="7">
        <v>45595</v>
      </c>
      <c r="B1440" s="8">
        <v>3.71</v>
      </c>
      <c r="C1440" s="10">
        <f t="shared" si="44"/>
        <v>-8.0213903743316176E-3</v>
      </c>
      <c r="E1440" s="7">
        <v>45595</v>
      </c>
      <c r="F1440" s="9">
        <v>90286.57</v>
      </c>
      <c r="G1440" s="10">
        <f t="shared" si="45"/>
        <v>-6.3558662173361282E-3</v>
      </c>
      <c r="K1440" s="13"/>
      <c r="L1440" s="13"/>
      <c r="M1440" s="13"/>
    </row>
    <row r="1441" spans="1:13" x14ac:dyDescent="0.3">
      <c r="A1441" s="7">
        <v>45596</v>
      </c>
      <c r="B1441" s="8">
        <v>3.73</v>
      </c>
      <c r="C1441" s="10">
        <f t="shared" si="44"/>
        <v>5.3908355795148294E-3</v>
      </c>
      <c r="E1441" s="7">
        <v>45596</v>
      </c>
      <c r="F1441" s="9">
        <v>88966.77</v>
      </c>
      <c r="G1441" s="10">
        <f t="shared" si="45"/>
        <v>-1.4617899428453233E-2</v>
      </c>
      <c r="K1441" s="13"/>
      <c r="L1441" s="13"/>
      <c r="M1441" s="13"/>
    </row>
    <row r="1442" spans="1:13" x14ac:dyDescent="0.3">
      <c r="A1442" s="7">
        <v>45597</v>
      </c>
      <c r="B1442" s="8">
        <v>3.76</v>
      </c>
      <c r="C1442" s="10">
        <f t="shared" si="44"/>
        <v>8.0428954423591974E-3</v>
      </c>
      <c r="E1442" s="7">
        <v>45597</v>
      </c>
      <c r="F1442" s="9">
        <v>90859.85</v>
      </c>
      <c r="G1442" s="10">
        <f t="shared" si="45"/>
        <v>2.1278506570486955E-2</v>
      </c>
      <c r="K1442" s="13"/>
      <c r="L1442" s="13"/>
      <c r="M1442" s="13"/>
    </row>
    <row r="1443" spans="1:13" x14ac:dyDescent="0.3">
      <c r="A1443" s="7">
        <v>45600</v>
      </c>
      <c r="B1443" s="8">
        <v>3.77</v>
      </c>
      <c r="C1443" s="10">
        <f t="shared" si="44"/>
        <v>2.6595744680851679E-3</v>
      </c>
      <c r="E1443" s="7">
        <v>45600</v>
      </c>
      <c r="F1443" s="9">
        <v>91938.01</v>
      </c>
      <c r="G1443" s="10">
        <f t="shared" si="45"/>
        <v>1.1866187320361951E-2</v>
      </c>
      <c r="K1443" s="13"/>
      <c r="L1443" s="13"/>
      <c r="M1443" s="13"/>
    </row>
    <row r="1444" spans="1:13" x14ac:dyDescent="0.3">
      <c r="A1444" s="7">
        <v>45601</v>
      </c>
      <c r="B1444" s="8">
        <v>3.86</v>
      </c>
      <c r="C1444" s="10">
        <f t="shared" si="44"/>
        <v>2.3872679045092802E-2</v>
      </c>
      <c r="E1444" s="7">
        <v>45601</v>
      </c>
      <c r="F1444" s="9">
        <v>92304.320000000007</v>
      </c>
      <c r="G1444" s="10">
        <f t="shared" si="45"/>
        <v>3.9843150836091868E-3</v>
      </c>
      <c r="K1444" s="13"/>
      <c r="L1444" s="13"/>
      <c r="M1444" s="13"/>
    </row>
    <row r="1445" spans="1:13" x14ac:dyDescent="0.3">
      <c r="A1445" s="7">
        <v>45602</v>
      </c>
      <c r="B1445" s="8">
        <v>4.1100000000000003</v>
      </c>
      <c r="C1445" s="10">
        <f t="shared" si="44"/>
        <v>6.4766839378238461E-2</v>
      </c>
      <c r="E1445" s="7">
        <v>45602</v>
      </c>
      <c r="F1445" s="9">
        <v>92021.440000000002</v>
      </c>
      <c r="G1445" s="10">
        <f t="shared" si="45"/>
        <v>-3.0646452950414955E-3</v>
      </c>
      <c r="K1445" s="13"/>
      <c r="L1445" s="13"/>
      <c r="M1445" s="13"/>
    </row>
    <row r="1446" spans="1:13" x14ac:dyDescent="0.3">
      <c r="A1446" s="7">
        <v>45603</v>
      </c>
      <c r="B1446" s="8">
        <v>4.0199999999999996</v>
      </c>
      <c r="C1446" s="10">
        <f t="shared" si="44"/>
        <v>-2.1897810218978284E-2</v>
      </c>
      <c r="E1446" s="7">
        <v>45603</v>
      </c>
      <c r="F1446" s="9">
        <v>92520.49</v>
      </c>
      <c r="G1446" s="10">
        <f t="shared" si="45"/>
        <v>5.423192682053257E-3</v>
      </c>
      <c r="K1446" s="13"/>
      <c r="L1446" s="13"/>
      <c r="M1446" s="13"/>
    </row>
    <row r="1447" spans="1:13" x14ac:dyDescent="0.3">
      <c r="A1447" s="7">
        <v>45604</v>
      </c>
      <c r="B1447" s="8">
        <v>4.12</v>
      </c>
      <c r="C1447" s="10">
        <f t="shared" si="44"/>
        <v>2.48756218905474E-2</v>
      </c>
      <c r="E1447" s="7">
        <v>45604</v>
      </c>
      <c r="F1447" s="9">
        <v>93291.68</v>
      </c>
      <c r="G1447" s="10">
        <f t="shared" si="45"/>
        <v>8.3353427981195053E-3</v>
      </c>
      <c r="K1447" s="13"/>
      <c r="L1447" s="13"/>
      <c r="M1447" s="13"/>
    </row>
    <row r="1448" spans="1:13" x14ac:dyDescent="0.3">
      <c r="A1448" s="7">
        <v>45607</v>
      </c>
      <c r="B1448" s="8">
        <v>4.5199999999999996</v>
      </c>
      <c r="C1448" s="10">
        <f t="shared" si="44"/>
        <v>9.7087378640776573E-2</v>
      </c>
      <c r="E1448" s="7">
        <v>45607</v>
      </c>
      <c r="F1448" s="9">
        <v>93648.33</v>
      </c>
      <c r="G1448" s="10">
        <f t="shared" si="45"/>
        <v>3.8229561307075695E-3</v>
      </c>
      <c r="K1448" s="13"/>
      <c r="L1448" s="13"/>
      <c r="M1448" s="13"/>
    </row>
    <row r="1449" spans="1:13" x14ac:dyDescent="0.3">
      <c r="A1449" s="7">
        <v>45608</v>
      </c>
      <c r="B1449" s="8">
        <v>4.5999999999999996</v>
      </c>
      <c r="C1449" s="10">
        <f t="shared" si="44"/>
        <v>1.7699115044247805E-2</v>
      </c>
      <c r="E1449" s="7">
        <v>45608</v>
      </c>
      <c r="F1449" s="9">
        <v>93224.56</v>
      </c>
      <c r="G1449" s="10">
        <f t="shared" si="45"/>
        <v>-4.5251207362694461E-3</v>
      </c>
      <c r="K1449" s="13"/>
      <c r="L1449" s="13"/>
      <c r="M1449" s="13"/>
    </row>
    <row r="1450" spans="1:13" x14ac:dyDescent="0.3">
      <c r="A1450" s="7">
        <v>45609</v>
      </c>
      <c r="B1450" s="8">
        <v>4.51</v>
      </c>
      <c r="C1450" s="10">
        <f t="shared" si="44"/>
        <v>-1.9565217391304318E-2</v>
      </c>
      <c r="E1450" s="7">
        <v>45609</v>
      </c>
      <c r="F1450" s="9">
        <v>93355.43</v>
      </c>
      <c r="G1450" s="10">
        <f t="shared" si="45"/>
        <v>1.4038146170922701E-3</v>
      </c>
      <c r="K1450" s="13"/>
      <c r="L1450" s="13"/>
      <c r="M1450" s="13"/>
    </row>
    <row r="1451" spans="1:13" x14ac:dyDescent="0.3">
      <c r="A1451" s="7">
        <v>45610</v>
      </c>
      <c r="B1451" s="8">
        <v>4.5999999999999996</v>
      </c>
      <c r="C1451" s="10">
        <f t="shared" si="44"/>
        <v>1.9955654101995533E-2</v>
      </c>
      <c r="E1451" s="7">
        <v>45610</v>
      </c>
      <c r="F1451" s="9">
        <v>94191.89</v>
      </c>
      <c r="G1451" s="10">
        <f t="shared" si="45"/>
        <v>8.9599501603710302E-3</v>
      </c>
      <c r="K1451" s="13"/>
      <c r="L1451" s="13"/>
      <c r="M1451" s="13"/>
    </row>
    <row r="1452" spans="1:13" x14ac:dyDescent="0.3">
      <c r="A1452" s="7">
        <v>45611</v>
      </c>
      <c r="B1452" s="8">
        <v>4.45</v>
      </c>
      <c r="C1452" s="10">
        <f t="shared" si="44"/>
        <v>-3.2608695652173801E-2</v>
      </c>
      <c r="E1452" s="7">
        <v>45611</v>
      </c>
      <c r="F1452" s="9">
        <v>94763.64</v>
      </c>
      <c r="G1452" s="10">
        <f t="shared" si="45"/>
        <v>6.0700555005319462E-3</v>
      </c>
      <c r="K1452" s="13"/>
      <c r="L1452" s="13"/>
      <c r="M1452" s="13"/>
    </row>
    <row r="1453" spans="1:13" x14ac:dyDescent="0.3">
      <c r="A1453" s="7">
        <v>45614</v>
      </c>
      <c r="B1453" s="8">
        <v>4.51</v>
      </c>
      <c r="C1453" s="10">
        <f t="shared" si="44"/>
        <v>1.3483146067415642E-2</v>
      </c>
      <c r="E1453" s="7">
        <v>45614</v>
      </c>
      <c r="F1453" s="9">
        <v>94995.67</v>
      </c>
      <c r="G1453" s="10">
        <f t="shared" si="45"/>
        <v>2.4485129528582783E-3</v>
      </c>
      <c r="K1453" s="13"/>
      <c r="L1453" s="13"/>
      <c r="M1453" s="13"/>
    </row>
    <row r="1454" spans="1:13" x14ac:dyDescent="0.3">
      <c r="A1454" s="7">
        <v>45615</v>
      </c>
      <c r="B1454" s="8">
        <v>4.6399999999999997</v>
      </c>
      <c r="C1454" s="10">
        <f t="shared" si="44"/>
        <v>2.8824833702882462E-2</v>
      </c>
      <c r="E1454" s="7">
        <v>45615</v>
      </c>
      <c r="F1454" s="9">
        <v>95856.67</v>
      </c>
      <c r="G1454" s="10">
        <f t="shared" si="45"/>
        <v>9.0635710027625466E-3</v>
      </c>
      <c r="K1454" s="13"/>
      <c r="L1454" s="13"/>
      <c r="M1454" s="13"/>
    </row>
    <row r="1455" spans="1:13" x14ac:dyDescent="0.3">
      <c r="A1455" s="7">
        <v>45616</v>
      </c>
      <c r="B1455" s="8">
        <v>4.47</v>
      </c>
      <c r="C1455" s="10">
        <f t="shared" si="44"/>
        <v>-3.6637931034482749E-2</v>
      </c>
      <c r="E1455" s="7">
        <v>45616</v>
      </c>
      <c r="F1455" s="9">
        <v>95546.46</v>
      </c>
      <c r="G1455" s="10">
        <f t="shared" si="45"/>
        <v>-3.2361858595754667E-3</v>
      </c>
      <c r="K1455" s="13"/>
      <c r="L1455" s="13"/>
      <c r="M1455" s="13"/>
    </row>
    <row r="1456" spans="1:13" x14ac:dyDescent="0.3">
      <c r="A1456" s="7">
        <v>45617</v>
      </c>
      <c r="B1456" s="8">
        <v>4.63</v>
      </c>
      <c r="C1456" s="10">
        <f t="shared" si="44"/>
        <v>3.5794183445190191E-2</v>
      </c>
      <c r="E1456" s="7">
        <v>45617</v>
      </c>
      <c r="F1456" s="9">
        <v>97328.4</v>
      </c>
      <c r="G1456" s="10">
        <f t="shared" si="45"/>
        <v>1.8649984520619473E-2</v>
      </c>
      <c r="K1456" s="13"/>
      <c r="L1456" s="13"/>
      <c r="M1456" s="13"/>
    </row>
    <row r="1457" spans="1:13" x14ac:dyDescent="0.3">
      <c r="A1457" s="7">
        <v>45618</v>
      </c>
      <c r="B1457" s="8">
        <v>4.49</v>
      </c>
      <c r="C1457" s="10">
        <f t="shared" si="44"/>
        <v>-3.023758099352045E-2</v>
      </c>
      <c r="E1457" s="7">
        <v>45618</v>
      </c>
      <c r="F1457" s="9">
        <v>97798.23</v>
      </c>
      <c r="G1457" s="10">
        <f t="shared" si="45"/>
        <v>4.8272652175521411E-3</v>
      </c>
      <c r="K1457" s="13"/>
      <c r="L1457" s="13"/>
      <c r="M1457" s="13"/>
    </row>
    <row r="1458" spans="1:13" x14ac:dyDescent="0.3">
      <c r="A1458" s="7">
        <v>45621</v>
      </c>
      <c r="B1458" s="8">
        <v>4.71</v>
      </c>
      <c r="C1458" s="10">
        <f t="shared" si="44"/>
        <v>4.8997772828507737E-2</v>
      </c>
      <c r="E1458" s="7">
        <v>45621</v>
      </c>
      <c r="F1458" s="9">
        <v>98079.78</v>
      </c>
      <c r="G1458" s="10">
        <f t="shared" si="45"/>
        <v>2.8788864583745833E-3</v>
      </c>
      <c r="K1458" s="13"/>
      <c r="L1458" s="13"/>
      <c r="M1458" s="13"/>
    </row>
    <row r="1459" spans="1:13" x14ac:dyDescent="0.3">
      <c r="A1459" s="7">
        <v>45622</v>
      </c>
      <c r="B1459" s="8">
        <v>4.45</v>
      </c>
      <c r="C1459" s="10">
        <f t="shared" si="44"/>
        <v>-5.5201698513800378E-2</v>
      </c>
      <c r="E1459" s="7">
        <v>45622</v>
      </c>
      <c r="F1459" s="9">
        <v>94574.16</v>
      </c>
      <c r="G1459" s="10">
        <f t="shared" si="45"/>
        <v>-3.5742535311559583E-2</v>
      </c>
      <c r="K1459" s="13"/>
      <c r="L1459" s="13"/>
      <c r="M1459" s="13"/>
    </row>
    <row r="1460" spans="1:13" x14ac:dyDescent="0.3">
      <c r="A1460" s="7">
        <v>45623</v>
      </c>
      <c r="B1460" s="8">
        <v>4.66</v>
      </c>
      <c r="C1460" s="10">
        <f t="shared" si="44"/>
        <v>4.7191011235955045E-2</v>
      </c>
      <c r="E1460" s="7">
        <v>45623</v>
      </c>
      <c r="F1460" s="9">
        <v>99269.25</v>
      </c>
      <c r="G1460" s="10">
        <f t="shared" si="45"/>
        <v>4.9644532925272572E-2</v>
      </c>
      <c r="K1460" s="13"/>
      <c r="L1460" s="13"/>
      <c r="M1460" s="13"/>
    </row>
    <row r="1461" spans="1:13" x14ac:dyDescent="0.3">
      <c r="A1461" s="7">
        <v>45624</v>
      </c>
      <c r="B1461" s="8">
        <v>4.6900000000000004</v>
      </c>
      <c r="C1461" s="10">
        <f t="shared" si="44"/>
        <v>6.4377682403434005E-3</v>
      </c>
      <c r="E1461" s="7">
        <v>45624</v>
      </c>
      <c r="F1461" s="9">
        <v>100082.77</v>
      </c>
      <c r="G1461" s="10">
        <f t="shared" si="45"/>
        <v>8.1950855879338678E-3</v>
      </c>
      <c r="K1461" s="13"/>
      <c r="L1461" s="13"/>
      <c r="M1461" s="13"/>
    </row>
    <row r="1462" spans="1:13" x14ac:dyDescent="0.3">
      <c r="A1462" s="7">
        <v>45625</v>
      </c>
      <c r="B1462" s="8">
        <v>4.72</v>
      </c>
      <c r="C1462" s="10">
        <f t="shared" si="44"/>
        <v>6.3965884861405878E-3</v>
      </c>
      <c r="E1462" s="7">
        <v>45625</v>
      </c>
      <c r="F1462" s="9">
        <v>101357.32</v>
      </c>
      <c r="G1462" s="10">
        <f t="shared" si="45"/>
        <v>1.2734959274208766E-2</v>
      </c>
      <c r="K1462" s="13"/>
      <c r="L1462" s="13"/>
      <c r="M1462" s="13"/>
    </row>
    <row r="1463" spans="1:13" x14ac:dyDescent="0.3">
      <c r="A1463" s="7">
        <v>45628</v>
      </c>
      <c r="B1463" s="8">
        <v>5.72</v>
      </c>
      <c r="C1463" s="10">
        <f t="shared" si="44"/>
        <v>0.21186440677966104</v>
      </c>
      <c r="E1463" s="7">
        <v>45628</v>
      </c>
      <c r="F1463" s="9">
        <v>103274.95</v>
      </c>
      <c r="G1463" s="10">
        <f t="shared" si="45"/>
        <v>1.8919501817924841E-2</v>
      </c>
      <c r="K1463" s="13"/>
      <c r="L1463" s="13"/>
      <c r="M1463" s="13"/>
    </row>
    <row r="1464" spans="1:13" x14ac:dyDescent="0.3">
      <c r="A1464" s="7">
        <v>45629</v>
      </c>
      <c r="B1464" s="8">
        <v>6.72</v>
      </c>
      <c r="C1464" s="10">
        <f t="shared" si="44"/>
        <v>0.17482517482517484</v>
      </c>
      <c r="E1464" s="7">
        <v>45629</v>
      </c>
      <c r="F1464" s="9">
        <v>104559.07</v>
      </c>
      <c r="G1464" s="10">
        <f t="shared" si="45"/>
        <v>1.2433992947951172E-2</v>
      </c>
      <c r="K1464" s="13"/>
      <c r="L1464" s="13"/>
      <c r="M1464" s="13"/>
    </row>
    <row r="1465" spans="1:13" x14ac:dyDescent="0.3">
      <c r="A1465" s="7">
        <v>45630</v>
      </c>
      <c r="B1465" s="8">
        <v>6.85</v>
      </c>
      <c r="C1465" s="10">
        <f t="shared" si="44"/>
        <v>1.9345238095238079E-2</v>
      </c>
      <c r="E1465" s="7">
        <v>45630</v>
      </c>
      <c r="F1465" s="9">
        <v>105104.34</v>
      </c>
      <c r="G1465" s="10">
        <f t="shared" si="45"/>
        <v>5.2149469194780473E-3</v>
      </c>
      <c r="K1465" s="13"/>
      <c r="L1465" s="13"/>
      <c r="M1465" s="13"/>
    </row>
    <row r="1466" spans="1:13" x14ac:dyDescent="0.3">
      <c r="A1466" s="7">
        <v>45631</v>
      </c>
      <c r="B1466" s="8">
        <v>6.87</v>
      </c>
      <c r="C1466" s="10">
        <f t="shared" si="44"/>
        <v>2.9197080291971478E-3</v>
      </c>
      <c r="E1466" s="7">
        <v>45631</v>
      </c>
      <c r="F1466" s="9">
        <v>108238.97</v>
      </c>
      <c r="G1466" s="10">
        <f t="shared" si="45"/>
        <v>2.9823982530122018E-2</v>
      </c>
      <c r="K1466" s="13"/>
      <c r="L1466" s="13"/>
      <c r="M1466" s="13"/>
    </row>
    <row r="1467" spans="1:13" x14ac:dyDescent="0.3">
      <c r="A1467" s="7">
        <v>45632</v>
      </c>
      <c r="B1467" s="8">
        <v>6.87</v>
      </c>
      <c r="C1467" s="10">
        <f t="shared" si="44"/>
        <v>0</v>
      </c>
      <c r="E1467" s="7">
        <v>45632</v>
      </c>
      <c r="F1467" s="9">
        <v>109053.95</v>
      </c>
      <c r="G1467" s="10">
        <f t="shared" si="45"/>
        <v>7.5294508068581576E-3</v>
      </c>
      <c r="K1467" s="13"/>
      <c r="L1467" s="13"/>
      <c r="M1467" s="13"/>
    </row>
    <row r="1468" spans="1:13" x14ac:dyDescent="0.3">
      <c r="A1468" s="7">
        <v>45635</v>
      </c>
      <c r="B1468" s="8">
        <v>7.13</v>
      </c>
      <c r="C1468" s="10">
        <f t="shared" si="44"/>
        <v>3.7845705967976678E-2</v>
      </c>
      <c r="E1468" s="7">
        <v>45635</v>
      </c>
      <c r="F1468" s="9">
        <v>109970.39</v>
      </c>
      <c r="G1468" s="10">
        <f t="shared" si="45"/>
        <v>8.403547051711582E-3</v>
      </c>
      <c r="K1468" s="13"/>
      <c r="L1468" s="13"/>
      <c r="M1468" s="13"/>
    </row>
    <row r="1469" spans="1:13" x14ac:dyDescent="0.3">
      <c r="A1469" s="7">
        <v>45636</v>
      </c>
      <c r="B1469" s="8">
        <v>6.94</v>
      </c>
      <c r="C1469" s="10">
        <f t="shared" si="44"/>
        <v>-2.664796633941087E-2</v>
      </c>
      <c r="E1469" s="7">
        <v>45636</v>
      </c>
      <c r="F1469" s="9">
        <v>108896.65</v>
      </c>
      <c r="G1469" s="10">
        <f t="shared" si="45"/>
        <v>-9.7639009918943209E-3</v>
      </c>
      <c r="K1469" s="13"/>
      <c r="L1469" s="13"/>
      <c r="M1469" s="13"/>
    </row>
    <row r="1470" spans="1:13" x14ac:dyDescent="0.3">
      <c r="A1470" s="7">
        <v>45637</v>
      </c>
      <c r="B1470" s="8">
        <v>7.11</v>
      </c>
      <c r="C1470" s="10">
        <f t="shared" si="44"/>
        <v>2.4495677233429384E-2</v>
      </c>
      <c r="E1470" s="7">
        <v>45637</v>
      </c>
      <c r="F1470" s="9">
        <v>110810.22</v>
      </c>
      <c r="G1470" s="10">
        <f t="shared" si="45"/>
        <v>1.7572349562635831E-2</v>
      </c>
      <c r="K1470" s="13"/>
      <c r="L1470" s="13"/>
      <c r="M1470" s="13"/>
    </row>
    <row r="1471" spans="1:13" x14ac:dyDescent="0.3">
      <c r="A1471" s="7">
        <v>45638</v>
      </c>
      <c r="B1471" s="8">
        <v>7.21</v>
      </c>
      <c r="C1471" s="10">
        <f t="shared" si="44"/>
        <v>1.4064697609001356E-2</v>
      </c>
      <c r="E1471" s="7">
        <v>45638</v>
      </c>
      <c r="F1471" s="9">
        <v>114180.51</v>
      </c>
      <c r="G1471" s="10">
        <f t="shared" si="45"/>
        <v>3.0414974358863232E-2</v>
      </c>
      <c r="K1471" s="13"/>
      <c r="L1471" s="13"/>
      <c r="M1471" s="13"/>
    </row>
    <row r="1472" spans="1:13" x14ac:dyDescent="0.3">
      <c r="A1472" s="7">
        <v>45639</v>
      </c>
      <c r="B1472" s="8">
        <v>7.01</v>
      </c>
      <c r="C1472" s="10">
        <f t="shared" si="44"/>
        <v>-2.773925104022194E-2</v>
      </c>
      <c r="E1472" s="7">
        <v>45639</v>
      </c>
      <c r="F1472" s="9">
        <v>114301.8</v>
      </c>
      <c r="G1472" s="10">
        <f t="shared" si="45"/>
        <v>1.0622653550943866E-3</v>
      </c>
      <c r="K1472" s="13"/>
      <c r="L1472" s="13"/>
      <c r="M1472" s="13"/>
    </row>
    <row r="1473" spans="1:13" x14ac:dyDescent="0.3">
      <c r="A1473" s="7">
        <v>45642</v>
      </c>
      <c r="B1473" s="8">
        <v>7.12</v>
      </c>
      <c r="C1473" s="10">
        <f t="shared" si="44"/>
        <v>1.5691868758915879E-2</v>
      </c>
      <c r="E1473" s="7">
        <v>45642</v>
      </c>
      <c r="F1473" s="9">
        <v>116169.41</v>
      </c>
      <c r="G1473" s="10">
        <f t="shared" si="45"/>
        <v>1.6339287745249859E-2</v>
      </c>
      <c r="K1473" s="13"/>
      <c r="L1473" s="13"/>
      <c r="M1473" s="13"/>
    </row>
    <row r="1474" spans="1:13" x14ac:dyDescent="0.3">
      <c r="A1474" s="7">
        <v>45643</v>
      </c>
      <c r="B1474" s="8">
        <v>7.08</v>
      </c>
      <c r="C1474" s="10">
        <f t="shared" si="44"/>
        <v>-5.6179775280898927E-3</v>
      </c>
      <c r="E1474" s="7">
        <v>45643</v>
      </c>
      <c r="F1474" s="9">
        <v>114860.69</v>
      </c>
      <c r="G1474" s="10">
        <f t="shared" si="45"/>
        <v>-1.1265616309835792E-2</v>
      </c>
      <c r="K1474" s="13"/>
      <c r="L1474" s="13"/>
      <c r="M1474" s="13"/>
    </row>
    <row r="1475" spans="1:13" x14ac:dyDescent="0.3">
      <c r="A1475" s="7">
        <v>45644</v>
      </c>
      <c r="B1475" s="8">
        <v>6.54</v>
      </c>
      <c r="C1475" s="10">
        <f t="shared" si="44"/>
        <v>-7.6271186440677971E-2</v>
      </c>
      <c r="E1475" s="7">
        <v>45644</v>
      </c>
      <c r="F1475" s="9">
        <v>111070.29</v>
      </c>
      <c r="G1475" s="10">
        <f t="shared" si="45"/>
        <v>-3.2999975883829434E-2</v>
      </c>
      <c r="K1475" s="13"/>
      <c r="L1475" s="13"/>
      <c r="M1475" s="13"/>
    </row>
    <row r="1476" spans="1:13" x14ac:dyDescent="0.3">
      <c r="A1476" s="7">
        <v>45645</v>
      </c>
      <c r="B1476" s="8">
        <v>5.84</v>
      </c>
      <c r="C1476" s="10">
        <f t="shared" si="44"/>
        <v>-0.10703363914373092</v>
      </c>
      <c r="E1476" s="7">
        <v>45645</v>
      </c>
      <c r="F1476" s="9">
        <v>106274.98</v>
      </c>
      <c r="G1476" s="10">
        <f t="shared" si="45"/>
        <v>-4.3173651567849497E-2</v>
      </c>
      <c r="K1476" s="13"/>
      <c r="L1476" s="13"/>
      <c r="M1476" s="13"/>
    </row>
    <row r="1477" spans="1:13" x14ac:dyDescent="0.3">
      <c r="A1477" s="7">
        <v>45646</v>
      </c>
      <c r="B1477" s="8">
        <v>5.91</v>
      </c>
      <c r="C1477" s="10">
        <f t="shared" ref="C1477:C1540" si="46">(B1477-B1476)/B1476</f>
        <v>1.1986301369863063E-2</v>
      </c>
      <c r="E1477" s="7">
        <v>45646</v>
      </c>
      <c r="F1477" s="9">
        <v>109513.15</v>
      </c>
      <c r="G1477" s="10">
        <f t="shared" ref="G1477:G1540" si="47">(F1477-F1476)/F1476</f>
        <v>3.0469730504771662E-2</v>
      </c>
      <c r="K1477" s="13"/>
      <c r="L1477" s="13"/>
      <c r="M1477" s="13"/>
    </row>
    <row r="1478" spans="1:13" x14ac:dyDescent="0.3">
      <c r="A1478" s="7">
        <v>45649</v>
      </c>
      <c r="B1478" s="8">
        <v>6.79</v>
      </c>
      <c r="C1478" s="10">
        <f t="shared" si="46"/>
        <v>0.1489001692047377</v>
      </c>
      <c r="E1478" s="7">
        <v>45649</v>
      </c>
      <c r="F1478" s="9">
        <v>113924.42</v>
      </c>
      <c r="G1478" s="10">
        <f t="shared" si="47"/>
        <v>4.02807334096408E-2</v>
      </c>
      <c r="K1478" s="13"/>
      <c r="L1478" s="13"/>
      <c r="M1478" s="13"/>
    </row>
    <row r="1479" spans="1:13" x14ac:dyDescent="0.3">
      <c r="A1479" s="7">
        <v>45650</v>
      </c>
      <c r="B1479" s="8">
        <v>6.48</v>
      </c>
      <c r="C1479" s="10">
        <f t="shared" si="46"/>
        <v>-4.5655375552282711E-2</v>
      </c>
      <c r="E1479" s="7">
        <v>45650</v>
      </c>
      <c r="F1479" s="9">
        <v>112414.81</v>
      </c>
      <c r="G1479" s="10">
        <f t="shared" si="47"/>
        <v>-1.3250978148495298E-2</v>
      </c>
      <c r="K1479" s="13"/>
      <c r="L1479" s="13"/>
      <c r="M1479" s="13"/>
    </row>
    <row r="1480" spans="1:13" x14ac:dyDescent="0.3">
      <c r="A1480" s="7">
        <v>45652</v>
      </c>
      <c r="B1480" s="8">
        <v>6.29</v>
      </c>
      <c r="C1480" s="10">
        <f t="shared" si="46"/>
        <v>-2.9320987654321045E-2</v>
      </c>
      <c r="E1480" s="7">
        <v>45652</v>
      </c>
      <c r="F1480" s="9">
        <v>110423.32</v>
      </c>
      <c r="G1480" s="10">
        <f t="shared" si="47"/>
        <v>-1.7715548333889376E-2</v>
      </c>
      <c r="K1480" s="13"/>
      <c r="L1480" s="13"/>
      <c r="M1480" s="13"/>
    </row>
    <row r="1481" spans="1:13" x14ac:dyDescent="0.3">
      <c r="A1481" s="7">
        <v>45653</v>
      </c>
      <c r="B1481" s="8">
        <v>6.52</v>
      </c>
      <c r="C1481" s="10">
        <f t="shared" si="46"/>
        <v>3.6565977742448255E-2</v>
      </c>
      <c r="E1481" s="7">
        <v>45653</v>
      </c>
      <c r="F1481" s="9">
        <v>111351.18</v>
      </c>
      <c r="G1481" s="10">
        <f t="shared" si="47"/>
        <v>8.4027540559366079E-3</v>
      </c>
      <c r="K1481" s="13"/>
      <c r="L1481" s="13"/>
      <c r="M1481" s="13"/>
    </row>
    <row r="1482" spans="1:13" x14ac:dyDescent="0.3">
      <c r="A1482" s="7">
        <v>45656</v>
      </c>
      <c r="B1482" s="8">
        <v>7.44</v>
      </c>
      <c r="C1482" s="10">
        <f t="shared" si="46"/>
        <v>0.14110429447852774</v>
      </c>
      <c r="E1482" s="7">
        <v>45656</v>
      </c>
      <c r="F1482" s="9">
        <v>115259</v>
      </c>
      <c r="G1482" s="10">
        <f t="shared" si="47"/>
        <v>3.5094554004726372E-2</v>
      </c>
      <c r="K1482" s="13"/>
      <c r="L1482" s="13"/>
      <c r="M1482" s="13"/>
    </row>
    <row r="1483" spans="1:13" x14ac:dyDescent="0.3">
      <c r="A1483" s="7">
        <v>45657</v>
      </c>
      <c r="B1483" s="8">
        <v>7.85</v>
      </c>
      <c r="C1483" s="10">
        <f t="shared" si="46"/>
        <v>5.5107526881720326E-2</v>
      </c>
      <c r="E1483" s="7">
        <v>45657</v>
      </c>
      <c r="F1483" s="9">
        <v>115126.9</v>
      </c>
      <c r="G1483" s="10">
        <f t="shared" si="47"/>
        <v>-1.1461144032136824E-3</v>
      </c>
      <c r="K1483" s="13"/>
      <c r="L1483" s="13"/>
      <c r="M1483" s="13"/>
    </row>
    <row r="1484" spans="1:13" x14ac:dyDescent="0.3">
      <c r="A1484" s="7">
        <v>45658</v>
      </c>
      <c r="B1484" s="8">
        <v>7.66</v>
      </c>
      <c r="C1484" s="10">
        <f t="shared" si="46"/>
        <v>-2.4203821656050895E-2</v>
      </c>
      <c r="E1484" s="7">
        <v>45658</v>
      </c>
      <c r="F1484" s="9">
        <v>117008.08</v>
      </c>
      <c r="G1484" s="10">
        <f t="shared" si="47"/>
        <v>1.6340056059878341E-2</v>
      </c>
      <c r="K1484" s="13"/>
      <c r="L1484" s="13"/>
      <c r="M1484" s="13"/>
    </row>
    <row r="1485" spans="1:13" x14ac:dyDescent="0.3">
      <c r="A1485" s="7">
        <v>45659</v>
      </c>
      <c r="B1485" s="8">
        <v>7.56</v>
      </c>
      <c r="C1485" s="10">
        <f t="shared" si="46"/>
        <v>-1.3054830287206335E-2</v>
      </c>
      <c r="E1485" s="7">
        <v>45659</v>
      </c>
      <c r="F1485" s="9">
        <v>117119.66</v>
      </c>
      <c r="G1485" s="10">
        <f t="shared" si="47"/>
        <v>9.5360935757600452E-4</v>
      </c>
      <c r="K1485" s="13"/>
      <c r="L1485" s="13"/>
      <c r="M1485" s="13"/>
    </row>
    <row r="1486" spans="1:13" x14ac:dyDescent="0.3">
      <c r="A1486" s="7">
        <v>45660</v>
      </c>
      <c r="B1486" s="8">
        <v>7.55</v>
      </c>
      <c r="C1486" s="10">
        <f t="shared" si="46"/>
        <v>-1.3227513227512947E-3</v>
      </c>
      <c r="E1486" s="7">
        <v>45660</v>
      </c>
      <c r="F1486" s="9">
        <v>117586.98</v>
      </c>
      <c r="G1486" s="10">
        <f t="shared" si="47"/>
        <v>3.9901072117182754E-3</v>
      </c>
      <c r="K1486" s="13"/>
      <c r="L1486" s="13"/>
      <c r="M1486" s="13"/>
    </row>
    <row r="1487" spans="1:13" x14ac:dyDescent="0.3">
      <c r="A1487" s="7">
        <v>45663</v>
      </c>
      <c r="B1487" s="8">
        <v>7.41</v>
      </c>
      <c r="C1487" s="10">
        <f t="shared" si="46"/>
        <v>-1.8543046357615851E-2</v>
      </c>
      <c r="E1487" s="7">
        <v>45663</v>
      </c>
      <c r="F1487" s="9">
        <v>116255.13</v>
      </c>
      <c r="G1487" s="10">
        <f t="shared" si="47"/>
        <v>-1.1326509108406315E-2</v>
      </c>
      <c r="K1487" s="13"/>
      <c r="L1487" s="13"/>
      <c r="M1487" s="13"/>
    </row>
    <row r="1488" spans="1:13" x14ac:dyDescent="0.3">
      <c r="A1488" s="7">
        <v>45664</v>
      </c>
      <c r="B1488" s="8">
        <v>7.35</v>
      </c>
      <c r="C1488" s="10">
        <f t="shared" si="46"/>
        <v>-8.0971659919029017E-3</v>
      </c>
      <c r="E1488" s="7">
        <v>45664</v>
      </c>
      <c r="F1488" s="9">
        <v>116052.68</v>
      </c>
      <c r="G1488" s="10">
        <f t="shared" si="47"/>
        <v>-1.7414285287884641E-3</v>
      </c>
      <c r="K1488" s="13"/>
      <c r="L1488" s="13"/>
      <c r="M1488" s="13"/>
    </row>
    <row r="1489" spans="1:13" x14ac:dyDescent="0.3">
      <c r="A1489" s="7">
        <v>45665</v>
      </c>
      <c r="B1489" s="8">
        <v>7</v>
      </c>
      <c r="C1489" s="10">
        <f t="shared" si="46"/>
        <v>-4.7619047619047575E-2</v>
      </c>
      <c r="E1489" s="7">
        <v>45665</v>
      </c>
      <c r="F1489" s="9">
        <v>114148.46</v>
      </c>
      <c r="G1489" s="10">
        <f t="shared" si="47"/>
        <v>-1.6408238051891493E-2</v>
      </c>
      <c r="K1489" s="13"/>
      <c r="L1489" s="13"/>
      <c r="M1489" s="13"/>
    </row>
    <row r="1490" spans="1:13" x14ac:dyDescent="0.3">
      <c r="A1490" s="7">
        <v>45666</v>
      </c>
      <c r="B1490" s="8">
        <v>6.69</v>
      </c>
      <c r="C1490" s="10">
        <f t="shared" si="46"/>
        <v>-4.4285714285714227E-2</v>
      </c>
      <c r="E1490" s="7">
        <v>45666</v>
      </c>
      <c r="F1490" s="9">
        <v>112638.26</v>
      </c>
      <c r="G1490" s="10">
        <f t="shared" si="47"/>
        <v>-1.3230139066265209E-2</v>
      </c>
      <c r="K1490" s="13"/>
      <c r="L1490" s="13"/>
      <c r="M1490" s="13"/>
    </row>
    <row r="1491" spans="1:13" x14ac:dyDescent="0.3">
      <c r="A1491" s="7">
        <v>45667</v>
      </c>
      <c r="B1491" s="8">
        <v>6.68</v>
      </c>
      <c r="C1491" s="10">
        <f t="shared" si="46"/>
        <v>-1.4947683109119096E-3</v>
      </c>
      <c r="E1491" s="7">
        <v>45667</v>
      </c>
      <c r="F1491" s="9">
        <v>113247.29</v>
      </c>
      <c r="G1491" s="10">
        <f t="shared" si="47"/>
        <v>5.4069549724933509E-3</v>
      </c>
      <c r="K1491" s="13"/>
      <c r="L1491" s="13"/>
      <c r="M1491" s="13"/>
    </row>
    <row r="1492" spans="1:13" x14ac:dyDescent="0.3">
      <c r="A1492" s="7">
        <v>45670</v>
      </c>
      <c r="B1492" s="8">
        <v>6.95</v>
      </c>
      <c r="C1492" s="10">
        <f t="shared" si="46"/>
        <v>4.0419161676646775E-2</v>
      </c>
      <c r="E1492" s="7">
        <v>45670</v>
      </c>
      <c r="F1492" s="9">
        <v>114230.06</v>
      </c>
      <c r="G1492" s="10">
        <f t="shared" si="47"/>
        <v>8.6780884558032619E-3</v>
      </c>
      <c r="K1492" s="13"/>
      <c r="L1492" s="13"/>
      <c r="M1492" s="13"/>
    </row>
    <row r="1493" spans="1:13" x14ac:dyDescent="0.3">
      <c r="A1493" s="7">
        <v>45671</v>
      </c>
      <c r="B1493" s="8">
        <v>7.21</v>
      </c>
      <c r="C1493" s="10">
        <f t="shared" si="46"/>
        <v>3.7410071942446013E-2</v>
      </c>
      <c r="E1493" s="7">
        <v>45671</v>
      </c>
      <c r="F1493" s="9">
        <v>114804.17</v>
      </c>
      <c r="G1493" s="10">
        <f t="shared" si="47"/>
        <v>5.0259099925186118E-3</v>
      </c>
      <c r="K1493" s="13"/>
      <c r="L1493" s="13"/>
      <c r="M1493" s="13"/>
    </row>
    <row r="1494" spans="1:13" x14ac:dyDescent="0.3">
      <c r="A1494" s="7">
        <v>45672</v>
      </c>
      <c r="B1494" s="8">
        <v>7.06</v>
      </c>
      <c r="C1494" s="10">
        <f t="shared" si="46"/>
        <v>-2.0804438280166485E-2</v>
      </c>
      <c r="E1494" s="7">
        <v>45672</v>
      </c>
      <c r="F1494" s="9">
        <v>114495.71</v>
      </c>
      <c r="G1494" s="10">
        <f t="shared" si="47"/>
        <v>-2.6868362011588241E-3</v>
      </c>
      <c r="K1494" s="13"/>
      <c r="L1494" s="13"/>
      <c r="M1494" s="13"/>
    </row>
    <row r="1495" spans="1:13" x14ac:dyDescent="0.3">
      <c r="A1495" s="7">
        <v>45673</v>
      </c>
      <c r="B1495" s="8">
        <v>6.88</v>
      </c>
      <c r="C1495" s="10">
        <f t="shared" si="46"/>
        <v>-2.5495750708215258E-2</v>
      </c>
      <c r="E1495" s="7">
        <v>45673</v>
      </c>
      <c r="F1495" s="9">
        <v>113836.74</v>
      </c>
      <c r="G1495" s="10">
        <f t="shared" si="47"/>
        <v>-5.7554121460096728E-3</v>
      </c>
      <c r="K1495" s="13"/>
      <c r="L1495" s="13"/>
      <c r="M1495" s="13"/>
    </row>
    <row r="1496" spans="1:13" x14ac:dyDescent="0.3">
      <c r="A1496" s="7">
        <v>45674</v>
      </c>
      <c r="B1496" s="8">
        <v>6.91</v>
      </c>
      <c r="C1496" s="10">
        <f t="shared" si="46"/>
        <v>4.3604651162791061E-3</v>
      </c>
      <c r="E1496" s="7">
        <v>45674</v>
      </c>
      <c r="F1496" s="9">
        <v>115272.08</v>
      </c>
      <c r="G1496" s="10">
        <f t="shared" si="47"/>
        <v>1.2608758824260045E-2</v>
      </c>
      <c r="K1496" s="13"/>
      <c r="L1496" s="13"/>
      <c r="M1496" s="13"/>
    </row>
    <row r="1497" spans="1:13" x14ac:dyDescent="0.3">
      <c r="A1497" s="7">
        <v>45677</v>
      </c>
      <c r="B1497" s="8">
        <v>6.89</v>
      </c>
      <c r="C1497" s="10">
        <f t="shared" si="46"/>
        <v>-2.8943560057887786E-3</v>
      </c>
      <c r="E1497" s="7">
        <v>45677</v>
      </c>
      <c r="F1497" s="9">
        <v>115844.82</v>
      </c>
      <c r="G1497" s="10">
        <f t="shared" si="47"/>
        <v>4.9685925681223521E-3</v>
      </c>
      <c r="K1497" s="13"/>
      <c r="L1497" s="13"/>
      <c r="M1497" s="13"/>
    </row>
    <row r="1498" spans="1:13" x14ac:dyDescent="0.3">
      <c r="A1498" s="7">
        <v>45678</v>
      </c>
      <c r="B1498" s="8">
        <v>7.29</v>
      </c>
      <c r="C1498" s="10">
        <f t="shared" si="46"/>
        <v>5.8055152394775093E-2</v>
      </c>
      <c r="E1498" s="7">
        <v>45678</v>
      </c>
      <c r="F1498" s="9">
        <v>115042.25</v>
      </c>
      <c r="G1498" s="10">
        <f t="shared" si="47"/>
        <v>-6.9279748546374961E-3</v>
      </c>
      <c r="K1498" s="13"/>
      <c r="L1498" s="13"/>
      <c r="M1498" s="13"/>
    </row>
    <row r="1499" spans="1:13" x14ac:dyDescent="0.3">
      <c r="A1499" s="7">
        <v>45679</v>
      </c>
      <c r="B1499" s="8">
        <v>7.36</v>
      </c>
      <c r="C1499" s="10">
        <f t="shared" si="46"/>
        <v>9.6021947873800115E-3</v>
      </c>
      <c r="E1499" s="7">
        <v>45679</v>
      </c>
      <c r="F1499" s="9">
        <v>113443.43</v>
      </c>
      <c r="G1499" s="10">
        <f t="shared" si="47"/>
        <v>-1.3897676723117003E-2</v>
      </c>
      <c r="K1499" s="13"/>
      <c r="L1499" s="13"/>
      <c r="M1499" s="13"/>
    </row>
    <row r="1500" spans="1:13" x14ac:dyDescent="0.3">
      <c r="A1500" s="7">
        <v>45680</v>
      </c>
      <c r="B1500" s="8">
        <v>7.93</v>
      </c>
      <c r="C1500" s="10">
        <f t="shared" si="46"/>
        <v>7.7445652173912957E-2</v>
      </c>
      <c r="E1500" s="7">
        <v>45680</v>
      </c>
      <c r="F1500" s="9">
        <v>114037.79</v>
      </c>
      <c r="G1500" s="10">
        <f t="shared" si="47"/>
        <v>5.2392633050675624E-3</v>
      </c>
      <c r="K1500" s="13"/>
      <c r="L1500" s="13"/>
      <c r="M1500" s="13"/>
    </row>
    <row r="1501" spans="1:13" x14ac:dyDescent="0.3">
      <c r="A1501" s="7">
        <v>45681</v>
      </c>
      <c r="B1501" s="8">
        <v>7.71</v>
      </c>
      <c r="C1501" s="10">
        <f t="shared" si="46"/>
        <v>-2.7742749054224435E-2</v>
      </c>
      <c r="E1501" s="7">
        <v>45681</v>
      </c>
      <c r="F1501" s="9">
        <v>114880.49</v>
      </c>
      <c r="G1501" s="10">
        <f t="shared" si="47"/>
        <v>7.3896556571292002E-3</v>
      </c>
      <c r="K1501" s="13"/>
      <c r="L1501" s="13"/>
      <c r="M1501" s="13"/>
    </row>
    <row r="1502" spans="1:13" x14ac:dyDescent="0.3">
      <c r="A1502" s="7">
        <v>45684</v>
      </c>
      <c r="B1502" s="8">
        <v>7.57</v>
      </c>
      <c r="C1502" s="10">
        <f t="shared" si="46"/>
        <v>-1.8158236057068702E-2</v>
      </c>
      <c r="E1502" s="7">
        <v>45684</v>
      </c>
      <c r="F1502" s="9">
        <v>113520.32000000001</v>
      </c>
      <c r="G1502" s="10">
        <f t="shared" si="47"/>
        <v>-1.1839869415598751E-2</v>
      </c>
      <c r="K1502" s="13"/>
      <c r="L1502" s="13"/>
      <c r="M1502" s="13"/>
    </row>
    <row r="1503" spans="1:13" x14ac:dyDescent="0.3">
      <c r="A1503" s="7">
        <v>45685</v>
      </c>
      <c r="B1503" s="8">
        <v>7.36</v>
      </c>
      <c r="C1503" s="10">
        <f t="shared" si="46"/>
        <v>-2.7741083223249665E-2</v>
      </c>
      <c r="E1503" s="7">
        <v>45685</v>
      </c>
      <c r="F1503" s="9">
        <v>112030.36</v>
      </c>
      <c r="G1503" s="10">
        <f t="shared" si="47"/>
        <v>-1.3125051092174567E-2</v>
      </c>
      <c r="K1503" s="13"/>
      <c r="L1503" s="13"/>
      <c r="M1503" s="13"/>
    </row>
    <row r="1504" spans="1:13" x14ac:dyDescent="0.3">
      <c r="A1504" s="7">
        <v>45686</v>
      </c>
      <c r="B1504" s="8">
        <v>7.53</v>
      </c>
      <c r="C1504" s="10">
        <f t="shared" si="46"/>
        <v>2.309782608695651E-2</v>
      </c>
      <c r="E1504" s="7">
        <v>45686</v>
      </c>
      <c r="F1504" s="9">
        <v>111487.36</v>
      </c>
      <c r="G1504" s="10">
        <f t="shared" si="47"/>
        <v>-4.8469004294907202E-3</v>
      </c>
      <c r="K1504" s="13"/>
      <c r="L1504" s="13"/>
      <c r="M1504" s="13"/>
    </row>
    <row r="1505" spans="1:13" x14ac:dyDescent="0.3">
      <c r="A1505" s="7">
        <v>45687</v>
      </c>
      <c r="B1505" s="8">
        <v>7.67</v>
      </c>
      <c r="C1505" s="10">
        <f t="shared" si="46"/>
        <v>1.8592297476759584E-2</v>
      </c>
      <c r="E1505" s="7">
        <v>45687</v>
      </c>
      <c r="F1505" s="9">
        <v>113206.39999999999</v>
      </c>
      <c r="G1505" s="10">
        <f t="shared" si="47"/>
        <v>1.5419147067434313E-2</v>
      </c>
      <c r="K1505" s="13"/>
      <c r="L1505" s="13"/>
      <c r="M1505" s="13"/>
    </row>
    <row r="1506" spans="1:13" x14ac:dyDescent="0.3">
      <c r="A1506" s="7">
        <v>45688</v>
      </c>
      <c r="B1506" s="8">
        <v>7.75</v>
      </c>
      <c r="C1506" s="10">
        <f t="shared" si="46"/>
        <v>1.0430247718383322E-2</v>
      </c>
      <c r="E1506" s="7">
        <v>45688</v>
      </c>
      <c r="F1506" s="9">
        <v>114255.73</v>
      </c>
      <c r="G1506" s="10">
        <f t="shared" si="47"/>
        <v>9.2691755943127042E-3</v>
      </c>
      <c r="K1506" s="13"/>
      <c r="L1506" s="13"/>
      <c r="M1506" s="13"/>
    </row>
    <row r="1507" spans="1:13" x14ac:dyDescent="0.3">
      <c r="A1507" s="7">
        <v>45691</v>
      </c>
      <c r="B1507" s="8">
        <v>7.53</v>
      </c>
      <c r="C1507" s="10">
        <f t="shared" si="46"/>
        <v>-2.8387096774193515E-2</v>
      </c>
      <c r="E1507" s="7">
        <v>45691</v>
      </c>
      <c r="F1507" s="9">
        <v>112745.01</v>
      </c>
      <c r="G1507" s="10">
        <f t="shared" si="47"/>
        <v>-1.3222269027557753E-2</v>
      </c>
      <c r="K1507" s="13"/>
      <c r="L1507" s="13"/>
      <c r="M1507" s="13"/>
    </row>
    <row r="1508" spans="1:13" x14ac:dyDescent="0.3">
      <c r="A1508" s="7">
        <v>45692</v>
      </c>
      <c r="B1508" s="8">
        <v>7.49</v>
      </c>
      <c r="C1508" s="10">
        <f t="shared" si="46"/>
        <v>-5.3120849933598986E-3</v>
      </c>
      <c r="E1508" s="7">
        <v>45692</v>
      </c>
      <c r="F1508" s="9">
        <v>111935.38</v>
      </c>
      <c r="G1508" s="10">
        <f t="shared" si="47"/>
        <v>-7.1810716944367657E-3</v>
      </c>
      <c r="K1508" s="13"/>
      <c r="L1508" s="13"/>
      <c r="M1508" s="13"/>
    </row>
    <row r="1509" spans="1:13" x14ac:dyDescent="0.3">
      <c r="A1509" s="7">
        <v>45694</v>
      </c>
      <c r="B1509" s="8">
        <v>7.29</v>
      </c>
      <c r="C1509" s="10">
        <f t="shared" si="46"/>
        <v>-2.670226969292392E-2</v>
      </c>
      <c r="E1509" s="7">
        <v>45694</v>
      </c>
      <c r="F1509" s="9">
        <v>110301.16</v>
      </c>
      <c r="G1509" s="10">
        <f t="shared" si="47"/>
        <v>-1.4599673490186937E-2</v>
      </c>
      <c r="K1509" s="13"/>
      <c r="L1509" s="13"/>
      <c r="M1509" s="13"/>
    </row>
    <row r="1510" spans="1:13" x14ac:dyDescent="0.3">
      <c r="A1510" s="7">
        <v>45695</v>
      </c>
      <c r="B1510" s="8">
        <v>7.26</v>
      </c>
      <c r="C1510" s="10">
        <f t="shared" si="46"/>
        <v>-4.1152263374485938E-3</v>
      </c>
      <c r="E1510" s="7">
        <v>45695</v>
      </c>
      <c r="F1510" s="9">
        <v>110322.94</v>
      </c>
      <c r="G1510" s="10">
        <f t="shared" si="47"/>
        <v>1.9745939208616514E-4</v>
      </c>
      <c r="K1510" s="13"/>
      <c r="L1510" s="13"/>
      <c r="M1510" s="13"/>
    </row>
    <row r="1511" spans="1:13" x14ac:dyDescent="0.3">
      <c r="A1511" s="7">
        <v>45698</v>
      </c>
      <c r="B1511" s="8">
        <v>7.53</v>
      </c>
      <c r="C1511" s="10">
        <f t="shared" si="46"/>
        <v>3.7190082644628163E-2</v>
      </c>
      <c r="E1511" s="7">
        <v>45698</v>
      </c>
      <c r="F1511" s="9">
        <v>111377.97</v>
      </c>
      <c r="G1511" s="10">
        <f t="shared" si="47"/>
        <v>9.563106276899427E-3</v>
      </c>
      <c r="K1511" s="13"/>
      <c r="L1511" s="13"/>
      <c r="M1511" s="13"/>
    </row>
    <row r="1512" spans="1:13" x14ac:dyDescent="0.3">
      <c r="A1512" s="7">
        <v>45699</v>
      </c>
      <c r="B1512" s="8">
        <v>7.45</v>
      </c>
      <c r="C1512" s="10">
        <f t="shared" si="46"/>
        <v>-1.0624169986719797E-2</v>
      </c>
      <c r="E1512" s="7">
        <v>45699</v>
      </c>
      <c r="F1512" s="9">
        <v>113010.38</v>
      </c>
      <c r="G1512" s="10">
        <f t="shared" si="47"/>
        <v>1.4656489070504729E-2</v>
      </c>
      <c r="K1512" s="13"/>
      <c r="L1512" s="13"/>
      <c r="M1512" s="13"/>
    </row>
    <row r="1513" spans="1:13" x14ac:dyDescent="0.3">
      <c r="A1513" s="7">
        <v>45700</v>
      </c>
      <c r="B1513" s="8">
        <v>7.43</v>
      </c>
      <c r="C1513" s="10">
        <f t="shared" si="46"/>
        <v>-2.6845637583893236E-3</v>
      </c>
      <c r="E1513" s="7">
        <v>45700</v>
      </c>
      <c r="F1513" s="9">
        <v>112924.94</v>
      </c>
      <c r="G1513" s="10">
        <f t="shared" si="47"/>
        <v>-7.5603674635907185E-4</v>
      </c>
      <c r="K1513" s="13"/>
      <c r="L1513" s="13"/>
      <c r="M1513" s="13"/>
    </row>
    <row r="1514" spans="1:13" x14ac:dyDescent="0.3">
      <c r="A1514" s="7">
        <v>45701</v>
      </c>
      <c r="B1514" s="8">
        <v>7.54</v>
      </c>
      <c r="C1514" s="10">
        <f t="shared" si="46"/>
        <v>1.4804845222072722E-2</v>
      </c>
      <c r="E1514" s="7">
        <v>45701</v>
      </c>
      <c r="F1514" s="9">
        <v>112564.08</v>
      </c>
      <c r="G1514" s="10">
        <f t="shared" si="47"/>
        <v>-3.1955739803802472E-3</v>
      </c>
      <c r="K1514" s="13"/>
      <c r="L1514" s="13"/>
      <c r="M1514" s="13"/>
    </row>
    <row r="1515" spans="1:13" x14ac:dyDescent="0.3">
      <c r="A1515" s="7">
        <v>45702</v>
      </c>
      <c r="B1515" s="8">
        <v>7.28</v>
      </c>
      <c r="C1515" s="10">
        <f t="shared" si="46"/>
        <v>-3.4482758620689627E-2</v>
      </c>
      <c r="E1515" s="7">
        <v>45702</v>
      </c>
      <c r="F1515" s="9">
        <v>112085.3</v>
      </c>
      <c r="G1515" s="10">
        <f t="shared" si="47"/>
        <v>-4.2533994858750578E-3</v>
      </c>
      <c r="K1515" s="13"/>
      <c r="L1515" s="13"/>
      <c r="M1515" s="13"/>
    </row>
    <row r="1516" spans="1:13" x14ac:dyDescent="0.3">
      <c r="A1516" s="7">
        <v>45705</v>
      </c>
      <c r="B1516" s="8">
        <v>7.11</v>
      </c>
      <c r="C1516" s="10">
        <f t="shared" si="46"/>
        <v>-2.3351648351648342E-2</v>
      </c>
      <c r="E1516" s="7">
        <v>45705</v>
      </c>
      <c r="F1516" s="9">
        <v>111743.53</v>
      </c>
      <c r="G1516" s="10">
        <f t="shared" si="47"/>
        <v>-3.0491955680183223E-3</v>
      </c>
      <c r="K1516" s="13"/>
      <c r="L1516" s="13"/>
      <c r="M1516" s="13"/>
    </row>
    <row r="1517" spans="1:13" x14ac:dyDescent="0.3">
      <c r="A1517" s="7">
        <v>45706</v>
      </c>
      <c r="B1517" s="8">
        <v>7.26</v>
      </c>
      <c r="C1517" s="10">
        <f t="shared" si="46"/>
        <v>2.1097046413502032E-2</v>
      </c>
      <c r="E1517" s="7">
        <v>45706</v>
      </c>
      <c r="F1517" s="9">
        <v>113088.48</v>
      </c>
      <c r="G1517" s="10">
        <f t="shared" si="47"/>
        <v>1.2036043608072854E-2</v>
      </c>
      <c r="K1517" s="13"/>
      <c r="L1517" s="13"/>
      <c r="M1517" s="13"/>
    </row>
    <row r="1518" spans="1:13" x14ac:dyDescent="0.3">
      <c r="A1518" s="7">
        <v>45707</v>
      </c>
      <c r="B1518" s="8">
        <v>7.22</v>
      </c>
      <c r="C1518" s="10">
        <f t="shared" si="46"/>
        <v>-5.5096418732782423E-3</v>
      </c>
      <c r="E1518" s="7">
        <v>45707</v>
      </c>
      <c r="F1518" s="9">
        <v>113342.44</v>
      </c>
      <c r="G1518" s="10">
        <f t="shared" si="47"/>
        <v>2.2456752447287858E-3</v>
      </c>
      <c r="K1518" s="13"/>
      <c r="L1518" s="13"/>
      <c r="M1518" s="13"/>
    </row>
    <row r="1519" spans="1:13" x14ac:dyDescent="0.3">
      <c r="A1519" s="7">
        <v>45708</v>
      </c>
      <c r="B1519" s="8">
        <v>7.21</v>
      </c>
      <c r="C1519" s="10">
        <f t="shared" si="46"/>
        <v>-1.3850415512465079E-3</v>
      </c>
      <c r="E1519" s="7">
        <v>45708</v>
      </c>
      <c r="F1519" s="9">
        <v>113739.16</v>
      </c>
      <c r="G1519" s="10">
        <f t="shared" si="47"/>
        <v>3.5001893377273434E-3</v>
      </c>
      <c r="K1519" s="13"/>
      <c r="L1519" s="13"/>
      <c r="M1519" s="13"/>
    </row>
    <row r="1520" spans="1:13" x14ac:dyDescent="0.3">
      <c r="A1520" s="7">
        <v>45709</v>
      </c>
      <c r="B1520" s="8">
        <v>7.16</v>
      </c>
      <c r="C1520" s="10">
        <f t="shared" si="46"/>
        <v>-6.9348127600554537E-3</v>
      </c>
      <c r="E1520" s="7">
        <v>45709</v>
      </c>
      <c r="F1520" s="9">
        <v>112800.93</v>
      </c>
      <c r="G1520" s="10">
        <f t="shared" si="47"/>
        <v>-8.2489619230528034E-3</v>
      </c>
      <c r="K1520" s="13"/>
      <c r="L1520" s="13"/>
      <c r="M1520" s="13"/>
    </row>
    <row r="1521" spans="1:13" x14ac:dyDescent="0.3">
      <c r="A1521" s="7">
        <v>45712</v>
      </c>
      <c r="B1521" s="8">
        <v>7.25</v>
      </c>
      <c r="C1521" s="10">
        <f t="shared" si="46"/>
        <v>1.2569832402234617E-2</v>
      </c>
      <c r="E1521" s="7">
        <v>45712</v>
      </c>
      <c r="F1521" s="9">
        <v>114330.1</v>
      </c>
      <c r="G1521" s="10">
        <f t="shared" si="47"/>
        <v>1.3556359863345213E-2</v>
      </c>
      <c r="K1521" s="13"/>
      <c r="L1521" s="13"/>
      <c r="M1521" s="13"/>
    </row>
    <row r="1522" spans="1:13" x14ac:dyDescent="0.3">
      <c r="A1522" s="7">
        <v>45713</v>
      </c>
      <c r="B1522" s="8">
        <v>7.13</v>
      </c>
      <c r="C1522" s="10">
        <f t="shared" si="46"/>
        <v>-1.6551724137931049E-2</v>
      </c>
      <c r="E1522" s="7">
        <v>45713</v>
      </c>
      <c r="F1522" s="9">
        <v>114528.09</v>
      </c>
      <c r="G1522" s="10">
        <f t="shared" si="47"/>
        <v>1.7317399355024677E-3</v>
      </c>
      <c r="K1522" s="13"/>
      <c r="L1522" s="13"/>
      <c r="M1522" s="13"/>
    </row>
    <row r="1523" spans="1:13" x14ac:dyDescent="0.3">
      <c r="A1523" s="7">
        <v>45714</v>
      </c>
      <c r="B1523" s="8">
        <v>7.69</v>
      </c>
      <c r="C1523" s="10">
        <f t="shared" si="46"/>
        <v>7.8541374474053363E-2</v>
      </c>
      <c r="E1523" s="7">
        <v>45714</v>
      </c>
      <c r="F1523" s="9">
        <v>113862.33</v>
      </c>
      <c r="G1523" s="10">
        <f t="shared" si="47"/>
        <v>-5.8130717101804001E-3</v>
      </c>
      <c r="K1523" s="13"/>
      <c r="L1523" s="13"/>
      <c r="M1523" s="13"/>
    </row>
    <row r="1524" spans="1:13" x14ac:dyDescent="0.3">
      <c r="A1524" s="7">
        <v>45715</v>
      </c>
      <c r="B1524" s="8">
        <v>7.81</v>
      </c>
      <c r="C1524" s="10">
        <f t="shared" si="46"/>
        <v>1.5604681404421224E-2</v>
      </c>
      <c r="E1524" s="7">
        <v>45715</v>
      </c>
      <c r="F1524" s="9">
        <v>113784.31</v>
      </c>
      <c r="G1524" s="10">
        <f t="shared" si="47"/>
        <v>-6.8521345031323413E-4</v>
      </c>
      <c r="K1524" s="13"/>
      <c r="L1524" s="13"/>
      <c r="M1524" s="13"/>
    </row>
    <row r="1525" spans="1:13" x14ac:dyDescent="0.3">
      <c r="A1525" s="7">
        <v>45716</v>
      </c>
      <c r="B1525" s="8">
        <v>7.58</v>
      </c>
      <c r="C1525" s="10">
        <f t="shared" si="46"/>
        <v>-2.9449423815620941E-2</v>
      </c>
      <c r="E1525" s="7">
        <v>45716</v>
      </c>
      <c r="F1525" s="9">
        <v>113251.67</v>
      </c>
      <c r="G1525" s="10">
        <f t="shared" si="47"/>
        <v>-4.6811374960220743E-3</v>
      </c>
      <c r="K1525" s="13"/>
      <c r="L1525" s="13"/>
      <c r="M1525" s="13"/>
    </row>
    <row r="1526" spans="1:13" x14ac:dyDescent="0.3">
      <c r="A1526" s="7">
        <v>45719</v>
      </c>
      <c r="B1526" s="8">
        <v>7.35</v>
      </c>
      <c r="C1526" s="10">
        <f t="shared" si="46"/>
        <v>-3.0343007915567339E-2</v>
      </c>
      <c r="E1526" s="7">
        <v>45719</v>
      </c>
      <c r="F1526" s="9">
        <v>111986.89</v>
      </c>
      <c r="G1526" s="10">
        <f t="shared" si="47"/>
        <v>-1.1167870637139381E-2</v>
      </c>
      <c r="K1526" s="13"/>
      <c r="L1526" s="13"/>
      <c r="M1526" s="13"/>
    </row>
    <row r="1527" spans="1:13" x14ac:dyDescent="0.3">
      <c r="A1527" s="7">
        <v>45720</v>
      </c>
      <c r="B1527" s="8">
        <v>7.46</v>
      </c>
      <c r="C1527" s="10">
        <f t="shared" si="46"/>
        <v>1.4965986394557868E-2</v>
      </c>
      <c r="E1527" s="7">
        <v>45720</v>
      </c>
      <c r="F1527" s="9">
        <v>112743.8</v>
      </c>
      <c r="G1527" s="10">
        <f t="shared" si="47"/>
        <v>6.7589161552749927E-3</v>
      </c>
      <c r="K1527" s="13"/>
      <c r="L1527" s="13"/>
      <c r="M1527" s="13"/>
    </row>
    <row r="1528" spans="1:13" x14ac:dyDescent="0.3">
      <c r="A1528" s="7">
        <v>45721</v>
      </c>
      <c r="B1528" s="8">
        <v>7.33</v>
      </c>
      <c r="C1528" s="10">
        <f t="shared" si="46"/>
        <v>-1.7426273458445028E-2</v>
      </c>
      <c r="E1528" s="7">
        <v>45721</v>
      </c>
      <c r="F1528" s="9">
        <v>112253.75999999999</v>
      </c>
      <c r="G1528" s="10">
        <f t="shared" si="47"/>
        <v>-4.3464917804793531E-3</v>
      </c>
      <c r="K1528" s="13"/>
      <c r="L1528" s="13"/>
      <c r="M1528" s="13"/>
    </row>
    <row r="1529" spans="1:13" x14ac:dyDescent="0.3">
      <c r="A1529" s="7">
        <v>45722</v>
      </c>
      <c r="B1529" s="8">
        <v>7.49</v>
      </c>
      <c r="C1529" s="10">
        <f t="shared" si="46"/>
        <v>2.1828103683492514E-2</v>
      </c>
      <c r="E1529" s="7">
        <v>45722</v>
      </c>
      <c r="F1529" s="9">
        <v>113713.18</v>
      </c>
      <c r="G1529" s="10">
        <f t="shared" si="47"/>
        <v>1.3001078983902173E-2</v>
      </c>
      <c r="K1529" s="13"/>
      <c r="L1529" s="13"/>
      <c r="M1529" s="13"/>
    </row>
    <row r="1530" spans="1:13" x14ac:dyDescent="0.3">
      <c r="A1530" s="7">
        <v>45723</v>
      </c>
      <c r="B1530" s="8">
        <v>7.58</v>
      </c>
      <c r="C1530" s="10">
        <f t="shared" si="46"/>
        <v>1.2016021361815735E-2</v>
      </c>
      <c r="E1530" s="7">
        <v>45723</v>
      </c>
      <c r="F1530" s="9">
        <v>114398.7</v>
      </c>
      <c r="G1530" s="10">
        <f t="shared" si="47"/>
        <v>6.0285008298950407E-3</v>
      </c>
      <c r="K1530" s="13"/>
      <c r="L1530" s="13"/>
      <c r="M1530" s="13"/>
    </row>
    <row r="1531" spans="1:13" x14ac:dyDescent="0.3">
      <c r="A1531" s="7">
        <v>45726</v>
      </c>
      <c r="B1531" s="8">
        <v>7.54</v>
      </c>
      <c r="C1531" s="10">
        <f t="shared" si="46"/>
        <v>-5.2770448548812715E-3</v>
      </c>
      <c r="E1531" s="7">
        <v>45726</v>
      </c>
      <c r="F1531" s="9">
        <v>114356.34</v>
      </c>
      <c r="G1531" s="10">
        <f t="shared" si="47"/>
        <v>-3.7028392805163506E-4</v>
      </c>
      <c r="K1531" s="13"/>
      <c r="L1531" s="13"/>
      <c r="M1531" s="13"/>
    </row>
    <row r="1532" spans="1:13" x14ac:dyDescent="0.3">
      <c r="A1532" s="7">
        <v>45727</v>
      </c>
      <c r="B1532" s="8">
        <v>7.4</v>
      </c>
      <c r="C1532" s="10">
        <f t="shared" si="46"/>
        <v>-1.8567639257294388E-2</v>
      </c>
      <c r="E1532" s="7">
        <v>45727</v>
      </c>
      <c r="F1532" s="9">
        <v>114177.66</v>
      </c>
      <c r="G1532" s="10">
        <f t="shared" si="47"/>
        <v>-1.5624844236882102E-3</v>
      </c>
      <c r="K1532" s="13"/>
      <c r="L1532" s="13"/>
      <c r="M1532" s="13"/>
    </row>
    <row r="1533" spans="1:13" x14ac:dyDescent="0.3">
      <c r="A1533" s="7">
        <v>45728</v>
      </c>
      <c r="B1533" s="8">
        <v>7.37</v>
      </c>
      <c r="C1533" s="10">
        <f t="shared" si="46"/>
        <v>-4.0540540540540872E-3</v>
      </c>
      <c r="E1533" s="7">
        <v>45728</v>
      </c>
      <c r="F1533" s="9">
        <v>114084.54</v>
      </c>
      <c r="G1533" s="10">
        <f t="shared" si="47"/>
        <v>-8.1557110208783305E-4</v>
      </c>
      <c r="K1533" s="13"/>
      <c r="L1533" s="13"/>
      <c r="M1533" s="13"/>
    </row>
    <row r="1534" spans="1:13" x14ac:dyDescent="0.3">
      <c r="A1534" s="7">
        <v>45729</v>
      </c>
      <c r="B1534" s="8">
        <v>7.49</v>
      </c>
      <c r="C1534" s="10">
        <f t="shared" si="46"/>
        <v>1.6282225237449131E-2</v>
      </c>
      <c r="E1534" s="7">
        <v>45729</v>
      </c>
      <c r="F1534" s="9">
        <v>115094.24</v>
      </c>
      <c r="G1534" s="10">
        <f t="shared" si="47"/>
        <v>8.8504542333256702E-3</v>
      </c>
      <c r="K1534" s="13"/>
      <c r="L1534" s="13"/>
      <c r="M1534" s="13"/>
    </row>
    <row r="1535" spans="1:13" x14ac:dyDescent="0.3">
      <c r="A1535" s="7">
        <v>45730</v>
      </c>
      <c r="B1535" s="8">
        <v>7.48</v>
      </c>
      <c r="C1535" s="10">
        <f t="shared" si="46"/>
        <v>-1.3351134846461665E-3</v>
      </c>
      <c r="E1535" s="7">
        <v>45730</v>
      </c>
      <c r="F1535" s="9">
        <v>115536.17</v>
      </c>
      <c r="G1535" s="10">
        <f t="shared" si="47"/>
        <v>3.8397229956945978E-3</v>
      </c>
      <c r="K1535" s="13"/>
      <c r="L1535" s="13"/>
      <c r="M1535" s="13"/>
    </row>
    <row r="1536" spans="1:13" x14ac:dyDescent="0.3">
      <c r="A1536" s="7">
        <v>45733</v>
      </c>
      <c r="B1536" s="8">
        <v>7.5</v>
      </c>
      <c r="C1536" s="10">
        <f t="shared" si="46"/>
        <v>2.6737967914437933E-3</v>
      </c>
      <c r="E1536" s="7">
        <v>45733</v>
      </c>
      <c r="F1536" s="9">
        <v>116199.59</v>
      </c>
      <c r="G1536" s="10">
        <f t="shared" si="47"/>
        <v>5.7420979075210668E-3</v>
      </c>
      <c r="K1536" s="13"/>
      <c r="L1536" s="13"/>
      <c r="M1536" s="13"/>
    </row>
    <row r="1537" spans="1:13" x14ac:dyDescent="0.3">
      <c r="A1537" s="7">
        <v>45734</v>
      </c>
      <c r="B1537" s="8">
        <v>7.52</v>
      </c>
      <c r="C1537" s="10">
        <f t="shared" si="46"/>
        <v>2.6666666666666098E-3</v>
      </c>
      <c r="E1537" s="7">
        <v>45734</v>
      </c>
      <c r="F1537" s="9">
        <v>117001.09</v>
      </c>
      <c r="G1537" s="10">
        <f t="shared" si="47"/>
        <v>6.8976146989847388E-3</v>
      </c>
      <c r="K1537" s="13"/>
      <c r="L1537" s="13"/>
      <c r="M1537" s="13"/>
    </row>
    <row r="1538" spans="1:13" x14ac:dyDescent="0.3">
      <c r="A1538" s="7">
        <v>45735</v>
      </c>
      <c r="B1538" s="8">
        <v>7.5</v>
      </c>
      <c r="C1538" s="10">
        <f t="shared" si="46"/>
        <v>-2.6595744680850499E-3</v>
      </c>
      <c r="E1538" s="7">
        <v>45735</v>
      </c>
      <c r="F1538" s="9">
        <v>117974.03</v>
      </c>
      <c r="G1538" s="10">
        <f t="shared" si="47"/>
        <v>8.3156490251501281E-3</v>
      </c>
      <c r="K1538" s="13"/>
      <c r="L1538" s="13"/>
      <c r="M1538" s="13"/>
    </row>
    <row r="1539" spans="1:13" x14ac:dyDescent="0.3">
      <c r="A1539" s="7">
        <v>45736</v>
      </c>
      <c r="B1539" s="8">
        <v>8.2100000000000009</v>
      </c>
      <c r="C1539" s="10">
        <f t="shared" si="46"/>
        <v>9.4666666666666774E-2</v>
      </c>
      <c r="E1539" s="7">
        <v>45736</v>
      </c>
      <c r="F1539" s="9">
        <v>118769.77</v>
      </c>
      <c r="G1539" s="10">
        <f t="shared" si="47"/>
        <v>6.7450438032845474E-3</v>
      </c>
      <c r="K1539" s="13"/>
      <c r="L1539" s="13"/>
      <c r="M1539" s="13"/>
    </row>
    <row r="1540" spans="1:13" x14ac:dyDescent="0.3">
      <c r="A1540" s="7">
        <v>45737</v>
      </c>
      <c r="B1540" s="8">
        <v>7.98</v>
      </c>
      <c r="C1540" s="10">
        <f t="shared" si="46"/>
        <v>-2.8014616321559122E-2</v>
      </c>
      <c r="E1540" s="7">
        <v>45737</v>
      </c>
      <c r="F1540" s="9">
        <v>118442.18</v>
      </c>
      <c r="G1540" s="10">
        <f t="shared" si="47"/>
        <v>-2.7581934359223819E-3</v>
      </c>
      <c r="K1540" s="13"/>
      <c r="L1540" s="13"/>
      <c r="M1540" s="13"/>
    </row>
    <row r="1541" spans="1:13" x14ac:dyDescent="0.3">
      <c r="A1541" s="7">
        <v>45740</v>
      </c>
      <c r="B1541" s="8">
        <v>7.94</v>
      </c>
      <c r="C1541" s="10">
        <f t="shared" ref="C1541:C1604" si="48">(B1541-B1540)/B1540</f>
        <v>-5.0125313283208061E-3</v>
      </c>
      <c r="E1541" s="7">
        <v>45740</v>
      </c>
      <c r="F1541" s="9">
        <v>116439.62</v>
      </c>
      <c r="G1541" s="10">
        <f t="shared" ref="G1541:G1604" si="49">(F1541-F1540)/F1540</f>
        <v>-1.6907490220122577E-2</v>
      </c>
      <c r="K1541" s="13"/>
      <c r="L1541" s="13"/>
      <c r="M1541" s="13"/>
    </row>
    <row r="1542" spans="1:13" x14ac:dyDescent="0.3">
      <c r="A1542" s="7">
        <v>45741</v>
      </c>
      <c r="B1542" s="8">
        <v>7.94</v>
      </c>
      <c r="C1542" s="10">
        <f t="shared" si="48"/>
        <v>0</v>
      </c>
      <c r="E1542" s="7">
        <v>45741</v>
      </c>
      <c r="F1542" s="9">
        <v>116633.17</v>
      </c>
      <c r="G1542" s="10">
        <f t="shared" si="49"/>
        <v>1.6622348990833439E-3</v>
      </c>
      <c r="K1542" s="13"/>
      <c r="L1542" s="13"/>
      <c r="M1542" s="13"/>
    </row>
    <row r="1543" spans="1:13" x14ac:dyDescent="0.3">
      <c r="A1543" s="7">
        <v>45742</v>
      </c>
      <c r="B1543" s="8">
        <v>8</v>
      </c>
      <c r="C1543" s="10">
        <f t="shared" si="48"/>
        <v>7.5566750629722425E-3</v>
      </c>
      <c r="E1543" s="7">
        <v>45742</v>
      </c>
      <c r="F1543" s="9">
        <v>117772.31</v>
      </c>
      <c r="G1543" s="10">
        <f t="shared" si="49"/>
        <v>9.7668613482768188E-3</v>
      </c>
      <c r="K1543" s="13"/>
      <c r="L1543" s="13"/>
      <c r="M1543" s="13"/>
    </row>
    <row r="1544" spans="1:13" x14ac:dyDescent="0.3">
      <c r="A1544" s="7">
        <v>45743</v>
      </c>
      <c r="B1544" s="8">
        <v>8.26</v>
      </c>
      <c r="C1544" s="10">
        <f t="shared" si="48"/>
        <v>3.2499999999999973E-2</v>
      </c>
      <c r="E1544" s="7">
        <v>45743</v>
      </c>
      <c r="F1544" s="9">
        <v>117806.75</v>
      </c>
      <c r="G1544" s="10">
        <f t="shared" si="49"/>
        <v>2.9242867020271853E-4</v>
      </c>
      <c r="K1544" s="13"/>
      <c r="L1544" s="13"/>
      <c r="M1544" s="13"/>
    </row>
    <row r="1545" spans="1:13" x14ac:dyDescent="0.3">
      <c r="A1545" s="7">
        <v>45750</v>
      </c>
      <c r="B1545" s="8">
        <v>8.17</v>
      </c>
      <c r="C1545" s="10">
        <f t="shared" si="48"/>
        <v>-1.0895883777239693E-2</v>
      </c>
      <c r="E1545" s="7">
        <v>45750</v>
      </c>
      <c r="F1545" s="9">
        <v>118938.11</v>
      </c>
      <c r="G1545" s="10">
        <f t="shared" si="49"/>
        <v>9.6035244160457747E-3</v>
      </c>
      <c r="K1545" s="13"/>
      <c r="L1545" s="13"/>
      <c r="M1545" s="13"/>
    </row>
    <row r="1546" spans="1:13" x14ac:dyDescent="0.3">
      <c r="A1546" s="7">
        <v>45751</v>
      </c>
      <c r="B1546" s="8">
        <v>8.2899999999999991</v>
      </c>
      <c r="C1546" s="10">
        <f t="shared" si="48"/>
        <v>1.468788249693993E-2</v>
      </c>
      <c r="E1546" s="7">
        <v>45751</v>
      </c>
      <c r="F1546" s="9">
        <v>118791.66</v>
      </c>
      <c r="G1546" s="10">
        <f t="shared" si="49"/>
        <v>-1.2313126549597694E-3</v>
      </c>
      <c r="K1546" s="13"/>
      <c r="L1546" s="13"/>
      <c r="M1546" s="13"/>
    </row>
    <row r="1547" spans="1:13" x14ac:dyDescent="0.3">
      <c r="A1547" s="7">
        <v>45754</v>
      </c>
      <c r="B1547" s="8">
        <v>7.83</v>
      </c>
      <c r="C1547" s="10">
        <f t="shared" si="48"/>
        <v>-5.5488540410132584E-2</v>
      </c>
      <c r="E1547" s="7">
        <v>45754</v>
      </c>
      <c r="F1547" s="9">
        <v>114909.49</v>
      </c>
      <c r="G1547" s="10">
        <f t="shared" si="49"/>
        <v>-3.2680492889820702E-2</v>
      </c>
      <c r="K1547" s="13"/>
      <c r="L1547" s="13"/>
      <c r="M1547" s="13"/>
    </row>
    <row r="1548" spans="1:13" x14ac:dyDescent="0.3">
      <c r="A1548" s="7">
        <v>45755</v>
      </c>
      <c r="B1548" s="8">
        <v>8.4</v>
      </c>
      <c r="C1548" s="10">
        <f t="shared" si="48"/>
        <v>7.2796934865900415E-2</v>
      </c>
      <c r="E1548" s="7">
        <v>45755</v>
      </c>
      <c r="F1548" s="9">
        <v>115532.43</v>
      </c>
      <c r="G1548" s="10">
        <f t="shared" si="49"/>
        <v>5.4211362351359125E-3</v>
      </c>
      <c r="K1548" s="13"/>
      <c r="L1548" s="13"/>
      <c r="M1548" s="13"/>
    </row>
    <row r="1549" spans="1:13" x14ac:dyDescent="0.3">
      <c r="A1549" s="7">
        <v>45756</v>
      </c>
      <c r="B1549" s="8">
        <v>8.32</v>
      </c>
      <c r="C1549" s="10">
        <f t="shared" si="48"/>
        <v>-9.5238095238095316E-3</v>
      </c>
      <c r="E1549" s="7">
        <v>45756</v>
      </c>
      <c r="F1549" s="9">
        <v>114153.16</v>
      </c>
      <c r="G1549" s="10">
        <f t="shared" si="49"/>
        <v>-1.1938379552823303E-2</v>
      </c>
      <c r="K1549" s="13"/>
      <c r="L1549" s="13"/>
      <c r="M1549" s="13"/>
    </row>
    <row r="1550" spans="1:13" x14ac:dyDescent="0.3">
      <c r="A1550" s="7">
        <v>45757</v>
      </c>
      <c r="B1550" s="8">
        <v>8.52</v>
      </c>
      <c r="C1550" s="10">
        <f t="shared" si="48"/>
        <v>2.4038461538461453E-2</v>
      </c>
      <c r="E1550" s="7">
        <v>45757</v>
      </c>
      <c r="F1550" s="9">
        <v>116189.21</v>
      </c>
      <c r="G1550" s="10">
        <f t="shared" si="49"/>
        <v>1.7836124729267266E-2</v>
      </c>
      <c r="K1550" s="13"/>
      <c r="L1550" s="13"/>
      <c r="M1550" s="13"/>
    </row>
    <row r="1551" spans="1:13" x14ac:dyDescent="0.3">
      <c r="A1551" s="7">
        <v>45758</v>
      </c>
      <c r="B1551" s="8">
        <v>8.41</v>
      </c>
      <c r="C1551" s="10">
        <f t="shared" si="48"/>
        <v>-1.2910798122065661E-2</v>
      </c>
      <c r="E1551" s="7">
        <v>45758</v>
      </c>
      <c r="F1551" s="9">
        <v>114853.33</v>
      </c>
      <c r="G1551" s="10">
        <f t="shared" si="49"/>
        <v>-1.1497453162819547E-2</v>
      </c>
      <c r="K1551" s="13"/>
      <c r="L1551" s="13"/>
      <c r="M1551" s="13"/>
    </row>
    <row r="1552" spans="1:13" x14ac:dyDescent="0.3">
      <c r="A1552" s="7">
        <v>45761</v>
      </c>
      <c r="B1552" s="8">
        <v>8.64</v>
      </c>
      <c r="C1552" s="10">
        <f t="shared" si="48"/>
        <v>2.7348394768133225E-2</v>
      </c>
      <c r="E1552" s="7">
        <v>45761</v>
      </c>
      <c r="F1552" s="9">
        <v>116390.04</v>
      </c>
      <c r="G1552" s="10">
        <f t="shared" si="49"/>
        <v>1.3379760081836476E-2</v>
      </c>
      <c r="K1552" s="13"/>
      <c r="L1552" s="13"/>
      <c r="M1552" s="13"/>
    </row>
    <row r="1553" spans="1:13" x14ac:dyDescent="0.3">
      <c r="A1553" s="7">
        <v>45762</v>
      </c>
      <c r="B1553" s="8">
        <v>8.5299999999999994</v>
      </c>
      <c r="C1553" s="10">
        <f t="shared" si="48"/>
        <v>-1.2731481481481621E-2</v>
      </c>
      <c r="E1553" s="7">
        <v>45762</v>
      </c>
      <c r="F1553" s="9">
        <v>116775.5</v>
      </c>
      <c r="G1553" s="10">
        <f t="shared" si="49"/>
        <v>3.3117954079232761E-3</v>
      </c>
      <c r="K1553" s="13"/>
      <c r="L1553" s="13"/>
      <c r="M1553" s="13"/>
    </row>
    <row r="1554" spans="1:13" x14ac:dyDescent="0.3">
      <c r="A1554" s="7">
        <v>45763</v>
      </c>
      <c r="B1554" s="8">
        <v>8.51</v>
      </c>
      <c r="C1554" s="10">
        <f t="shared" si="48"/>
        <v>-2.344665885111322E-3</v>
      </c>
      <c r="E1554" s="7">
        <v>45763</v>
      </c>
      <c r="F1554" s="9">
        <v>116020.11</v>
      </c>
      <c r="G1554" s="10">
        <f t="shared" si="49"/>
        <v>-6.4687370210360856E-3</v>
      </c>
      <c r="K1554" s="13"/>
      <c r="L1554" s="13"/>
      <c r="M1554" s="13"/>
    </row>
    <row r="1555" spans="1:13" x14ac:dyDescent="0.3">
      <c r="A1555" s="7">
        <v>45764</v>
      </c>
      <c r="B1555" s="8">
        <v>8.5299999999999994</v>
      </c>
      <c r="C1555" s="10">
        <f t="shared" si="48"/>
        <v>2.3501762632196915E-3</v>
      </c>
      <c r="E1555" s="7">
        <v>45764</v>
      </c>
      <c r="F1555" s="9">
        <v>116901.13</v>
      </c>
      <c r="G1555" s="10">
        <f t="shared" si="49"/>
        <v>7.5936835433098974E-3</v>
      </c>
      <c r="K1555" s="13"/>
      <c r="L1555" s="13"/>
      <c r="M1555" s="13"/>
    </row>
    <row r="1556" spans="1:13" x14ac:dyDescent="0.3">
      <c r="A1556" s="7">
        <v>45765</v>
      </c>
      <c r="B1556" s="8">
        <v>8.5399999999999991</v>
      </c>
      <c r="C1556" s="10">
        <f t="shared" si="48"/>
        <v>1.172332942555661E-3</v>
      </c>
      <c r="E1556" s="7">
        <v>45765</v>
      </c>
      <c r="F1556" s="9">
        <v>117315.59</v>
      </c>
      <c r="G1556" s="10">
        <f t="shared" si="49"/>
        <v>3.5453891677522009E-3</v>
      </c>
      <c r="K1556" s="13"/>
      <c r="L1556" s="13"/>
      <c r="M1556" s="13"/>
    </row>
    <row r="1557" spans="1:13" x14ac:dyDescent="0.3">
      <c r="A1557" s="7">
        <v>45768</v>
      </c>
      <c r="B1557" s="8">
        <v>8.5500000000000007</v>
      </c>
      <c r="C1557" s="10">
        <f t="shared" si="48"/>
        <v>1.1709601873538132E-3</v>
      </c>
      <c r="E1557" s="7">
        <v>45768</v>
      </c>
      <c r="F1557" s="9">
        <v>118383.38</v>
      </c>
      <c r="G1557" s="10">
        <f t="shared" si="49"/>
        <v>9.1018593521969941E-3</v>
      </c>
      <c r="K1557" s="13"/>
      <c r="L1557" s="13"/>
      <c r="M1557" s="13"/>
    </row>
    <row r="1558" spans="1:13" x14ac:dyDescent="0.3">
      <c r="A1558" s="7">
        <v>45769</v>
      </c>
      <c r="B1558" s="8">
        <v>8.43</v>
      </c>
      <c r="C1558" s="10">
        <f t="shared" si="48"/>
        <v>-1.403508771929836E-2</v>
      </c>
      <c r="E1558" s="7">
        <v>45769</v>
      </c>
      <c r="F1558" s="9">
        <v>118430.35</v>
      </c>
      <c r="G1558" s="10">
        <f t="shared" si="49"/>
        <v>3.9676177517486969E-4</v>
      </c>
      <c r="K1558" s="13"/>
      <c r="L1558" s="13"/>
      <c r="M1558" s="13"/>
    </row>
    <row r="1559" spans="1:13" x14ac:dyDescent="0.3">
      <c r="A1559" s="7">
        <v>45770</v>
      </c>
      <c r="B1559" s="8">
        <v>8.2200000000000006</v>
      </c>
      <c r="C1559" s="10">
        <f t="shared" si="48"/>
        <v>-2.4911032028469643E-2</v>
      </c>
      <c r="E1559" s="7">
        <v>45770</v>
      </c>
      <c r="F1559" s="9">
        <v>117226.15</v>
      </c>
      <c r="G1559" s="10">
        <f t="shared" si="49"/>
        <v>-1.0168001698888939E-2</v>
      </c>
      <c r="K1559" s="13"/>
      <c r="L1559" s="13"/>
      <c r="M1559" s="13"/>
    </row>
    <row r="1560" spans="1:13" x14ac:dyDescent="0.3">
      <c r="A1560" s="7">
        <v>45771</v>
      </c>
      <c r="B1560" s="8">
        <v>7.99</v>
      </c>
      <c r="C1560" s="10">
        <f t="shared" si="48"/>
        <v>-2.7980535279805402E-2</v>
      </c>
      <c r="E1560" s="7">
        <v>45771</v>
      </c>
      <c r="F1560" s="9">
        <v>115019.82</v>
      </c>
      <c r="G1560" s="10">
        <f t="shared" si="49"/>
        <v>-1.8821141869796009E-2</v>
      </c>
      <c r="K1560" s="13"/>
      <c r="L1560" s="13"/>
      <c r="M1560" s="13"/>
    </row>
    <row r="1561" spans="1:13" x14ac:dyDescent="0.3">
      <c r="A1561" s="7">
        <v>45772</v>
      </c>
      <c r="B1561" s="8">
        <v>7.82</v>
      </c>
      <c r="C1561" s="10">
        <f t="shared" si="48"/>
        <v>-2.127659574468084E-2</v>
      </c>
      <c r="E1561" s="7">
        <v>45772</v>
      </c>
      <c r="F1561" s="9">
        <v>115469.35</v>
      </c>
      <c r="G1561" s="10">
        <f t="shared" si="49"/>
        <v>3.9082829376710796E-3</v>
      </c>
      <c r="K1561" s="13"/>
      <c r="L1561" s="13"/>
      <c r="M1561" s="13"/>
    </row>
    <row r="1562" spans="1:13" x14ac:dyDescent="0.3">
      <c r="A1562" s="7">
        <v>45775</v>
      </c>
      <c r="B1562" s="8">
        <v>7.54</v>
      </c>
      <c r="C1562" s="10">
        <f t="shared" si="48"/>
        <v>-3.5805626598465506E-2</v>
      </c>
      <c r="E1562" s="7">
        <v>45775</v>
      </c>
      <c r="F1562" s="9">
        <v>114063.9</v>
      </c>
      <c r="G1562" s="10">
        <f t="shared" si="49"/>
        <v>-1.2171628228616612E-2</v>
      </c>
      <c r="K1562" s="13"/>
      <c r="L1562" s="13"/>
      <c r="M1562" s="13"/>
    </row>
    <row r="1563" spans="1:13" x14ac:dyDescent="0.3">
      <c r="A1563" s="7">
        <v>45776</v>
      </c>
      <c r="B1563" s="8">
        <v>7.81</v>
      </c>
      <c r="C1563" s="10">
        <f t="shared" si="48"/>
        <v>3.5809018567639198E-2</v>
      </c>
      <c r="E1563" s="7">
        <v>45776</v>
      </c>
      <c r="F1563" s="9">
        <v>114872.18</v>
      </c>
      <c r="G1563" s="10">
        <f t="shared" si="49"/>
        <v>7.0862034350920745E-3</v>
      </c>
      <c r="K1563" s="13"/>
      <c r="L1563" s="13"/>
      <c r="M1563" s="13"/>
    </row>
    <row r="1564" spans="1:13" x14ac:dyDescent="0.3">
      <c r="A1564" s="7">
        <v>45777</v>
      </c>
      <c r="B1564" s="8">
        <v>7.09</v>
      </c>
      <c r="C1564" s="10">
        <f t="shared" si="48"/>
        <v>-9.2189500640204841E-2</v>
      </c>
      <c r="E1564" s="7">
        <v>45777</v>
      </c>
      <c r="F1564" s="9">
        <v>111326.58</v>
      </c>
      <c r="G1564" s="10">
        <f t="shared" si="49"/>
        <v>-3.0865610803242276E-2</v>
      </c>
      <c r="K1564" s="13"/>
      <c r="L1564" s="13"/>
      <c r="M1564" s="13"/>
    </row>
    <row r="1565" spans="1:13" x14ac:dyDescent="0.3">
      <c r="A1565" s="7">
        <v>45779</v>
      </c>
      <c r="B1565" s="8">
        <v>7.11</v>
      </c>
      <c r="C1565" s="10">
        <f t="shared" si="48"/>
        <v>2.8208744710861017E-3</v>
      </c>
      <c r="E1565" s="7">
        <v>45779</v>
      </c>
      <c r="F1565" s="9">
        <v>114113.94</v>
      </c>
      <c r="G1565" s="10">
        <f t="shared" si="49"/>
        <v>2.5037686417744984E-2</v>
      </c>
      <c r="K1565" s="13"/>
      <c r="L1565" s="13"/>
      <c r="M1565" s="13"/>
    </row>
    <row r="1566" spans="1:13" x14ac:dyDescent="0.3">
      <c r="A1566" s="7">
        <v>45782</v>
      </c>
      <c r="B1566" s="8">
        <v>7.05</v>
      </c>
      <c r="C1566" s="10">
        <f t="shared" si="48"/>
        <v>-8.4388185654009143E-3</v>
      </c>
      <c r="E1566" s="7">
        <v>45782</v>
      </c>
      <c r="F1566" s="9">
        <v>114102.24</v>
      </c>
      <c r="G1566" s="10">
        <f t="shared" si="49"/>
        <v>-1.0252910380622287E-4</v>
      </c>
      <c r="K1566" s="13"/>
      <c r="L1566" s="13"/>
      <c r="M1566" s="13"/>
    </row>
    <row r="1567" spans="1:13" x14ac:dyDescent="0.3">
      <c r="A1567" s="7">
        <v>45783</v>
      </c>
      <c r="B1567" s="8">
        <v>7.09</v>
      </c>
      <c r="C1567" s="10">
        <f t="shared" si="48"/>
        <v>5.6737588652482325E-3</v>
      </c>
      <c r="E1567" s="7">
        <v>45783</v>
      </c>
      <c r="F1567" s="9">
        <v>113568.51</v>
      </c>
      <c r="G1567" s="10">
        <f t="shared" si="49"/>
        <v>-4.6776469944850374E-3</v>
      </c>
      <c r="K1567" s="13"/>
      <c r="L1567" s="13"/>
      <c r="M1567" s="13"/>
    </row>
    <row r="1568" spans="1:13" x14ac:dyDescent="0.3">
      <c r="A1568" s="7">
        <v>45784</v>
      </c>
      <c r="B1568" s="8">
        <v>6.58</v>
      </c>
      <c r="C1568" s="10">
        <f t="shared" si="48"/>
        <v>-7.1932299012693907E-2</v>
      </c>
      <c r="E1568" s="7">
        <v>45784</v>
      </c>
      <c r="F1568" s="9">
        <v>110009.03</v>
      </c>
      <c r="G1568" s="10">
        <f t="shared" si="49"/>
        <v>-3.1342138767163505E-2</v>
      </c>
      <c r="K1568" s="13"/>
      <c r="L1568" s="13"/>
      <c r="M1568" s="13"/>
    </row>
    <row r="1569" spans="1:13" x14ac:dyDescent="0.3">
      <c r="A1569" s="7">
        <v>45785</v>
      </c>
      <c r="B1569" s="8">
        <v>5.72</v>
      </c>
      <c r="C1569" s="10">
        <f t="shared" si="48"/>
        <v>-0.1306990881458967</v>
      </c>
      <c r="E1569" s="7">
        <v>45785</v>
      </c>
      <c r="F1569" s="9">
        <v>103526.82</v>
      </c>
      <c r="G1569" s="10">
        <f t="shared" si="49"/>
        <v>-5.8924344665160597E-2</v>
      </c>
      <c r="K1569" s="13"/>
      <c r="L1569" s="13"/>
      <c r="M1569" s="13"/>
    </row>
    <row r="1570" spans="1:13" x14ac:dyDescent="0.3">
      <c r="A1570" s="7">
        <v>45786</v>
      </c>
      <c r="B1570" s="8">
        <v>6.42</v>
      </c>
      <c r="C1570" s="10">
        <f t="shared" si="48"/>
        <v>0.12237762237762241</v>
      </c>
      <c r="E1570" s="7">
        <v>45786</v>
      </c>
      <c r="F1570" s="9">
        <v>107174.64</v>
      </c>
      <c r="G1570" s="10">
        <f t="shared" si="49"/>
        <v>3.5235507088887619E-2</v>
      </c>
      <c r="K1570" s="13"/>
      <c r="L1570" s="13"/>
      <c r="M1570" s="13"/>
    </row>
    <row r="1571" spans="1:13" x14ac:dyDescent="0.3">
      <c r="A1571" s="7">
        <v>45789</v>
      </c>
      <c r="B1571" s="8">
        <v>7.42</v>
      </c>
      <c r="C1571" s="10">
        <f t="shared" si="48"/>
        <v>0.1557632398753894</v>
      </c>
      <c r="E1571" s="7">
        <v>45789</v>
      </c>
      <c r="F1571" s="9">
        <v>117297.73</v>
      </c>
      <c r="G1571" s="10">
        <f t="shared" si="49"/>
        <v>9.4454154452956379E-2</v>
      </c>
      <c r="K1571" s="13"/>
      <c r="L1571" s="13"/>
      <c r="M1571" s="13"/>
    </row>
    <row r="1572" spans="1:13" x14ac:dyDescent="0.3">
      <c r="A1572" s="7">
        <v>45790</v>
      </c>
      <c r="B1572" s="8">
        <v>7.33</v>
      </c>
      <c r="C1572" s="10">
        <f t="shared" si="48"/>
        <v>-1.2129380053908336E-2</v>
      </c>
      <c r="E1572" s="7">
        <v>45790</v>
      </c>
      <c r="F1572" s="9">
        <v>118575.89</v>
      </c>
      <c r="G1572" s="10">
        <f t="shared" si="49"/>
        <v>1.0896715563037781E-2</v>
      </c>
      <c r="K1572" s="13"/>
      <c r="L1572" s="13"/>
      <c r="M1572" s="13"/>
    </row>
    <row r="1573" spans="1:13" x14ac:dyDescent="0.3">
      <c r="A1573" s="7">
        <v>45791</v>
      </c>
      <c r="B1573" s="8">
        <v>7.37</v>
      </c>
      <c r="C1573" s="10">
        <f t="shared" si="48"/>
        <v>5.4570259208731285E-3</v>
      </c>
      <c r="E1573" s="7">
        <v>45791</v>
      </c>
      <c r="F1573" s="9">
        <v>118536.53</v>
      </c>
      <c r="G1573" s="10">
        <f t="shared" si="49"/>
        <v>-3.3193931751219059E-4</v>
      </c>
      <c r="K1573" s="13"/>
      <c r="L1573" s="13"/>
      <c r="M1573" s="13"/>
    </row>
    <row r="1574" spans="1:13" x14ac:dyDescent="0.3">
      <c r="A1574" s="7">
        <v>45792</v>
      </c>
      <c r="B1574" s="8">
        <v>7.85</v>
      </c>
      <c r="C1574" s="10">
        <f t="shared" si="48"/>
        <v>6.5128900949796412E-2</v>
      </c>
      <c r="E1574" s="7">
        <v>45792</v>
      </c>
      <c r="F1574" s="9">
        <v>119961.91</v>
      </c>
      <c r="G1574" s="10">
        <f t="shared" si="49"/>
        <v>1.2024816316117948E-2</v>
      </c>
      <c r="K1574" s="13"/>
      <c r="L1574" s="13"/>
      <c r="M1574" s="13"/>
    </row>
    <row r="1575" spans="1:13" x14ac:dyDescent="0.3">
      <c r="A1575" s="7">
        <v>45793</v>
      </c>
      <c r="B1575" s="8">
        <v>7.68</v>
      </c>
      <c r="C1575" s="10">
        <f t="shared" si="48"/>
        <v>-2.1656050955414004E-2</v>
      </c>
      <c r="E1575" s="7">
        <v>45793</v>
      </c>
      <c r="F1575" s="9">
        <v>119649.14</v>
      </c>
      <c r="G1575" s="10">
        <f t="shared" si="49"/>
        <v>-2.6072442494455453E-3</v>
      </c>
      <c r="K1575" s="13"/>
      <c r="L1575" s="13"/>
      <c r="M1575" s="13"/>
    </row>
    <row r="1576" spans="1:13" x14ac:dyDescent="0.3">
      <c r="A1576" s="7">
        <v>45796</v>
      </c>
      <c r="B1576" s="8">
        <v>7.7</v>
      </c>
      <c r="C1576" s="10">
        <f t="shared" si="48"/>
        <v>2.6041666666667268E-3</v>
      </c>
      <c r="E1576" s="7">
        <v>45796</v>
      </c>
      <c r="F1576" s="9">
        <v>119689.63</v>
      </c>
      <c r="G1576" s="10">
        <f t="shared" si="49"/>
        <v>3.3840610973054412E-4</v>
      </c>
      <c r="K1576" s="13"/>
      <c r="L1576" s="13"/>
      <c r="M1576" s="13"/>
    </row>
    <row r="1577" spans="1:13" x14ac:dyDescent="0.3">
      <c r="A1577" s="7">
        <v>45797</v>
      </c>
      <c r="B1577" s="8">
        <v>7.72</v>
      </c>
      <c r="C1577" s="10">
        <f t="shared" si="48"/>
        <v>2.5974025974025419E-3</v>
      </c>
      <c r="E1577" s="7">
        <v>45797</v>
      </c>
      <c r="F1577" s="9">
        <v>118971.13</v>
      </c>
      <c r="G1577" s="10">
        <f t="shared" si="49"/>
        <v>-6.0030263273434794E-3</v>
      </c>
      <c r="K1577" s="13"/>
      <c r="L1577" s="13"/>
      <c r="M1577" s="13"/>
    </row>
    <row r="1578" spans="1:13" x14ac:dyDescent="0.3">
      <c r="A1578" s="7">
        <v>45798</v>
      </c>
      <c r="B1578" s="8">
        <v>7.94</v>
      </c>
      <c r="C1578" s="10">
        <f t="shared" si="48"/>
        <v>2.8497409326424954E-2</v>
      </c>
      <c r="E1578" s="7">
        <v>45798</v>
      </c>
      <c r="F1578" s="9">
        <v>119931.46</v>
      </c>
      <c r="G1578" s="10">
        <f t="shared" si="49"/>
        <v>8.0719582977820063E-3</v>
      </c>
      <c r="K1578" s="13"/>
      <c r="L1578" s="13"/>
      <c r="M1578" s="13"/>
    </row>
    <row r="1579" spans="1:13" x14ac:dyDescent="0.3">
      <c r="A1579" s="7">
        <v>45799</v>
      </c>
      <c r="B1579" s="8">
        <v>7.62</v>
      </c>
      <c r="C1579" s="10">
        <f t="shared" si="48"/>
        <v>-4.0302267002518925E-2</v>
      </c>
      <c r="E1579" s="7">
        <v>45799</v>
      </c>
      <c r="F1579" s="9">
        <v>119153.04</v>
      </c>
      <c r="G1579" s="10">
        <f t="shared" si="49"/>
        <v>-6.4905405137235285E-3</v>
      </c>
      <c r="K1579" s="13"/>
      <c r="L1579" s="13"/>
      <c r="M1579" s="13"/>
    </row>
    <row r="1580" spans="1:13" x14ac:dyDescent="0.3">
      <c r="A1580" s="7">
        <v>45800</v>
      </c>
      <c r="B1580" s="8">
        <v>7.6</v>
      </c>
      <c r="C1580" s="10">
        <f t="shared" si="48"/>
        <v>-2.6246719160105594E-3</v>
      </c>
      <c r="E1580" s="7">
        <v>45800</v>
      </c>
      <c r="F1580" s="9">
        <v>119102.67</v>
      </c>
      <c r="G1580" s="10">
        <f t="shared" si="49"/>
        <v>-4.2273365413081652E-4</v>
      </c>
      <c r="K1580" s="13"/>
      <c r="L1580" s="13"/>
      <c r="M1580" s="13"/>
    </row>
    <row r="1581" spans="1:13" x14ac:dyDescent="0.3">
      <c r="A1581" s="7">
        <v>45803</v>
      </c>
      <c r="B1581" s="8">
        <v>7.68</v>
      </c>
      <c r="C1581" s="10">
        <f t="shared" si="48"/>
        <v>1.0526315789473694E-2</v>
      </c>
      <c r="E1581" s="7">
        <v>45803</v>
      </c>
      <c r="F1581" s="9">
        <v>118221.12</v>
      </c>
      <c r="G1581" s="10">
        <f t="shared" si="49"/>
        <v>-7.4015972941664778E-3</v>
      </c>
      <c r="K1581" s="13"/>
      <c r="L1581" s="13"/>
      <c r="M1581" s="13"/>
    </row>
    <row r="1582" spans="1:13" x14ac:dyDescent="0.3">
      <c r="A1582" s="7">
        <v>45804</v>
      </c>
      <c r="B1582" s="8">
        <v>7.55</v>
      </c>
      <c r="C1582" s="10">
        <f t="shared" si="48"/>
        <v>-1.6927083333333322E-2</v>
      </c>
      <c r="E1582" s="7">
        <v>45804</v>
      </c>
      <c r="F1582" s="9">
        <v>118332.91</v>
      </c>
      <c r="G1582" s="10">
        <f t="shared" si="49"/>
        <v>9.4560092139211798E-4</v>
      </c>
      <c r="K1582" s="13"/>
      <c r="L1582" s="13"/>
      <c r="M1582" s="13"/>
    </row>
    <row r="1583" spans="1:13" x14ac:dyDescent="0.3">
      <c r="A1583" s="7">
        <v>45806</v>
      </c>
      <c r="B1583" s="8">
        <v>7.79</v>
      </c>
      <c r="C1583" s="10">
        <f t="shared" si="48"/>
        <v>3.1788079470198703E-2</v>
      </c>
      <c r="E1583" s="7">
        <v>45806</v>
      </c>
      <c r="F1583" s="9">
        <v>118971.41</v>
      </c>
      <c r="G1583" s="10">
        <f t="shared" si="49"/>
        <v>5.395793951150191E-3</v>
      </c>
      <c r="K1583" s="13"/>
      <c r="L1583" s="13"/>
      <c r="M1583" s="13"/>
    </row>
    <row r="1584" spans="1:13" x14ac:dyDescent="0.3">
      <c r="A1584" s="7">
        <v>45807</v>
      </c>
      <c r="B1584" s="8">
        <v>7.86</v>
      </c>
      <c r="C1584" s="10">
        <f t="shared" si="48"/>
        <v>8.985879332477572E-3</v>
      </c>
      <c r="E1584" s="7">
        <v>45807</v>
      </c>
      <c r="F1584" s="9">
        <v>119691.09</v>
      </c>
      <c r="G1584" s="10">
        <f t="shared" si="49"/>
        <v>6.0491844217026008E-3</v>
      </c>
      <c r="K1584" s="13"/>
      <c r="L1584" s="13"/>
      <c r="M1584" s="13"/>
    </row>
    <row r="1585" spans="1:13" x14ac:dyDescent="0.3">
      <c r="A1585" s="7">
        <v>45810</v>
      </c>
      <c r="B1585" s="8">
        <v>7.66</v>
      </c>
      <c r="C1585" s="10">
        <f t="shared" si="48"/>
        <v>-2.5445292620865163E-2</v>
      </c>
      <c r="E1585" s="7">
        <v>45810</v>
      </c>
      <c r="F1585" s="9">
        <v>118877.81</v>
      </c>
      <c r="G1585" s="10">
        <f t="shared" si="49"/>
        <v>-6.7948249113613957E-3</v>
      </c>
      <c r="K1585" s="13"/>
      <c r="L1585" s="13"/>
      <c r="M1585" s="13"/>
    </row>
    <row r="1586" spans="1:13" x14ac:dyDescent="0.3">
      <c r="A1586" s="7">
        <v>45811</v>
      </c>
      <c r="B1586" s="8">
        <v>7.69</v>
      </c>
      <c r="C1586" s="10">
        <f t="shared" si="48"/>
        <v>3.9164490861619125E-3</v>
      </c>
      <c r="E1586" s="7">
        <v>45811</v>
      </c>
      <c r="F1586" s="9">
        <v>120450.87</v>
      </c>
      <c r="G1586" s="10">
        <f t="shared" si="49"/>
        <v>1.3232578897609214E-2</v>
      </c>
      <c r="K1586" s="13"/>
      <c r="L1586" s="13"/>
      <c r="M1586" s="13"/>
    </row>
    <row r="1587" spans="1:13" x14ac:dyDescent="0.3">
      <c r="A1587" s="7">
        <v>45812</v>
      </c>
      <c r="B1587" s="8">
        <v>7.82</v>
      </c>
      <c r="C1587" s="10">
        <f t="shared" si="48"/>
        <v>1.6905071521456424E-2</v>
      </c>
      <c r="E1587" s="7">
        <v>45812</v>
      </c>
      <c r="F1587" s="9">
        <v>121798.87</v>
      </c>
      <c r="G1587" s="10">
        <f t="shared" si="49"/>
        <v>1.1191284878224624E-2</v>
      </c>
      <c r="K1587" s="13"/>
      <c r="L1587" s="13"/>
      <c r="M1587" s="13"/>
    </row>
    <row r="1588" spans="1:13" x14ac:dyDescent="0.3">
      <c r="A1588" s="7">
        <v>45813</v>
      </c>
      <c r="B1588" s="8">
        <v>7.93</v>
      </c>
      <c r="C1588" s="10">
        <f t="shared" si="48"/>
        <v>1.4066496163682791E-2</v>
      </c>
      <c r="E1588" s="7">
        <v>45813</v>
      </c>
      <c r="F1588" s="9">
        <v>121641</v>
      </c>
      <c r="G1588" s="10">
        <f t="shared" si="49"/>
        <v>-1.2961532401737008E-3</v>
      </c>
      <c r="K1588" s="13"/>
      <c r="L1588" s="13"/>
      <c r="M1588" s="13"/>
    </row>
    <row r="1589" spans="1:13" x14ac:dyDescent="0.3">
      <c r="A1589" s="7">
        <v>45818</v>
      </c>
      <c r="B1589" s="8">
        <v>8.0299999999999994</v>
      </c>
      <c r="C1589" s="10">
        <f t="shared" si="48"/>
        <v>1.2610340479192893E-2</v>
      </c>
      <c r="E1589" s="7">
        <v>45818</v>
      </c>
      <c r="F1589" s="9">
        <v>122024.44</v>
      </c>
      <c r="G1589" s="10">
        <f t="shared" si="49"/>
        <v>3.152226634111873E-3</v>
      </c>
      <c r="K1589" s="13"/>
      <c r="L1589" s="13"/>
      <c r="M1589" s="13"/>
    </row>
    <row r="1590" spans="1:13" x14ac:dyDescent="0.3">
      <c r="A1590" s="7">
        <v>45819</v>
      </c>
      <c r="B1590" s="8">
        <v>7.74</v>
      </c>
      <c r="C1590" s="10">
        <f t="shared" si="48"/>
        <v>-3.6114570361145598E-2</v>
      </c>
      <c r="E1590" s="7">
        <v>45819</v>
      </c>
      <c r="F1590" s="9">
        <v>124352.68</v>
      </c>
      <c r="G1590" s="10">
        <f t="shared" si="49"/>
        <v>1.9080112148025352E-2</v>
      </c>
      <c r="K1590" s="13"/>
      <c r="L1590" s="13"/>
      <c r="M1590" s="13"/>
    </row>
    <row r="1591" spans="1:13" x14ac:dyDescent="0.3">
      <c r="A1591" s="7">
        <v>45820</v>
      </c>
      <c r="B1591" s="8">
        <v>7.65</v>
      </c>
      <c r="C1591" s="10">
        <f t="shared" si="48"/>
        <v>-1.1627906976744167E-2</v>
      </c>
      <c r="E1591" s="7">
        <v>45820</v>
      </c>
      <c r="F1591" s="9">
        <v>124093.12</v>
      </c>
      <c r="G1591" s="10">
        <f t="shared" si="49"/>
        <v>-2.0872891521115404E-3</v>
      </c>
      <c r="K1591" s="13"/>
      <c r="L1591" s="13"/>
      <c r="M1591" s="13"/>
    </row>
    <row r="1592" spans="1:13" x14ac:dyDescent="0.3">
      <c r="A1592" s="7">
        <v>45821</v>
      </c>
      <c r="B1592" s="8">
        <v>7.3</v>
      </c>
      <c r="C1592" s="10">
        <f t="shared" si="48"/>
        <v>-4.5751633986928171E-2</v>
      </c>
      <c r="E1592" s="7">
        <v>45821</v>
      </c>
      <c r="F1592" s="9">
        <v>122143.57</v>
      </c>
      <c r="G1592" s="10">
        <f t="shared" si="49"/>
        <v>-1.5710379431188356E-2</v>
      </c>
      <c r="K1592" s="13"/>
      <c r="L1592" s="13"/>
      <c r="M1592" s="13"/>
    </row>
    <row r="1593" spans="1:13" x14ac:dyDescent="0.3">
      <c r="A1593" s="7">
        <v>45824</v>
      </c>
      <c r="B1593" s="8">
        <v>7.24</v>
      </c>
      <c r="C1593" s="10">
        <f t="shared" si="48"/>
        <v>-8.219178082191728E-3</v>
      </c>
      <c r="E1593" s="7">
        <v>45824</v>
      </c>
      <c r="F1593" s="9">
        <v>122225.36</v>
      </c>
      <c r="G1593" s="10">
        <f t="shared" si="49"/>
        <v>6.696218229088407E-4</v>
      </c>
      <c r="K1593" s="13"/>
      <c r="L1593" s="13"/>
      <c r="M1593" s="13"/>
    </row>
    <row r="1594" spans="1:13" x14ac:dyDescent="0.3">
      <c r="A1594" s="7">
        <v>45825</v>
      </c>
      <c r="B1594" s="8">
        <v>7.2</v>
      </c>
      <c r="C1594" s="10">
        <f t="shared" si="48"/>
        <v>-5.5248618784530436E-3</v>
      </c>
      <c r="E1594" s="7">
        <v>45825</v>
      </c>
      <c r="F1594" s="9">
        <v>121971.04</v>
      </c>
      <c r="G1594" s="10">
        <f t="shared" si="49"/>
        <v>-2.080746581560545E-3</v>
      </c>
      <c r="K1594" s="13"/>
      <c r="L1594" s="13"/>
      <c r="M1594" s="13"/>
    </row>
    <row r="1595" spans="1:13" x14ac:dyDescent="0.3">
      <c r="A1595" s="7">
        <v>45826</v>
      </c>
      <c r="B1595" s="8">
        <v>7.12</v>
      </c>
      <c r="C1595" s="10">
        <f t="shared" si="48"/>
        <v>-1.111111111111112E-2</v>
      </c>
      <c r="E1595" s="7">
        <v>45826</v>
      </c>
      <c r="F1595" s="9">
        <v>120465.93</v>
      </c>
      <c r="G1595" s="10">
        <f t="shared" si="49"/>
        <v>-1.2339896421314441E-2</v>
      </c>
      <c r="K1595" s="13"/>
      <c r="L1595" s="13"/>
      <c r="M1595" s="13"/>
    </row>
    <row r="1596" spans="1:13" x14ac:dyDescent="0.3">
      <c r="A1596" s="7">
        <v>45827</v>
      </c>
      <c r="B1596" s="8">
        <v>7.17</v>
      </c>
      <c r="C1596" s="10">
        <f t="shared" si="48"/>
        <v>7.0224719101123342E-3</v>
      </c>
      <c r="E1596" s="7">
        <v>45827</v>
      </c>
      <c r="F1596" s="9">
        <v>120002.59</v>
      </c>
      <c r="G1596" s="10">
        <f t="shared" si="49"/>
        <v>-3.8462327066249896E-3</v>
      </c>
      <c r="K1596" s="13"/>
      <c r="L1596" s="13"/>
      <c r="M1596" s="13"/>
    </row>
    <row r="1597" spans="1:13" x14ac:dyDescent="0.3">
      <c r="A1597" s="7">
        <v>45828</v>
      </c>
      <c r="B1597" s="8">
        <v>7.11</v>
      </c>
      <c r="C1597" s="10">
        <f t="shared" si="48"/>
        <v>-8.3682008368200292E-3</v>
      </c>
      <c r="E1597" s="7">
        <v>45828</v>
      </c>
      <c r="F1597" s="9">
        <v>120023.24</v>
      </c>
      <c r="G1597" s="10">
        <f t="shared" si="49"/>
        <v>1.7207961928162327E-4</v>
      </c>
      <c r="K1597" s="13"/>
      <c r="L1597" s="13"/>
      <c r="M1597" s="13"/>
    </row>
    <row r="1598" spans="1:13" x14ac:dyDescent="0.3">
      <c r="A1598" s="7">
        <v>45831</v>
      </c>
      <c r="B1598" s="8">
        <v>6.63</v>
      </c>
      <c r="C1598" s="10">
        <f t="shared" si="48"/>
        <v>-6.7510548523206815E-2</v>
      </c>
      <c r="E1598" s="7">
        <v>45831</v>
      </c>
      <c r="F1598" s="9">
        <v>116167.47</v>
      </c>
      <c r="G1598" s="10">
        <f t="shared" si="49"/>
        <v>-3.2125195087218145E-2</v>
      </c>
      <c r="K1598" s="13"/>
      <c r="L1598" s="13"/>
      <c r="M1598" s="13"/>
    </row>
    <row r="1599" spans="1:13" x14ac:dyDescent="0.3">
      <c r="A1599" s="7">
        <v>45832</v>
      </c>
      <c r="B1599" s="8">
        <v>7.16</v>
      </c>
      <c r="C1599" s="10">
        <f t="shared" si="48"/>
        <v>7.9939668174962328E-2</v>
      </c>
      <c r="E1599" s="7">
        <v>45832</v>
      </c>
      <c r="F1599" s="9">
        <v>122246.64</v>
      </c>
      <c r="G1599" s="10">
        <f t="shared" si="49"/>
        <v>5.2331087179569274E-2</v>
      </c>
      <c r="K1599" s="13"/>
      <c r="L1599" s="13"/>
      <c r="M1599" s="13"/>
    </row>
    <row r="1600" spans="1:13" x14ac:dyDescent="0.3">
      <c r="A1600" s="7">
        <v>45833</v>
      </c>
      <c r="B1600" s="8">
        <v>7.25</v>
      </c>
      <c r="C1600" s="10">
        <f t="shared" si="48"/>
        <v>1.2569832402234617E-2</v>
      </c>
      <c r="E1600" s="7">
        <v>45833</v>
      </c>
      <c r="F1600" s="9">
        <v>122761.64</v>
      </c>
      <c r="G1600" s="10">
        <f t="shared" si="49"/>
        <v>4.2127947238468069E-3</v>
      </c>
      <c r="K1600" s="13"/>
      <c r="L1600" s="13"/>
      <c r="M1600" s="13"/>
    </row>
    <row r="1601" spans="1:13" x14ac:dyDescent="0.3">
      <c r="A1601" s="7">
        <v>45834</v>
      </c>
      <c r="B1601" s="8">
        <v>7.15</v>
      </c>
      <c r="C1601" s="10">
        <f t="shared" si="48"/>
        <v>-1.3793103448275813E-2</v>
      </c>
      <c r="E1601" s="7">
        <v>45834</v>
      </c>
      <c r="F1601" s="9">
        <v>122046.46</v>
      </c>
      <c r="G1601" s="10">
        <f t="shared" si="49"/>
        <v>-5.825761206839474E-3</v>
      </c>
      <c r="K1601" s="13"/>
      <c r="L1601" s="13"/>
      <c r="M1601" s="13"/>
    </row>
    <row r="1602" spans="1:13" x14ac:dyDescent="0.3">
      <c r="A1602" s="7">
        <v>45835</v>
      </c>
      <c r="B1602" s="8">
        <v>7.11</v>
      </c>
      <c r="C1602" s="10">
        <f t="shared" si="48"/>
        <v>-5.5944055944055987E-3</v>
      </c>
      <c r="E1602" s="7">
        <v>45835</v>
      </c>
      <c r="F1602" s="9">
        <v>124379.07</v>
      </c>
      <c r="G1602" s="10">
        <f t="shared" si="49"/>
        <v>1.9112475691634156E-2</v>
      </c>
      <c r="K1602" s="13"/>
      <c r="L1602" s="13"/>
      <c r="M1602" s="13"/>
    </row>
    <row r="1603" spans="1:13" x14ac:dyDescent="0.3">
      <c r="A1603" s="7">
        <v>45838</v>
      </c>
      <c r="B1603" s="8">
        <v>7.13</v>
      </c>
      <c r="C1603" s="10">
        <f t="shared" si="48"/>
        <v>2.8129395218002211E-3</v>
      </c>
      <c r="E1603" s="7">
        <v>45838</v>
      </c>
      <c r="F1603" s="9">
        <v>125627.31</v>
      </c>
      <c r="G1603" s="10">
        <f t="shared" si="49"/>
        <v>1.0035772095739184E-2</v>
      </c>
      <c r="K1603" s="13"/>
      <c r="L1603" s="13"/>
      <c r="M1603" s="13"/>
    </row>
    <row r="1604" spans="1:13" x14ac:dyDescent="0.3">
      <c r="A1604" s="7">
        <v>45839</v>
      </c>
      <c r="B1604" s="8">
        <v>7.22</v>
      </c>
      <c r="C1604" s="10">
        <f t="shared" si="48"/>
        <v>1.2622720897615689E-2</v>
      </c>
      <c r="E1604" s="7">
        <v>45839</v>
      </c>
      <c r="F1604" s="9">
        <v>128199.43</v>
      </c>
      <c r="G1604" s="10">
        <f t="shared" si="49"/>
        <v>2.0474210583670025E-2</v>
      </c>
      <c r="K1604" s="13"/>
      <c r="L1604" s="13"/>
      <c r="M1604" s="13"/>
    </row>
    <row r="1605" spans="1:13" x14ac:dyDescent="0.3">
      <c r="A1605" s="7">
        <v>45840</v>
      </c>
      <c r="B1605" s="8">
        <v>7.18</v>
      </c>
      <c r="C1605" s="10">
        <f t="shared" ref="C1605:C1668" si="50">(B1605-B1604)/B1604</f>
        <v>-5.5401662049861548E-3</v>
      </c>
      <c r="E1605" s="7">
        <v>45840</v>
      </c>
      <c r="F1605" s="9">
        <v>130344.03</v>
      </c>
      <c r="G1605" s="10">
        <f t="shared" ref="G1605:G1668" si="51">(F1605-F1604)/F1604</f>
        <v>1.6728623520401033E-2</v>
      </c>
      <c r="K1605" s="13"/>
      <c r="L1605" s="13"/>
      <c r="M1605" s="13"/>
    </row>
    <row r="1606" spans="1:13" x14ac:dyDescent="0.3">
      <c r="A1606" s="7">
        <v>45841</v>
      </c>
      <c r="B1606" s="8">
        <v>7.1</v>
      </c>
      <c r="C1606" s="10">
        <f t="shared" si="50"/>
        <v>-1.1142061281337058E-2</v>
      </c>
      <c r="E1606" s="7">
        <v>45841</v>
      </c>
      <c r="F1606" s="9">
        <v>130686.66</v>
      </c>
      <c r="G1606" s="10">
        <f t="shared" si="51"/>
        <v>2.6286589420321336E-3</v>
      </c>
      <c r="K1606" s="13"/>
      <c r="L1606" s="13"/>
      <c r="M1606" s="13"/>
    </row>
    <row r="1607" spans="1:13" x14ac:dyDescent="0.3">
      <c r="A1607" s="7">
        <v>45842</v>
      </c>
      <c r="B1607" s="8">
        <v>7.11</v>
      </c>
      <c r="C1607" s="10">
        <f t="shared" si="50"/>
        <v>1.4084507042254472E-3</v>
      </c>
      <c r="E1607" s="7">
        <v>45842</v>
      </c>
      <c r="F1607" s="9">
        <v>131949.06</v>
      </c>
      <c r="G1607" s="10">
        <f t="shared" si="51"/>
        <v>9.6597464500201794E-3</v>
      </c>
      <c r="K1607" s="13"/>
      <c r="L1607" s="13"/>
      <c r="M1607" s="13"/>
    </row>
    <row r="1608" spans="1:13" x14ac:dyDescent="0.3">
      <c r="A1608" s="7">
        <v>45845</v>
      </c>
      <c r="B1608" s="8">
        <v>7.16</v>
      </c>
      <c r="C1608" s="10">
        <f t="shared" si="50"/>
        <v>7.0323488045006778E-3</v>
      </c>
      <c r="E1608" s="7">
        <v>45845</v>
      </c>
      <c r="F1608" s="9">
        <v>133370.16</v>
      </c>
      <c r="G1608" s="10">
        <f t="shared" si="51"/>
        <v>1.0770065357040103E-2</v>
      </c>
      <c r="K1608" s="13"/>
      <c r="L1608" s="13"/>
      <c r="M1608" s="13"/>
    </row>
    <row r="1609" spans="1:13" x14ac:dyDescent="0.3">
      <c r="A1609" s="7">
        <v>45846</v>
      </c>
      <c r="B1609" s="8">
        <v>7.16</v>
      </c>
      <c r="C1609" s="10">
        <f t="shared" si="50"/>
        <v>0</v>
      </c>
      <c r="E1609" s="7">
        <v>45846</v>
      </c>
      <c r="F1609" s="9">
        <v>133403.19</v>
      </c>
      <c r="G1609" s="10">
        <f t="shared" si="51"/>
        <v>2.4765659724783139E-4</v>
      </c>
      <c r="K1609" s="13"/>
      <c r="L1609" s="13"/>
      <c r="M1609" s="13"/>
    </row>
    <row r="1610" spans="1:13" x14ac:dyDescent="0.3">
      <c r="A1610" s="7">
        <v>45847</v>
      </c>
      <c r="B1610" s="8">
        <v>7.19</v>
      </c>
      <c r="C1610" s="10">
        <f t="shared" si="50"/>
        <v>4.1899441340782469E-3</v>
      </c>
      <c r="E1610" s="7">
        <v>45847</v>
      </c>
      <c r="F1610" s="9">
        <v>132576.98000000001</v>
      </c>
      <c r="G1610" s="10">
        <f t="shared" si="51"/>
        <v>-6.193330159496125E-3</v>
      </c>
      <c r="K1610" s="13"/>
      <c r="L1610" s="13"/>
      <c r="M1610" s="13"/>
    </row>
    <row r="1611" spans="1:13" x14ac:dyDescent="0.3">
      <c r="A1611" s="7">
        <v>45848</v>
      </c>
      <c r="B1611" s="8">
        <v>7.12</v>
      </c>
      <c r="C1611" s="10">
        <f t="shared" si="50"/>
        <v>-9.735744089012557E-3</v>
      </c>
      <c r="E1611" s="7">
        <v>45848</v>
      </c>
      <c r="F1611" s="9">
        <v>133782.34</v>
      </c>
      <c r="G1611" s="10">
        <f t="shared" si="51"/>
        <v>9.0917744543584107E-3</v>
      </c>
      <c r="K1611" s="13"/>
      <c r="L1611" s="13"/>
      <c r="M1611" s="13"/>
    </row>
    <row r="1612" spans="1:13" x14ac:dyDescent="0.3">
      <c r="A1612" s="7">
        <v>45849</v>
      </c>
      <c r="B1612" s="8">
        <v>7.12</v>
      </c>
      <c r="C1612" s="10">
        <f t="shared" si="50"/>
        <v>0</v>
      </c>
      <c r="E1612" s="7">
        <v>45849</v>
      </c>
      <c r="F1612" s="9">
        <v>134299.76999999999</v>
      </c>
      <c r="G1612" s="10">
        <f t="shared" si="51"/>
        <v>3.8677003257679078E-3</v>
      </c>
      <c r="K1612" s="13"/>
      <c r="L1612" s="13"/>
      <c r="M1612" s="13"/>
    </row>
    <row r="1613" spans="1:13" x14ac:dyDescent="0.3">
      <c r="A1613" s="7">
        <v>45852</v>
      </c>
      <c r="B1613" s="8">
        <v>7.18</v>
      </c>
      <c r="C1613" s="10">
        <f t="shared" si="50"/>
        <v>8.4269662921347757E-3</v>
      </c>
      <c r="E1613" s="7">
        <v>45852</v>
      </c>
      <c r="F1613" s="9">
        <v>136502.54999999999</v>
      </c>
      <c r="G1613" s="10">
        <f t="shared" si="51"/>
        <v>1.640196405399651E-2</v>
      </c>
      <c r="K1613" s="13"/>
      <c r="L1613" s="13"/>
      <c r="M1613" s="13"/>
    </row>
    <row r="1614" spans="1:13" x14ac:dyDescent="0.3">
      <c r="A1614" s="7">
        <v>45853</v>
      </c>
      <c r="B1614" s="8">
        <v>7.04</v>
      </c>
      <c r="C1614" s="10">
        <f t="shared" si="50"/>
        <v>-1.9498607242339788E-2</v>
      </c>
      <c r="E1614" s="7">
        <v>45853</v>
      </c>
      <c r="F1614" s="9">
        <v>135939.88</v>
      </c>
      <c r="G1614" s="10">
        <f t="shared" si="51"/>
        <v>-4.1220475368407682E-3</v>
      </c>
      <c r="K1614" s="13"/>
      <c r="L1614" s="13"/>
      <c r="M1614" s="13"/>
    </row>
    <row r="1615" spans="1:13" x14ac:dyDescent="0.3">
      <c r="A1615" s="7">
        <v>45854</v>
      </c>
      <c r="B1615" s="8">
        <v>7.07</v>
      </c>
      <c r="C1615" s="10">
        <f t="shared" si="50"/>
        <v>4.2613636363636716E-3</v>
      </c>
      <c r="E1615" s="7">
        <v>45854</v>
      </c>
      <c r="F1615" s="9">
        <v>136379.97</v>
      </c>
      <c r="G1615" s="10">
        <f t="shared" si="51"/>
        <v>3.23738699784049E-3</v>
      </c>
      <c r="K1615" s="13"/>
      <c r="L1615" s="13"/>
      <c r="M1615" s="13"/>
    </row>
    <row r="1616" spans="1:13" x14ac:dyDescent="0.3">
      <c r="A1616" s="7">
        <v>45855</v>
      </c>
      <c r="B1616" s="8">
        <v>7.12</v>
      </c>
      <c r="C1616" s="10">
        <f t="shared" si="50"/>
        <v>7.0721357850070466E-3</v>
      </c>
      <c r="E1616" s="7">
        <v>45855</v>
      </c>
      <c r="F1616" s="9">
        <v>138665.5</v>
      </c>
      <c r="G1616" s="10">
        <f t="shared" si="51"/>
        <v>1.675854599469408E-2</v>
      </c>
      <c r="K1616" s="13"/>
      <c r="L1616" s="13"/>
      <c r="M1616" s="13"/>
    </row>
    <row r="1617" spans="1:13" x14ac:dyDescent="0.3">
      <c r="A1617" s="7">
        <v>45856</v>
      </c>
      <c r="B1617" s="8">
        <v>7.01</v>
      </c>
      <c r="C1617" s="10">
        <f t="shared" si="50"/>
        <v>-1.5449438202247236E-2</v>
      </c>
      <c r="E1617" s="7">
        <v>45856</v>
      </c>
      <c r="F1617" s="9">
        <v>138597.35999999999</v>
      </c>
      <c r="G1617" s="10">
        <f t="shared" si="51"/>
        <v>-4.9139836513057659E-4</v>
      </c>
      <c r="K1617" s="13"/>
      <c r="L1617" s="13"/>
      <c r="M1617" s="13"/>
    </row>
    <row r="1618" spans="1:13" x14ac:dyDescent="0.3">
      <c r="A1618" s="7">
        <v>45859</v>
      </c>
      <c r="B1618" s="8">
        <v>6.97</v>
      </c>
      <c r="C1618" s="10">
        <f t="shared" si="50"/>
        <v>-5.7061340941512179E-3</v>
      </c>
      <c r="E1618" s="7">
        <v>45859</v>
      </c>
      <c r="F1618" s="9">
        <v>138217.57999999999</v>
      </c>
      <c r="G1618" s="10">
        <f t="shared" si="51"/>
        <v>-2.7401676337846471E-3</v>
      </c>
      <c r="K1618" s="13"/>
      <c r="L1618" s="13"/>
      <c r="M1618" s="13"/>
    </row>
    <row r="1619" spans="1:13" x14ac:dyDescent="0.3">
      <c r="A1619" s="7">
        <v>45860</v>
      </c>
      <c r="B1619" s="8">
        <v>6.99</v>
      </c>
      <c r="C1619" s="10">
        <f t="shared" si="50"/>
        <v>2.86944045911054E-3</v>
      </c>
      <c r="E1619" s="7">
        <v>45860</v>
      </c>
      <c r="F1619" s="9">
        <v>139419.63</v>
      </c>
      <c r="G1619" s="10">
        <f t="shared" si="51"/>
        <v>8.6967952991219896E-3</v>
      </c>
      <c r="K1619" s="13"/>
      <c r="L1619" s="13"/>
      <c r="M1619" s="13"/>
    </row>
    <row r="1620" spans="1:13" x14ac:dyDescent="0.3">
      <c r="A1620" s="7">
        <v>45861</v>
      </c>
      <c r="B1620" s="8">
        <v>6.95</v>
      </c>
      <c r="C1620" s="10">
        <f t="shared" si="50"/>
        <v>-5.7224606580829809E-3</v>
      </c>
      <c r="E1620" s="7">
        <v>45861</v>
      </c>
      <c r="F1620" s="9">
        <v>139254.35999999999</v>
      </c>
      <c r="G1620" s="10">
        <f t="shared" si="51"/>
        <v>-1.185414134293848E-3</v>
      </c>
      <c r="K1620" s="13"/>
      <c r="L1620" s="13"/>
      <c r="M1620" s="13"/>
    </row>
    <row r="1621" spans="1:13" x14ac:dyDescent="0.3">
      <c r="A1621" s="7">
        <v>45862</v>
      </c>
      <c r="B1621" s="8">
        <v>7.09</v>
      </c>
      <c r="C1621" s="10">
        <f t="shared" si="50"/>
        <v>2.0143884892086284E-2</v>
      </c>
      <c r="E1621" s="7">
        <v>45862</v>
      </c>
      <c r="F1621" s="9">
        <v>138692.67000000001</v>
      </c>
      <c r="G1621" s="10">
        <f t="shared" si="51"/>
        <v>-4.0335541379097452E-3</v>
      </c>
      <c r="K1621" s="13"/>
      <c r="L1621" s="13"/>
      <c r="M1621" s="13"/>
    </row>
    <row r="1622" spans="1:13" x14ac:dyDescent="0.3">
      <c r="A1622" s="7">
        <v>45863</v>
      </c>
      <c r="B1622" s="8">
        <v>7.03</v>
      </c>
      <c r="C1622" s="10">
        <f t="shared" si="50"/>
        <v>-8.4626234132580552E-3</v>
      </c>
      <c r="E1622" s="7">
        <v>45863</v>
      </c>
      <c r="F1622" s="9">
        <v>139207.29999999999</v>
      </c>
      <c r="G1622" s="10">
        <f t="shared" si="51"/>
        <v>3.7105782158492985E-3</v>
      </c>
      <c r="K1622" s="13"/>
      <c r="L1622" s="13"/>
      <c r="M1622" s="13"/>
    </row>
    <row r="1623" spans="1:13" x14ac:dyDescent="0.3">
      <c r="A1623" s="7">
        <v>45866</v>
      </c>
      <c r="B1623" s="8">
        <v>7</v>
      </c>
      <c r="C1623" s="10">
        <f t="shared" si="50"/>
        <v>-4.2674253200569341E-3</v>
      </c>
      <c r="E1623" s="7">
        <v>45866</v>
      </c>
      <c r="F1623" s="9">
        <v>139380.06</v>
      </c>
      <c r="G1623" s="10">
        <f t="shared" si="51"/>
        <v>1.2410268714356885E-3</v>
      </c>
      <c r="K1623" s="13"/>
      <c r="L1623" s="13"/>
      <c r="M1623" s="13"/>
    </row>
    <row r="1624" spans="1:13" x14ac:dyDescent="0.3">
      <c r="A1624" s="7">
        <v>45867</v>
      </c>
      <c r="B1624" s="8">
        <v>6.85</v>
      </c>
      <c r="C1624" s="10">
        <f t="shared" si="50"/>
        <v>-2.1428571428571481E-2</v>
      </c>
      <c r="E1624" s="7">
        <v>45867</v>
      </c>
      <c r="F1624" s="9">
        <v>137964.81</v>
      </c>
      <c r="G1624" s="10">
        <f t="shared" si="51"/>
        <v>-1.0153891453339883E-2</v>
      </c>
      <c r="K1624" s="13"/>
      <c r="L1624" s="13"/>
      <c r="M1624" s="13"/>
    </row>
    <row r="1625" spans="1:13" x14ac:dyDescent="0.3">
      <c r="A1625" s="7">
        <v>45868</v>
      </c>
      <c r="B1625" s="8">
        <v>6.81</v>
      </c>
      <c r="C1625" s="10">
        <f t="shared" si="50"/>
        <v>-5.8394160583941663E-3</v>
      </c>
      <c r="E1625" s="7">
        <v>45868</v>
      </c>
      <c r="F1625" s="9">
        <v>138412.25</v>
      </c>
      <c r="G1625" s="10">
        <f t="shared" si="51"/>
        <v>3.2431458427696334E-3</v>
      </c>
      <c r="K1625" s="13"/>
      <c r="L1625" s="13"/>
      <c r="M1625" s="13"/>
    </row>
    <row r="1626" spans="1:13" x14ac:dyDescent="0.3">
      <c r="A1626" s="7">
        <v>45869</v>
      </c>
      <c r="B1626" s="8">
        <v>6.73</v>
      </c>
      <c r="C1626" s="10">
        <f t="shared" si="50"/>
        <v>-1.1747430249632774E-2</v>
      </c>
      <c r="E1626" s="7">
        <v>45869</v>
      </c>
      <c r="F1626" s="9">
        <v>139390.42000000001</v>
      </c>
      <c r="G1626" s="10">
        <f t="shared" si="51"/>
        <v>7.0670767941422297E-3</v>
      </c>
      <c r="K1626" s="13"/>
      <c r="L1626" s="13"/>
      <c r="M1626" s="13"/>
    </row>
    <row r="1627" spans="1:13" x14ac:dyDescent="0.3">
      <c r="A1627" s="7">
        <v>45870</v>
      </c>
      <c r="B1627" s="8">
        <v>7.11</v>
      </c>
      <c r="C1627" s="10">
        <f t="shared" si="50"/>
        <v>5.6463595839524497E-2</v>
      </c>
      <c r="E1627" s="7">
        <v>45870</v>
      </c>
      <c r="F1627" s="9">
        <v>141034.98000000001</v>
      </c>
      <c r="G1627" s="10">
        <f t="shared" si="51"/>
        <v>1.1798228314399207E-2</v>
      </c>
      <c r="K1627" s="13"/>
      <c r="L1627" s="13"/>
      <c r="M1627" s="13"/>
    </row>
    <row r="1628" spans="1:13" x14ac:dyDescent="0.3">
      <c r="A1628" s="7">
        <v>45873</v>
      </c>
      <c r="B1628" s="8">
        <v>7.39</v>
      </c>
      <c r="C1628" s="10">
        <f t="shared" si="50"/>
        <v>3.9381153305203843E-2</v>
      </c>
      <c r="E1628" s="7">
        <v>45873</v>
      </c>
      <c r="F1628" s="9">
        <v>142052.66</v>
      </c>
      <c r="G1628" s="10">
        <f t="shared" si="51"/>
        <v>7.2157985203386635E-3</v>
      </c>
      <c r="K1628" s="13"/>
      <c r="L1628" s="13"/>
      <c r="M1628" s="13"/>
    </row>
    <row r="1629" spans="1:13" x14ac:dyDescent="0.3">
      <c r="A1629" s="7">
        <v>45874</v>
      </c>
      <c r="B1629" s="8">
        <v>7.28</v>
      </c>
      <c r="C1629" s="10">
        <f t="shared" si="50"/>
        <v>-1.488497970230033E-2</v>
      </c>
      <c r="E1629" s="7">
        <v>45874</v>
      </c>
      <c r="F1629" s="9">
        <v>143037.17000000001</v>
      </c>
      <c r="G1629" s="10">
        <f t="shared" si="51"/>
        <v>6.9305988356712879E-3</v>
      </c>
      <c r="K1629" s="13"/>
      <c r="L1629" s="13"/>
      <c r="M1629" s="13"/>
    </row>
    <row r="1630" spans="1:13" x14ac:dyDescent="0.3">
      <c r="A1630" s="7">
        <v>45875</v>
      </c>
      <c r="B1630" s="8">
        <v>7.19</v>
      </c>
      <c r="C1630" s="10">
        <f t="shared" si="50"/>
        <v>-1.2362637362637343E-2</v>
      </c>
      <c r="E1630" s="7">
        <v>45875</v>
      </c>
      <c r="F1630" s="9">
        <v>145088.5</v>
      </c>
      <c r="G1630" s="10">
        <f t="shared" si="51"/>
        <v>1.4341237316146475E-2</v>
      </c>
      <c r="K1630" s="13"/>
      <c r="L1630" s="13"/>
      <c r="M1630" s="13"/>
    </row>
    <row r="1631" spans="1:13" x14ac:dyDescent="0.3">
      <c r="A1631" s="7">
        <v>45876</v>
      </c>
      <c r="B1631" s="8">
        <v>7.23</v>
      </c>
      <c r="C1631" s="10">
        <f t="shared" si="50"/>
        <v>5.5632823365785863E-3</v>
      </c>
      <c r="E1631" s="7">
        <v>45876</v>
      </c>
      <c r="F1631" s="9">
        <v>145647.14000000001</v>
      </c>
      <c r="G1631" s="10">
        <f t="shared" si="51"/>
        <v>3.8503396203008093E-3</v>
      </c>
      <c r="K1631" s="13"/>
      <c r="L1631" s="13"/>
      <c r="M1631" s="13"/>
    </row>
    <row r="1632" spans="1:13" x14ac:dyDescent="0.3">
      <c r="A1632" s="7">
        <v>45877</v>
      </c>
      <c r="B1632" s="8">
        <v>7.14</v>
      </c>
      <c r="C1632" s="10">
        <f t="shared" si="50"/>
        <v>-1.2448132780083091E-2</v>
      </c>
      <c r="E1632" s="7">
        <v>45877</v>
      </c>
      <c r="F1632" s="9">
        <v>145382.79999999999</v>
      </c>
      <c r="G1632" s="10">
        <f t="shared" si="51"/>
        <v>-1.8149343680900674E-3</v>
      </c>
      <c r="K1632" s="13"/>
      <c r="L1632" s="13"/>
      <c r="M1632" s="13"/>
    </row>
    <row r="1633" spans="1:13" x14ac:dyDescent="0.3">
      <c r="A1633" s="7">
        <v>45880</v>
      </c>
      <c r="B1633" s="8">
        <v>7.24</v>
      </c>
      <c r="C1633" s="10">
        <f t="shared" si="50"/>
        <v>1.4005602240896434E-2</v>
      </c>
      <c r="E1633" s="7">
        <v>45880</v>
      </c>
      <c r="F1633" s="9">
        <v>146929.84</v>
      </c>
      <c r="G1633" s="10">
        <f t="shared" si="51"/>
        <v>1.0641148746619327E-2</v>
      </c>
      <c r="K1633" s="13"/>
      <c r="L1633" s="13"/>
      <c r="M1633" s="13"/>
    </row>
    <row r="1634" spans="1:13" x14ac:dyDescent="0.3">
      <c r="A1634" s="7">
        <v>45881</v>
      </c>
      <c r="B1634" s="8">
        <v>7.12</v>
      </c>
      <c r="C1634" s="10">
        <f t="shared" si="50"/>
        <v>-1.6574585635359129E-2</v>
      </c>
      <c r="E1634" s="7">
        <v>45881</v>
      </c>
      <c r="F1634" s="9">
        <v>147005.31</v>
      </c>
      <c r="G1634" s="10">
        <f t="shared" si="51"/>
        <v>5.1364651319297128E-4</v>
      </c>
      <c r="K1634" s="13"/>
      <c r="L1634" s="13"/>
      <c r="M1634" s="13"/>
    </row>
    <row r="1635" spans="1:13" x14ac:dyDescent="0.3">
      <c r="A1635" s="7">
        <v>45882</v>
      </c>
      <c r="B1635" s="8">
        <v>7.06</v>
      </c>
      <c r="C1635" s="10">
        <f t="shared" si="50"/>
        <v>-8.4269662921349006E-3</v>
      </c>
      <c r="E1635" s="7">
        <v>45882</v>
      </c>
      <c r="F1635" s="9">
        <v>146529.31</v>
      </c>
      <c r="G1635" s="10">
        <f t="shared" si="51"/>
        <v>-3.2379782743902244E-3</v>
      </c>
      <c r="K1635" s="13"/>
      <c r="L1635" s="13"/>
      <c r="M1635" s="13"/>
    </row>
    <row r="1636" spans="1:13" x14ac:dyDescent="0.3">
      <c r="A1636" s="7">
        <v>45884</v>
      </c>
      <c r="B1636" s="8">
        <v>7.06</v>
      </c>
      <c r="C1636" s="10">
        <f t="shared" si="50"/>
        <v>0</v>
      </c>
      <c r="E1636" s="7">
        <v>45884</v>
      </c>
      <c r="F1636" s="9">
        <v>146491.63</v>
      </c>
      <c r="G1636" s="10">
        <f t="shared" si="51"/>
        <v>-2.5714991765123996E-4</v>
      </c>
      <c r="K1636" s="13"/>
      <c r="L1636" s="13"/>
      <c r="M1636" s="13"/>
    </row>
    <row r="1637" spans="1:13" x14ac:dyDescent="0.3">
      <c r="A1637" s="7">
        <v>45887</v>
      </c>
      <c r="B1637" s="8">
        <v>7.03</v>
      </c>
      <c r="C1637" s="10">
        <f t="shared" si="50"/>
        <v>-4.2492917847024589E-3</v>
      </c>
      <c r="E1637" s="7">
        <v>45887</v>
      </c>
      <c r="F1637" s="9">
        <v>148196.42000000001</v>
      </c>
      <c r="G1637" s="10">
        <f t="shared" si="51"/>
        <v>1.1637456692918279E-2</v>
      </c>
      <c r="K1637" s="13"/>
      <c r="L1637" s="13"/>
      <c r="M1637" s="13"/>
    </row>
    <row r="1638" spans="1:13" x14ac:dyDescent="0.3">
      <c r="A1638" s="7">
        <v>45888</v>
      </c>
      <c r="B1638" s="8">
        <v>7.09</v>
      </c>
      <c r="C1638" s="10">
        <f t="shared" si="50"/>
        <v>8.5348506401137416E-3</v>
      </c>
      <c r="E1638" s="7">
        <v>45888</v>
      </c>
      <c r="F1638" s="9">
        <v>149770.75</v>
      </c>
      <c r="G1638" s="10">
        <f t="shared" si="51"/>
        <v>1.0623266068100613E-2</v>
      </c>
      <c r="K1638" s="13"/>
      <c r="L1638" s="13"/>
      <c r="M1638" s="13"/>
    </row>
    <row r="1639" spans="1:13" x14ac:dyDescent="0.3">
      <c r="A1639" s="7">
        <v>45889</v>
      </c>
      <c r="B1639" s="8">
        <v>7.08</v>
      </c>
      <c r="C1639" s="10">
        <f t="shared" si="50"/>
        <v>-1.4104372355429884E-3</v>
      </c>
      <c r="E1639" s="7">
        <v>45889</v>
      </c>
      <c r="F1639" s="9">
        <v>150591</v>
      </c>
      <c r="G1639" s="10">
        <f t="shared" si="51"/>
        <v>5.4767035619438372E-3</v>
      </c>
      <c r="K1639" s="13"/>
      <c r="L1639" s="13"/>
      <c r="M1639" s="13"/>
    </row>
    <row r="1640" spans="1:13" x14ac:dyDescent="0.3">
      <c r="A1640" s="7">
        <v>45890</v>
      </c>
      <c r="B1640" s="8">
        <v>7.08</v>
      </c>
      <c r="C1640" s="10">
        <f t="shared" si="50"/>
        <v>0</v>
      </c>
      <c r="E1640" s="7">
        <v>45890</v>
      </c>
      <c r="F1640" s="9">
        <v>149235.26999999999</v>
      </c>
      <c r="G1640" s="10">
        <f t="shared" si="51"/>
        <v>-9.0027292467678051E-3</v>
      </c>
      <c r="K1640" s="13"/>
      <c r="L1640" s="13"/>
      <c r="M1640" s="13"/>
    </row>
    <row r="1641" spans="1:13" x14ac:dyDescent="0.3">
      <c r="A1641" s="7">
        <v>45891</v>
      </c>
      <c r="B1641" s="8">
        <v>7.11</v>
      </c>
      <c r="C1641" s="10">
        <f t="shared" si="50"/>
        <v>4.237288135593255E-3</v>
      </c>
      <c r="E1641" s="7">
        <v>45891</v>
      </c>
      <c r="F1641" s="9">
        <v>149493.06</v>
      </c>
      <c r="G1641" s="10">
        <f t="shared" si="51"/>
        <v>1.7274066646578129E-3</v>
      </c>
      <c r="K1641" s="13"/>
      <c r="L1641" s="13"/>
      <c r="M1641" s="13"/>
    </row>
    <row r="1642" spans="1:13" x14ac:dyDescent="0.3">
      <c r="A1642" s="7">
        <v>45894</v>
      </c>
      <c r="B1642" s="8">
        <v>7.03</v>
      </c>
      <c r="C1642" s="10">
        <f t="shared" si="50"/>
        <v>-1.1251758087201134E-2</v>
      </c>
      <c r="E1642" s="7">
        <v>45894</v>
      </c>
      <c r="F1642" s="9">
        <v>148815.31</v>
      </c>
      <c r="G1642" s="10">
        <f t="shared" si="51"/>
        <v>-4.5336552746997084E-3</v>
      </c>
      <c r="K1642" s="13"/>
      <c r="L1642" s="13"/>
      <c r="M1642" s="13"/>
    </row>
    <row r="1643" spans="1:13" x14ac:dyDescent="0.3">
      <c r="A1643" s="7">
        <v>45895</v>
      </c>
      <c r="B1643" s="8">
        <v>7.08</v>
      </c>
      <c r="C1643" s="10">
        <f t="shared" si="50"/>
        <v>7.1123755334281391E-3</v>
      </c>
      <c r="E1643" s="7">
        <v>45895</v>
      </c>
      <c r="F1643" s="9">
        <v>148435.06</v>
      </c>
      <c r="G1643" s="10">
        <f t="shared" si="51"/>
        <v>-2.55518064639989E-3</v>
      </c>
      <c r="K1643" s="13"/>
      <c r="L1643" s="13"/>
      <c r="M1643" s="13"/>
    </row>
    <row r="1644" spans="1:13" x14ac:dyDescent="0.3">
      <c r="A1644" s="7">
        <v>45896</v>
      </c>
      <c r="B1644" s="8">
        <v>6.92</v>
      </c>
      <c r="C1644" s="10">
        <f t="shared" si="50"/>
        <v>-2.2598870056497196E-2</v>
      </c>
      <c r="E1644" s="7">
        <v>45896</v>
      </c>
      <c r="F1644" s="9">
        <v>147494.03</v>
      </c>
      <c r="G1644" s="10">
        <f t="shared" si="51"/>
        <v>-6.3396747372217784E-3</v>
      </c>
      <c r="K1644" s="13"/>
      <c r="L1644" s="13"/>
      <c r="M1644" s="13"/>
    </row>
    <row r="1645" spans="1:13" x14ac:dyDescent="0.3">
      <c r="A1645" s="7">
        <v>45897</v>
      </c>
      <c r="B1645" s="8">
        <v>6.98</v>
      </c>
      <c r="C1645" s="10">
        <f t="shared" si="50"/>
        <v>8.6705202312139448E-3</v>
      </c>
      <c r="E1645" s="7">
        <v>45897</v>
      </c>
      <c r="F1645" s="9">
        <v>147343.51999999999</v>
      </c>
      <c r="G1645" s="10">
        <f t="shared" si="51"/>
        <v>-1.0204480818648003E-3</v>
      </c>
      <c r="K1645" s="13"/>
      <c r="L1645" s="13"/>
      <c r="M1645" s="13"/>
    </row>
    <row r="1646" spans="1:13" x14ac:dyDescent="0.3">
      <c r="A1646" s="7">
        <v>45898</v>
      </c>
      <c r="B1646" s="8">
        <v>7.22</v>
      </c>
      <c r="C1646" s="10">
        <f t="shared" si="50"/>
        <v>3.4383954154727697E-2</v>
      </c>
      <c r="E1646" s="7">
        <v>45898</v>
      </c>
      <c r="F1646" s="9">
        <v>148617.78</v>
      </c>
      <c r="G1646" s="10">
        <f t="shared" si="51"/>
        <v>8.6482255887466875E-3</v>
      </c>
      <c r="K1646" s="13"/>
      <c r="L1646" s="13"/>
      <c r="M1646" s="13"/>
    </row>
    <row r="1647" spans="1:13" x14ac:dyDescent="0.3">
      <c r="A1647" s="7">
        <v>45901</v>
      </c>
      <c r="B1647" s="8">
        <v>7.25</v>
      </c>
      <c r="C1647" s="10">
        <f t="shared" si="50"/>
        <v>4.1551246537396471E-3</v>
      </c>
      <c r="E1647" s="7">
        <v>45901</v>
      </c>
      <c r="F1647" s="9">
        <v>149971.13</v>
      </c>
      <c r="G1647" s="10">
        <f t="shared" si="51"/>
        <v>9.1062455649654154E-3</v>
      </c>
      <c r="K1647" s="13"/>
      <c r="L1647" s="13"/>
      <c r="M1647" s="13"/>
    </row>
    <row r="1648" spans="1:13" x14ac:dyDescent="0.3">
      <c r="A1648" s="7">
        <v>45902</v>
      </c>
      <c r="B1648" s="8">
        <v>7.22</v>
      </c>
      <c r="C1648" s="10">
        <f t="shared" si="50"/>
        <v>-4.1379310344827926E-3</v>
      </c>
      <c r="E1648" s="7">
        <v>45902</v>
      </c>
      <c r="F1648" s="9">
        <v>150975.48000000001</v>
      </c>
      <c r="G1648" s="10">
        <f t="shared" si="51"/>
        <v>6.6969556073892744E-3</v>
      </c>
      <c r="K1648" s="13"/>
      <c r="L1648" s="13"/>
      <c r="M1648" s="13"/>
    </row>
    <row r="1649" spans="1:13" x14ac:dyDescent="0.3">
      <c r="A1649" s="7">
        <v>45903</v>
      </c>
      <c r="B1649" s="8">
        <v>7.19</v>
      </c>
      <c r="C1649" s="10">
        <f t="shared" si="50"/>
        <v>-4.1551246537395239E-3</v>
      </c>
      <c r="E1649" s="7">
        <v>45903</v>
      </c>
      <c r="F1649" s="9">
        <v>152201.88</v>
      </c>
      <c r="G1649" s="10">
        <f t="shared" si="51"/>
        <v>8.1231733788824124E-3</v>
      </c>
      <c r="K1649" s="13"/>
      <c r="L1649" s="13"/>
      <c r="M1649" s="13"/>
    </row>
    <row r="1650" spans="1:13" x14ac:dyDescent="0.3">
      <c r="A1650" s="7">
        <v>45904</v>
      </c>
      <c r="B1650" s="8">
        <v>7.36</v>
      </c>
      <c r="C1650" s="10">
        <f t="shared" si="50"/>
        <v>2.3643949930458961E-2</v>
      </c>
      <c r="E1650" s="7">
        <v>45904</v>
      </c>
      <c r="F1650" s="9">
        <v>152665.72</v>
      </c>
      <c r="G1650" s="10">
        <f t="shared" si="51"/>
        <v>3.0475313445536712E-3</v>
      </c>
      <c r="K1650" s="13"/>
      <c r="L1650" s="13"/>
      <c r="M1650" s="13"/>
    </row>
    <row r="1651" spans="1:13" x14ac:dyDescent="0.3">
      <c r="A1651" s="7">
        <v>45905</v>
      </c>
      <c r="B1651" s="8">
        <v>7.27</v>
      </c>
      <c r="C1651" s="10">
        <f t="shared" si="50"/>
        <v>-1.2228260869565319E-2</v>
      </c>
      <c r="E1651" s="7">
        <v>45905</v>
      </c>
      <c r="F1651" s="9">
        <v>154277.19</v>
      </c>
      <c r="G1651" s="10">
        <f t="shared" si="51"/>
        <v>1.0555545802947781E-2</v>
      </c>
      <c r="K1651" s="13"/>
      <c r="L1651" s="13"/>
      <c r="M1651" s="13"/>
    </row>
    <row r="1652" spans="1:13" x14ac:dyDescent="0.3">
      <c r="A1652" s="7">
        <v>45908</v>
      </c>
      <c r="B1652" s="8">
        <v>7.22</v>
      </c>
      <c r="C1652" s="10">
        <f t="shared" si="50"/>
        <v>-6.8775790921595361E-3</v>
      </c>
      <c r="E1652" s="7">
        <v>45908</v>
      </c>
      <c r="F1652" s="9">
        <v>156087.31</v>
      </c>
      <c r="G1652" s="10">
        <f t="shared" si="51"/>
        <v>1.1732907502398736E-2</v>
      </c>
      <c r="K1652" s="13"/>
      <c r="L1652" s="13"/>
      <c r="M1652" s="13"/>
    </row>
    <row r="1653" spans="1:13" x14ac:dyDescent="0.3">
      <c r="A1653" s="7">
        <v>45909</v>
      </c>
      <c r="B1653" s="8">
        <v>7.15</v>
      </c>
      <c r="C1653" s="10">
        <f t="shared" si="50"/>
        <v>-9.6952908587256779E-3</v>
      </c>
      <c r="E1653" s="7">
        <v>45909</v>
      </c>
      <c r="F1653" s="9">
        <v>156563.53</v>
      </c>
      <c r="G1653" s="10">
        <f t="shared" si="51"/>
        <v>3.0509847341209299E-3</v>
      </c>
      <c r="K1653" s="13"/>
      <c r="L1653" s="13"/>
      <c r="M1653" s="13"/>
    </row>
    <row r="1654" spans="1:13" x14ac:dyDescent="0.3">
      <c r="A1654" s="7">
        <v>45910</v>
      </c>
      <c r="B1654" s="8">
        <v>7.16</v>
      </c>
      <c r="C1654" s="10">
        <f t="shared" si="50"/>
        <v>1.3986013986013687E-3</v>
      </c>
      <c r="E1654" s="7">
        <v>45910</v>
      </c>
      <c r="F1654" s="9">
        <v>157020.79999999999</v>
      </c>
      <c r="G1654" s="10">
        <f t="shared" si="51"/>
        <v>2.9206674121360801E-3</v>
      </c>
      <c r="K1654" s="13"/>
      <c r="L1654" s="13"/>
      <c r="M1654" s="13"/>
    </row>
    <row r="1655" spans="1:13" x14ac:dyDescent="0.3">
      <c r="A1655" s="7">
        <v>45911</v>
      </c>
      <c r="B1655" s="8">
        <v>7.16</v>
      </c>
      <c r="C1655" s="10">
        <f t="shared" si="50"/>
        <v>0</v>
      </c>
      <c r="E1655" s="7">
        <v>45911</v>
      </c>
      <c r="F1655" s="9">
        <v>156141.25</v>
      </c>
      <c r="G1655" s="10">
        <f t="shared" si="51"/>
        <v>-5.6014871915057649E-3</v>
      </c>
      <c r="K1655" s="13"/>
      <c r="L1655" s="13"/>
      <c r="M1655" s="13"/>
    </row>
    <row r="1656" spans="1:13" x14ac:dyDescent="0.3">
      <c r="A1656" s="7">
        <v>45912</v>
      </c>
      <c r="B1656" s="8">
        <v>7.13</v>
      </c>
      <c r="C1656" s="10">
        <f t="shared" si="50"/>
        <v>-4.1899441340782469E-3</v>
      </c>
      <c r="E1656" s="7">
        <v>45912</v>
      </c>
      <c r="F1656" s="9">
        <v>154439.69</v>
      </c>
      <c r="G1656" s="10">
        <f t="shared" si="51"/>
        <v>-1.0897568707820628E-2</v>
      </c>
      <c r="K1656" s="13"/>
      <c r="L1656" s="13"/>
      <c r="M1656" s="13"/>
    </row>
    <row r="1657" spans="1:13" x14ac:dyDescent="0.3">
      <c r="A1657" s="7">
        <v>45915</v>
      </c>
      <c r="B1657" s="8">
        <v>7.16</v>
      </c>
      <c r="C1657" s="10">
        <f t="shared" si="50"/>
        <v>4.207573632538604E-3</v>
      </c>
      <c r="E1657" s="7">
        <v>45915</v>
      </c>
      <c r="F1657" s="9">
        <v>155384.51999999999</v>
      </c>
      <c r="G1657" s="10">
        <f t="shared" si="51"/>
        <v>6.1177926477318572E-3</v>
      </c>
      <c r="K1657" s="13"/>
      <c r="L1657" s="13"/>
      <c r="M1657" s="13"/>
    </row>
    <row r="1658" spans="1:13" x14ac:dyDescent="0.3">
      <c r="A1658" s="7">
        <v>45916</v>
      </c>
      <c r="B1658" s="8">
        <v>7.36</v>
      </c>
      <c r="C1658" s="10">
        <f t="shared" si="50"/>
        <v>2.7932960893854771E-2</v>
      </c>
      <c r="E1658" s="7">
        <v>45916</v>
      </c>
      <c r="F1658" s="9">
        <v>156180.94</v>
      </c>
      <c r="G1658" s="10">
        <f t="shared" si="51"/>
        <v>5.1254783938581069E-3</v>
      </c>
      <c r="K1658" s="13"/>
      <c r="L1658" s="13"/>
      <c r="M1658" s="13"/>
    </row>
    <row r="1659" spans="1:13" x14ac:dyDescent="0.3">
      <c r="A1659" s="7">
        <v>45917</v>
      </c>
      <c r="B1659" s="8">
        <v>7.41</v>
      </c>
      <c r="C1659" s="10">
        <f t="shared" si="50"/>
        <v>6.7934782608695407E-3</v>
      </c>
      <c r="E1659" s="7">
        <v>45917</v>
      </c>
      <c r="F1659" s="9">
        <v>156177.81</v>
      </c>
      <c r="G1659" s="10">
        <f t="shared" si="51"/>
        <v>-2.0040857738496492E-5</v>
      </c>
      <c r="K1659" s="13"/>
      <c r="L1659" s="13"/>
      <c r="M1659" s="13"/>
    </row>
    <row r="1660" spans="1:13" x14ac:dyDescent="0.3">
      <c r="A1660" s="7">
        <v>45918</v>
      </c>
      <c r="B1660" s="8">
        <v>8.41</v>
      </c>
      <c r="C1660" s="10">
        <f t="shared" si="50"/>
        <v>0.1349527665317139</v>
      </c>
      <c r="E1660" s="7">
        <v>45918</v>
      </c>
      <c r="F1660" s="9">
        <v>157953.47</v>
      </c>
      <c r="G1660" s="10">
        <f t="shared" si="51"/>
        <v>1.1369476880230319E-2</v>
      </c>
      <c r="K1660" s="13"/>
      <c r="L1660" s="13"/>
      <c r="M1660" s="13"/>
    </row>
    <row r="1661" spans="1:13" x14ac:dyDescent="0.3">
      <c r="A1661" s="7">
        <v>45919</v>
      </c>
      <c r="B1661" s="8">
        <v>8.1199999999999992</v>
      </c>
      <c r="C1661" s="10">
        <f t="shared" si="50"/>
        <v>-3.4482758620689766E-2</v>
      </c>
      <c r="E1661" s="7">
        <v>45919</v>
      </c>
      <c r="F1661" s="9">
        <v>158037.38</v>
      </c>
      <c r="G1661" s="10">
        <f t="shared" si="51"/>
        <v>5.3123239394489718E-4</v>
      </c>
      <c r="K1661" s="13"/>
      <c r="L1661" s="13"/>
      <c r="M1661" s="13"/>
    </row>
    <row r="1662" spans="1:13" x14ac:dyDescent="0.3">
      <c r="A1662" s="7">
        <v>45922</v>
      </c>
      <c r="B1662" s="8">
        <v>8.5399999999999991</v>
      </c>
      <c r="C1662" s="10">
        <f t="shared" si="50"/>
        <v>5.1724137931034482E-2</v>
      </c>
      <c r="E1662" s="7">
        <v>45922</v>
      </c>
      <c r="F1662" s="9">
        <v>157554.66</v>
      </c>
      <c r="G1662" s="10">
        <f t="shared" si="51"/>
        <v>-3.0544672405984023E-3</v>
      </c>
      <c r="K1662" s="13"/>
      <c r="L1662" s="13"/>
      <c r="M1662" s="13"/>
    </row>
    <row r="1663" spans="1:13" x14ac:dyDescent="0.3">
      <c r="A1663" s="7">
        <v>45923</v>
      </c>
      <c r="B1663" s="8">
        <v>8.5</v>
      </c>
      <c r="C1663" s="10">
        <f t="shared" si="50"/>
        <v>-4.6838407494144202E-3</v>
      </c>
      <c r="E1663" s="7">
        <v>45923</v>
      </c>
      <c r="F1663" s="9">
        <v>157945.03</v>
      </c>
      <c r="G1663" s="10">
        <f t="shared" si="51"/>
        <v>2.4776798096609477E-3</v>
      </c>
      <c r="K1663" s="13"/>
      <c r="L1663" s="13"/>
      <c r="M1663" s="13"/>
    </row>
    <row r="1664" spans="1:13" x14ac:dyDescent="0.3">
      <c r="A1664" s="7">
        <v>45924</v>
      </c>
      <c r="B1664" s="8">
        <v>8.61</v>
      </c>
      <c r="C1664" s="10">
        <f t="shared" si="50"/>
        <v>1.2941176470588168E-2</v>
      </c>
      <c r="E1664" s="7">
        <v>45924</v>
      </c>
      <c r="F1664" s="9">
        <v>158236.69</v>
      </c>
      <c r="G1664" s="10">
        <f t="shared" si="51"/>
        <v>1.8465918174190318E-3</v>
      </c>
      <c r="K1664" s="13"/>
      <c r="L1664" s="13"/>
      <c r="M1664" s="13"/>
    </row>
    <row r="1665" spans="1:13" x14ac:dyDescent="0.3">
      <c r="A1665" s="7">
        <v>45925</v>
      </c>
      <c r="B1665" s="8">
        <v>8.85</v>
      </c>
      <c r="C1665" s="10">
        <f t="shared" si="50"/>
        <v>2.7874564459930341E-2</v>
      </c>
      <c r="E1665" s="7">
        <v>45925</v>
      </c>
      <c r="F1665" s="9">
        <v>159280.09</v>
      </c>
      <c r="G1665" s="10">
        <f t="shared" si="51"/>
        <v>6.5939195265016862E-3</v>
      </c>
      <c r="K1665" s="13"/>
      <c r="L1665" s="13"/>
      <c r="M1665" s="13"/>
    </row>
    <row r="1666" spans="1:13" x14ac:dyDescent="0.3">
      <c r="A1666" s="7">
        <v>45926</v>
      </c>
      <c r="B1666" s="8">
        <v>8.81</v>
      </c>
      <c r="C1666" s="10">
        <f t="shared" si="50"/>
        <v>-4.5197740112993389E-3</v>
      </c>
      <c r="E1666" s="7">
        <v>45926</v>
      </c>
      <c r="F1666" s="9">
        <v>162257.01999999999</v>
      </c>
      <c r="G1666" s="10">
        <f t="shared" si="51"/>
        <v>1.8689906566476656E-2</v>
      </c>
      <c r="K1666" s="13"/>
      <c r="L1666" s="13"/>
      <c r="M1666" s="13"/>
    </row>
    <row r="1667" spans="1:13" x14ac:dyDescent="0.3">
      <c r="A1667" s="7">
        <v>45929</v>
      </c>
      <c r="B1667" s="8">
        <v>8.7200000000000006</v>
      </c>
      <c r="C1667" s="10">
        <f t="shared" si="50"/>
        <v>-1.0215664018161165E-2</v>
      </c>
      <c r="E1667" s="7">
        <v>45929</v>
      </c>
      <c r="F1667" s="9">
        <v>163847.69</v>
      </c>
      <c r="G1667" s="10">
        <f t="shared" si="51"/>
        <v>9.8033971041746795E-3</v>
      </c>
      <c r="K1667" s="13"/>
      <c r="L1667" s="13"/>
      <c r="M1667" s="13"/>
    </row>
    <row r="1668" spans="1:13" x14ac:dyDescent="0.3">
      <c r="A1668" s="7">
        <v>45930</v>
      </c>
      <c r="B1668" s="8">
        <v>8.33</v>
      </c>
      <c r="C1668" s="10">
        <f t="shared" si="50"/>
        <v>-4.47247706422019E-2</v>
      </c>
      <c r="E1668" s="7">
        <v>45930</v>
      </c>
      <c r="F1668" s="9">
        <v>165493.59</v>
      </c>
      <c r="G1668" s="10">
        <f t="shared" si="51"/>
        <v>1.0045304880404442E-2</v>
      </c>
      <c r="K1668" s="13"/>
      <c r="L1668" s="13"/>
      <c r="M1668" s="13"/>
    </row>
    <row r="1669" spans="1:13" x14ac:dyDescent="0.3">
      <c r="A1669" s="7">
        <v>45931</v>
      </c>
      <c r="B1669" s="8">
        <v>8.44</v>
      </c>
      <c r="C1669" s="10">
        <f t="shared" ref="C1669:C1732" si="52">(B1669-B1668)/B1668</f>
        <v>1.3205282112845069E-2</v>
      </c>
      <c r="E1669" s="7">
        <v>45931</v>
      </c>
      <c r="F1669" s="9">
        <v>165640.34</v>
      </c>
      <c r="G1669" s="10">
        <f t="shared" ref="G1669:G1732" si="53">(F1669-F1668)/F1668</f>
        <v>8.8674129312198743E-4</v>
      </c>
      <c r="K1669" s="13"/>
      <c r="L1669" s="13"/>
      <c r="M1669" s="13"/>
    </row>
    <row r="1670" spans="1:13" x14ac:dyDescent="0.3">
      <c r="A1670" s="7">
        <v>45932</v>
      </c>
      <c r="B1670" s="8">
        <v>8.52</v>
      </c>
      <c r="C1670" s="10">
        <f t="shared" si="52"/>
        <v>9.4786729857819999E-3</v>
      </c>
      <c r="E1670" s="7">
        <v>45932</v>
      </c>
      <c r="F1670" s="9">
        <v>168489.63</v>
      </c>
      <c r="G1670" s="10">
        <f t="shared" si="53"/>
        <v>1.7201667178418062E-2</v>
      </c>
      <c r="K1670" s="13"/>
      <c r="L1670" s="13"/>
      <c r="M1670" s="13"/>
    </row>
    <row r="1671" spans="1:13" x14ac:dyDescent="0.3">
      <c r="A1671" s="7">
        <v>45933</v>
      </c>
      <c r="B1671" s="8">
        <v>9.07</v>
      </c>
      <c r="C1671" s="10">
        <f t="shared" si="52"/>
        <v>6.4553990610328724E-2</v>
      </c>
      <c r="E1671" s="7">
        <v>45933</v>
      </c>
      <c r="F1671" s="9">
        <v>168990.06</v>
      </c>
      <c r="G1671" s="10">
        <f t="shared" si="53"/>
        <v>2.970093767788516E-3</v>
      </c>
      <c r="K1671" s="13"/>
      <c r="L1671" s="13"/>
      <c r="M1671" s="13"/>
    </row>
    <row r="1672" spans="1:13" x14ac:dyDescent="0.3">
      <c r="A1672" s="7">
        <v>45936</v>
      </c>
      <c r="B1672" s="8">
        <v>8.7899999999999991</v>
      </c>
      <c r="C1672" s="10">
        <f t="shared" si="52"/>
        <v>-3.0871003307607621E-2</v>
      </c>
      <c r="E1672" s="7">
        <v>45936</v>
      </c>
      <c r="F1672" s="9">
        <v>167752.41</v>
      </c>
      <c r="G1672" s="10">
        <f t="shared" si="53"/>
        <v>-7.3238035420544511E-3</v>
      </c>
      <c r="K1672" s="13"/>
      <c r="L1672" s="13"/>
      <c r="M1672" s="13"/>
    </row>
    <row r="1673" spans="1:13" x14ac:dyDescent="0.3">
      <c r="A1673" s="7">
        <v>45937</v>
      </c>
      <c r="B1673" s="8">
        <v>8.76</v>
      </c>
      <c r="C1673" s="10">
        <f t="shared" si="52"/>
        <v>-3.4129692832763781E-3</v>
      </c>
      <c r="E1673" s="7">
        <v>45937</v>
      </c>
      <c r="F1673" s="9">
        <v>166173.75</v>
      </c>
      <c r="G1673" s="10">
        <f t="shared" si="53"/>
        <v>-9.4106546666006367E-3</v>
      </c>
      <c r="K1673" s="13"/>
      <c r="L1673" s="13"/>
      <c r="M1673" s="13"/>
    </row>
    <row r="1674" spans="1:13" x14ac:dyDescent="0.3">
      <c r="A1674" s="7">
        <v>45938</v>
      </c>
      <c r="B1674" s="8">
        <v>8.58</v>
      </c>
      <c r="C1674" s="10">
        <f t="shared" si="52"/>
        <v>-2.054794520547942E-2</v>
      </c>
      <c r="E1674" s="7">
        <v>45938</v>
      </c>
      <c r="F1674" s="9">
        <v>165266.75</v>
      </c>
      <c r="G1674" s="10">
        <f t="shared" si="53"/>
        <v>-5.4581424563145504E-3</v>
      </c>
      <c r="K1674" s="13"/>
      <c r="L1674" s="13"/>
      <c r="M1674" s="13"/>
    </row>
    <row r="1675" spans="1:13" x14ac:dyDescent="0.3">
      <c r="A1675" s="7">
        <v>45939</v>
      </c>
      <c r="B1675" s="8">
        <v>8.43</v>
      </c>
      <c r="C1675" s="10">
        <f t="shared" si="52"/>
        <v>-1.7482517482517525E-2</v>
      </c>
      <c r="E1675" s="7">
        <v>45939</v>
      </c>
      <c r="F1675" s="9">
        <v>164530.81</v>
      </c>
      <c r="G1675" s="10">
        <f t="shared" si="53"/>
        <v>-4.4530433375134584E-3</v>
      </c>
      <c r="K1675" s="13"/>
      <c r="L1675" s="13"/>
      <c r="M1675" s="13"/>
    </row>
    <row r="1676" spans="1:13" x14ac:dyDescent="0.3">
      <c r="A1676" s="7">
        <v>45940</v>
      </c>
      <c r="B1676" s="8">
        <v>8.27</v>
      </c>
      <c r="C1676" s="10">
        <f t="shared" si="52"/>
        <v>-1.8979833926453162E-2</v>
      </c>
      <c r="E1676" s="7">
        <v>45940</v>
      </c>
      <c r="F1676" s="9">
        <v>163098.19</v>
      </c>
      <c r="G1676" s="10">
        <f t="shared" si="53"/>
        <v>-8.7073053369152893E-3</v>
      </c>
      <c r="K1676" s="13"/>
      <c r="L1676" s="13"/>
      <c r="M1676" s="13"/>
    </row>
    <row r="1677" spans="1:13" x14ac:dyDescent="0.3">
      <c r="A1677" s="7">
        <v>45943</v>
      </c>
      <c r="B1677" s="8">
        <v>7.83</v>
      </c>
      <c r="C1677" s="10">
        <f t="shared" si="52"/>
        <v>-5.320435308343404E-2</v>
      </c>
      <c r="E1677" s="7">
        <v>45943</v>
      </c>
      <c r="F1677" s="9">
        <v>158443.42000000001</v>
      </c>
      <c r="G1677" s="10">
        <f t="shared" si="53"/>
        <v>-2.8539679073078552E-2</v>
      </c>
      <c r="K1677" s="13"/>
      <c r="L1677" s="13"/>
      <c r="M1677" s="13"/>
    </row>
    <row r="1678" spans="1:13" x14ac:dyDescent="0.3">
      <c r="A1678" s="7">
        <v>45944</v>
      </c>
      <c r="B1678" s="8">
        <v>8.24</v>
      </c>
      <c r="C1678" s="10">
        <f t="shared" si="52"/>
        <v>5.2362707535121344E-2</v>
      </c>
      <c r="E1678" s="7">
        <v>45944</v>
      </c>
      <c r="F1678" s="9">
        <v>165476.01999999999</v>
      </c>
      <c r="G1678" s="10">
        <f t="shared" si="53"/>
        <v>4.4385560473259013E-2</v>
      </c>
      <c r="K1678" s="13"/>
      <c r="L1678" s="13"/>
      <c r="M1678" s="13"/>
    </row>
    <row r="1679" spans="1:13" x14ac:dyDescent="0.3">
      <c r="A1679" s="7">
        <v>45945</v>
      </c>
      <c r="B1679" s="8">
        <v>8.14</v>
      </c>
      <c r="C1679" s="10">
        <f t="shared" si="52"/>
        <v>-1.2135922330097044E-2</v>
      </c>
      <c r="E1679" s="7">
        <v>45945</v>
      </c>
      <c r="F1679" s="9">
        <v>165686.38</v>
      </c>
      <c r="G1679" s="10">
        <f t="shared" si="53"/>
        <v>1.2712415974230897E-3</v>
      </c>
      <c r="K1679" s="13"/>
      <c r="L1679" s="13"/>
      <c r="M1679" s="13"/>
    </row>
    <row r="1680" spans="1:13" x14ac:dyDescent="0.3">
      <c r="A1680" s="7">
        <v>45946</v>
      </c>
      <c r="B1680" s="8">
        <v>8.32</v>
      </c>
      <c r="C1680" s="10">
        <f t="shared" si="52"/>
        <v>2.2113022113022077E-2</v>
      </c>
      <c r="E1680" s="7">
        <v>45946</v>
      </c>
      <c r="F1680" s="9">
        <v>164444.72</v>
      </c>
      <c r="G1680" s="10">
        <f t="shared" si="53"/>
        <v>-7.494037832198419E-3</v>
      </c>
      <c r="K1680" s="13"/>
      <c r="L1680" s="13"/>
      <c r="M1680" s="13"/>
    </row>
    <row r="1681" spans="1:13" x14ac:dyDescent="0.3">
      <c r="A1681" s="7">
        <v>45947</v>
      </c>
      <c r="B1681" s="8">
        <v>8.2100000000000009</v>
      </c>
      <c r="C1681" s="10">
        <f t="shared" si="52"/>
        <v>-1.3221153846153777E-2</v>
      </c>
      <c r="E1681" s="7">
        <v>45947</v>
      </c>
      <c r="F1681" s="9">
        <v>163806.22</v>
      </c>
      <c r="G1681" s="10">
        <f t="shared" si="53"/>
        <v>-3.8827637640174765E-3</v>
      </c>
      <c r="K1681" s="13"/>
      <c r="L1681" s="13"/>
      <c r="M1681" s="13"/>
    </row>
    <row r="1682" spans="1:13" x14ac:dyDescent="0.3">
      <c r="A1682" s="7">
        <v>45950</v>
      </c>
      <c r="B1682" s="8">
        <v>8.15</v>
      </c>
      <c r="C1682" s="10">
        <f t="shared" si="52"/>
        <v>-7.3081607795372093E-3</v>
      </c>
      <c r="E1682" s="7">
        <v>45950</v>
      </c>
      <c r="F1682" s="9">
        <v>166242.91</v>
      </c>
      <c r="G1682" s="10">
        <f t="shared" si="53"/>
        <v>1.4875442458778441E-2</v>
      </c>
      <c r="K1682" s="13"/>
      <c r="L1682" s="13"/>
      <c r="M1682" s="13"/>
    </row>
    <row r="1683" spans="1:13" x14ac:dyDescent="0.3">
      <c r="A1683" s="7">
        <v>45951</v>
      </c>
      <c r="B1683" s="8">
        <v>8.11</v>
      </c>
      <c r="C1683" s="10">
        <f t="shared" si="52"/>
        <v>-4.9079754601228124E-3</v>
      </c>
      <c r="E1683" s="7">
        <v>45951</v>
      </c>
      <c r="F1683" s="9">
        <v>167346.82999999999</v>
      </c>
      <c r="G1683" s="10">
        <f t="shared" si="53"/>
        <v>6.6404034914931635E-3</v>
      </c>
      <c r="K1683" s="13"/>
      <c r="L1683" s="13"/>
      <c r="M1683" s="13"/>
    </row>
    <row r="1684" spans="1:13" x14ac:dyDescent="0.3">
      <c r="A1684" s="7">
        <v>45952</v>
      </c>
      <c r="B1684" s="8">
        <v>8.07</v>
      </c>
      <c r="C1684" s="10">
        <f t="shared" si="52"/>
        <v>-4.9321824907520529E-3</v>
      </c>
      <c r="E1684" s="7">
        <v>45952</v>
      </c>
      <c r="F1684" s="9">
        <v>166553.28</v>
      </c>
      <c r="G1684" s="10">
        <f t="shared" si="53"/>
        <v>-4.7419482042174834E-3</v>
      </c>
      <c r="K1684" s="13"/>
      <c r="L1684" s="13"/>
      <c r="M1684" s="13"/>
    </row>
    <row r="1685" spans="1:13" x14ac:dyDescent="0.3">
      <c r="A1685" s="7">
        <v>45953</v>
      </c>
      <c r="B1685" s="8">
        <v>7.93</v>
      </c>
      <c r="C1685" s="10">
        <f t="shared" si="52"/>
        <v>-1.7348203221809241E-2</v>
      </c>
      <c r="E1685" s="7">
        <v>45953</v>
      </c>
      <c r="F1685" s="9">
        <v>164590.41</v>
      </c>
      <c r="G1685" s="10">
        <f t="shared" si="53"/>
        <v>-1.1785237732934443E-2</v>
      </c>
      <c r="K1685" s="13"/>
      <c r="L1685" s="13"/>
      <c r="M1685" s="13"/>
    </row>
    <row r="1686" spans="1:13" x14ac:dyDescent="0.3">
      <c r="A1686" s="7">
        <v>45954</v>
      </c>
      <c r="B1686" s="8">
        <v>7.8</v>
      </c>
      <c r="C1686" s="10">
        <f t="shared" si="52"/>
        <v>-1.6393442622950807E-2</v>
      </c>
      <c r="E1686" s="7">
        <v>45954</v>
      </c>
      <c r="F1686" s="9">
        <v>163304.13</v>
      </c>
      <c r="G1686" s="10">
        <f t="shared" si="53"/>
        <v>-7.8150361251302473E-3</v>
      </c>
      <c r="K1686" s="13"/>
      <c r="L1686" s="13"/>
      <c r="M1686" s="13"/>
    </row>
    <row r="1687" spans="1:13" x14ac:dyDescent="0.3">
      <c r="A1687" s="7">
        <v>45957</v>
      </c>
      <c r="B1687" s="8">
        <v>7.72</v>
      </c>
      <c r="C1687" s="10">
        <f t="shared" si="52"/>
        <v>-1.0256410256410265E-2</v>
      </c>
      <c r="E1687" s="7">
        <v>45957</v>
      </c>
      <c r="F1687" s="9">
        <v>162163.81</v>
      </c>
      <c r="G1687" s="10">
        <f t="shared" si="53"/>
        <v>-6.9827995164605267E-3</v>
      </c>
      <c r="K1687" s="13"/>
      <c r="L1687" s="13"/>
      <c r="M1687" s="13"/>
    </row>
    <row r="1688" spans="1:13" x14ac:dyDescent="0.3">
      <c r="A1688" s="7">
        <v>45958</v>
      </c>
      <c r="B1688" s="8">
        <v>7.75</v>
      </c>
      <c r="C1688" s="10">
        <f t="shared" si="52"/>
        <v>3.886010362694333E-3</v>
      </c>
      <c r="E1688" s="7">
        <v>45958</v>
      </c>
      <c r="F1688" s="9">
        <v>160101.03</v>
      </c>
      <c r="G1688" s="10">
        <f t="shared" si="53"/>
        <v>-1.2720347406736427E-2</v>
      </c>
      <c r="K1688" s="13"/>
      <c r="L1688" s="13"/>
      <c r="M1688" s="13"/>
    </row>
    <row r="1689" spans="1:13" x14ac:dyDescent="0.3">
      <c r="A1689" s="7">
        <v>45959</v>
      </c>
      <c r="B1689" s="8">
        <v>7.41</v>
      </c>
      <c r="C1689" s="10">
        <f t="shared" si="52"/>
        <v>-4.3870967741935468E-2</v>
      </c>
      <c r="E1689" s="7">
        <v>45959</v>
      </c>
      <c r="F1689" s="9">
        <v>158465.06</v>
      </c>
      <c r="G1689" s="10">
        <f t="shared" si="53"/>
        <v>-1.0218360244153339E-2</v>
      </c>
      <c r="K1689" s="13"/>
      <c r="L1689" s="13"/>
      <c r="M1689" s="13"/>
    </row>
    <row r="1690" spans="1:13" x14ac:dyDescent="0.3">
      <c r="A1690" s="7">
        <v>45960</v>
      </c>
      <c r="B1690" s="8">
        <v>7.43</v>
      </c>
      <c r="C1690" s="10">
        <f t="shared" si="52"/>
        <v>2.6990553306342202E-3</v>
      </c>
      <c r="E1690" s="7">
        <v>45960</v>
      </c>
      <c r="F1690" s="9">
        <v>156732.88</v>
      </c>
      <c r="G1690" s="10">
        <f t="shared" si="53"/>
        <v>-1.0930990087026081E-2</v>
      </c>
      <c r="K1690" s="13"/>
      <c r="L1690" s="13"/>
      <c r="M1690" s="13"/>
    </row>
    <row r="1691" spans="1:13" x14ac:dyDescent="0.3">
      <c r="A1691" s="7">
        <v>45961</v>
      </c>
      <c r="B1691" s="8">
        <v>7.64</v>
      </c>
      <c r="C1691" s="10">
        <f t="shared" si="52"/>
        <v>2.8263795423956926E-2</v>
      </c>
      <c r="E1691" s="7">
        <v>45961</v>
      </c>
      <c r="F1691" s="9">
        <v>161631.73000000001</v>
      </c>
      <c r="G1691" s="10">
        <f t="shared" si="53"/>
        <v>3.1256045317357824E-2</v>
      </c>
      <c r="K1691" s="13"/>
      <c r="L1691" s="13"/>
      <c r="M1691" s="13"/>
    </row>
    <row r="1692" spans="1:13" x14ac:dyDescent="0.3">
      <c r="A1692" s="7">
        <v>45964</v>
      </c>
      <c r="B1692" s="8">
        <v>7.84</v>
      </c>
      <c r="C1692" s="10">
        <f t="shared" si="52"/>
        <v>2.6178010471204213E-2</v>
      </c>
      <c r="E1692" s="7">
        <v>45964</v>
      </c>
      <c r="F1692" s="9">
        <v>162803.16</v>
      </c>
      <c r="G1692" s="10">
        <f t="shared" si="53"/>
        <v>7.2475249754487747E-3</v>
      </c>
      <c r="K1692" s="13"/>
      <c r="L1692" s="13"/>
      <c r="M1692" s="13"/>
    </row>
    <row r="1693" spans="1:13" x14ac:dyDescent="0.3">
      <c r="A1693" s="7">
        <v>45965</v>
      </c>
      <c r="B1693" s="8">
        <v>7.72</v>
      </c>
      <c r="C1693" s="10">
        <f t="shared" si="52"/>
        <v>-1.5306122448979605E-2</v>
      </c>
      <c r="E1693" s="7">
        <v>45965</v>
      </c>
      <c r="F1693" s="9">
        <v>161281.76999999999</v>
      </c>
      <c r="G1693" s="10">
        <f t="shared" si="53"/>
        <v>-9.3449660313719585E-3</v>
      </c>
      <c r="K1693" s="13"/>
      <c r="L1693" s="13"/>
      <c r="M1693" s="13"/>
    </row>
    <row r="1694" spans="1:13" x14ac:dyDescent="0.3">
      <c r="A1694" s="7">
        <v>45966</v>
      </c>
      <c r="B1694" s="8">
        <v>7.83</v>
      </c>
      <c r="C1694" s="10">
        <f t="shared" si="52"/>
        <v>1.4248704663212477E-2</v>
      </c>
      <c r="E1694" s="7">
        <v>45966</v>
      </c>
      <c r="F1694" s="9">
        <v>159578.19</v>
      </c>
      <c r="G1694" s="10">
        <f t="shared" si="53"/>
        <v>-1.0562756100704918E-2</v>
      </c>
      <c r="K1694" s="13"/>
      <c r="L1694" s="13"/>
      <c r="M1694" s="13"/>
    </row>
    <row r="1695" spans="1:13" x14ac:dyDescent="0.3">
      <c r="A1695" s="7">
        <v>45967</v>
      </c>
      <c r="B1695" s="8">
        <v>7.75</v>
      </c>
      <c r="C1695" s="10">
        <f t="shared" si="52"/>
        <v>-1.0217113665389537E-2</v>
      </c>
      <c r="E1695" s="7">
        <v>45967</v>
      </c>
      <c r="F1695" s="9">
        <v>159096.79999999999</v>
      </c>
      <c r="G1695" s="10">
        <f t="shared" si="53"/>
        <v>-3.0166403065482444E-3</v>
      </c>
      <c r="K1695" s="13"/>
      <c r="L1695" s="13"/>
      <c r="M1695" s="13"/>
    </row>
    <row r="1696" spans="1:13" x14ac:dyDescent="0.3">
      <c r="A1696" s="7">
        <v>45968</v>
      </c>
      <c r="B1696" s="8">
        <v>7.82</v>
      </c>
      <c r="C1696" s="10">
        <f t="shared" si="52"/>
        <v>9.0322580645161663E-3</v>
      </c>
      <c r="E1696" s="7">
        <v>45968</v>
      </c>
      <c r="F1696" s="9">
        <v>159592.91</v>
      </c>
      <c r="G1696" s="10">
        <f t="shared" si="53"/>
        <v>3.1182902484526097E-3</v>
      </c>
      <c r="K1696" s="13"/>
      <c r="L1696" s="13"/>
      <c r="M1696" s="13"/>
    </row>
    <row r="1697" spans="1:13" x14ac:dyDescent="0.3">
      <c r="A1697" s="7">
        <v>45971</v>
      </c>
      <c r="B1697" s="8">
        <v>7.94</v>
      </c>
      <c r="C1697" s="10">
        <f t="shared" si="52"/>
        <v>1.5345268542199501E-2</v>
      </c>
      <c r="E1697" s="7">
        <v>45971</v>
      </c>
      <c r="F1697" s="9">
        <v>161538.41</v>
      </c>
      <c r="G1697" s="10">
        <f t="shared" si="53"/>
        <v>1.2190391164620031E-2</v>
      </c>
      <c r="K1697" s="13"/>
      <c r="L1697" s="13"/>
      <c r="M1697" s="13"/>
    </row>
    <row r="1698" spans="1:13" x14ac:dyDescent="0.3">
      <c r="A1698" s="7">
        <v>45972</v>
      </c>
      <c r="B1698" s="8">
        <v>7.69</v>
      </c>
      <c r="C1698" s="10">
        <f t="shared" si="52"/>
        <v>-3.1486146095717885E-2</v>
      </c>
      <c r="E1698" s="7">
        <v>45972</v>
      </c>
      <c r="F1698" s="9">
        <v>157870.5</v>
      </c>
      <c r="G1698" s="10">
        <f t="shared" si="53"/>
        <v>-2.2706116768142038E-2</v>
      </c>
      <c r="K1698" s="13"/>
      <c r="L1698" s="13"/>
      <c r="M1698" s="13"/>
    </row>
    <row r="1699" spans="1:13" x14ac:dyDescent="0.3">
      <c r="A1699" s="7">
        <v>45973</v>
      </c>
      <c r="B1699" s="8">
        <v>7.59</v>
      </c>
      <c r="C1699" s="10">
        <f t="shared" si="52"/>
        <v>-1.3003901170351174E-2</v>
      </c>
      <c r="E1699" s="7">
        <v>45973</v>
      </c>
      <c r="F1699" s="9">
        <v>158183.95000000001</v>
      </c>
      <c r="G1699" s="10">
        <f t="shared" si="53"/>
        <v>1.985488105757641E-3</v>
      </c>
      <c r="K1699" s="13"/>
      <c r="L1699" s="13"/>
      <c r="M1699" s="13"/>
    </row>
    <row r="1700" spans="1:13" x14ac:dyDescent="0.3">
      <c r="A1700" s="7">
        <v>45974</v>
      </c>
      <c r="B1700" s="8">
        <v>7.6</v>
      </c>
      <c r="C1700" s="10">
        <f t="shared" si="52"/>
        <v>1.3175230566534633E-3</v>
      </c>
      <c r="E1700" s="7">
        <v>45974</v>
      </c>
      <c r="F1700" s="9">
        <v>160657.5</v>
      </c>
      <c r="G1700" s="10">
        <f t="shared" si="53"/>
        <v>1.5637174315093209E-2</v>
      </c>
      <c r="K1700" s="13"/>
      <c r="L1700" s="13"/>
      <c r="M1700" s="13"/>
    </row>
    <row r="1701" spans="1:13" x14ac:dyDescent="0.3">
      <c r="A1701" s="7">
        <v>45975</v>
      </c>
      <c r="B1701" s="8">
        <v>7.61</v>
      </c>
      <c r="C1701" s="10">
        <f t="shared" si="52"/>
        <v>1.3157894736842994E-3</v>
      </c>
      <c r="E1701" s="7">
        <v>45975</v>
      </c>
      <c r="F1701" s="9">
        <v>161935.19</v>
      </c>
      <c r="G1701" s="10">
        <f t="shared" si="53"/>
        <v>7.952881129110077E-3</v>
      </c>
      <c r="K1701" s="13"/>
      <c r="L1701" s="13"/>
      <c r="M1701" s="13"/>
    </row>
    <row r="1702" spans="1:13" x14ac:dyDescent="0.3">
      <c r="A1702" s="7">
        <v>45978</v>
      </c>
      <c r="B1702" s="8">
        <v>7.84</v>
      </c>
      <c r="C1702" s="10">
        <f t="shared" si="52"/>
        <v>3.0223390275952632E-2</v>
      </c>
      <c r="E1702" s="7">
        <v>45978</v>
      </c>
      <c r="F1702" s="9">
        <v>161687.19</v>
      </c>
      <c r="G1702" s="10">
        <f t="shared" si="53"/>
        <v>-1.5314768828196021E-3</v>
      </c>
      <c r="K1702" s="13"/>
      <c r="L1702" s="13"/>
      <c r="M1702" s="13"/>
    </row>
    <row r="1703" spans="1:13" x14ac:dyDescent="0.3">
      <c r="A1703" s="7">
        <v>45979</v>
      </c>
      <c r="B1703" s="8">
        <v>7.96</v>
      </c>
      <c r="C1703" s="10">
        <f t="shared" si="52"/>
        <v>1.5306122448979605E-2</v>
      </c>
      <c r="E1703" s="7">
        <v>45979</v>
      </c>
      <c r="F1703" s="9">
        <v>160935.13</v>
      </c>
      <c r="G1703" s="10">
        <f t="shared" si="53"/>
        <v>-4.6513270469973386E-3</v>
      </c>
      <c r="K1703" s="13"/>
      <c r="L1703" s="13"/>
      <c r="M1703" s="13"/>
    </row>
    <row r="1704" spans="1:13" x14ac:dyDescent="0.3">
      <c r="A1704" s="7">
        <v>45980</v>
      </c>
      <c r="B1704" s="8">
        <v>7.92</v>
      </c>
      <c r="C1704" s="10">
        <f t="shared" si="52"/>
        <v>-5.0251256281407079E-3</v>
      </c>
      <c r="E1704" s="7">
        <v>45980</v>
      </c>
      <c r="F1704" s="9">
        <v>162226.28</v>
      </c>
      <c r="G1704" s="10">
        <f t="shared" si="53"/>
        <v>8.0227977570838278E-3</v>
      </c>
      <c r="K1704" s="13"/>
      <c r="L1704" s="13"/>
      <c r="M1704" s="13"/>
    </row>
    <row r="1705" spans="1:13" x14ac:dyDescent="0.3">
      <c r="A1705" s="7">
        <v>45981</v>
      </c>
      <c r="B1705" s="8">
        <v>7.93</v>
      </c>
      <c r="C1705" s="10">
        <f t="shared" si="52"/>
        <v>1.2626262626262356E-3</v>
      </c>
      <c r="E1705" s="7">
        <v>45981</v>
      </c>
      <c r="F1705" s="9">
        <v>162936.94</v>
      </c>
      <c r="G1705" s="10">
        <f t="shared" si="53"/>
        <v>4.3806712451275069E-3</v>
      </c>
      <c r="K1705" s="13"/>
      <c r="L1705" s="13"/>
      <c r="M1705" s="13"/>
    </row>
    <row r="1706" spans="1:13" x14ac:dyDescent="0.3">
      <c r="A1706" s="7">
        <v>45982</v>
      </c>
      <c r="B1706" s="8">
        <v>7.84</v>
      </c>
      <c r="C1706" s="10">
        <f t="shared" si="52"/>
        <v>-1.1349306431273626E-2</v>
      </c>
      <c r="E1706" s="7">
        <v>45982</v>
      </c>
      <c r="F1706" s="9">
        <v>162102.92000000001</v>
      </c>
      <c r="G1706" s="10">
        <f t="shared" si="53"/>
        <v>-5.118667381380732E-3</v>
      </c>
      <c r="K1706" s="13"/>
      <c r="L1706" s="13"/>
      <c r="M1706" s="13"/>
    </row>
    <row r="1707" spans="1:13" x14ac:dyDescent="0.3">
      <c r="A1707" s="7">
        <v>45985</v>
      </c>
      <c r="B1707" s="8">
        <v>7.67</v>
      </c>
      <c r="C1707" s="10">
        <f t="shared" si="52"/>
        <v>-2.1683673469387748E-2</v>
      </c>
      <c r="E1707" s="7">
        <v>45985</v>
      </c>
      <c r="F1707" s="9">
        <v>161984.09</v>
      </c>
      <c r="G1707" s="10">
        <f t="shared" si="53"/>
        <v>-7.3305280373738046E-4</v>
      </c>
      <c r="K1707" s="13"/>
      <c r="L1707" s="13"/>
      <c r="M1707" s="13"/>
    </row>
    <row r="1708" spans="1:13" x14ac:dyDescent="0.3">
      <c r="A1708" s="7">
        <v>45986</v>
      </c>
      <c r="B1708" s="8">
        <v>7.61</v>
      </c>
      <c r="C1708" s="10">
        <f t="shared" si="52"/>
        <v>-7.8226857887874323E-3</v>
      </c>
      <c r="E1708" s="7">
        <v>45986</v>
      </c>
      <c r="F1708" s="9">
        <v>161692.48000000001</v>
      </c>
      <c r="G1708" s="10">
        <f t="shared" si="53"/>
        <v>-1.8002385295987158E-3</v>
      </c>
      <c r="K1708" s="13"/>
      <c r="L1708" s="13"/>
      <c r="M1708" s="13"/>
    </row>
    <row r="1709" spans="1:13" x14ac:dyDescent="0.3">
      <c r="A1709" s="7">
        <v>45987</v>
      </c>
      <c r="B1709" s="8">
        <v>7.57</v>
      </c>
      <c r="C1709" s="10">
        <f t="shared" si="52"/>
        <v>-5.2562417871222121E-3</v>
      </c>
      <c r="E1709" s="7">
        <v>45987</v>
      </c>
      <c r="F1709" s="9">
        <v>163188.53</v>
      </c>
      <c r="G1709" s="10">
        <f t="shared" si="53"/>
        <v>9.2524401876944943E-3</v>
      </c>
      <c r="K1709" s="13"/>
      <c r="L1709" s="13"/>
      <c r="M1709" s="13"/>
    </row>
    <row r="1710" spans="1:13" x14ac:dyDescent="0.3">
      <c r="A1710" s="7">
        <v>45988</v>
      </c>
      <c r="B1710" s="8">
        <v>7.53</v>
      </c>
      <c r="C1710" s="10">
        <f t="shared" si="52"/>
        <v>-5.2840158520475605E-3</v>
      </c>
      <c r="E1710" s="7">
        <v>45988</v>
      </c>
      <c r="F1710" s="9">
        <v>165373.31</v>
      </c>
      <c r="G1710" s="10">
        <f t="shared" si="53"/>
        <v>1.3388073291670676E-2</v>
      </c>
      <c r="K1710" s="13"/>
      <c r="L1710" s="13"/>
      <c r="M1710" s="13"/>
    </row>
    <row r="1711" spans="1:13" x14ac:dyDescent="0.3">
      <c r="A1711" s="7">
        <v>45989</v>
      </c>
      <c r="B1711" s="8">
        <v>7.5</v>
      </c>
      <c r="C1711" s="10">
        <f t="shared" si="52"/>
        <v>-3.9840637450199532E-3</v>
      </c>
      <c r="E1711" s="7">
        <v>45989</v>
      </c>
      <c r="F1711" s="9">
        <v>166677.70000000001</v>
      </c>
      <c r="G1711" s="10">
        <f t="shared" si="53"/>
        <v>7.8875484804652816E-3</v>
      </c>
      <c r="K1711" s="13"/>
      <c r="L1711" s="13"/>
      <c r="M1711" s="13"/>
    </row>
    <row r="1712" spans="1:13" x14ac:dyDescent="0.3">
      <c r="A1712" s="7">
        <v>45992</v>
      </c>
      <c r="B1712" s="8">
        <v>7.69</v>
      </c>
      <c r="C1712" s="10">
        <f t="shared" si="52"/>
        <v>2.5333333333333385E-2</v>
      </c>
      <c r="E1712" s="7">
        <v>45992</v>
      </c>
      <c r="F1712" s="9">
        <v>168062.19</v>
      </c>
      <c r="G1712" s="10">
        <f t="shared" si="53"/>
        <v>8.3063901169741997E-3</v>
      </c>
      <c r="K1712" s="13"/>
      <c r="L1712" s="13"/>
      <c r="M1712" s="13"/>
    </row>
    <row r="1713" spans="1:13" x14ac:dyDescent="0.3">
      <c r="A1713" s="7">
        <v>45993</v>
      </c>
      <c r="B1713" s="8">
        <v>7.53</v>
      </c>
      <c r="C1713" s="10">
        <f t="shared" si="52"/>
        <v>-2.0806241872561786E-2</v>
      </c>
      <c r="E1713" s="7">
        <v>45993</v>
      </c>
      <c r="F1713" s="9">
        <v>167642.28</v>
      </c>
      <c r="G1713" s="10">
        <f t="shared" si="53"/>
        <v>-2.4985393799759688E-3</v>
      </c>
      <c r="K1713" s="13"/>
      <c r="L1713" s="13"/>
      <c r="M1713" s="13"/>
    </row>
    <row r="1714" spans="1:13" x14ac:dyDescent="0.3">
      <c r="A1714" s="7">
        <v>45994</v>
      </c>
      <c r="B1714" s="8">
        <v>7.49</v>
      </c>
      <c r="C1714" s="10">
        <f t="shared" si="52"/>
        <v>-5.3120849933598986E-3</v>
      </c>
      <c r="E1714" s="7">
        <v>45994</v>
      </c>
      <c r="F1714" s="9">
        <v>166145.34</v>
      </c>
      <c r="G1714" s="10">
        <f t="shared" si="53"/>
        <v>-8.9293703235246054E-3</v>
      </c>
      <c r="K1714" s="13"/>
      <c r="L1714" s="13"/>
      <c r="M1714" s="13"/>
    </row>
    <row r="1715" spans="1:13" x14ac:dyDescent="0.3">
      <c r="A1715" s="7">
        <v>45995</v>
      </c>
      <c r="B1715" s="8">
        <v>7.73</v>
      </c>
      <c r="C1715" s="10">
        <f t="shared" si="52"/>
        <v>3.2042723631508709E-2</v>
      </c>
      <c r="E1715" s="7">
        <v>45995</v>
      </c>
      <c r="F1715" s="9">
        <v>166283.54999999999</v>
      </c>
      <c r="G1715" s="10">
        <f t="shared" si="53"/>
        <v>8.3186203115893508E-4</v>
      </c>
      <c r="K1715" s="13"/>
      <c r="L1715" s="13"/>
      <c r="M1715" s="13"/>
    </row>
    <row r="1716" spans="1:13" x14ac:dyDescent="0.3">
      <c r="A1716" s="7">
        <v>45996</v>
      </c>
      <c r="B1716" s="8">
        <v>7.86</v>
      </c>
      <c r="C1716" s="10">
        <f t="shared" si="52"/>
        <v>1.6817593790426893E-2</v>
      </c>
      <c r="E1716" s="7">
        <v>45996</v>
      </c>
      <c r="F1716" s="9">
        <v>167085.57999999999</v>
      </c>
      <c r="G1716" s="10">
        <f t="shared" si="53"/>
        <v>4.8232672444147298E-3</v>
      </c>
      <c r="K1716" s="13"/>
      <c r="L1716" s="13"/>
      <c r="M1716" s="13"/>
    </row>
    <row r="1717" spans="1:13" x14ac:dyDescent="0.3">
      <c r="A1717" s="7">
        <v>45999</v>
      </c>
      <c r="B1717" s="8">
        <v>7.93</v>
      </c>
      <c r="C1717" s="10">
        <f t="shared" si="52"/>
        <v>8.9058524173027225E-3</v>
      </c>
      <c r="E1717" s="7">
        <v>45999</v>
      </c>
      <c r="F1717" s="9">
        <v>168303.25</v>
      </c>
      <c r="G1717" s="10">
        <f t="shared" si="53"/>
        <v>7.2877025055065369E-3</v>
      </c>
      <c r="K1717" s="13"/>
      <c r="L1717" s="13"/>
      <c r="M1717" s="13"/>
    </row>
    <row r="1718" spans="1:13" x14ac:dyDescent="0.3">
      <c r="A1718" s="7">
        <v>46000</v>
      </c>
      <c r="B1718" s="8">
        <v>7.9</v>
      </c>
      <c r="C1718" s="10">
        <f t="shared" si="52"/>
        <v>-3.7831021437578008E-3</v>
      </c>
      <c r="E1718" s="7">
        <v>46000</v>
      </c>
      <c r="F1718" s="9">
        <v>169456.39</v>
      </c>
      <c r="G1718" s="10">
        <f t="shared" si="53"/>
        <v>6.8515610958196829E-3</v>
      </c>
      <c r="K1718" s="13"/>
      <c r="L1718" s="13"/>
      <c r="M1718" s="13"/>
    </row>
    <row r="1719" spans="1:13" x14ac:dyDescent="0.3">
      <c r="A1719" s="7">
        <v>46001</v>
      </c>
      <c r="B1719" s="8">
        <v>7.79</v>
      </c>
      <c r="C1719" s="10">
        <f t="shared" si="52"/>
        <v>-1.3924050632911432E-2</v>
      </c>
      <c r="E1719" s="7">
        <v>46001</v>
      </c>
      <c r="F1719" s="9">
        <v>169451.86</v>
      </c>
      <c r="G1719" s="10">
        <f t="shared" si="53"/>
        <v>-2.6732541629312057E-5</v>
      </c>
      <c r="K1719" s="13"/>
      <c r="L1719" s="13"/>
      <c r="M1719" s="13"/>
    </row>
    <row r="1720" spans="1:13" x14ac:dyDescent="0.3">
      <c r="A1720" s="7">
        <v>46002</v>
      </c>
      <c r="B1720" s="8">
        <v>7.72</v>
      </c>
      <c r="C1720" s="10">
        <f t="shared" si="52"/>
        <v>-8.985879332477572E-3</v>
      </c>
      <c r="E1720" s="7">
        <v>46002</v>
      </c>
      <c r="F1720" s="9">
        <v>168574.69</v>
      </c>
      <c r="G1720" s="10">
        <f t="shared" si="53"/>
        <v>-5.1765144389679984E-3</v>
      </c>
      <c r="K1720" s="13"/>
      <c r="L1720" s="13"/>
      <c r="M1720" s="13"/>
    </row>
    <row r="1721" spans="1:13" x14ac:dyDescent="0.3">
      <c r="A1721" s="7">
        <v>46003</v>
      </c>
      <c r="B1721" s="8">
        <v>7.74</v>
      </c>
      <c r="C1721" s="10">
        <f t="shared" si="52"/>
        <v>2.5906735751295936E-3</v>
      </c>
      <c r="E1721" s="7">
        <v>46003</v>
      </c>
      <c r="F1721" s="9">
        <v>169864.53</v>
      </c>
      <c r="G1721" s="10">
        <f t="shared" si="53"/>
        <v>7.6514451843274723E-3</v>
      </c>
      <c r="K1721" s="13"/>
      <c r="L1721" s="13"/>
      <c r="M1721" s="13"/>
    </row>
    <row r="1722" spans="1:13" x14ac:dyDescent="0.3">
      <c r="A1722" s="7">
        <v>46006</v>
      </c>
      <c r="B1722" s="8">
        <v>7.68</v>
      </c>
      <c r="C1722" s="10">
        <f t="shared" si="52"/>
        <v>-7.7519379844961881E-3</v>
      </c>
      <c r="E1722" s="7">
        <v>46006</v>
      </c>
      <c r="F1722" s="9">
        <v>170741.34</v>
      </c>
      <c r="G1722" s="10">
        <f t="shared" si="53"/>
        <v>5.1618192450183552E-3</v>
      </c>
      <c r="K1722" s="13"/>
      <c r="L1722" s="13"/>
      <c r="M1722" s="13"/>
    </row>
    <row r="1723" spans="1:13" x14ac:dyDescent="0.3">
      <c r="A1723" s="7">
        <v>46007</v>
      </c>
      <c r="B1723" s="8">
        <v>7.65</v>
      </c>
      <c r="C1723" s="10">
        <f t="shared" si="52"/>
        <v>-3.9062499999999167E-3</v>
      </c>
      <c r="E1723" s="7">
        <v>46007</v>
      </c>
      <c r="F1723" s="9">
        <v>170447.3</v>
      </c>
      <c r="G1723" s="10">
        <f t="shared" si="53"/>
        <v>-1.7221371227378686E-3</v>
      </c>
      <c r="K1723" s="13"/>
      <c r="L1723" s="13"/>
      <c r="M1723" s="13"/>
    </row>
    <row r="1724" spans="1:13" x14ac:dyDescent="0.3">
      <c r="A1724" s="7">
        <v>46008</v>
      </c>
      <c r="B1724" s="8">
        <v>7.74</v>
      </c>
      <c r="C1724" s="10">
        <f t="shared" si="52"/>
        <v>1.1764705882352922E-2</v>
      </c>
      <c r="E1724" s="7">
        <v>46008</v>
      </c>
      <c r="F1724" s="9">
        <v>170313.86</v>
      </c>
      <c r="G1724" s="10">
        <f t="shared" si="53"/>
        <v>-7.8288127767352331E-4</v>
      </c>
      <c r="K1724" s="13"/>
      <c r="L1724" s="13"/>
      <c r="M1724" s="13"/>
    </row>
    <row r="1725" spans="1:13" x14ac:dyDescent="0.3">
      <c r="A1725" s="7">
        <v>46009</v>
      </c>
      <c r="B1725" s="8">
        <v>7.71</v>
      </c>
      <c r="C1725" s="10">
        <f t="shared" si="52"/>
        <v>-3.8759689922480941E-3</v>
      </c>
      <c r="E1725" s="7">
        <v>46009</v>
      </c>
      <c r="F1725" s="9">
        <v>171960.66</v>
      </c>
      <c r="G1725" s="10">
        <f t="shared" si="53"/>
        <v>9.6692071919456096E-3</v>
      </c>
      <c r="K1725" s="13"/>
      <c r="L1725" s="13"/>
      <c r="M1725" s="13"/>
    </row>
    <row r="1726" spans="1:13" x14ac:dyDescent="0.3">
      <c r="A1726" s="7">
        <v>46010</v>
      </c>
      <c r="B1726" s="8">
        <v>7.58</v>
      </c>
      <c r="C1726" s="10">
        <f t="shared" si="52"/>
        <v>-1.6861219195849531E-2</v>
      </c>
      <c r="E1726" s="7">
        <v>46010</v>
      </c>
      <c r="F1726" s="9">
        <v>171404.48</v>
      </c>
      <c r="G1726" s="10">
        <f t="shared" si="53"/>
        <v>-3.2343444134256814E-3</v>
      </c>
      <c r="K1726" s="13"/>
      <c r="L1726" s="13"/>
      <c r="M1726" s="13"/>
    </row>
    <row r="1727" spans="1:13" x14ac:dyDescent="0.3">
      <c r="A1727" s="7">
        <v>46013</v>
      </c>
      <c r="B1727" s="8">
        <v>7.51</v>
      </c>
      <c r="C1727" s="10">
        <f t="shared" si="52"/>
        <v>-9.2348284960422546E-3</v>
      </c>
      <c r="E1727" s="7">
        <v>46013</v>
      </c>
      <c r="F1727" s="9">
        <v>171204.19</v>
      </c>
      <c r="G1727" s="10">
        <f t="shared" si="53"/>
        <v>-1.1685225497023656E-3</v>
      </c>
      <c r="K1727" s="13"/>
      <c r="L1727" s="13"/>
      <c r="M1727" s="13"/>
    </row>
    <row r="1728" spans="1:13" x14ac:dyDescent="0.3">
      <c r="A1728" s="7">
        <v>46014</v>
      </c>
      <c r="B1728" s="8">
        <v>7.41</v>
      </c>
      <c r="C1728" s="10">
        <f t="shared" si="52"/>
        <v>-1.3315579227696358E-2</v>
      </c>
      <c r="E1728" s="7">
        <v>46014</v>
      </c>
      <c r="F1728" s="9">
        <v>171073.73</v>
      </c>
      <c r="G1728" s="10">
        <f t="shared" si="53"/>
        <v>-7.6201406052031704E-4</v>
      </c>
      <c r="K1728" s="13"/>
      <c r="L1728" s="13"/>
      <c r="M1728" s="13"/>
    </row>
    <row r="1729" spans="1:13" x14ac:dyDescent="0.3">
      <c r="A1729" s="7">
        <v>46015</v>
      </c>
      <c r="B1729" s="8">
        <v>7.39</v>
      </c>
      <c r="C1729" s="10">
        <f t="shared" si="52"/>
        <v>-2.6990553306343403E-3</v>
      </c>
      <c r="E1729" s="7">
        <v>46015</v>
      </c>
      <c r="F1729" s="9">
        <v>170830.22</v>
      </c>
      <c r="G1729" s="10">
        <f t="shared" si="53"/>
        <v>-1.4234213517178196E-3</v>
      </c>
      <c r="K1729" s="13"/>
      <c r="L1729" s="13"/>
      <c r="M1729" s="13"/>
    </row>
    <row r="1730" spans="1:13" x14ac:dyDescent="0.3">
      <c r="A1730" s="7">
        <v>46017</v>
      </c>
      <c r="B1730" s="8">
        <v>7.3</v>
      </c>
      <c r="C1730" s="10">
        <f t="shared" si="52"/>
        <v>-1.2178619756427585E-2</v>
      </c>
      <c r="E1730" s="7">
        <v>46017</v>
      </c>
      <c r="F1730" s="9">
        <v>172400.73</v>
      </c>
      <c r="G1730" s="10">
        <f t="shared" si="53"/>
        <v>9.1933968123439121E-3</v>
      </c>
      <c r="K1730" s="13"/>
      <c r="L1730" s="13"/>
      <c r="M1730" s="13"/>
    </row>
    <row r="1731" spans="1:13" x14ac:dyDescent="0.3">
      <c r="A1731" s="7">
        <v>46020</v>
      </c>
      <c r="B1731" s="8">
        <v>7.2</v>
      </c>
      <c r="C1731" s="10">
        <f t="shared" si="52"/>
        <v>-1.3698630136986254E-2</v>
      </c>
      <c r="E1731" s="7">
        <v>46020</v>
      </c>
      <c r="F1731" s="9">
        <v>173896.34</v>
      </c>
      <c r="G1731" s="10">
        <f t="shared" si="53"/>
        <v>8.6751952848458692E-3</v>
      </c>
      <c r="K1731" s="13"/>
      <c r="L1731" s="13"/>
      <c r="M1731" s="13"/>
    </row>
    <row r="1732" spans="1:13" x14ac:dyDescent="0.3">
      <c r="A1732" s="7">
        <v>46021</v>
      </c>
      <c r="B1732" s="8">
        <v>7.42</v>
      </c>
      <c r="C1732" s="10">
        <f t="shared" si="52"/>
        <v>3.055555555555552E-2</v>
      </c>
      <c r="E1732" s="7">
        <v>46021</v>
      </c>
      <c r="F1732" s="9">
        <v>174472.8</v>
      </c>
      <c r="G1732" s="10">
        <f t="shared" si="53"/>
        <v>3.3149633856583288E-3</v>
      </c>
      <c r="K1732" s="13"/>
      <c r="L1732" s="13"/>
      <c r="M1732" s="13"/>
    </row>
    <row r="1733" spans="1:13" x14ac:dyDescent="0.3">
      <c r="A1733" s="7">
        <v>46022</v>
      </c>
      <c r="B1733" s="8">
        <v>7.36</v>
      </c>
      <c r="C1733" s="10">
        <f t="shared" ref="C1733" si="54">(B1733-B1732)/B1732</f>
        <v>-8.0862533692721839E-3</v>
      </c>
      <c r="E1733" s="7">
        <v>46022</v>
      </c>
      <c r="F1733" s="9">
        <v>174054.31</v>
      </c>
      <c r="G1733" s="10">
        <f t="shared" ref="G1733" si="55">(F1733-F1732)/F1732</f>
        <v>-2.3985973744904119E-3</v>
      </c>
      <c r="K1733" s="13"/>
      <c r="L1733" s="13"/>
      <c r="M1733" s="13"/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70A7-99C2-42C8-A8D3-90133D8445E5}">
  <dimension ref="A1:V1738"/>
  <sheetViews>
    <sheetView topLeftCell="A2" workbookViewId="0">
      <selection activeCell="E4" sqref="E4"/>
    </sheetView>
  </sheetViews>
  <sheetFormatPr defaultRowHeight="14.4" x14ac:dyDescent="0.3"/>
  <cols>
    <col min="1" max="1" width="10.5546875" bestFit="1" customWidth="1"/>
    <col min="9" max="9" width="10.5546875" bestFit="1" customWidth="1"/>
    <col min="11" max="11" width="11.5546875" bestFit="1" customWidth="1"/>
    <col min="13" max="13" width="11.77734375" bestFit="1" customWidth="1"/>
    <col min="14" max="15" width="11.21875" bestFit="1" customWidth="1"/>
    <col min="16" max="16" width="10.6640625" bestFit="1" customWidth="1"/>
    <col min="18" max="18" width="11.21875" bestFit="1" customWidth="1"/>
    <col min="19" max="19" width="11.77734375" bestFit="1" customWidth="1"/>
    <col min="20" max="20" width="11.21875" bestFit="1" customWidth="1"/>
    <col min="22" max="22" width="10.109375" customWidth="1"/>
  </cols>
  <sheetData>
    <row r="1" spans="1:22" ht="47.25" customHeight="1" x14ac:dyDescent="0.3">
      <c r="A1" s="73" t="s">
        <v>1064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</row>
    <row r="2" spans="1:22" ht="15.6" x14ac:dyDescent="0.3">
      <c r="A2" s="72" t="s">
        <v>1065</v>
      </c>
      <c r="B2" s="72"/>
      <c r="C2" s="72"/>
      <c r="D2" s="72"/>
      <c r="H2" s="72" t="s">
        <v>1066</v>
      </c>
      <c r="I2" s="72"/>
      <c r="J2" s="72"/>
      <c r="K2" s="72"/>
      <c r="V2" s="1"/>
    </row>
    <row r="3" spans="1:22" ht="15.6" x14ac:dyDescent="0.3">
      <c r="A3" t="s">
        <v>0</v>
      </c>
      <c r="B3" t="s">
        <v>1</v>
      </c>
      <c r="C3" s="25" t="s">
        <v>1067</v>
      </c>
      <c r="D3" s="25" t="s">
        <v>1068</v>
      </c>
      <c r="E3" s="25" t="s">
        <v>1069</v>
      </c>
      <c r="F3" s="15" t="s">
        <v>1060</v>
      </c>
      <c r="I3" s="26" t="s">
        <v>0</v>
      </c>
      <c r="J3" s="14" t="s">
        <v>1</v>
      </c>
      <c r="K3" s="25" t="s">
        <v>1067</v>
      </c>
      <c r="L3" s="25" t="s">
        <v>1068</v>
      </c>
      <c r="M3" s="25" t="s">
        <v>1069</v>
      </c>
      <c r="N3" s="25" t="s">
        <v>1060</v>
      </c>
      <c r="P3" s="44" t="s">
        <v>1070</v>
      </c>
    </row>
    <row r="4" spans="1:22" x14ac:dyDescent="0.3">
      <c r="A4" s="23">
        <v>43466</v>
      </c>
      <c r="B4">
        <v>455.06</v>
      </c>
      <c r="C4" s="28"/>
      <c r="D4" s="46">
        <f>AVERAGE(C5:C1733)</f>
        <v>6.8684855407400781E-4</v>
      </c>
      <c r="E4" s="29">
        <f>_xlfn.STDEV.S(C5:C1733)</f>
        <v>2.8275114485637392E-2</v>
      </c>
      <c r="F4" s="30">
        <f>_xlfn.STDEV.S(C5:C1733)/AVERAGE(C5:C1733)</f>
        <v>41.166446835950907</v>
      </c>
      <c r="I4" s="27">
        <v>43466</v>
      </c>
      <c r="J4">
        <v>37995.760000000002</v>
      </c>
      <c r="K4" s="43"/>
      <c r="L4" s="28">
        <f>AVERAGE(K5:K1733)</f>
        <v>9.4986335529684133E-4</v>
      </c>
      <c r="M4" s="29">
        <f>_xlfn.STDEV.S(K5:K1733)</f>
        <v>1.1771387215090159E-2</v>
      </c>
      <c r="N4" s="31">
        <f>_xlfn.STDEV.S(K5:K1733)/AVERAGE(K5:K1733)</f>
        <v>12.392716435946188</v>
      </c>
      <c r="P4" s="26">
        <f>SLOPE(C5:C1733,K5:K1733)</f>
        <v>1.1956779220973082</v>
      </c>
      <c r="Q4" s="14"/>
    </row>
    <row r="5" spans="1:22" x14ac:dyDescent="0.3">
      <c r="A5" s="23">
        <v>43467</v>
      </c>
      <c r="B5">
        <v>439.36</v>
      </c>
      <c r="C5" s="28">
        <f>(B5-B4)/B4</f>
        <v>-3.4500944930338832E-2</v>
      </c>
      <c r="I5" s="27">
        <v>43497</v>
      </c>
      <c r="J5" s="14">
        <v>37795.25</v>
      </c>
      <c r="K5" s="28">
        <f>(J5-J4)/J4</f>
        <v>-5.277167768193136E-3</v>
      </c>
    </row>
    <row r="6" spans="1:22" x14ac:dyDescent="0.3">
      <c r="A6" s="23">
        <v>43468</v>
      </c>
      <c r="B6">
        <v>442.2</v>
      </c>
      <c r="C6" s="28">
        <f t="shared" ref="C6:C69" si="0">(B6-B5)/B5</f>
        <v>6.4639475600873431E-3</v>
      </c>
      <c r="I6" s="27">
        <v>43525</v>
      </c>
      <c r="J6" s="14">
        <v>37542.01</v>
      </c>
      <c r="K6" s="28">
        <f t="shared" ref="K6:K69" si="1">(J6-J5)/J5</f>
        <v>-6.700312870003452E-3</v>
      </c>
    </row>
    <row r="7" spans="1:22" x14ac:dyDescent="0.3">
      <c r="A7" s="23">
        <v>43469</v>
      </c>
      <c r="B7">
        <v>441.71</v>
      </c>
      <c r="C7" s="28">
        <f t="shared" si="0"/>
        <v>-1.1080958842153079E-3</v>
      </c>
      <c r="I7" s="27">
        <v>43556</v>
      </c>
      <c r="J7" s="14">
        <v>37547.49</v>
      </c>
      <c r="K7" s="28">
        <f t="shared" si="1"/>
        <v>1.4596980822273301E-4</v>
      </c>
    </row>
    <row r="8" spans="1:22" x14ac:dyDescent="0.3">
      <c r="A8" s="23">
        <v>43472</v>
      </c>
      <c r="B8">
        <v>461.29</v>
      </c>
      <c r="C8" s="28">
        <f t="shared" si="0"/>
        <v>4.4327726336284082E-2</v>
      </c>
      <c r="I8" s="27">
        <v>43647</v>
      </c>
      <c r="J8" s="14">
        <v>38562.400000000001</v>
      </c>
      <c r="K8" s="28">
        <f t="shared" si="1"/>
        <v>2.7030035829292545E-2</v>
      </c>
    </row>
    <row r="9" spans="1:22" x14ac:dyDescent="0.3">
      <c r="A9" s="23">
        <v>43473</v>
      </c>
      <c r="B9">
        <v>470.39</v>
      </c>
      <c r="C9" s="28">
        <f t="shared" si="0"/>
        <v>1.9727286522577912E-2</v>
      </c>
      <c r="I9" s="27">
        <v>43678</v>
      </c>
      <c r="J9" s="14">
        <v>39052.5</v>
      </c>
      <c r="K9" s="28">
        <f t="shared" si="1"/>
        <v>1.2709271207186236E-2</v>
      </c>
    </row>
    <row r="10" spans="1:22" x14ac:dyDescent="0.3">
      <c r="A10" s="23">
        <v>43474</v>
      </c>
      <c r="B10">
        <v>462.13</v>
      </c>
      <c r="C10" s="28">
        <f t="shared" si="0"/>
        <v>-1.7559897106656161E-2</v>
      </c>
      <c r="I10" s="27">
        <v>43709</v>
      </c>
      <c r="J10" s="14">
        <v>38921.69</v>
      </c>
      <c r="K10" s="28">
        <f t="shared" si="1"/>
        <v>-3.3495934959348996E-3</v>
      </c>
    </row>
    <row r="11" spans="1:22" x14ac:dyDescent="0.3">
      <c r="A11" s="23">
        <v>43475</v>
      </c>
      <c r="B11">
        <v>462.36</v>
      </c>
      <c r="C11" s="28">
        <f t="shared" si="0"/>
        <v>4.9769545366026488E-4</v>
      </c>
      <c r="I11" s="27">
        <v>43739</v>
      </c>
      <c r="J11" s="14">
        <v>39090.28</v>
      </c>
      <c r="K11" s="28">
        <f t="shared" si="1"/>
        <v>4.3315179787927118E-3</v>
      </c>
    </row>
    <row r="12" spans="1:22" x14ac:dyDescent="0.3">
      <c r="A12" s="23">
        <v>43476</v>
      </c>
      <c r="B12">
        <v>458.65</v>
      </c>
      <c r="C12" s="28">
        <f t="shared" si="0"/>
        <v>-8.0240505234017573E-3</v>
      </c>
      <c r="I12" s="27">
        <v>43770</v>
      </c>
      <c r="J12" s="14">
        <v>39049.08</v>
      </c>
      <c r="K12" s="28">
        <f t="shared" si="1"/>
        <v>-1.0539704499429804E-3</v>
      </c>
    </row>
    <row r="13" spans="1:22" x14ac:dyDescent="0.3">
      <c r="A13" s="23">
        <v>43479</v>
      </c>
      <c r="B13">
        <v>467.68</v>
      </c>
      <c r="C13" s="28">
        <f t="shared" si="0"/>
        <v>1.9688215414804384E-2</v>
      </c>
      <c r="I13" s="26" t="s">
        <v>1056</v>
      </c>
      <c r="J13" s="14">
        <v>39412.550000000003</v>
      </c>
      <c r="K13" s="28">
        <f t="shared" si="1"/>
        <v>9.3080297922512167E-3</v>
      </c>
    </row>
    <row r="14" spans="1:22" x14ac:dyDescent="0.3">
      <c r="A14" s="23">
        <v>43480</v>
      </c>
      <c r="B14">
        <v>469.08</v>
      </c>
      <c r="C14" s="28">
        <f t="shared" si="0"/>
        <v>2.9934998289428182E-3</v>
      </c>
      <c r="I14" s="26" t="s">
        <v>1055</v>
      </c>
      <c r="J14" s="14">
        <v>39614.17</v>
      </c>
      <c r="K14" s="28">
        <f t="shared" si="1"/>
        <v>5.1156294124586037E-3</v>
      </c>
    </row>
    <row r="15" spans="1:22" x14ac:dyDescent="0.3">
      <c r="A15" s="23">
        <v>43481</v>
      </c>
      <c r="B15">
        <v>461.15</v>
      </c>
      <c r="C15" s="28">
        <f t="shared" si="0"/>
        <v>-1.6905431909269224E-2</v>
      </c>
      <c r="I15" s="26" t="s">
        <v>1054</v>
      </c>
      <c r="J15" s="14">
        <v>39271.94</v>
      </c>
      <c r="K15" s="28">
        <f t="shared" si="1"/>
        <v>-8.6390804098633381E-3</v>
      </c>
    </row>
    <row r="16" spans="1:22" x14ac:dyDescent="0.3">
      <c r="A16" s="23">
        <v>43482</v>
      </c>
      <c r="B16">
        <v>466.37</v>
      </c>
      <c r="C16" s="28">
        <f t="shared" si="0"/>
        <v>1.1319527268784621E-2</v>
      </c>
      <c r="I16" s="26" t="s">
        <v>1053</v>
      </c>
      <c r="J16" s="14">
        <v>39243.89</v>
      </c>
      <c r="K16" s="28">
        <f t="shared" si="1"/>
        <v>-7.1425042918691847E-4</v>
      </c>
    </row>
    <row r="17" spans="1:11" x14ac:dyDescent="0.3">
      <c r="A17" s="23">
        <v>43483</v>
      </c>
      <c r="B17">
        <v>463.44</v>
      </c>
      <c r="C17" s="28">
        <f t="shared" si="0"/>
        <v>-6.2825653451122647E-3</v>
      </c>
      <c r="I17" s="26" t="s">
        <v>1052</v>
      </c>
      <c r="J17" s="14">
        <v>39306.5</v>
      </c>
      <c r="K17" s="28">
        <f t="shared" si="1"/>
        <v>1.5954075908377224E-3</v>
      </c>
    </row>
    <row r="18" spans="1:11" x14ac:dyDescent="0.3">
      <c r="A18" s="23">
        <v>43486</v>
      </c>
      <c r="B18">
        <v>455.99</v>
      </c>
      <c r="C18" s="28">
        <f t="shared" si="0"/>
        <v>-1.6075435870878622E-2</v>
      </c>
      <c r="I18" s="26" t="s">
        <v>1051</v>
      </c>
      <c r="J18" s="14">
        <v>39543.769999999997</v>
      </c>
      <c r="K18" s="28">
        <f t="shared" si="1"/>
        <v>6.0364061923599607E-3</v>
      </c>
    </row>
    <row r="19" spans="1:11" x14ac:dyDescent="0.3">
      <c r="A19" s="23">
        <v>43487</v>
      </c>
      <c r="B19">
        <v>459.22</v>
      </c>
      <c r="C19" s="28">
        <f t="shared" si="0"/>
        <v>7.0834886729972549E-3</v>
      </c>
      <c r="I19" s="26" t="s">
        <v>1050</v>
      </c>
      <c r="J19" s="14">
        <v>39902.21</v>
      </c>
      <c r="K19" s="28">
        <f t="shared" si="1"/>
        <v>9.0643861220111883E-3</v>
      </c>
    </row>
    <row r="20" spans="1:11" x14ac:dyDescent="0.3">
      <c r="A20" s="23">
        <v>43488</v>
      </c>
      <c r="B20">
        <v>458.85</v>
      </c>
      <c r="C20" s="28">
        <f t="shared" si="0"/>
        <v>-8.0571403684509503E-4</v>
      </c>
      <c r="I20" s="26" t="s">
        <v>1049</v>
      </c>
      <c r="J20" s="14">
        <v>40057.85</v>
      </c>
      <c r="K20" s="28">
        <f t="shared" si="1"/>
        <v>3.9005358349825593E-3</v>
      </c>
    </row>
    <row r="21" spans="1:11" x14ac:dyDescent="0.3">
      <c r="A21" s="23">
        <v>43489</v>
      </c>
      <c r="B21">
        <v>468.36</v>
      </c>
      <c r="C21" s="28">
        <f t="shared" si="0"/>
        <v>2.0725727361882947E-2</v>
      </c>
      <c r="I21" s="26" t="s">
        <v>1048</v>
      </c>
      <c r="J21" s="14">
        <v>40289.160000000003</v>
      </c>
      <c r="K21" s="28">
        <f t="shared" si="1"/>
        <v>5.7743987757706656E-3</v>
      </c>
    </row>
    <row r="22" spans="1:11" x14ac:dyDescent="0.3">
      <c r="A22" s="23">
        <v>43490</v>
      </c>
      <c r="B22">
        <v>465.19</v>
      </c>
      <c r="C22" s="28">
        <f t="shared" si="0"/>
        <v>-6.7682978905116058E-3</v>
      </c>
      <c r="I22" s="26" t="s">
        <v>1047</v>
      </c>
      <c r="J22" s="14">
        <v>40264.78</v>
      </c>
      <c r="K22" s="28">
        <f t="shared" si="1"/>
        <v>-6.0512554741783283E-4</v>
      </c>
    </row>
    <row r="23" spans="1:11" x14ac:dyDescent="0.3">
      <c r="A23" s="23">
        <v>43493</v>
      </c>
      <c r="B23">
        <v>468.46</v>
      </c>
      <c r="C23" s="28">
        <f t="shared" si="0"/>
        <v>7.0293858423439498E-3</v>
      </c>
      <c r="I23" s="26" t="s">
        <v>1046</v>
      </c>
      <c r="J23" s="14">
        <v>40420.089999999997</v>
      </c>
      <c r="K23" s="28">
        <f t="shared" si="1"/>
        <v>3.8572171510684442E-3</v>
      </c>
    </row>
    <row r="24" spans="1:11" x14ac:dyDescent="0.3">
      <c r="A24" s="23">
        <v>43494</v>
      </c>
      <c r="B24">
        <v>470.26</v>
      </c>
      <c r="C24" s="28">
        <f t="shared" si="0"/>
        <v>3.8423771506639016E-3</v>
      </c>
      <c r="I24" s="26" t="s">
        <v>1045</v>
      </c>
      <c r="J24" s="14">
        <v>40624.39</v>
      </c>
      <c r="K24" s="28">
        <f t="shared" si="1"/>
        <v>5.0544172464732987E-3</v>
      </c>
    </row>
    <row r="25" spans="1:11" x14ac:dyDescent="0.3">
      <c r="A25" s="23">
        <v>43495</v>
      </c>
      <c r="B25">
        <v>467.82</v>
      </c>
      <c r="C25" s="28">
        <f t="shared" si="0"/>
        <v>-5.1886190617955975E-3</v>
      </c>
      <c r="I25" s="26" t="s">
        <v>1044</v>
      </c>
      <c r="J25" s="14">
        <v>40607.120000000003</v>
      </c>
      <c r="K25" s="28">
        <f t="shared" si="1"/>
        <v>-4.2511407555896342E-4</v>
      </c>
    </row>
    <row r="26" spans="1:11" x14ac:dyDescent="0.3">
      <c r="A26" s="23">
        <v>43496</v>
      </c>
      <c r="B26">
        <v>469.27</v>
      </c>
      <c r="C26" s="28">
        <f t="shared" si="0"/>
        <v>3.099482707024045E-3</v>
      </c>
      <c r="I26" s="26" t="s">
        <v>1043</v>
      </c>
      <c r="J26" s="14">
        <v>40799.519999999997</v>
      </c>
      <c r="K26" s="28">
        <f t="shared" si="1"/>
        <v>4.7380853406987292E-3</v>
      </c>
    </row>
    <row r="27" spans="1:11" x14ac:dyDescent="0.3">
      <c r="A27" s="23">
        <v>43497</v>
      </c>
      <c r="B27">
        <v>480.91</v>
      </c>
      <c r="C27" s="28">
        <f t="shared" si="0"/>
        <v>2.4804483559571343E-2</v>
      </c>
      <c r="I27" s="27">
        <v>43467</v>
      </c>
      <c r="J27" s="14">
        <v>41112.71</v>
      </c>
      <c r="K27" s="28">
        <f t="shared" si="1"/>
        <v>7.6763157997937811E-3</v>
      </c>
    </row>
    <row r="28" spans="1:11" x14ac:dyDescent="0.3">
      <c r="A28" s="23">
        <v>43500</v>
      </c>
      <c r="B28">
        <v>503.54</v>
      </c>
      <c r="C28" s="28">
        <f t="shared" si="0"/>
        <v>4.705662182113076E-2</v>
      </c>
      <c r="I28" s="27">
        <v>43557</v>
      </c>
      <c r="J28" s="14">
        <v>41614.39</v>
      </c>
      <c r="K28" s="28">
        <f t="shared" si="1"/>
        <v>1.2202552446676474E-2</v>
      </c>
    </row>
    <row r="29" spans="1:11" x14ac:dyDescent="0.3">
      <c r="A29" s="23">
        <v>43502</v>
      </c>
      <c r="B29">
        <v>503.81</v>
      </c>
      <c r="C29" s="28">
        <f t="shared" si="0"/>
        <v>5.3620367796000678E-4</v>
      </c>
      <c r="I29" s="27">
        <v>43618</v>
      </c>
      <c r="J29" s="14">
        <v>41505.68</v>
      </c>
      <c r="K29" s="28">
        <f t="shared" si="1"/>
        <v>-2.6123175180508265E-3</v>
      </c>
    </row>
    <row r="30" spans="1:11" x14ac:dyDescent="0.3">
      <c r="A30" s="23">
        <v>43503</v>
      </c>
      <c r="B30">
        <v>496.53</v>
      </c>
      <c r="C30" s="28">
        <f t="shared" si="0"/>
        <v>-1.4449891824298901E-2</v>
      </c>
      <c r="I30" s="27">
        <v>43648</v>
      </c>
      <c r="J30" s="14">
        <v>41332.75</v>
      </c>
      <c r="K30" s="28">
        <f t="shared" si="1"/>
        <v>-4.1664177047575244E-3</v>
      </c>
    </row>
    <row r="31" spans="1:11" x14ac:dyDescent="0.3">
      <c r="A31" s="23">
        <v>43504</v>
      </c>
      <c r="B31">
        <v>491.18</v>
      </c>
      <c r="C31" s="28">
        <f t="shared" si="0"/>
        <v>-1.0774776952047139E-2</v>
      </c>
      <c r="I31" s="27">
        <v>43679</v>
      </c>
      <c r="J31" s="14">
        <v>40887.35</v>
      </c>
      <c r="K31" s="28">
        <f t="shared" si="1"/>
        <v>-1.0775958531672861E-2</v>
      </c>
    </row>
    <row r="32" spans="1:11" x14ac:dyDescent="0.3">
      <c r="A32" s="23">
        <v>43507</v>
      </c>
      <c r="B32">
        <v>478.31</v>
      </c>
      <c r="C32" s="28">
        <f t="shared" si="0"/>
        <v>-2.6202206930249612E-2</v>
      </c>
      <c r="I32" s="27">
        <v>43771</v>
      </c>
      <c r="J32" s="14">
        <v>40326.53</v>
      </c>
      <c r="K32" s="28">
        <f t="shared" si="1"/>
        <v>-1.3716222743709233E-2</v>
      </c>
    </row>
    <row r="33" spans="1:11" x14ac:dyDescent="0.3">
      <c r="A33" s="23">
        <v>43508</v>
      </c>
      <c r="B33">
        <v>496.54</v>
      </c>
      <c r="C33" s="28">
        <f t="shared" si="0"/>
        <v>3.8113357446007856E-2</v>
      </c>
      <c r="I33" s="27">
        <v>43801</v>
      </c>
      <c r="J33" s="14">
        <v>40596.28</v>
      </c>
      <c r="K33" s="28">
        <f t="shared" si="1"/>
        <v>6.6891448383979485E-3</v>
      </c>
    </row>
    <row r="34" spans="1:11" x14ac:dyDescent="0.3">
      <c r="A34" s="23">
        <v>43509</v>
      </c>
      <c r="B34">
        <v>493.33</v>
      </c>
      <c r="C34" s="28">
        <f t="shared" si="0"/>
        <v>-6.4647359729327674E-3</v>
      </c>
      <c r="I34" s="26" t="s">
        <v>1042</v>
      </c>
      <c r="J34" s="14">
        <v>40544.11</v>
      </c>
      <c r="K34" s="28">
        <f t="shared" si="1"/>
        <v>-1.2850931169062351E-3</v>
      </c>
    </row>
    <row r="35" spans="1:11" x14ac:dyDescent="0.3">
      <c r="A35" s="23">
        <v>43510</v>
      </c>
      <c r="B35">
        <v>487.43</v>
      </c>
      <c r="C35" s="28">
        <f t="shared" si="0"/>
        <v>-1.1959540267163922E-2</v>
      </c>
      <c r="I35" s="26" t="s">
        <v>1041</v>
      </c>
      <c r="J35" s="14">
        <v>40506.980000000003</v>
      </c>
      <c r="K35" s="28">
        <f t="shared" si="1"/>
        <v>-9.1579270083860223E-4</v>
      </c>
    </row>
    <row r="36" spans="1:11" x14ac:dyDescent="0.3">
      <c r="A36" s="23">
        <v>43511</v>
      </c>
      <c r="B36">
        <v>485.41</v>
      </c>
      <c r="C36" s="28">
        <f t="shared" si="0"/>
        <v>-4.1441848060233917E-3</v>
      </c>
      <c r="I36" s="26" t="s">
        <v>1040</v>
      </c>
      <c r="J36" s="14">
        <v>40486.67</v>
      </c>
      <c r="K36" s="28">
        <f t="shared" si="1"/>
        <v>-5.0139506820811989E-4</v>
      </c>
    </row>
    <row r="37" spans="1:11" x14ac:dyDescent="0.3">
      <c r="A37" s="23">
        <v>43514</v>
      </c>
      <c r="B37">
        <v>477.26</v>
      </c>
      <c r="C37" s="28">
        <f t="shared" si="0"/>
        <v>-1.6789930162131053E-2</v>
      </c>
      <c r="I37" s="26" t="s">
        <v>1039</v>
      </c>
      <c r="J37" s="14">
        <v>40219.47</v>
      </c>
      <c r="K37" s="28">
        <f t="shared" si="1"/>
        <v>-6.5997030627610795E-3</v>
      </c>
    </row>
    <row r="38" spans="1:11" x14ac:dyDescent="0.3">
      <c r="A38" s="23">
        <v>43515</v>
      </c>
      <c r="B38">
        <v>481.74</v>
      </c>
      <c r="C38" s="28">
        <f t="shared" si="0"/>
        <v>9.386916984452957E-3</v>
      </c>
      <c r="I38" s="26" t="s">
        <v>1038</v>
      </c>
      <c r="J38" s="14">
        <v>39957.07</v>
      </c>
      <c r="K38" s="28">
        <f t="shared" si="1"/>
        <v>-6.5242033273934606E-3</v>
      </c>
    </row>
    <row r="39" spans="1:11" x14ac:dyDescent="0.3">
      <c r="A39" s="23">
        <v>43516</v>
      </c>
      <c r="B39">
        <v>488.88</v>
      </c>
      <c r="C39" s="28">
        <f t="shared" si="0"/>
        <v>1.4821272885788985E-2</v>
      </c>
      <c r="I39" s="26" t="s">
        <v>1037</v>
      </c>
      <c r="J39" s="14">
        <v>40279.379999999997</v>
      </c>
      <c r="K39" s="28">
        <f t="shared" si="1"/>
        <v>8.0664072716041917E-3</v>
      </c>
    </row>
    <row r="40" spans="1:11" x14ac:dyDescent="0.3">
      <c r="A40" s="23">
        <v>43517</v>
      </c>
      <c r="B40">
        <v>494.35</v>
      </c>
      <c r="C40" s="28">
        <f t="shared" si="0"/>
        <v>1.1188839797087275E-2</v>
      </c>
      <c r="I40" s="26" t="s">
        <v>1036</v>
      </c>
      <c r="J40" s="14">
        <v>40070.71</v>
      </c>
      <c r="K40" s="28">
        <f t="shared" si="1"/>
        <v>-5.1805663344370806E-3</v>
      </c>
    </row>
    <row r="41" spans="1:11" x14ac:dyDescent="0.3">
      <c r="A41" s="23">
        <v>43518</v>
      </c>
      <c r="B41">
        <v>491.92</v>
      </c>
      <c r="C41" s="28">
        <f t="shared" si="0"/>
        <v>-4.9155456660261087E-3</v>
      </c>
      <c r="I41" s="26" t="s">
        <v>1035</v>
      </c>
      <c r="J41" s="14">
        <v>40016.129999999997</v>
      </c>
      <c r="K41" s="28">
        <f t="shared" si="1"/>
        <v>-1.3620921615814081E-3</v>
      </c>
    </row>
    <row r="42" spans="1:11" x14ac:dyDescent="0.3">
      <c r="A42" s="23">
        <v>43521</v>
      </c>
      <c r="B42">
        <v>482.75</v>
      </c>
      <c r="C42" s="28">
        <f t="shared" si="0"/>
        <v>-1.8641242478451812E-2</v>
      </c>
      <c r="I42" s="26" t="s">
        <v>1034</v>
      </c>
      <c r="J42" s="14">
        <v>39606.79</v>
      </c>
      <c r="K42" s="28">
        <f t="shared" si="1"/>
        <v>-1.0229375004529338E-2</v>
      </c>
    </row>
    <row r="43" spans="1:11" x14ac:dyDescent="0.3">
      <c r="A43" s="23">
        <v>43522</v>
      </c>
      <c r="B43">
        <v>467.22</v>
      </c>
      <c r="C43" s="28">
        <f t="shared" si="0"/>
        <v>-3.2169860176074518E-2</v>
      </c>
      <c r="I43" s="26" t="s">
        <v>1033</v>
      </c>
      <c r="J43" s="14">
        <v>38821.67</v>
      </c>
      <c r="K43" s="28">
        <f t="shared" si="1"/>
        <v>-1.9822863705945434E-2</v>
      </c>
    </row>
    <row r="44" spans="1:11" x14ac:dyDescent="0.3">
      <c r="A44" s="23">
        <v>43523</v>
      </c>
      <c r="B44">
        <v>465.26</v>
      </c>
      <c r="C44" s="28">
        <f t="shared" si="0"/>
        <v>-4.195025897864039E-3</v>
      </c>
      <c r="I44" s="26" t="s">
        <v>1032</v>
      </c>
      <c r="J44" s="14">
        <v>38692.69</v>
      </c>
      <c r="K44" s="28">
        <f t="shared" si="1"/>
        <v>-3.3223712426589565E-3</v>
      </c>
    </row>
    <row r="45" spans="1:11" x14ac:dyDescent="0.3">
      <c r="A45" s="23">
        <v>43524</v>
      </c>
      <c r="B45">
        <v>466.74</v>
      </c>
      <c r="C45" s="28">
        <f t="shared" si="0"/>
        <v>3.1810170657267296E-3</v>
      </c>
      <c r="I45" s="26" t="s">
        <v>1031</v>
      </c>
      <c r="J45" s="14">
        <v>39054.6</v>
      </c>
      <c r="K45" s="28">
        <f t="shared" si="1"/>
        <v>9.353446348651288E-3</v>
      </c>
    </row>
    <row r="46" spans="1:11" x14ac:dyDescent="0.3">
      <c r="A46" s="23">
        <v>43525</v>
      </c>
      <c r="B46">
        <v>469.61</v>
      </c>
      <c r="C46" s="28">
        <f t="shared" si="0"/>
        <v>6.1490337232720672E-3</v>
      </c>
      <c r="I46" s="27">
        <v>43468</v>
      </c>
      <c r="J46" s="14">
        <v>39539.01</v>
      </c>
      <c r="K46" s="28">
        <f t="shared" si="1"/>
        <v>1.2403404464518994E-2</v>
      </c>
    </row>
    <row r="47" spans="1:11" x14ac:dyDescent="0.3">
      <c r="A47" s="23">
        <v>43528</v>
      </c>
      <c r="B47">
        <v>472.14</v>
      </c>
      <c r="C47" s="28">
        <f t="shared" si="0"/>
        <v>5.3874491599411696E-3</v>
      </c>
      <c r="I47" s="27">
        <v>43558</v>
      </c>
      <c r="J47" s="14">
        <v>39749.74</v>
      </c>
      <c r="K47" s="28">
        <f t="shared" si="1"/>
        <v>5.3296731506427683E-3</v>
      </c>
    </row>
    <row r="48" spans="1:11" x14ac:dyDescent="0.3">
      <c r="A48" s="23">
        <v>43529</v>
      </c>
      <c r="B48">
        <v>469.62</v>
      </c>
      <c r="C48" s="28">
        <f t="shared" si="0"/>
        <v>-5.337399923751391E-3</v>
      </c>
      <c r="I48" s="27">
        <v>43588</v>
      </c>
      <c r="J48" s="14">
        <v>39688.51</v>
      </c>
      <c r="K48" s="28">
        <f t="shared" si="1"/>
        <v>-1.5403874339805978E-3</v>
      </c>
    </row>
    <row r="49" spans="1:11" x14ac:dyDescent="0.3">
      <c r="A49" s="23">
        <v>43530</v>
      </c>
      <c r="B49">
        <v>473.36</v>
      </c>
      <c r="C49" s="28">
        <f t="shared" si="0"/>
        <v>7.9638856948171053E-3</v>
      </c>
      <c r="I49" s="27">
        <v>43619</v>
      </c>
      <c r="J49" s="14">
        <v>39568.1</v>
      </c>
      <c r="K49" s="28">
        <f t="shared" si="1"/>
        <v>-3.0338755473562368E-3</v>
      </c>
    </row>
    <row r="50" spans="1:11" x14ac:dyDescent="0.3">
      <c r="A50" s="23">
        <v>43531</v>
      </c>
      <c r="B50">
        <v>467.25</v>
      </c>
      <c r="C50" s="28">
        <f t="shared" si="0"/>
        <v>-1.2907723508534759E-2</v>
      </c>
      <c r="I50" s="27">
        <v>43649</v>
      </c>
      <c r="J50" s="14">
        <v>39294.1</v>
      </c>
      <c r="K50" s="28">
        <f t="shared" si="1"/>
        <v>-6.9247702063025517E-3</v>
      </c>
    </row>
    <row r="51" spans="1:11" x14ac:dyDescent="0.3">
      <c r="A51" s="23">
        <v>43532</v>
      </c>
      <c r="B51">
        <v>459.95</v>
      </c>
      <c r="C51" s="28">
        <f t="shared" si="0"/>
        <v>-1.562332798287857E-2</v>
      </c>
      <c r="I51" s="27">
        <v>43680</v>
      </c>
      <c r="J51" s="14">
        <v>38950.230000000003</v>
      </c>
      <c r="K51" s="28">
        <f t="shared" si="1"/>
        <v>-8.7511865649040274E-3</v>
      </c>
    </row>
    <row r="52" spans="1:11" x14ac:dyDescent="0.3">
      <c r="A52" s="23">
        <v>43535</v>
      </c>
      <c r="B52">
        <v>460.74</v>
      </c>
      <c r="C52" s="28">
        <f t="shared" si="0"/>
        <v>1.7175779976084803E-3</v>
      </c>
      <c r="I52" s="27">
        <v>43772</v>
      </c>
      <c r="J52" s="14">
        <v>38924.11</v>
      </c>
      <c r="K52" s="28">
        <f t="shared" si="1"/>
        <v>-6.7059937771876102E-4</v>
      </c>
    </row>
    <row r="53" spans="1:11" x14ac:dyDescent="0.3">
      <c r="A53" s="23">
        <v>43536</v>
      </c>
      <c r="B53">
        <v>463.76</v>
      </c>
      <c r="C53" s="28">
        <f t="shared" si="0"/>
        <v>6.5546729174805352E-3</v>
      </c>
      <c r="I53" s="27">
        <v>43802</v>
      </c>
      <c r="J53" s="14">
        <v>38896.49</v>
      </c>
      <c r="K53" s="28">
        <f t="shared" si="1"/>
        <v>-7.095859096072491E-4</v>
      </c>
    </row>
    <row r="54" spans="1:11" x14ac:dyDescent="0.3">
      <c r="A54" s="23">
        <v>43537</v>
      </c>
      <c r="B54">
        <v>461.31</v>
      </c>
      <c r="C54" s="28">
        <f t="shared" si="0"/>
        <v>-5.2829049508366149E-3</v>
      </c>
      <c r="I54" s="26" t="s">
        <v>1030</v>
      </c>
      <c r="J54" s="14">
        <v>38928.93</v>
      </c>
      <c r="K54" s="28">
        <f t="shared" si="1"/>
        <v>8.3400841566944289E-4</v>
      </c>
    </row>
    <row r="55" spans="1:11" x14ac:dyDescent="0.3">
      <c r="A55" s="23">
        <v>43538</v>
      </c>
      <c r="B55">
        <v>454.13</v>
      </c>
      <c r="C55" s="28">
        <f t="shared" si="0"/>
        <v>-1.5564371030326693E-2</v>
      </c>
      <c r="I55" s="26" t="s">
        <v>1029</v>
      </c>
      <c r="J55" s="14">
        <v>38808.61</v>
      </c>
      <c r="K55" s="28">
        <f t="shared" si="1"/>
        <v>-3.0907605218021585E-3</v>
      </c>
    </row>
    <row r="56" spans="1:11" x14ac:dyDescent="0.3">
      <c r="A56" s="23">
        <v>43539</v>
      </c>
      <c r="B56">
        <v>435.09</v>
      </c>
      <c r="C56" s="28">
        <f t="shared" si="0"/>
        <v>-4.1926320657080615E-2</v>
      </c>
      <c r="I56" s="26" t="s">
        <v>1028</v>
      </c>
      <c r="J56" s="14">
        <v>38306.949999999997</v>
      </c>
      <c r="K56" s="28">
        <f t="shared" si="1"/>
        <v>-1.2926512956789833E-2</v>
      </c>
    </row>
    <row r="57" spans="1:11" x14ac:dyDescent="0.3">
      <c r="A57" s="23">
        <v>43542</v>
      </c>
      <c r="B57">
        <v>445.45</v>
      </c>
      <c r="C57" s="28">
        <f t="shared" si="0"/>
        <v>2.3811165505987299E-2</v>
      </c>
      <c r="I57" s="26" t="s">
        <v>1027</v>
      </c>
      <c r="J57" s="14">
        <v>38851.949999999997</v>
      </c>
      <c r="K57" s="28">
        <f t="shared" si="1"/>
        <v>1.4227183317909675E-2</v>
      </c>
    </row>
    <row r="58" spans="1:11" x14ac:dyDescent="0.3">
      <c r="A58" s="23">
        <v>43543</v>
      </c>
      <c r="B58">
        <v>436</v>
      </c>
      <c r="C58" s="28">
        <f t="shared" si="0"/>
        <v>-2.1214502188797821E-2</v>
      </c>
      <c r="I58" s="26" t="s">
        <v>1026</v>
      </c>
      <c r="J58" s="14">
        <v>38612.370000000003</v>
      </c>
      <c r="K58" s="28">
        <f t="shared" si="1"/>
        <v>-6.1664858520613375E-3</v>
      </c>
    </row>
    <row r="59" spans="1:11" x14ac:dyDescent="0.3">
      <c r="A59" s="23">
        <v>43544</v>
      </c>
      <c r="B59">
        <v>434.92</v>
      </c>
      <c r="C59" s="28">
        <f t="shared" si="0"/>
        <v>-2.4770642201834498E-3</v>
      </c>
      <c r="I59" s="26" t="s">
        <v>1025</v>
      </c>
      <c r="J59" s="14">
        <v>38547.760000000002</v>
      </c>
      <c r="K59" s="28">
        <f t="shared" si="1"/>
        <v>-1.6732979612492209E-3</v>
      </c>
    </row>
    <row r="60" spans="1:11" x14ac:dyDescent="0.3">
      <c r="A60" s="23">
        <v>43545</v>
      </c>
      <c r="B60">
        <v>433.43</v>
      </c>
      <c r="C60" s="28">
        <f t="shared" si="0"/>
        <v>-3.4259174100984297E-3</v>
      </c>
      <c r="I60" s="26" t="s">
        <v>1024</v>
      </c>
      <c r="J60" s="14">
        <v>38384.71</v>
      </c>
      <c r="K60" s="28">
        <f t="shared" si="1"/>
        <v>-4.2298177637300561E-3</v>
      </c>
    </row>
    <row r="61" spans="1:11" x14ac:dyDescent="0.3">
      <c r="A61" s="23">
        <v>43546</v>
      </c>
      <c r="B61">
        <v>429.82</v>
      </c>
      <c r="C61" s="28">
        <f t="shared" si="0"/>
        <v>-8.3289112428766212E-3</v>
      </c>
      <c r="I61" s="26" t="s">
        <v>1023</v>
      </c>
      <c r="J61" s="14">
        <v>38531.870000000003</v>
      </c>
      <c r="K61" s="28">
        <f t="shared" si="1"/>
        <v>3.8338182052177414E-3</v>
      </c>
    </row>
    <row r="62" spans="1:11" x14ac:dyDescent="0.3">
      <c r="A62" s="23">
        <v>43549</v>
      </c>
      <c r="B62">
        <v>417.87</v>
      </c>
      <c r="C62" s="28">
        <f t="shared" si="0"/>
        <v>-2.7802335861523402E-2</v>
      </c>
      <c r="I62" s="26" t="s">
        <v>1022</v>
      </c>
      <c r="J62" s="14">
        <v>38128.660000000003</v>
      </c>
      <c r="K62" s="28">
        <f t="shared" si="1"/>
        <v>-1.046432472651857E-2</v>
      </c>
    </row>
    <row r="63" spans="1:11" x14ac:dyDescent="0.3">
      <c r="A63" s="23">
        <v>43550</v>
      </c>
      <c r="B63">
        <v>419.66</v>
      </c>
      <c r="C63" s="28">
        <f t="shared" si="0"/>
        <v>4.2836288797952005E-3</v>
      </c>
      <c r="I63" s="26" t="s">
        <v>1021</v>
      </c>
      <c r="J63" s="14">
        <v>38329.129999999997</v>
      </c>
      <c r="K63" s="28">
        <f t="shared" si="1"/>
        <v>5.2577247666189654E-3</v>
      </c>
    </row>
    <row r="64" spans="1:11" x14ac:dyDescent="0.3">
      <c r="A64" s="23">
        <v>43551</v>
      </c>
      <c r="B64">
        <v>436</v>
      </c>
      <c r="C64" s="28">
        <f t="shared" si="0"/>
        <v>3.8936281751894328E-2</v>
      </c>
      <c r="I64" s="26" t="s">
        <v>1020</v>
      </c>
      <c r="J64" s="14">
        <v>38965.01</v>
      </c>
      <c r="K64" s="28">
        <f t="shared" si="1"/>
        <v>1.658999304184584E-2</v>
      </c>
    </row>
    <row r="65" spans="1:11" x14ac:dyDescent="0.3">
      <c r="A65" s="23">
        <v>43552</v>
      </c>
      <c r="B65">
        <v>422.7</v>
      </c>
      <c r="C65" s="28">
        <f t="shared" si="0"/>
        <v>-3.0504587155963329E-2</v>
      </c>
      <c r="I65" s="26" t="s">
        <v>1019</v>
      </c>
      <c r="J65" s="14">
        <v>38552.949999999997</v>
      </c>
      <c r="K65" s="28">
        <f t="shared" si="1"/>
        <v>-1.0575128814287611E-2</v>
      </c>
    </row>
    <row r="66" spans="1:11" x14ac:dyDescent="0.3">
      <c r="A66" s="23">
        <v>43553</v>
      </c>
      <c r="B66">
        <v>428.24</v>
      </c>
      <c r="C66" s="28">
        <f t="shared" si="0"/>
        <v>1.3106221906789735E-2</v>
      </c>
      <c r="I66" s="26" t="s">
        <v>1018</v>
      </c>
      <c r="J66" s="14">
        <v>38649.339999999997</v>
      </c>
      <c r="K66" s="28">
        <f t="shared" si="1"/>
        <v>2.5001977799364102E-3</v>
      </c>
    </row>
    <row r="67" spans="1:11" x14ac:dyDescent="0.3">
      <c r="A67" s="23">
        <v>43556</v>
      </c>
      <c r="B67">
        <v>417.92</v>
      </c>
      <c r="C67" s="28">
        <f t="shared" si="0"/>
        <v>-2.4098636278722194E-2</v>
      </c>
      <c r="I67" s="27">
        <v>43469</v>
      </c>
      <c r="J67" s="14">
        <v>38354.85</v>
      </c>
      <c r="K67" s="28">
        <f t="shared" si="1"/>
        <v>-7.6195350295761325E-3</v>
      </c>
    </row>
    <row r="68" spans="1:11" x14ac:dyDescent="0.3">
      <c r="A68" s="23">
        <v>43557</v>
      </c>
      <c r="B68">
        <v>418.76</v>
      </c>
      <c r="C68" s="28">
        <f t="shared" si="0"/>
        <v>2.0099540581928958E-3</v>
      </c>
      <c r="I68" s="27">
        <v>43500</v>
      </c>
      <c r="J68" s="14">
        <v>38036.03</v>
      </c>
      <c r="K68" s="28">
        <f t="shared" si="1"/>
        <v>-8.3123777045145449E-3</v>
      </c>
    </row>
    <row r="69" spans="1:11" x14ac:dyDescent="0.3">
      <c r="A69" s="23">
        <v>43558</v>
      </c>
      <c r="B69">
        <v>425.62</v>
      </c>
      <c r="C69" s="28">
        <f t="shared" si="0"/>
        <v>1.6381698347502183E-2</v>
      </c>
      <c r="I69" s="27">
        <v>43528</v>
      </c>
      <c r="J69" s="14">
        <v>38022.800000000003</v>
      </c>
      <c r="K69" s="28">
        <f t="shared" si="1"/>
        <v>-3.4782809877886638E-4</v>
      </c>
    </row>
    <row r="70" spans="1:11" x14ac:dyDescent="0.3">
      <c r="A70" s="23">
        <v>43559</v>
      </c>
      <c r="B70">
        <v>417.74</v>
      </c>
      <c r="C70" s="28">
        <f t="shared" ref="C70:C133" si="2">(B70-B69)/B69</f>
        <v>-1.8514167567313555E-2</v>
      </c>
      <c r="I70" s="27">
        <v>43559</v>
      </c>
      <c r="J70" s="14">
        <v>37516.11</v>
      </c>
      <c r="K70" s="28">
        <f t="shared" ref="K70:K133" si="3">(J70-J69)/J69</f>
        <v>-1.3325951797342707E-2</v>
      </c>
    </row>
    <row r="71" spans="1:11" x14ac:dyDescent="0.3">
      <c r="A71" s="23">
        <v>43560</v>
      </c>
      <c r="B71">
        <v>418.15</v>
      </c>
      <c r="C71" s="28">
        <f t="shared" si="2"/>
        <v>9.8147172882646666E-4</v>
      </c>
      <c r="I71" s="27">
        <v>43589</v>
      </c>
      <c r="J71" s="14">
        <v>37521.81</v>
      </c>
      <c r="K71" s="28">
        <f t="shared" si="3"/>
        <v>1.5193472884041256E-4</v>
      </c>
    </row>
    <row r="72" spans="1:11" x14ac:dyDescent="0.3">
      <c r="A72" s="23">
        <v>43563</v>
      </c>
      <c r="B72">
        <v>397.84</v>
      </c>
      <c r="C72" s="28">
        <f t="shared" si="2"/>
        <v>-4.8571086930527328E-2</v>
      </c>
      <c r="I72" s="27">
        <v>43681</v>
      </c>
      <c r="J72" s="14">
        <v>36921.910000000003</v>
      </c>
      <c r="K72" s="28">
        <f t="shared" si="3"/>
        <v>-1.5988034692356105E-2</v>
      </c>
    </row>
    <row r="73" spans="1:11" x14ac:dyDescent="0.3">
      <c r="A73" s="23">
        <v>43564</v>
      </c>
      <c r="B73">
        <v>388.77</v>
      </c>
      <c r="C73" s="28">
        <f t="shared" si="2"/>
        <v>-2.2798109792881546E-2</v>
      </c>
      <c r="I73" s="27">
        <v>43712</v>
      </c>
      <c r="J73" s="14">
        <v>37129.97</v>
      </c>
      <c r="K73" s="28">
        <f t="shared" si="3"/>
        <v>5.6351364271241024E-3</v>
      </c>
    </row>
    <row r="74" spans="1:11" x14ac:dyDescent="0.3">
      <c r="A74" s="23">
        <v>43565</v>
      </c>
      <c r="B74">
        <v>369.63</v>
      </c>
      <c r="C74" s="28">
        <f t="shared" si="2"/>
        <v>-4.9232193842117418E-2</v>
      </c>
      <c r="I74" s="27">
        <v>43742</v>
      </c>
      <c r="J74" s="14">
        <v>36579.32</v>
      </c>
      <c r="K74" s="28">
        <f t="shared" si="3"/>
        <v>-1.483033786453373E-2</v>
      </c>
    </row>
    <row r="75" spans="1:11" x14ac:dyDescent="0.3">
      <c r="A75" s="23">
        <v>43566</v>
      </c>
      <c r="B75">
        <v>377.57</v>
      </c>
      <c r="C75" s="28">
        <f t="shared" si="2"/>
        <v>2.1480940399859313E-2</v>
      </c>
      <c r="I75" s="27">
        <v>43773</v>
      </c>
      <c r="J75" s="14">
        <v>36787.64</v>
      </c>
      <c r="K75" s="28">
        <f t="shared" si="3"/>
        <v>5.6950211212236784E-3</v>
      </c>
    </row>
    <row r="76" spans="1:11" x14ac:dyDescent="0.3">
      <c r="A76" s="23">
        <v>43567</v>
      </c>
      <c r="B76">
        <v>396.05</v>
      </c>
      <c r="C76" s="28">
        <f t="shared" si="2"/>
        <v>4.8944566570437317E-2</v>
      </c>
      <c r="I76" s="27">
        <v>43803</v>
      </c>
      <c r="J76" s="14">
        <v>37337.870000000003</v>
      </c>
      <c r="K76" s="28">
        <f t="shared" si="3"/>
        <v>1.4956925750061793E-2</v>
      </c>
    </row>
    <row r="77" spans="1:11" x14ac:dyDescent="0.3">
      <c r="A77" s="23">
        <v>43570</v>
      </c>
      <c r="B77">
        <v>396.9</v>
      </c>
      <c r="C77" s="28">
        <f t="shared" si="2"/>
        <v>2.1461936624162753E-3</v>
      </c>
      <c r="I77" s="26" t="s">
        <v>1017</v>
      </c>
      <c r="J77" s="14">
        <v>37504.080000000002</v>
      </c>
      <c r="K77" s="28">
        <f t="shared" si="3"/>
        <v>4.4515126331523226E-3</v>
      </c>
    </row>
    <row r="78" spans="1:11" x14ac:dyDescent="0.3">
      <c r="A78" s="23">
        <v>43571</v>
      </c>
      <c r="B78">
        <v>397.52</v>
      </c>
      <c r="C78" s="28">
        <f t="shared" si="2"/>
        <v>1.5621063240110974E-3</v>
      </c>
      <c r="I78" s="26" t="s">
        <v>1016</v>
      </c>
      <c r="J78" s="14">
        <v>37381.949999999997</v>
      </c>
      <c r="K78" s="28">
        <f t="shared" si="3"/>
        <v>-3.2564456987081046E-3</v>
      </c>
    </row>
    <row r="79" spans="1:11" x14ac:dyDescent="0.3">
      <c r="A79" s="23">
        <v>43572</v>
      </c>
      <c r="B79">
        <v>394.01</v>
      </c>
      <c r="C79" s="28">
        <f t="shared" si="2"/>
        <v>-8.8297444153753041E-3</v>
      </c>
      <c r="I79" s="26" t="s">
        <v>1015</v>
      </c>
      <c r="J79" s="14">
        <v>36752.57</v>
      </c>
      <c r="K79" s="28">
        <f t="shared" si="3"/>
        <v>-1.6836467867513531E-2</v>
      </c>
    </row>
    <row r="80" spans="1:11" x14ac:dyDescent="0.3">
      <c r="A80" s="23">
        <v>43573</v>
      </c>
      <c r="B80">
        <v>387.26</v>
      </c>
      <c r="C80" s="28">
        <f t="shared" si="2"/>
        <v>-1.7131544884647597E-2</v>
      </c>
      <c r="I80" s="26" t="s">
        <v>1014</v>
      </c>
      <c r="J80" s="14">
        <v>36811.86</v>
      </c>
      <c r="K80" s="28">
        <f t="shared" si="3"/>
        <v>1.6132205176400147E-3</v>
      </c>
    </row>
    <row r="81" spans="1:11" x14ac:dyDescent="0.3">
      <c r="A81" s="23">
        <v>43574</v>
      </c>
      <c r="B81">
        <v>388.22</v>
      </c>
      <c r="C81" s="28">
        <f t="shared" si="2"/>
        <v>2.4789547074317935E-3</v>
      </c>
      <c r="I81" s="26" t="s">
        <v>1013</v>
      </c>
      <c r="J81" s="14">
        <v>37292.47</v>
      </c>
      <c r="K81" s="28">
        <f t="shared" si="3"/>
        <v>1.3055846675500792E-2</v>
      </c>
    </row>
    <row r="82" spans="1:11" x14ac:dyDescent="0.3">
      <c r="A82" s="23">
        <v>43577</v>
      </c>
      <c r="B82">
        <v>381.82</v>
      </c>
      <c r="C82" s="28">
        <f t="shared" si="2"/>
        <v>-1.6485497913554258E-2</v>
      </c>
      <c r="I82" s="26" t="s">
        <v>1012</v>
      </c>
      <c r="J82" s="14">
        <v>36901.69</v>
      </c>
      <c r="K82" s="28">
        <f t="shared" si="3"/>
        <v>-1.0478791026713941E-2</v>
      </c>
    </row>
    <row r="83" spans="1:11" x14ac:dyDescent="0.3">
      <c r="A83" s="23">
        <v>43578</v>
      </c>
      <c r="B83">
        <v>373.59</v>
      </c>
      <c r="C83" s="28">
        <f t="shared" si="2"/>
        <v>-2.1554659263527363E-2</v>
      </c>
      <c r="I83" s="26" t="s">
        <v>1011</v>
      </c>
      <c r="J83" s="14">
        <v>36404.03</v>
      </c>
      <c r="K83" s="28">
        <f t="shared" si="3"/>
        <v>-1.3486103210991243E-2</v>
      </c>
    </row>
    <row r="84" spans="1:11" x14ac:dyDescent="0.3">
      <c r="A84" s="23">
        <v>43579</v>
      </c>
      <c r="B84">
        <v>374.06</v>
      </c>
      <c r="C84" s="28">
        <f t="shared" si="2"/>
        <v>1.2580636526674357E-3</v>
      </c>
      <c r="I84" s="26" t="s">
        <v>1010</v>
      </c>
      <c r="J84" s="14">
        <v>36504.25</v>
      </c>
      <c r="K84" s="28">
        <f t="shared" si="3"/>
        <v>2.7529919077640902E-3</v>
      </c>
    </row>
    <row r="85" spans="1:11" x14ac:dyDescent="0.3">
      <c r="A85" s="23">
        <v>43580</v>
      </c>
      <c r="B85">
        <v>377.31</v>
      </c>
      <c r="C85" s="28">
        <f t="shared" si="2"/>
        <v>8.6884457038977712E-3</v>
      </c>
      <c r="I85" s="26" t="s">
        <v>1009</v>
      </c>
      <c r="J85" s="14">
        <v>36796.03</v>
      </c>
      <c r="K85" s="28">
        <f t="shared" si="3"/>
        <v>7.9930419060793966E-3</v>
      </c>
    </row>
    <row r="86" spans="1:11" x14ac:dyDescent="0.3">
      <c r="A86" s="23">
        <v>43581</v>
      </c>
      <c r="B86">
        <v>395.83</v>
      </c>
      <c r="C86" s="28">
        <f t="shared" si="2"/>
        <v>4.9084307333492304E-2</v>
      </c>
      <c r="I86" s="26" t="s">
        <v>1008</v>
      </c>
      <c r="J86" s="14">
        <v>37130.629999999997</v>
      </c>
      <c r="K86" s="28">
        <f t="shared" si="3"/>
        <v>9.0933723013052921E-3</v>
      </c>
    </row>
    <row r="87" spans="1:11" x14ac:dyDescent="0.3">
      <c r="A87" s="23">
        <v>43584</v>
      </c>
      <c r="B87">
        <v>391.23</v>
      </c>
      <c r="C87" s="28">
        <f t="shared" si="2"/>
        <v>-1.1621150493898811E-2</v>
      </c>
      <c r="I87" s="26" t="s">
        <v>1007</v>
      </c>
      <c r="J87" s="14">
        <v>37026.269999999997</v>
      </c>
      <c r="K87" s="28">
        <f t="shared" si="3"/>
        <v>-2.8106175413668065E-3</v>
      </c>
    </row>
    <row r="88" spans="1:11" x14ac:dyDescent="0.3">
      <c r="A88" s="23">
        <v>43585</v>
      </c>
      <c r="B88">
        <v>388.4</v>
      </c>
      <c r="C88" s="28">
        <f t="shared" si="2"/>
        <v>-7.2335966055773861E-3</v>
      </c>
      <c r="I88" s="26" t="s">
        <v>1006</v>
      </c>
      <c r="J88" s="14">
        <v>36784.44</v>
      </c>
      <c r="K88" s="28">
        <f t="shared" si="3"/>
        <v>-6.5313087167568999E-3</v>
      </c>
    </row>
    <row r="89" spans="1:11" x14ac:dyDescent="0.3">
      <c r="A89" s="23">
        <v>43587</v>
      </c>
      <c r="B89">
        <v>387.11</v>
      </c>
      <c r="C89" s="28">
        <f t="shared" si="2"/>
        <v>-3.3213182286301844E-3</v>
      </c>
      <c r="I89" s="27">
        <v>43501</v>
      </c>
      <c r="J89" s="14">
        <v>36547.629999999997</v>
      </c>
      <c r="K89" s="28">
        <f t="shared" si="3"/>
        <v>-6.437776407633362E-3</v>
      </c>
    </row>
    <row r="90" spans="1:11" x14ac:dyDescent="0.3">
      <c r="A90" s="23">
        <v>43588</v>
      </c>
      <c r="B90">
        <v>384.62</v>
      </c>
      <c r="C90" s="28">
        <f t="shared" si="2"/>
        <v>-6.4322802304254837E-3</v>
      </c>
      <c r="I90" s="27">
        <v>43529</v>
      </c>
      <c r="J90" s="14">
        <v>36122.949999999997</v>
      </c>
      <c r="K90" s="28">
        <f t="shared" si="3"/>
        <v>-1.1619905312601674E-2</v>
      </c>
    </row>
    <row r="91" spans="1:11" x14ac:dyDescent="0.3">
      <c r="A91" s="23">
        <v>43591</v>
      </c>
      <c r="B91">
        <v>368.59</v>
      </c>
      <c r="C91" s="28">
        <f t="shared" si="2"/>
        <v>-4.1677499870001633E-2</v>
      </c>
      <c r="I91" s="27">
        <v>43621</v>
      </c>
      <c r="J91" s="14">
        <v>35605.42</v>
      </c>
      <c r="K91" s="28">
        <f t="shared" si="3"/>
        <v>-1.4326902979961462E-2</v>
      </c>
    </row>
    <row r="92" spans="1:11" x14ac:dyDescent="0.3">
      <c r="A92" s="23">
        <v>43592</v>
      </c>
      <c r="B92">
        <v>360.99</v>
      </c>
      <c r="C92" s="28">
        <f t="shared" si="2"/>
        <v>-2.0619116091049584E-2</v>
      </c>
      <c r="I92" s="27">
        <v>43651</v>
      </c>
      <c r="J92" s="14">
        <v>35631.06</v>
      </c>
      <c r="K92" s="28">
        <f t="shared" si="3"/>
        <v>7.2011508360242404E-4</v>
      </c>
    </row>
    <row r="93" spans="1:11" x14ac:dyDescent="0.3">
      <c r="A93" s="23">
        <v>43593</v>
      </c>
      <c r="B93">
        <v>358.91</v>
      </c>
      <c r="C93" s="28">
        <f t="shared" si="2"/>
        <v>-5.7619324635030996E-3</v>
      </c>
      <c r="I93" s="27">
        <v>43682</v>
      </c>
      <c r="J93" s="14">
        <v>35035.03</v>
      </c>
      <c r="K93" s="28">
        <f t="shared" si="3"/>
        <v>-1.6727821176243392E-2</v>
      </c>
    </row>
    <row r="94" spans="1:11" x14ac:dyDescent="0.3">
      <c r="A94" s="23">
        <v>43594</v>
      </c>
      <c r="B94">
        <v>365.19</v>
      </c>
      <c r="C94" s="28">
        <f t="shared" si="2"/>
        <v>1.7497422752221929E-2</v>
      </c>
      <c r="I94" s="27">
        <v>43713</v>
      </c>
      <c r="J94" s="14">
        <v>34887.64</v>
      </c>
      <c r="K94" s="28">
        <f t="shared" si="3"/>
        <v>-4.2069323188819712E-3</v>
      </c>
    </row>
    <row r="95" spans="1:11" x14ac:dyDescent="0.3">
      <c r="A95" s="23">
        <v>43595</v>
      </c>
      <c r="B95">
        <v>364.99</v>
      </c>
      <c r="C95" s="28">
        <f t="shared" si="2"/>
        <v>-5.4766012212817611E-4</v>
      </c>
      <c r="I95" s="27">
        <v>43743</v>
      </c>
      <c r="J95" s="14">
        <v>34716.53</v>
      </c>
      <c r="K95" s="28">
        <f t="shared" si="3"/>
        <v>-4.9046023176116411E-3</v>
      </c>
    </row>
    <row r="96" spans="1:11" x14ac:dyDescent="0.3">
      <c r="A96" s="23">
        <v>43598</v>
      </c>
      <c r="B96">
        <v>357.32</v>
      </c>
      <c r="C96" s="28">
        <f t="shared" si="2"/>
        <v>-2.1014274363681241E-2</v>
      </c>
      <c r="I96" s="26" t="s">
        <v>1005</v>
      </c>
      <c r="J96" s="14">
        <v>33900.379999999997</v>
      </c>
      <c r="K96" s="28">
        <f t="shared" si="3"/>
        <v>-2.3508973967156323E-2</v>
      </c>
    </row>
    <row r="97" spans="1:11" x14ac:dyDescent="0.3">
      <c r="A97" s="23">
        <v>43599</v>
      </c>
      <c r="B97">
        <v>356.44</v>
      </c>
      <c r="C97" s="28">
        <f t="shared" si="2"/>
        <v>-2.4627784618828936E-3</v>
      </c>
      <c r="I97" s="26" t="s">
        <v>1004</v>
      </c>
      <c r="J97" s="14">
        <v>33885.089999999997</v>
      </c>
      <c r="K97" s="28">
        <f t="shared" si="3"/>
        <v>-4.5102739261332391E-4</v>
      </c>
    </row>
    <row r="98" spans="1:11" x14ac:dyDescent="0.3">
      <c r="A98" s="23">
        <v>43600</v>
      </c>
      <c r="B98">
        <v>360.07</v>
      </c>
      <c r="C98" s="28">
        <f t="shared" si="2"/>
        <v>1.0184042195039825E-2</v>
      </c>
      <c r="I98" s="26" t="s">
        <v>1003</v>
      </c>
      <c r="J98" s="14">
        <v>34291.65</v>
      </c>
      <c r="K98" s="28">
        <f t="shared" si="3"/>
        <v>1.1998197437280084E-2</v>
      </c>
    </row>
    <row r="99" spans="1:11" x14ac:dyDescent="0.3">
      <c r="A99" s="23">
        <v>43601</v>
      </c>
      <c r="B99">
        <v>350.94</v>
      </c>
      <c r="C99" s="28">
        <f t="shared" si="2"/>
        <v>-2.5356180742633364E-2</v>
      </c>
      <c r="I99" s="26" t="s">
        <v>1002</v>
      </c>
      <c r="J99" s="14">
        <v>33971.120000000003</v>
      </c>
      <c r="K99" s="28">
        <f t="shared" si="3"/>
        <v>-9.3471734372653058E-3</v>
      </c>
    </row>
    <row r="100" spans="1:11" x14ac:dyDescent="0.3">
      <c r="A100" s="23">
        <v>43602</v>
      </c>
      <c r="B100">
        <v>344.27</v>
      </c>
      <c r="C100" s="28">
        <f t="shared" si="2"/>
        <v>-1.9006097908474427E-2</v>
      </c>
      <c r="I100" s="26" t="s">
        <v>1001</v>
      </c>
      <c r="J100" s="14">
        <v>33166.620000000003</v>
      </c>
      <c r="K100" s="28">
        <f t="shared" si="3"/>
        <v>-2.3681880373682115E-2</v>
      </c>
    </row>
    <row r="101" spans="1:11" x14ac:dyDescent="0.3">
      <c r="A101" s="23">
        <v>43605</v>
      </c>
      <c r="B101">
        <v>345.99</v>
      </c>
      <c r="C101" s="28">
        <f t="shared" si="2"/>
        <v>4.9960786591919928E-3</v>
      </c>
      <c r="I101" s="26" t="s">
        <v>1000</v>
      </c>
      <c r="J101" s="14">
        <v>33250.54</v>
      </c>
      <c r="K101" s="28">
        <f t="shared" si="3"/>
        <v>2.5302548164388848E-3</v>
      </c>
    </row>
    <row r="102" spans="1:11" x14ac:dyDescent="0.3">
      <c r="A102" s="23">
        <v>43606</v>
      </c>
      <c r="B102">
        <v>356.47</v>
      </c>
      <c r="C102" s="28">
        <f t="shared" si="2"/>
        <v>3.0289892771467434E-2</v>
      </c>
      <c r="I102" s="26" t="s">
        <v>999</v>
      </c>
      <c r="J102" s="14">
        <v>33442.1</v>
      </c>
      <c r="K102" s="28">
        <f t="shared" si="3"/>
        <v>5.7611094436360328E-3</v>
      </c>
    </row>
    <row r="103" spans="1:11" x14ac:dyDescent="0.3">
      <c r="A103" s="23">
        <v>43607</v>
      </c>
      <c r="B103">
        <v>374.29</v>
      </c>
      <c r="C103" s="28">
        <f t="shared" si="2"/>
        <v>4.999018150194965E-2</v>
      </c>
      <c r="I103" s="26" t="s">
        <v>998</v>
      </c>
      <c r="J103" s="14">
        <v>34637.14</v>
      </c>
      <c r="K103" s="28">
        <f t="shared" si="3"/>
        <v>3.573459800670415E-2</v>
      </c>
    </row>
    <row r="104" spans="1:11" x14ac:dyDescent="0.3">
      <c r="A104" s="23">
        <v>43608</v>
      </c>
      <c r="B104">
        <v>393</v>
      </c>
      <c r="C104" s="28">
        <f t="shared" si="2"/>
        <v>4.9987977236901814E-2</v>
      </c>
      <c r="I104" s="26" t="s">
        <v>997</v>
      </c>
      <c r="J104" s="14">
        <v>35581.339999999997</v>
      </c>
      <c r="K104" s="28">
        <f t="shared" si="3"/>
        <v>2.7259756434855682E-2</v>
      </c>
    </row>
    <row r="105" spans="1:11" x14ac:dyDescent="0.3">
      <c r="A105" s="23">
        <v>43609</v>
      </c>
      <c r="B105">
        <v>404.81</v>
      </c>
      <c r="C105" s="28">
        <f t="shared" si="2"/>
        <v>3.0050890585241737E-2</v>
      </c>
      <c r="I105" s="26" t="s">
        <v>996</v>
      </c>
      <c r="J105" s="14">
        <v>35703.81</v>
      </c>
      <c r="K105" s="28">
        <f t="shared" si="3"/>
        <v>3.4419726744411867E-3</v>
      </c>
    </row>
    <row r="106" spans="1:11" x14ac:dyDescent="0.3">
      <c r="A106" s="23">
        <v>43612</v>
      </c>
      <c r="B106">
        <v>404.99</v>
      </c>
      <c r="C106" s="28">
        <f t="shared" si="2"/>
        <v>4.4465304710853689E-4</v>
      </c>
      <c r="I106" s="26" t="s">
        <v>995</v>
      </c>
      <c r="J106" s="14">
        <v>35697.370000000003</v>
      </c>
      <c r="K106" s="28">
        <f t="shared" si="3"/>
        <v>-1.8037290698093712E-4</v>
      </c>
    </row>
    <row r="107" spans="1:11" x14ac:dyDescent="0.3">
      <c r="A107" s="23">
        <v>43613</v>
      </c>
      <c r="B107">
        <v>401.53</v>
      </c>
      <c r="C107" s="28">
        <f t="shared" si="2"/>
        <v>-8.5434208252056498E-3</v>
      </c>
      <c r="I107" s="26" t="s">
        <v>994</v>
      </c>
      <c r="J107" s="14">
        <v>34949.279999999999</v>
      </c>
      <c r="K107" s="28">
        <f t="shared" si="3"/>
        <v>-2.0956445810994023E-2</v>
      </c>
    </row>
    <row r="108" spans="1:11" x14ac:dyDescent="0.3">
      <c r="A108" s="23">
        <v>43614</v>
      </c>
      <c r="B108">
        <v>421.6</v>
      </c>
      <c r="C108" s="28">
        <f t="shared" si="2"/>
        <v>4.9983811919408393E-2</v>
      </c>
      <c r="I108" s="26" t="s">
        <v>993</v>
      </c>
      <c r="J108" s="14">
        <v>35959.43</v>
      </c>
      <c r="K108" s="28">
        <f t="shared" si="3"/>
        <v>2.8903313601882544E-2</v>
      </c>
    </row>
    <row r="109" spans="1:11" x14ac:dyDescent="0.3">
      <c r="A109" s="23">
        <v>43615</v>
      </c>
      <c r="B109">
        <v>423.81</v>
      </c>
      <c r="C109" s="28">
        <f t="shared" si="2"/>
        <v>5.2419354838709187E-3</v>
      </c>
      <c r="I109" s="26" t="s">
        <v>992</v>
      </c>
      <c r="J109" s="14">
        <v>35974.79</v>
      </c>
      <c r="K109" s="28">
        <f t="shared" si="3"/>
        <v>4.271480387759367E-4</v>
      </c>
    </row>
    <row r="110" spans="1:11" x14ac:dyDescent="0.3">
      <c r="A110" s="23">
        <v>43619</v>
      </c>
      <c r="B110">
        <v>412.58</v>
      </c>
      <c r="C110" s="28">
        <f t="shared" si="2"/>
        <v>-2.6497723036266293E-2</v>
      </c>
      <c r="I110" s="27">
        <v>43530</v>
      </c>
      <c r="J110" s="14">
        <v>35505.29</v>
      </c>
      <c r="K110" s="28">
        <f t="shared" si="3"/>
        <v>-1.3050805855989708E-2</v>
      </c>
    </row>
    <row r="111" spans="1:11" x14ac:dyDescent="0.3">
      <c r="A111" s="23">
        <v>43626</v>
      </c>
      <c r="B111">
        <v>392.99</v>
      </c>
      <c r="C111" s="28">
        <f t="shared" si="2"/>
        <v>-4.7481700518687227E-2</v>
      </c>
      <c r="I111" s="27">
        <v>43744</v>
      </c>
      <c r="J111" s="14">
        <v>34567.550000000003</v>
      </c>
      <c r="K111" s="28">
        <f t="shared" si="3"/>
        <v>-2.6411275615549061E-2</v>
      </c>
    </row>
    <row r="112" spans="1:11" x14ac:dyDescent="0.3">
      <c r="A112" s="23">
        <v>43627</v>
      </c>
      <c r="B112">
        <v>386.08</v>
      </c>
      <c r="C112" s="28">
        <f t="shared" si="2"/>
        <v>-1.7583144609277655E-2</v>
      </c>
      <c r="I112" s="27">
        <v>43775</v>
      </c>
      <c r="J112" s="14">
        <v>34659.85</v>
      </c>
      <c r="K112" s="28">
        <f t="shared" si="3"/>
        <v>2.6701342733284721E-3</v>
      </c>
    </row>
    <row r="113" spans="1:11" x14ac:dyDescent="0.3">
      <c r="A113" s="23">
        <v>43628</v>
      </c>
      <c r="B113">
        <v>390.41</v>
      </c>
      <c r="C113" s="28">
        <f t="shared" si="2"/>
        <v>1.1215292167426547E-2</v>
      </c>
      <c r="I113" s="27">
        <v>43805</v>
      </c>
      <c r="J113" s="14">
        <v>34937.93</v>
      </c>
      <c r="K113" s="28">
        <f t="shared" si="3"/>
        <v>8.0231160838838533E-3</v>
      </c>
    </row>
    <row r="114" spans="1:11" x14ac:dyDescent="0.3">
      <c r="A114" s="23">
        <v>43629</v>
      </c>
      <c r="B114">
        <v>402.03</v>
      </c>
      <c r="C114" s="28">
        <f t="shared" si="2"/>
        <v>2.9763581875464119E-2</v>
      </c>
      <c r="I114" s="26" t="s">
        <v>991</v>
      </c>
      <c r="J114" s="14">
        <v>35403.07</v>
      </c>
      <c r="K114" s="28">
        <f t="shared" si="3"/>
        <v>1.3313324515791274E-2</v>
      </c>
    </row>
    <row r="115" spans="1:11" x14ac:dyDescent="0.3">
      <c r="A115" s="23">
        <v>43630</v>
      </c>
      <c r="B115">
        <v>417.12</v>
      </c>
      <c r="C115" s="28">
        <f t="shared" si="2"/>
        <v>3.7534512349824724E-2</v>
      </c>
      <c r="I115" s="26" t="s">
        <v>990</v>
      </c>
      <c r="J115" s="14">
        <v>35572.949999999997</v>
      </c>
      <c r="K115" s="28">
        <f t="shared" si="3"/>
        <v>4.798453919391662E-3</v>
      </c>
    </row>
    <row r="116" spans="1:11" x14ac:dyDescent="0.3">
      <c r="A116" s="23">
        <v>43633</v>
      </c>
      <c r="B116">
        <v>408.69</v>
      </c>
      <c r="C116" s="28">
        <f t="shared" si="2"/>
        <v>-2.0210011507479878E-2</v>
      </c>
      <c r="I116" s="26" t="s">
        <v>989</v>
      </c>
      <c r="J116" s="14">
        <v>35168.82</v>
      </c>
      <c r="K116" s="28">
        <f t="shared" si="3"/>
        <v>-1.1360598432235657E-2</v>
      </c>
    </row>
    <row r="117" spans="1:11" x14ac:dyDescent="0.3">
      <c r="A117" s="23">
        <v>43634</v>
      </c>
      <c r="B117">
        <v>400.7</v>
      </c>
      <c r="C117" s="28">
        <f t="shared" si="2"/>
        <v>-1.9550270376079693E-2</v>
      </c>
      <c r="I117" s="26" t="s">
        <v>988</v>
      </c>
      <c r="J117" s="14">
        <v>34681.72</v>
      </c>
      <c r="K117" s="28">
        <f t="shared" si="3"/>
        <v>-1.3850336747152692E-2</v>
      </c>
    </row>
    <row r="118" spans="1:11" x14ac:dyDescent="0.3">
      <c r="A118" s="23">
        <v>43635</v>
      </c>
      <c r="B118">
        <v>401.42</v>
      </c>
      <c r="C118" s="28">
        <f t="shared" si="2"/>
        <v>1.7968555028700457E-3</v>
      </c>
      <c r="I118" s="26" t="s">
        <v>987</v>
      </c>
      <c r="J118" s="14">
        <v>34656.120000000003</v>
      </c>
      <c r="K118" s="28">
        <f t="shared" si="3"/>
        <v>-7.381410149207866E-4</v>
      </c>
    </row>
    <row r="119" spans="1:11" x14ac:dyDescent="0.3">
      <c r="A119" s="23">
        <v>43636</v>
      </c>
      <c r="B119">
        <v>406.27</v>
      </c>
      <c r="C119" s="28">
        <f t="shared" si="2"/>
        <v>1.2082108514772472E-2</v>
      </c>
      <c r="I119" s="26" t="s">
        <v>986</v>
      </c>
      <c r="J119" s="14">
        <v>34995.910000000003</v>
      </c>
      <c r="K119" s="28">
        <f t="shared" si="3"/>
        <v>9.8046174817031113E-3</v>
      </c>
    </row>
    <row r="120" spans="1:11" x14ac:dyDescent="0.3">
      <c r="A120" s="23">
        <v>43637</v>
      </c>
      <c r="B120">
        <v>405.75</v>
      </c>
      <c r="C120" s="28">
        <f t="shared" si="2"/>
        <v>-1.2799369877174831E-3</v>
      </c>
      <c r="I120" s="26" t="s">
        <v>985</v>
      </c>
      <c r="J120" s="14">
        <v>35125.25</v>
      </c>
      <c r="K120" s="28">
        <f t="shared" si="3"/>
        <v>3.6958604591221232E-3</v>
      </c>
    </row>
    <row r="121" spans="1:11" x14ac:dyDescent="0.3">
      <c r="A121" s="23">
        <v>43640</v>
      </c>
      <c r="B121">
        <v>385.47</v>
      </c>
      <c r="C121" s="28">
        <f t="shared" si="2"/>
        <v>-4.9981515711645032E-2</v>
      </c>
      <c r="I121" s="26" t="s">
        <v>984</v>
      </c>
      <c r="J121" s="14">
        <v>34471.949999999997</v>
      </c>
      <c r="K121" s="28">
        <f t="shared" si="3"/>
        <v>-1.8599155877894191E-2</v>
      </c>
    </row>
    <row r="122" spans="1:11" x14ac:dyDescent="0.3">
      <c r="A122" s="23">
        <v>43641</v>
      </c>
      <c r="B122">
        <v>378.6</v>
      </c>
      <c r="C122" s="28">
        <f t="shared" si="2"/>
        <v>-1.782239863024361E-2</v>
      </c>
      <c r="I122" s="26" t="s">
        <v>983</v>
      </c>
      <c r="J122" s="14">
        <v>34190.620000000003</v>
      </c>
      <c r="K122" s="28">
        <f t="shared" si="3"/>
        <v>-8.1611281056045426E-3</v>
      </c>
    </row>
    <row r="123" spans="1:11" x14ac:dyDescent="0.3">
      <c r="A123" s="23">
        <v>43642</v>
      </c>
      <c r="B123">
        <v>380.69</v>
      </c>
      <c r="C123" s="28">
        <f t="shared" si="2"/>
        <v>5.5203380876914284E-3</v>
      </c>
      <c r="I123" s="26" t="s">
        <v>982</v>
      </c>
      <c r="J123" s="14">
        <v>34088.559999999998</v>
      </c>
      <c r="K123" s="28">
        <f t="shared" si="3"/>
        <v>-2.9850292273145367E-3</v>
      </c>
    </row>
    <row r="124" spans="1:11" x14ac:dyDescent="0.3">
      <c r="A124" s="23">
        <v>43643</v>
      </c>
      <c r="B124">
        <v>373.17</v>
      </c>
      <c r="C124" s="28">
        <f t="shared" si="2"/>
        <v>-1.975360529564733E-2</v>
      </c>
      <c r="I124" s="26" t="s">
        <v>981</v>
      </c>
      <c r="J124" s="14">
        <v>33774.42</v>
      </c>
      <c r="K124" s="28">
        <f t="shared" si="3"/>
        <v>-9.2154083364037499E-3</v>
      </c>
    </row>
    <row r="125" spans="1:11" x14ac:dyDescent="0.3">
      <c r="A125" s="23">
        <v>43644</v>
      </c>
      <c r="B125">
        <v>380.47</v>
      </c>
      <c r="C125" s="28">
        <f t="shared" si="2"/>
        <v>1.9562129860385375E-2</v>
      </c>
      <c r="I125" s="26" t="s">
        <v>980</v>
      </c>
      <c r="J125" s="14">
        <v>33901.58</v>
      </c>
      <c r="K125" s="28">
        <f t="shared" si="3"/>
        <v>3.7649795318469865E-3</v>
      </c>
    </row>
    <row r="126" spans="1:11" x14ac:dyDescent="0.3">
      <c r="A126" s="23">
        <v>43647</v>
      </c>
      <c r="B126">
        <v>377.41</v>
      </c>
      <c r="C126" s="28">
        <f t="shared" si="2"/>
        <v>-8.0426840486766422E-3</v>
      </c>
      <c r="I126" s="27">
        <v>43472</v>
      </c>
      <c r="J126" s="14">
        <v>33996.33</v>
      </c>
      <c r="K126" s="28">
        <f t="shared" si="3"/>
        <v>2.7948549890595069E-3</v>
      </c>
    </row>
    <row r="127" spans="1:11" x14ac:dyDescent="0.3">
      <c r="A127" s="23">
        <v>43648</v>
      </c>
      <c r="B127">
        <v>383.66</v>
      </c>
      <c r="C127" s="28">
        <f t="shared" si="2"/>
        <v>1.656023952730452E-2</v>
      </c>
      <c r="I127" s="27">
        <v>43503</v>
      </c>
      <c r="J127" s="14">
        <v>34307.11</v>
      </c>
      <c r="K127" s="28">
        <f t="shared" si="3"/>
        <v>9.141574987653044E-3</v>
      </c>
    </row>
    <row r="128" spans="1:11" x14ac:dyDescent="0.3">
      <c r="A128" s="23">
        <v>43649</v>
      </c>
      <c r="B128">
        <v>396.23</v>
      </c>
      <c r="C128" s="28">
        <f t="shared" si="2"/>
        <v>3.2763384246468207E-2</v>
      </c>
      <c r="I128" s="27">
        <v>43531</v>
      </c>
      <c r="J128" s="14">
        <v>34896.550000000003</v>
      </c>
      <c r="K128" s="28">
        <f t="shared" si="3"/>
        <v>1.7181278166537559E-2</v>
      </c>
    </row>
    <row r="129" spans="1:11" x14ac:dyDescent="0.3">
      <c r="A129" s="23">
        <v>43650</v>
      </c>
      <c r="B129">
        <v>384.47</v>
      </c>
      <c r="C129" s="28">
        <f t="shared" si="2"/>
        <v>-2.9679731469096207E-2</v>
      </c>
      <c r="I129" s="27">
        <v>43562</v>
      </c>
      <c r="J129" s="14">
        <v>34570.620000000003</v>
      </c>
      <c r="K129" s="28">
        <f t="shared" si="3"/>
        <v>-9.3398917658049363E-3</v>
      </c>
    </row>
    <row r="130" spans="1:11" x14ac:dyDescent="0.3">
      <c r="A130" s="23">
        <v>43651</v>
      </c>
      <c r="B130">
        <v>378.52</v>
      </c>
      <c r="C130" s="28">
        <f t="shared" si="2"/>
        <v>-1.5475849871251451E-2</v>
      </c>
      <c r="I130" s="27">
        <v>43592</v>
      </c>
      <c r="J130" s="14">
        <v>34190.019999999997</v>
      </c>
      <c r="K130" s="28">
        <f t="shared" si="3"/>
        <v>-1.1009348400462757E-2</v>
      </c>
    </row>
    <row r="131" spans="1:11" x14ac:dyDescent="0.3">
      <c r="A131" s="23">
        <v>43654</v>
      </c>
      <c r="B131">
        <v>375.85</v>
      </c>
      <c r="C131" s="28">
        <f t="shared" si="2"/>
        <v>-7.0537884391840833E-3</v>
      </c>
      <c r="I131" s="27">
        <v>43684</v>
      </c>
      <c r="J131" s="14">
        <v>33742.68</v>
      </c>
      <c r="K131" s="28">
        <f t="shared" si="3"/>
        <v>-1.3083935019634283E-2</v>
      </c>
    </row>
    <row r="132" spans="1:11" x14ac:dyDescent="0.3">
      <c r="A132" s="23">
        <v>43655</v>
      </c>
      <c r="B132">
        <v>378.85</v>
      </c>
      <c r="C132" s="28">
        <f t="shared" si="2"/>
        <v>7.9819076759345478E-3</v>
      </c>
      <c r="I132" s="27">
        <v>43715</v>
      </c>
      <c r="J132" s="14">
        <v>33855.58</v>
      </c>
      <c r="K132" s="28">
        <f t="shared" si="3"/>
        <v>3.345910876077462E-3</v>
      </c>
    </row>
    <row r="133" spans="1:11" x14ac:dyDescent="0.3">
      <c r="A133" s="23">
        <v>43656</v>
      </c>
      <c r="B133">
        <v>381.23</v>
      </c>
      <c r="C133" s="28">
        <f t="shared" si="2"/>
        <v>6.2821697241652241E-3</v>
      </c>
      <c r="I133" s="27">
        <v>43745</v>
      </c>
      <c r="J133" s="14">
        <v>33840.050000000003</v>
      </c>
      <c r="K133" s="28">
        <f t="shared" si="3"/>
        <v>-4.5871315747651747E-4</v>
      </c>
    </row>
    <row r="134" spans="1:11" x14ac:dyDescent="0.3">
      <c r="A134" s="23">
        <v>43657</v>
      </c>
      <c r="B134">
        <v>380.83</v>
      </c>
      <c r="C134" s="28">
        <f t="shared" ref="C134:C197" si="4">(B134-B133)/B133</f>
        <v>-1.0492353697244029E-3</v>
      </c>
      <c r="I134" s="27">
        <v>43776</v>
      </c>
      <c r="J134" s="14">
        <v>33875.4</v>
      </c>
      <c r="K134" s="28">
        <f t="shared" ref="K134:K197" si="5">(J134-J133)/J133</f>
        <v>1.0446202059393689E-3</v>
      </c>
    </row>
    <row r="135" spans="1:11" x14ac:dyDescent="0.3">
      <c r="A135" s="23">
        <v>43658</v>
      </c>
      <c r="B135">
        <v>378.48</v>
      </c>
      <c r="C135" s="28">
        <f t="shared" si="4"/>
        <v>-6.1707323477666306E-3</v>
      </c>
      <c r="I135" s="27">
        <v>43806</v>
      </c>
      <c r="J135" s="14">
        <v>33672.49</v>
      </c>
      <c r="K135" s="28">
        <f t="shared" si="5"/>
        <v>-5.9898923702746973E-3</v>
      </c>
    </row>
    <row r="136" spans="1:11" x14ac:dyDescent="0.3">
      <c r="A136" s="23">
        <v>43661</v>
      </c>
      <c r="B136">
        <v>370.2</v>
      </c>
      <c r="C136" s="28">
        <f t="shared" si="4"/>
        <v>-2.1876981610653216E-2</v>
      </c>
      <c r="I136" s="26" t="s">
        <v>979</v>
      </c>
      <c r="J136" s="14">
        <v>32958.35</v>
      </c>
      <c r="K136" s="28">
        <f t="shared" si="5"/>
        <v>-2.1208410782808145E-2</v>
      </c>
    </row>
    <row r="137" spans="1:11" x14ac:dyDescent="0.3">
      <c r="A137" s="23">
        <v>43662</v>
      </c>
      <c r="B137">
        <v>378.7</v>
      </c>
      <c r="C137" s="28">
        <f t="shared" si="4"/>
        <v>2.2960561858454891E-2</v>
      </c>
      <c r="I137" s="26" t="s">
        <v>978</v>
      </c>
      <c r="J137" s="14">
        <v>32972.019999999997</v>
      </c>
      <c r="K137" s="28">
        <f t="shared" si="5"/>
        <v>4.14765909094304E-4</v>
      </c>
    </row>
    <row r="138" spans="1:11" x14ac:dyDescent="0.3">
      <c r="A138" s="23">
        <v>43663</v>
      </c>
      <c r="B138">
        <v>379.65</v>
      </c>
      <c r="C138" s="28">
        <f t="shared" si="4"/>
        <v>2.5085819910218871E-3</v>
      </c>
      <c r="I138" s="26" t="s">
        <v>977</v>
      </c>
      <c r="J138" s="14">
        <v>32981.99</v>
      </c>
      <c r="K138" s="28">
        <f t="shared" si="5"/>
        <v>3.023775916671519E-4</v>
      </c>
    </row>
    <row r="139" spans="1:11" x14ac:dyDescent="0.3">
      <c r="A139" s="23">
        <v>43664</v>
      </c>
      <c r="B139">
        <v>376.47</v>
      </c>
      <c r="C139" s="28">
        <f t="shared" si="4"/>
        <v>-8.376135914658106E-3</v>
      </c>
      <c r="I139" s="26" t="s">
        <v>976</v>
      </c>
      <c r="J139" s="14">
        <v>32309.54</v>
      </c>
      <c r="K139" s="28">
        <f t="shared" si="5"/>
        <v>-2.0388399850948872E-2</v>
      </c>
    </row>
    <row r="140" spans="1:11" x14ac:dyDescent="0.3">
      <c r="A140" s="23">
        <v>43665</v>
      </c>
      <c r="B140">
        <v>385.24</v>
      </c>
      <c r="C140" s="28">
        <f t="shared" si="4"/>
        <v>2.3295348898982604E-2</v>
      </c>
      <c r="I140" s="26" t="s">
        <v>975</v>
      </c>
      <c r="J140" s="14">
        <v>32458.77</v>
      </c>
      <c r="K140" s="28">
        <f t="shared" si="5"/>
        <v>4.6187596604594051E-3</v>
      </c>
    </row>
    <row r="141" spans="1:11" x14ac:dyDescent="0.3">
      <c r="A141" s="23">
        <v>43668</v>
      </c>
      <c r="B141">
        <v>386.14</v>
      </c>
      <c r="C141" s="28">
        <f t="shared" si="4"/>
        <v>2.3362060014535803E-3</v>
      </c>
      <c r="I141" s="26" t="s">
        <v>974</v>
      </c>
      <c r="J141" s="14">
        <v>32584.55</v>
      </c>
      <c r="K141" s="28">
        <f t="shared" si="5"/>
        <v>3.8750698193430878E-3</v>
      </c>
    </row>
    <row r="142" spans="1:11" x14ac:dyDescent="0.3">
      <c r="A142" s="23">
        <v>43669</v>
      </c>
      <c r="B142">
        <v>389.02</v>
      </c>
      <c r="C142" s="28">
        <f t="shared" si="4"/>
        <v>7.4584347645931413E-3</v>
      </c>
      <c r="I142" s="26" t="s">
        <v>973</v>
      </c>
      <c r="J142" s="14">
        <v>32715.88</v>
      </c>
      <c r="K142" s="28">
        <f t="shared" si="5"/>
        <v>4.0304377381305484E-3</v>
      </c>
    </row>
    <row r="143" spans="1:11" x14ac:dyDescent="0.3">
      <c r="A143" s="23">
        <v>43670</v>
      </c>
      <c r="B143">
        <v>385.57</v>
      </c>
      <c r="C143" s="28">
        <f t="shared" si="4"/>
        <v>-8.8684386406868258E-3</v>
      </c>
      <c r="I143" s="26" t="s">
        <v>972</v>
      </c>
      <c r="J143" s="14">
        <v>32401.4</v>
      </c>
      <c r="K143" s="28">
        <f t="shared" si="5"/>
        <v>-9.6124573143072899E-3</v>
      </c>
    </row>
    <row r="144" spans="1:11" x14ac:dyDescent="0.3">
      <c r="A144" s="23">
        <v>43671</v>
      </c>
      <c r="B144">
        <v>382.89</v>
      </c>
      <c r="C144" s="28">
        <f t="shared" si="4"/>
        <v>-6.950748242861236E-3</v>
      </c>
      <c r="I144" s="26" t="s">
        <v>971</v>
      </c>
      <c r="J144" s="14">
        <v>32446.400000000001</v>
      </c>
      <c r="K144" s="28">
        <f t="shared" si="5"/>
        <v>1.3888288777645409E-3</v>
      </c>
    </row>
    <row r="145" spans="1:11" x14ac:dyDescent="0.3">
      <c r="A145" s="23">
        <v>43672</v>
      </c>
      <c r="B145">
        <v>380.63</v>
      </c>
      <c r="C145" s="28">
        <f t="shared" si="4"/>
        <v>-5.9024785186345711E-3</v>
      </c>
      <c r="I145" s="26" t="s">
        <v>970</v>
      </c>
      <c r="J145" s="14">
        <v>32103.27</v>
      </c>
      <c r="K145" s="28">
        <f t="shared" si="5"/>
        <v>-1.0575287242960729E-2</v>
      </c>
    </row>
    <row r="146" spans="1:11" x14ac:dyDescent="0.3">
      <c r="A146" s="23">
        <v>43675</v>
      </c>
      <c r="B146">
        <v>375.43</v>
      </c>
      <c r="C146" s="28">
        <f t="shared" si="4"/>
        <v>-1.3661561096077525E-2</v>
      </c>
      <c r="I146" s="26" t="s">
        <v>969</v>
      </c>
      <c r="J146" s="14">
        <v>31734.23</v>
      </c>
      <c r="K146" s="28">
        <f t="shared" si="5"/>
        <v>-1.1495402181771541E-2</v>
      </c>
    </row>
    <row r="147" spans="1:11" x14ac:dyDescent="0.3">
      <c r="A147" s="23">
        <v>43676</v>
      </c>
      <c r="B147">
        <v>375.03</v>
      </c>
      <c r="C147" s="28">
        <f t="shared" si="4"/>
        <v>-1.0654449564500281E-3</v>
      </c>
      <c r="I147" s="26" t="s">
        <v>968</v>
      </c>
      <c r="J147" s="14">
        <v>31658.12</v>
      </c>
      <c r="K147" s="28">
        <f t="shared" si="5"/>
        <v>-2.3983566010582448E-3</v>
      </c>
    </row>
    <row r="148" spans="1:11" x14ac:dyDescent="0.3">
      <c r="A148" s="23">
        <v>43677</v>
      </c>
      <c r="B148">
        <v>377.94</v>
      </c>
      <c r="C148" s="28">
        <f t="shared" si="4"/>
        <v>7.7593792496600941E-3</v>
      </c>
      <c r="I148" s="26" t="s">
        <v>967</v>
      </c>
      <c r="J148" s="14">
        <v>31938.48</v>
      </c>
      <c r="K148" s="28">
        <f t="shared" si="5"/>
        <v>8.8558638352498695E-3</v>
      </c>
    </row>
    <row r="149" spans="1:11" x14ac:dyDescent="0.3">
      <c r="A149" s="23">
        <v>43678</v>
      </c>
      <c r="B149">
        <v>376.28</v>
      </c>
      <c r="C149" s="28">
        <f t="shared" si="4"/>
        <v>-4.3922315711489258E-3</v>
      </c>
      <c r="I149" s="27">
        <v>43473</v>
      </c>
      <c r="J149" s="14">
        <v>31839.11</v>
      </c>
      <c r="K149" s="28">
        <f t="shared" si="5"/>
        <v>-3.1112939626431499E-3</v>
      </c>
    </row>
    <row r="150" spans="1:11" x14ac:dyDescent="0.3">
      <c r="A150" s="23">
        <v>43679</v>
      </c>
      <c r="B150">
        <v>379.61</v>
      </c>
      <c r="C150" s="28">
        <f t="shared" si="4"/>
        <v>8.849792707558311E-3</v>
      </c>
      <c r="I150" s="27">
        <v>43504</v>
      </c>
      <c r="J150" s="14">
        <v>31666.41</v>
      </c>
      <c r="K150" s="28">
        <f t="shared" si="5"/>
        <v>-5.4241465920373006E-3</v>
      </c>
    </row>
    <row r="151" spans="1:11" x14ac:dyDescent="0.3">
      <c r="A151" s="23">
        <v>43682</v>
      </c>
      <c r="B151">
        <v>376.01</v>
      </c>
      <c r="C151" s="28">
        <f t="shared" si="4"/>
        <v>-9.4834171913280012E-3</v>
      </c>
      <c r="I151" s="27">
        <v>43593</v>
      </c>
      <c r="J151" s="14">
        <v>31180.799999999999</v>
      </c>
      <c r="K151" s="28">
        <f t="shared" si="5"/>
        <v>-1.5335176927223533E-2</v>
      </c>
    </row>
    <row r="152" spans="1:11" x14ac:dyDescent="0.3">
      <c r="A152" s="23">
        <v>43683</v>
      </c>
      <c r="B152">
        <v>374.58</v>
      </c>
      <c r="C152" s="28">
        <f t="shared" si="4"/>
        <v>-3.8030903433419506E-3</v>
      </c>
      <c r="I152" s="27">
        <v>43624</v>
      </c>
      <c r="J152" s="14">
        <v>31000.67</v>
      </c>
      <c r="K152" s="28">
        <f t="shared" si="5"/>
        <v>-5.7769524835796712E-3</v>
      </c>
    </row>
    <row r="153" spans="1:11" x14ac:dyDescent="0.3">
      <c r="A153" s="23">
        <v>43684</v>
      </c>
      <c r="B153">
        <v>363.98</v>
      </c>
      <c r="C153" s="28">
        <f t="shared" si="4"/>
        <v>-2.8298360830797068E-2</v>
      </c>
      <c r="I153" s="27">
        <v>43654</v>
      </c>
      <c r="J153" s="14">
        <v>30277.45</v>
      </c>
      <c r="K153" s="28">
        <f t="shared" si="5"/>
        <v>-2.3329173208191875E-2</v>
      </c>
    </row>
    <row r="154" spans="1:11" x14ac:dyDescent="0.3">
      <c r="A154" s="23">
        <v>43685</v>
      </c>
      <c r="B154">
        <v>352.71</v>
      </c>
      <c r="C154" s="28">
        <f t="shared" si="4"/>
        <v>-3.0963239738447272E-2</v>
      </c>
      <c r="I154" s="27">
        <v>43685</v>
      </c>
      <c r="J154" s="14">
        <v>29737.98</v>
      </c>
      <c r="K154" s="28">
        <f t="shared" si="5"/>
        <v>-1.7817550685411129E-2</v>
      </c>
    </row>
    <row r="155" spans="1:11" x14ac:dyDescent="0.3">
      <c r="A155" s="23">
        <v>43686</v>
      </c>
      <c r="B155">
        <v>346.54</v>
      </c>
      <c r="C155" s="28">
        <f t="shared" si="4"/>
        <v>-1.7493124663321025E-2</v>
      </c>
      <c r="I155" s="27">
        <v>43716</v>
      </c>
      <c r="J155" s="14">
        <v>29429.07</v>
      </c>
      <c r="K155" s="28">
        <f t="shared" si="5"/>
        <v>-1.0387726402398545E-2</v>
      </c>
    </row>
    <row r="156" spans="1:11" x14ac:dyDescent="0.3">
      <c r="A156" s="23">
        <v>43693</v>
      </c>
      <c r="B156">
        <v>329.29</v>
      </c>
      <c r="C156" s="28">
        <f t="shared" si="4"/>
        <v>-4.9777803428175678E-2</v>
      </c>
      <c r="I156" s="26" t="s">
        <v>966</v>
      </c>
      <c r="J156" s="14">
        <v>28764.63</v>
      </c>
      <c r="K156" s="28">
        <f t="shared" si="5"/>
        <v>-2.2577675747143852E-2</v>
      </c>
    </row>
    <row r="157" spans="1:11" x14ac:dyDescent="0.3">
      <c r="A157" s="23">
        <v>43696</v>
      </c>
      <c r="B157">
        <v>338.7</v>
      </c>
      <c r="C157" s="28">
        <f t="shared" si="4"/>
        <v>2.8576634577424057E-2</v>
      </c>
      <c r="I157" s="26" t="s">
        <v>965</v>
      </c>
      <c r="J157" s="14">
        <v>29562.42</v>
      </c>
      <c r="K157" s="28">
        <f t="shared" si="5"/>
        <v>2.7735103841071387E-2</v>
      </c>
    </row>
    <row r="158" spans="1:11" x14ac:dyDescent="0.3">
      <c r="A158" s="23">
        <v>43697</v>
      </c>
      <c r="B158">
        <v>345.46</v>
      </c>
      <c r="C158" s="28">
        <f t="shared" si="4"/>
        <v>1.9958665485680517E-2</v>
      </c>
      <c r="I158" s="26" t="s">
        <v>964</v>
      </c>
      <c r="J158" s="14">
        <v>30419.22</v>
      </c>
      <c r="K158" s="28">
        <f t="shared" si="5"/>
        <v>2.8982742278879842E-2</v>
      </c>
    </row>
    <row r="159" spans="1:11" x14ac:dyDescent="0.3">
      <c r="A159" s="23">
        <v>43698</v>
      </c>
      <c r="B159">
        <v>360.3</v>
      </c>
      <c r="C159" s="28">
        <f t="shared" si="4"/>
        <v>4.2957216465003278E-2</v>
      </c>
      <c r="I159" s="26" t="s">
        <v>963</v>
      </c>
      <c r="J159" s="14">
        <v>30972.75</v>
      </c>
      <c r="K159" s="28">
        <f t="shared" si="5"/>
        <v>1.8196719048022888E-2</v>
      </c>
    </row>
    <row r="160" spans="1:11" x14ac:dyDescent="0.3">
      <c r="A160" s="23">
        <v>43699</v>
      </c>
      <c r="B160">
        <v>375.17</v>
      </c>
      <c r="C160" s="28">
        <f t="shared" si="4"/>
        <v>4.1271162919789078E-2</v>
      </c>
      <c r="I160" s="26" t="s">
        <v>962</v>
      </c>
      <c r="J160" s="14">
        <v>31884.45</v>
      </c>
      <c r="K160" s="28">
        <f t="shared" si="5"/>
        <v>2.9435552219289559E-2</v>
      </c>
    </row>
    <row r="161" spans="1:11" x14ac:dyDescent="0.3">
      <c r="A161" s="23">
        <v>43700</v>
      </c>
      <c r="B161">
        <v>367.48</v>
      </c>
      <c r="C161" s="28">
        <f t="shared" si="4"/>
        <v>-2.0497374523549317E-2</v>
      </c>
      <c r="I161" s="26" t="s">
        <v>961</v>
      </c>
      <c r="J161" s="14">
        <v>31350.01</v>
      </c>
      <c r="K161" s="28">
        <f t="shared" si="5"/>
        <v>-1.6761775724530369E-2</v>
      </c>
    </row>
    <row r="162" spans="1:11" x14ac:dyDescent="0.3">
      <c r="A162" s="23">
        <v>43703</v>
      </c>
      <c r="B162">
        <v>350.19</v>
      </c>
      <c r="C162" s="28">
        <f t="shared" si="4"/>
        <v>-4.7050179601611022E-2</v>
      </c>
      <c r="I162" s="26" t="s">
        <v>960</v>
      </c>
      <c r="J162" s="14">
        <v>30520.6</v>
      </c>
      <c r="K162" s="28">
        <f t="shared" si="5"/>
        <v>-2.6456450891084241E-2</v>
      </c>
    </row>
    <row r="163" spans="1:11" x14ac:dyDescent="0.3">
      <c r="A163" s="23">
        <v>43704</v>
      </c>
      <c r="B163">
        <v>361.49</v>
      </c>
      <c r="C163" s="28">
        <f t="shared" si="4"/>
        <v>3.2268197264342248E-2</v>
      </c>
      <c r="I163" s="26" t="s">
        <v>959</v>
      </c>
      <c r="J163" s="14">
        <v>30584.85</v>
      </c>
      <c r="K163" s="28">
        <f t="shared" si="5"/>
        <v>2.1051355477939493E-3</v>
      </c>
    </row>
    <row r="164" spans="1:11" x14ac:dyDescent="0.3">
      <c r="A164" s="23">
        <v>43705</v>
      </c>
      <c r="B164">
        <v>360.55</v>
      </c>
      <c r="C164" s="28">
        <f t="shared" si="4"/>
        <v>-2.6003485573598099E-3</v>
      </c>
      <c r="I164" s="26" t="s">
        <v>958</v>
      </c>
      <c r="J164" s="14">
        <v>30637.71</v>
      </c>
      <c r="K164" s="28">
        <f t="shared" si="5"/>
        <v>1.7283066616315132E-3</v>
      </c>
    </row>
    <row r="165" spans="1:11" x14ac:dyDescent="0.3">
      <c r="A165" s="23">
        <v>43706</v>
      </c>
      <c r="B165">
        <v>351.22</v>
      </c>
      <c r="C165" s="28">
        <f t="shared" si="4"/>
        <v>-2.5877132159201174E-2</v>
      </c>
      <c r="I165" s="26" t="s">
        <v>957</v>
      </c>
      <c r="J165" s="14">
        <v>30158.959999999999</v>
      </c>
      <c r="K165" s="28">
        <f t="shared" si="5"/>
        <v>-1.5626167882651806E-2</v>
      </c>
    </row>
    <row r="166" spans="1:11" x14ac:dyDescent="0.3">
      <c r="A166" s="23">
        <v>43707</v>
      </c>
      <c r="B166">
        <v>350.03</v>
      </c>
      <c r="C166" s="28">
        <f t="shared" si="4"/>
        <v>-3.3881897386255182E-3</v>
      </c>
      <c r="I166" s="26" t="s">
        <v>956</v>
      </c>
      <c r="J166" s="14">
        <v>29672.12</v>
      </c>
      <c r="K166" s="28">
        <f t="shared" si="5"/>
        <v>-1.6142466451097789E-2</v>
      </c>
    </row>
    <row r="167" spans="1:11" x14ac:dyDescent="0.3">
      <c r="A167" s="23">
        <v>43710</v>
      </c>
      <c r="B167">
        <v>351.68</v>
      </c>
      <c r="C167" s="28">
        <f t="shared" si="4"/>
        <v>4.7138816672857593E-3</v>
      </c>
      <c r="I167" s="27">
        <v>43505</v>
      </c>
      <c r="J167" s="14">
        <v>30057.29</v>
      </c>
      <c r="K167" s="28">
        <f t="shared" si="5"/>
        <v>1.2980872280106777E-2</v>
      </c>
    </row>
    <row r="168" spans="1:11" x14ac:dyDescent="0.3">
      <c r="A168" s="23">
        <v>43711</v>
      </c>
      <c r="B168">
        <v>340.68</v>
      </c>
      <c r="C168" s="28">
        <f t="shared" si="4"/>
        <v>-3.1278434940855325E-2</v>
      </c>
      <c r="I168" s="27">
        <v>43533</v>
      </c>
      <c r="J168" s="14">
        <v>29809.68</v>
      </c>
      <c r="K168" s="28">
        <f t="shared" si="5"/>
        <v>-8.2379349568773696E-3</v>
      </c>
    </row>
    <row r="169" spans="1:11" x14ac:dyDescent="0.3">
      <c r="A169" s="23">
        <v>43712</v>
      </c>
      <c r="B169">
        <v>356.96</v>
      </c>
      <c r="C169" s="28">
        <f t="shared" si="4"/>
        <v>4.7786779382411569E-2</v>
      </c>
      <c r="I169" s="27">
        <v>43564</v>
      </c>
      <c r="J169" s="14">
        <v>30244.73</v>
      </c>
      <c r="K169" s="28">
        <f t="shared" si="5"/>
        <v>1.4594252605193992E-2</v>
      </c>
    </row>
    <row r="170" spans="1:11" x14ac:dyDescent="0.3">
      <c r="A170" s="23">
        <v>43713</v>
      </c>
      <c r="B170">
        <v>352.76</v>
      </c>
      <c r="C170" s="28">
        <f t="shared" si="4"/>
        <v>-1.1766024204392617E-2</v>
      </c>
      <c r="I170" s="27">
        <v>43594</v>
      </c>
      <c r="J170" s="14">
        <v>30214.77</v>
      </c>
      <c r="K170" s="28">
        <f t="shared" si="5"/>
        <v>-9.9058579792245228E-4</v>
      </c>
    </row>
    <row r="171" spans="1:11" x14ac:dyDescent="0.3">
      <c r="A171" s="23">
        <v>43714</v>
      </c>
      <c r="B171">
        <v>349.98</v>
      </c>
      <c r="C171" s="28">
        <f t="shared" si="4"/>
        <v>-7.8807120988773471E-3</v>
      </c>
      <c r="I171" s="27">
        <v>43625</v>
      </c>
      <c r="J171" s="14">
        <v>30467.200000000001</v>
      </c>
      <c r="K171" s="28">
        <f t="shared" si="5"/>
        <v>8.354523301021332E-3</v>
      </c>
    </row>
    <row r="172" spans="1:11" x14ac:dyDescent="0.3">
      <c r="A172" s="23">
        <v>43719</v>
      </c>
      <c r="B172">
        <v>339.72</v>
      </c>
      <c r="C172" s="28">
        <f t="shared" si="4"/>
        <v>-2.9315960912052089E-2</v>
      </c>
      <c r="I172" s="27">
        <v>43778</v>
      </c>
      <c r="J172" s="14">
        <v>30954.83</v>
      </c>
      <c r="K172" s="28">
        <f t="shared" si="5"/>
        <v>1.6005080873857821E-2</v>
      </c>
    </row>
    <row r="173" spans="1:11" x14ac:dyDescent="0.3">
      <c r="A173" s="23">
        <v>43720</v>
      </c>
      <c r="B173">
        <v>356.7</v>
      </c>
      <c r="C173" s="28">
        <f t="shared" si="4"/>
        <v>4.9982338396326272E-2</v>
      </c>
      <c r="I173" s="27">
        <v>43808</v>
      </c>
      <c r="J173" s="14">
        <v>31546.61</v>
      </c>
      <c r="K173" s="28">
        <f t="shared" si="5"/>
        <v>1.9117533515771168E-2</v>
      </c>
    </row>
    <row r="174" spans="1:11" x14ac:dyDescent="0.3">
      <c r="A174" s="23">
        <v>43721</v>
      </c>
      <c r="B174">
        <v>373.4</v>
      </c>
      <c r="C174" s="28">
        <f t="shared" si="4"/>
        <v>4.6818054387440397E-2</v>
      </c>
      <c r="I174" s="26" t="s">
        <v>955</v>
      </c>
      <c r="J174" s="14">
        <v>31481.31</v>
      </c>
      <c r="K174" s="28">
        <f t="shared" si="5"/>
        <v>-2.0699529997042243E-3</v>
      </c>
    </row>
    <row r="175" spans="1:11" x14ac:dyDescent="0.3">
      <c r="A175" s="23">
        <v>43724</v>
      </c>
      <c r="B175">
        <v>365.4</v>
      </c>
      <c r="C175" s="28">
        <f t="shared" si="4"/>
        <v>-2.1424745581146227E-2</v>
      </c>
      <c r="I175" s="26" t="s">
        <v>954</v>
      </c>
      <c r="J175" s="14">
        <v>31928.55</v>
      </c>
      <c r="K175" s="28">
        <f t="shared" si="5"/>
        <v>1.4206524442597781E-2</v>
      </c>
    </row>
    <row r="176" spans="1:11" x14ac:dyDescent="0.3">
      <c r="A176" s="23">
        <v>43725</v>
      </c>
      <c r="B176">
        <v>352.89</v>
      </c>
      <c r="C176" s="28">
        <f t="shared" si="4"/>
        <v>-3.423645320197042E-2</v>
      </c>
      <c r="I176" s="26" t="s">
        <v>953</v>
      </c>
      <c r="J176" s="14">
        <v>31908.92</v>
      </c>
      <c r="K176" s="28">
        <f t="shared" si="5"/>
        <v>-6.1481025602481228E-4</v>
      </c>
    </row>
    <row r="177" spans="1:11" x14ac:dyDescent="0.3">
      <c r="A177" s="23">
        <v>43726</v>
      </c>
      <c r="B177">
        <v>340.07</v>
      </c>
      <c r="C177" s="28">
        <f t="shared" si="4"/>
        <v>-3.6328600980475481E-2</v>
      </c>
      <c r="I177" s="26" t="s">
        <v>952</v>
      </c>
      <c r="J177" s="14">
        <v>31555.47</v>
      </c>
      <c r="K177" s="28">
        <f t="shared" si="5"/>
        <v>-1.1076839955723889E-2</v>
      </c>
    </row>
    <row r="178" spans="1:11" x14ac:dyDescent="0.3">
      <c r="A178" s="23">
        <v>43727</v>
      </c>
      <c r="B178">
        <v>352.75</v>
      </c>
      <c r="C178" s="28">
        <f t="shared" si="4"/>
        <v>3.7286441026847437E-2</v>
      </c>
      <c r="I178" s="26" t="s">
        <v>951</v>
      </c>
      <c r="J178" s="14">
        <v>32184.03</v>
      </c>
      <c r="K178" s="28">
        <f t="shared" si="5"/>
        <v>1.9919208935883309E-2</v>
      </c>
    </row>
    <row r="179" spans="1:11" x14ac:dyDescent="0.3">
      <c r="A179" s="23">
        <v>43728</v>
      </c>
      <c r="B179">
        <v>346.57</v>
      </c>
      <c r="C179" s="28">
        <f t="shared" si="4"/>
        <v>-1.7519489723600304E-2</v>
      </c>
      <c r="I179" s="26" t="s">
        <v>950</v>
      </c>
      <c r="J179" s="14">
        <v>32111.1</v>
      </c>
      <c r="K179" s="28">
        <f t="shared" si="5"/>
        <v>-2.2660306990765389E-3</v>
      </c>
    </row>
    <row r="180" spans="1:11" x14ac:dyDescent="0.3">
      <c r="A180" s="23">
        <v>43731</v>
      </c>
      <c r="B180">
        <v>340.04</v>
      </c>
      <c r="C180" s="28">
        <f t="shared" si="4"/>
        <v>-1.8841792422887072E-2</v>
      </c>
      <c r="I180" s="26" t="s">
        <v>949</v>
      </c>
      <c r="J180" s="14">
        <v>31751.21</v>
      </c>
      <c r="K180" s="28">
        <f t="shared" si="5"/>
        <v>-1.1207650936903421E-2</v>
      </c>
    </row>
    <row r="181" spans="1:11" x14ac:dyDescent="0.3">
      <c r="A181" s="23">
        <v>43732</v>
      </c>
      <c r="B181">
        <v>343.63</v>
      </c>
      <c r="C181" s="28">
        <f t="shared" si="4"/>
        <v>1.0557581461004514E-2</v>
      </c>
      <c r="I181" s="26" t="s">
        <v>948</v>
      </c>
      <c r="J181" s="14">
        <v>31829.24</v>
      </c>
      <c r="K181" s="28">
        <f t="shared" si="5"/>
        <v>2.4575441376880592E-3</v>
      </c>
    </row>
    <row r="182" spans="1:11" x14ac:dyDescent="0.3">
      <c r="A182" s="23">
        <v>43733</v>
      </c>
      <c r="B182">
        <v>341.69</v>
      </c>
      <c r="C182" s="28">
        <f t="shared" si="4"/>
        <v>-5.6456071937840057E-3</v>
      </c>
      <c r="I182" s="26" t="s">
        <v>947</v>
      </c>
      <c r="J182" s="14">
        <v>31565.21</v>
      </c>
      <c r="K182" s="28">
        <f t="shared" si="5"/>
        <v>-8.295202775812506E-3</v>
      </c>
    </row>
    <row r="183" spans="1:11" x14ac:dyDescent="0.3">
      <c r="A183" s="23">
        <v>43734</v>
      </c>
      <c r="B183">
        <v>339.46</v>
      </c>
      <c r="C183" s="28">
        <f t="shared" si="4"/>
        <v>-6.5263835640493378E-3</v>
      </c>
      <c r="I183" s="26" t="s">
        <v>946</v>
      </c>
      <c r="J183" s="14">
        <v>31433.89</v>
      </c>
      <c r="K183" s="28">
        <f t="shared" si="5"/>
        <v>-4.1602764562630725E-3</v>
      </c>
    </row>
    <row r="184" spans="1:11" x14ac:dyDescent="0.3">
      <c r="A184" s="23">
        <v>43735</v>
      </c>
      <c r="B184">
        <v>347.74</v>
      </c>
      <c r="C184" s="28">
        <f t="shared" si="4"/>
        <v>2.4391680904966802E-2</v>
      </c>
      <c r="I184" s="26" t="s">
        <v>945</v>
      </c>
      <c r="J184" s="14">
        <v>32070.81</v>
      </c>
      <c r="K184" s="28">
        <f t="shared" si="5"/>
        <v>2.0262207445530984E-2</v>
      </c>
    </row>
    <row r="185" spans="1:11" x14ac:dyDescent="0.3">
      <c r="A185" s="23">
        <v>43738</v>
      </c>
      <c r="B185">
        <v>342.13</v>
      </c>
      <c r="C185" s="28">
        <f t="shared" si="4"/>
        <v>-1.613274285385637E-2</v>
      </c>
      <c r="I185" s="26" t="s">
        <v>944</v>
      </c>
      <c r="J185" s="14">
        <v>32078.85</v>
      </c>
      <c r="K185" s="28">
        <f t="shared" si="5"/>
        <v>2.5069525839843877E-4</v>
      </c>
    </row>
    <row r="186" spans="1:11" x14ac:dyDescent="0.3">
      <c r="A186" s="23">
        <v>43739</v>
      </c>
      <c r="B186">
        <v>349.38</v>
      </c>
      <c r="C186" s="28">
        <f t="shared" si="4"/>
        <v>2.1190775436237687E-2</v>
      </c>
      <c r="I186" s="27">
        <v>43475</v>
      </c>
      <c r="J186" s="14">
        <v>32254.32</v>
      </c>
      <c r="K186" s="28">
        <f t="shared" si="5"/>
        <v>5.4699591787112437E-3</v>
      </c>
    </row>
    <row r="187" spans="1:11" x14ac:dyDescent="0.3">
      <c r="A187" s="23">
        <v>43740</v>
      </c>
      <c r="B187">
        <v>352.66</v>
      </c>
      <c r="C187" s="28">
        <f t="shared" si="4"/>
        <v>9.3880588471006634E-3</v>
      </c>
      <c r="I187" s="27">
        <v>43506</v>
      </c>
      <c r="J187" s="14">
        <v>32363.35</v>
      </c>
      <c r="K187" s="28">
        <f t="shared" si="5"/>
        <v>3.3803223878227425E-3</v>
      </c>
    </row>
    <row r="188" spans="1:11" x14ac:dyDescent="0.3">
      <c r="A188" s="23">
        <v>43741</v>
      </c>
      <c r="B188">
        <v>362.42</v>
      </c>
      <c r="C188" s="28">
        <f t="shared" si="4"/>
        <v>2.7675381387171752E-2</v>
      </c>
      <c r="I188" s="27">
        <v>43534</v>
      </c>
      <c r="J188" s="14">
        <v>32752.25</v>
      </c>
      <c r="K188" s="28">
        <f t="shared" si="5"/>
        <v>1.2016679361067427E-2</v>
      </c>
    </row>
    <row r="189" spans="1:11" x14ac:dyDescent="0.3">
      <c r="A189" s="23">
        <v>43742</v>
      </c>
      <c r="B189">
        <v>363.53</v>
      </c>
      <c r="C189" s="28">
        <f t="shared" si="4"/>
        <v>3.0627448816289296E-3</v>
      </c>
      <c r="I189" s="27">
        <v>43565</v>
      </c>
      <c r="J189" s="14">
        <v>33033.32</v>
      </c>
      <c r="K189" s="28">
        <f t="shared" si="5"/>
        <v>8.5817004938591908E-3</v>
      </c>
    </row>
    <row r="190" spans="1:11" x14ac:dyDescent="0.3">
      <c r="A190" s="23">
        <v>43745</v>
      </c>
      <c r="B190">
        <v>376.47</v>
      </c>
      <c r="C190" s="28">
        <f t="shared" si="4"/>
        <v>3.5595411657910095E-2</v>
      </c>
      <c r="I190" s="27">
        <v>43656</v>
      </c>
      <c r="J190" s="14">
        <v>33636.82</v>
      </c>
      <c r="K190" s="28">
        <f t="shared" si="5"/>
        <v>1.8269432197550835E-2</v>
      </c>
    </row>
    <row r="191" spans="1:11" x14ac:dyDescent="0.3">
      <c r="A191" s="23">
        <v>43746</v>
      </c>
      <c r="B191">
        <v>371.77</v>
      </c>
      <c r="C191" s="28">
        <f t="shared" si="4"/>
        <v>-1.2484394506866538E-2</v>
      </c>
      <c r="I191" s="27">
        <v>43687</v>
      </c>
      <c r="J191" s="14">
        <v>33476.620000000003</v>
      </c>
      <c r="K191" s="28">
        <f t="shared" si="5"/>
        <v>-4.7626380852885944E-3</v>
      </c>
    </row>
    <row r="192" spans="1:11" x14ac:dyDescent="0.3">
      <c r="A192" s="23">
        <v>43747</v>
      </c>
      <c r="B192">
        <v>363.53</v>
      </c>
      <c r="C192" s="28">
        <f t="shared" si="4"/>
        <v>-2.2164241332006375E-2</v>
      </c>
      <c r="I192" s="27">
        <v>43718</v>
      </c>
      <c r="J192" s="14">
        <v>33523.74</v>
      </c>
      <c r="K192" s="28">
        <f t="shared" si="5"/>
        <v>1.4075495076861207E-3</v>
      </c>
    </row>
    <row r="193" spans="1:11" x14ac:dyDescent="0.3">
      <c r="A193" s="23">
        <v>43748</v>
      </c>
      <c r="B193">
        <v>378.02</v>
      </c>
      <c r="C193" s="28">
        <f t="shared" si="4"/>
        <v>3.9859158803950183E-2</v>
      </c>
      <c r="I193" s="27">
        <v>43748</v>
      </c>
      <c r="J193" s="14">
        <v>34027.699999999997</v>
      </c>
      <c r="K193" s="28">
        <f t="shared" si="5"/>
        <v>1.5032928903517304E-2</v>
      </c>
    </row>
    <row r="194" spans="1:11" x14ac:dyDescent="0.3">
      <c r="A194" s="23">
        <v>43749</v>
      </c>
      <c r="B194">
        <v>388.41</v>
      </c>
      <c r="C194" s="28">
        <f t="shared" si="4"/>
        <v>2.7485318237130425E-2</v>
      </c>
      <c r="I194" s="27">
        <v>43779</v>
      </c>
      <c r="J194" s="14">
        <v>34475.69</v>
      </c>
      <c r="K194" s="28">
        <f t="shared" si="5"/>
        <v>1.3165450500621708E-2</v>
      </c>
    </row>
    <row r="195" spans="1:11" x14ac:dyDescent="0.3">
      <c r="A195" s="23">
        <v>43752</v>
      </c>
      <c r="B195">
        <v>374.39</v>
      </c>
      <c r="C195" s="28">
        <f t="shared" si="4"/>
        <v>-3.6095878066991161E-2</v>
      </c>
      <c r="I195" s="26" t="s">
        <v>943</v>
      </c>
      <c r="J195" s="14">
        <v>34186.26</v>
      </c>
      <c r="K195" s="28">
        <f t="shared" si="5"/>
        <v>-8.3951909301887874E-3</v>
      </c>
    </row>
    <row r="196" spans="1:11" x14ac:dyDescent="0.3">
      <c r="A196" s="23">
        <v>43753</v>
      </c>
      <c r="B196">
        <v>371.8</v>
      </c>
      <c r="C196" s="28">
        <f t="shared" si="4"/>
        <v>-6.9179198162343412E-3</v>
      </c>
      <c r="I196" s="26" t="s">
        <v>942</v>
      </c>
      <c r="J196" s="14">
        <v>34083.53</v>
      </c>
      <c r="K196" s="28">
        <f t="shared" si="5"/>
        <v>-3.0050084449133423E-3</v>
      </c>
    </row>
    <row r="197" spans="1:11" x14ac:dyDescent="0.3">
      <c r="A197" s="23">
        <v>43754</v>
      </c>
      <c r="B197">
        <v>369.51</v>
      </c>
      <c r="C197" s="28">
        <f t="shared" si="4"/>
        <v>-6.1592253899946754E-3</v>
      </c>
      <c r="I197" s="26" t="s">
        <v>941</v>
      </c>
      <c r="J197" s="14">
        <v>34281.089999999997</v>
      </c>
      <c r="K197" s="28">
        <f t="shared" si="5"/>
        <v>5.7963479721730021E-3</v>
      </c>
    </row>
    <row r="198" spans="1:11" x14ac:dyDescent="0.3">
      <c r="A198" s="23">
        <v>43755</v>
      </c>
      <c r="B198">
        <v>362.93</v>
      </c>
      <c r="C198" s="28">
        <f t="shared" ref="C198:C261" si="6">(B198-B197)/B197</f>
        <v>-1.7807366512408281E-2</v>
      </c>
      <c r="I198" s="26" t="s">
        <v>940</v>
      </c>
      <c r="J198" s="14">
        <v>33898.559999999998</v>
      </c>
      <c r="K198" s="28">
        <f t="shared" ref="K198:K261" si="7">(J198-J197)/J197</f>
        <v>-1.1158630020223945E-2</v>
      </c>
    </row>
    <row r="199" spans="1:11" x14ac:dyDescent="0.3">
      <c r="A199" s="23">
        <v>43756</v>
      </c>
      <c r="B199">
        <v>365.21</v>
      </c>
      <c r="C199" s="28">
        <f t="shared" si="6"/>
        <v>6.2822031796764466E-3</v>
      </c>
      <c r="I199" s="26" t="s">
        <v>939</v>
      </c>
      <c r="J199" s="14">
        <v>33870.15</v>
      </c>
      <c r="K199" s="28">
        <f t="shared" si="7"/>
        <v>-8.3808869757288267E-4</v>
      </c>
    </row>
    <row r="200" spans="1:11" x14ac:dyDescent="0.3">
      <c r="A200" s="23">
        <v>43759</v>
      </c>
      <c r="B200">
        <v>348.62</v>
      </c>
      <c r="C200" s="28">
        <f t="shared" si="6"/>
        <v>-4.5425919334081695E-2</v>
      </c>
      <c r="I200" s="26" t="s">
        <v>938</v>
      </c>
      <c r="J200" s="14">
        <v>33084.730000000003</v>
      </c>
      <c r="K200" s="28">
        <f t="shared" si="7"/>
        <v>-2.318915032853407E-2</v>
      </c>
    </row>
    <row r="201" spans="1:11" x14ac:dyDescent="0.3">
      <c r="A201" s="23">
        <v>43760</v>
      </c>
      <c r="B201">
        <v>349.4</v>
      </c>
      <c r="C201" s="28">
        <f t="shared" si="6"/>
        <v>2.2373931501347391E-3</v>
      </c>
      <c r="I201" s="26" t="s">
        <v>937</v>
      </c>
      <c r="J201" s="14">
        <v>33198.959999999999</v>
      </c>
      <c r="K201" s="28">
        <f t="shared" si="7"/>
        <v>3.4526502105350692E-3</v>
      </c>
    </row>
    <row r="202" spans="1:11" x14ac:dyDescent="0.3">
      <c r="A202" s="23">
        <v>43761</v>
      </c>
      <c r="B202">
        <v>346.14</v>
      </c>
      <c r="C202" s="28">
        <f t="shared" si="6"/>
        <v>-9.3302804808242448E-3</v>
      </c>
      <c r="I202" s="26" t="s">
        <v>936</v>
      </c>
      <c r="J202" s="14">
        <v>33439.69</v>
      </c>
      <c r="K202" s="28">
        <f t="shared" si="7"/>
        <v>7.2511307583130076E-3</v>
      </c>
    </row>
    <row r="203" spans="1:11" x14ac:dyDescent="0.3">
      <c r="A203" s="23">
        <v>43762</v>
      </c>
      <c r="B203">
        <v>345.05</v>
      </c>
      <c r="C203" s="28">
        <f t="shared" si="6"/>
        <v>-3.1490148494827961E-3</v>
      </c>
      <c r="I203" s="26" t="s">
        <v>935</v>
      </c>
      <c r="J203" s="14">
        <v>33762.480000000003</v>
      </c>
      <c r="K203" s="28">
        <f t="shared" si="7"/>
        <v>9.65290049040529E-3</v>
      </c>
    </row>
    <row r="204" spans="1:11" x14ac:dyDescent="0.3">
      <c r="A204" s="23">
        <v>43763</v>
      </c>
      <c r="B204">
        <v>344.82</v>
      </c>
      <c r="C204" s="28">
        <f t="shared" si="6"/>
        <v>-6.665700623098629E-4</v>
      </c>
      <c r="I204" s="26" t="s">
        <v>934</v>
      </c>
      <c r="J204" s="14">
        <v>33657.46</v>
      </c>
      <c r="K204" s="28">
        <f t="shared" si="7"/>
        <v>-3.110553490146579E-3</v>
      </c>
    </row>
    <row r="205" spans="1:11" x14ac:dyDescent="0.3">
      <c r="A205" s="23">
        <v>43766</v>
      </c>
      <c r="B205">
        <v>354.85</v>
      </c>
      <c r="C205" s="28">
        <f t="shared" si="6"/>
        <v>2.9087639928078505E-2</v>
      </c>
      <c r="I205" s="26" t="s">
        <v>933</v>
      </c>
      <c r="J205" s="14">
        <v>33861.589999999997</v>
      </c>
      <c r="K205" s="28">
        <f t="shared" si="7"/>
        <v>6.0649258737883781E-3</v>
      </c>
    </row>
    <row r="206" spans="1:11" x14ac:dyDescent="0.3">
      <c r="A206" s="23">
        <v>43767</v>
      </c>
      <c r="B206">
        <v>350.42</v>
      </c>
      <c r="C206" s="28">
        <f t="shared" si="6"/>
        <v>-1.2484148231647193E-2</v>
      </c>
      <c r="I206" s="26" t="s">
        <v>932</v>
      </c>
      <c r="J206" s="14">
        <v>33797.51</v>
      </c>
      <c r="K206" s="28">
        <f t="shared" si="7"/>
        <v>-1.8924096594399281E-3</v>
      </c>
    </row>
    <row r="207" spans="1:11" x14ac:dyDescent="0.3">
      <c r="A207" s="23">
        <v>43768</v>
      </c>
      <c r="B207">
        <v>345.26</v>
      </c>
      <c r="C207" s="28">
        <f t="shared" si="6"/>
        <v>-1.4725186918554947E-2</v>
      </c>
      <c r="I207" s="26" t="s">
        <v>931</v>
      </c>
      <c r="J207" s="14">
        <v>33761.410000000003</v>
      </c>
      <c r="K207" s="28">
        <f t="shared" si="7"/>
        <v>-1.0681260246686382E-3</v>
      </c>
    </row>
    <row r="208" spans="1:11" x14ac:dyDescent="0.3">
      <c r="A208" s="23">
        <v>43769</v>
      </c>
      <c r="B208">
        <v>351.62</v>
      </c>
      <c r="C208" s="28">
        <f t="shared" si="6"/>
        <v>1.8420900191160324E-2</v>
      </c>
      <c r="I208" s="26" t="s">
        <v>930</v>
      </c>
      <c r="J208" s="14">
        <v>34203.68</v>
      </c>
      <c r="K208" s="28">
        <f t="shared" si="7"/>
        <v>1.3099867570696744E-2</v>
      </c>
    </row>
    <row r="209" spans="1:11" x14ac:dyDescent="0.3">
      <c r="A209" s="23">
        <v>43770</v>
      </c>
      <c r="B209">
        <v>362.69</v>
      </c>
      <c r="C209" s="28">
        <f t="shared" si="6"/>
        <v>3.148285080484612E-2</v>
      </c>
      <c r="I209" s="27">
        <v>43476</v>
      </c>
      <c r="J209" s="14">
        <v>34377.61</v>
      </c>
      <c r="K209" s="28">
        <f t="shared" si="7"/>
        <v>5.0851253432379288E-3</v>
      </c>
    </row>
    <row r="210" spans="1:11" x14ac:dyDescent="0.3">
      <c r="A210" s="23">
        <v>43773</v>
      </c>
      <c r="B210">
        <v>379.83</v>
      </c>
      <c r="C210" s="28">
        <f t="shared" si="6"/>
        <v>4.7257988916154257E-2</v>
      </c>
      <c r="I210" s="27">
        <v>43566</v>
      </c>
      <c r="J210" s="14">
        <v>35277.46</v>
      </c>
      <c r="K210" s="28">
        <f t="shared" si="7"/>
        <v>2.6175467113624201E-2</v>
      </c>
    </row>
    <row r="211" spans="1:11" x14ac:dyDescent="0.3">
      <c r="A211" s="23">
        <v>43774</v>
      </c>
      <c r="B211">
        <v>374.54</v>
      </c>
      <c r="C211" s="28">
        <f t="shared" si="6"/>
        <v>-1.392728325829967E-2</v>
      </c>
      <c r="I211" s="27">
        <v>43596</v>
      </c>
      <c r="J211" s="14">
        <v>35358.31</v>
      </c>
      <c r="K211" s="28">
        <f t="shared" si="7"/>
        <v>2.2918316681529382E-3</v>
      </c>
    </row>
    <row r="212" spans="1:11" x14ac:dyDescent="0.3">
      <c r="A212" s="23">
        <v>43775</v>
      </c>
      <c r="B212">
        <v>381.43</v>
      </c>
      <c r="C212" s="28">
        <f t="shared" si="6"/>
        <v>1.8395898969402431E-2</v>
      </c>
      <c r="I212" s="27">
        <v>43627</v>
      </c>
      <c r="J212" s="14">
        <v>35653.33</v>
      </c>
      <c r="K212" s="28">
        <f t="shared" si="7"/>
        <v>8.3437245728091667E-3</v>
      </c>
    </row>
    <row r="213" spans="1:11" x14ac:dyDescent="0.3">
      <c r="A213" s="23">
        <v>43776</v>
      </c>
      <c r="B213">
        <v>378.11</v>
      </c>
      <c r="C213" s="28">
        <f t="shared" si="6"/>
        <v>-8.7040872506095306E-3</v>
      </c>
      <c r="I213" s="27">
        <v>43657</v>
      </c>
      <c r="J213" s="14">
        <v>35758.519999999997</v>
      </c>
      <c r="K213" s="28">
        <f t="shared" si="7"/>
        <v>2.9503555488363934E-3</v>
      </c>
    </row>
    <row r="214" spans="1:11" x14ac:dyDescent="0.3">
      <c r="A214" s="23">
        <v>43777</v>
      </c>
      <c r="B214">
        <v>383.88</v>
      </c>
      <c r="C214" s="28">
        <f t="shared" si="6"/>
        <v>1.5260109491946739E-2</v>
      </c>
      <c r="I214" s="27">
        <v>43688</v>
      </c>
      <c r="J214" s="14">
        <v>35978.160000000003</v>
      </c>
      <c r="K214" s="28">
        <f t="shared" si="7"/>
        <v>6.14231237758181E-3</v>
      </c>
    </row>
    <row r="215" spans="1:11" x14ac:dyDescent="0.3">
      <c r="A215" s="23">
        <v>43780</v>
      </c>
      <c r="B215">
        <v>396.17</v>
      </c>
      <c r="C215" s="28">
        <f t="shared" si="6"/>
        <v>3.2015213087423208E-2</v>
      </c>
      <c r="I215" s="27">
        <v>43780</v>
      </c>
      <c r="J215" s="14">
        <v>36803.1</v>
      </c>
      <c r="K215" s="28">
        <f t="shared" si="7"/>
        <v>2.2928910205524546E-2</v>
      </c>
    </row>
    <row r="216" spans="1:11" x14ac:dyDescent="0.3">
      <c r="A216" s="23">
        <v>43781</v>
      </c>
      <c r="B216">
        <v>389.5</v>
      </c>
      <c r="C216" s="28">
        <f t="shared" si="6"/>
        <v>-1.6836206678950996E-2</v>
      </c>
      <c r="I216" s="27">
        <v>43810</v>
      </c>
      <c r="J216" s="14">
        <v>36765.56</v>
      </c>
      <c r="K216" s="28">
        <f t="shared" si="7"/>
        <v>-1.0200227698210444E-3</v>
      </c>
    </row>
    <row r="217" spans="1:11" x14ac:dyDescent="0.3">
      <c r="A217" s="23">
        <v>43782</v>
      </c>
      <c r="B217">
        <v>393.13</v>
      </c>
      <c r="C217" s="28">
        <f t="shared" si="6"/>
        <v>9.3196405648266895E-3</v>
      </c>
      <c r="I217" s="26" t="s">
        <v>929</v>
      </c>
      <c r="J217" s="14">
        <v>37166.959999999999</v>
      </c>
      <c r="K217" s="28">
        <f t="shared" si="7"/>
        <v>1.0917826357058113E-2</v>
      </c>
    </row>
    <row r="218" spans="1:11" x14ac:dyDescent="0.3">
      <c r="A218" s="23">
        <v>43783</v>
      </c>
      <c r="B218">
        <v>389.99</v>
      </c>
      <c r="C218" s="28">
        <f t="shared" si="6"/>
        <v>-7.9871798132932787E-3</v>
      </c>
      <c r="I218" s="26" t="s">
        <v>928</v>
      </c>
      <c r="J218" s="14">
        <v>37243.199999999997</v>
      </c>
      <c r="K218" s="28">
        <f t="shared" si="7"/>
        <v>2.0512842589223861E-3</v>
      </c>
    </row>
    <row r="219" spans="1:11" x14ac:dyDescent="0.3">
      <c r="A219" s="23">
        <v>43784</v>
      </c>
      <c r="B219">
        <v>388.82</v>
      </c>
      <c r="C219" s="28">
        <f t="shared" si="6"/>
        <v>-3.0000769250494012E-3</v>
      </c>
      <c r="I219" s="26" t="s">
        <v>927</v>
      </c>
      <c r="J219" s="14">
        <v>37583.89</v>
      </c>
      <c r="K219" s="28">
        <f t="shared" si="7"/>
        <v>9.1477101860205981E-3</v>
      </c>
    </row>
    <row r="220" spans="1:11" x14ac:dyDescent="0.3">
      <c r="A220" s="23">
        <v>43787</v>
      </c>
      <c r="B220">
        <v>406.66</v>
      </c>
      <c r="C220" s="28">
        <f t="shared" si="6"/>
        <v>4.5882413456098017E-2</v>
      </c>
      <c r="I220" s="26" t="s">
        <v>926</v>
      </c>
      <c r="J220" s="14">
        <v>38411.56</v>
      </c>
      <c r="K220" s="28">
        <f t="shared" si="7"/>
        <v>2.2021935462241887E-2</v>
      </c>
    </row>
    <row r="221" spans="1:11" x14ac:dyDescent="0.3">
      <c r="A221" s="23">
        <v>43788</v>
      </c>
      <c r="B221">
        <v>409.24</v>
      </c>
      <c r="C221" s="28">
        <f t="shared" si="6"/>
        <v>6.3443663010868635E-3</v>
      </c>
      <c r="I221" s="26" t="s">
        <v>925</v>
      </c>
      <c r="J221" s="14">
        <v>38564.370000000003</v>
      </c>
      <c r="K221" s="28">
        <f t="shared" si="7"/>
        <v>3.9782294705032794E-3</v>
      </c>
    </row>
    <row r="222" spans="1:11" x14ac:dyDescent="0.3">
      <c r="A222" s="23">
        <v>43789</v>
      </c>
      <c r="B222">
        <v>402.09</v>
      </c>
      <c r="C222" s="28">
        <f t="shared" si="6"/>
        <v>-1.7471410419313934E-2</v>
      </c>
      <c r="I222" s="26" t="s">
        <v>924</v>
      </c>
      <c r="J222" s="14">
        <v>38037.68</v>
      </c>
      <c r="K222" s="28">
        <f t="shared" si="7"/>
        <v>-1.3657425234743944E-2</v>
      </c>
    </row>
    <row r="223" spans="1:11" x14ac:dyDescent="0.3">
      <c r="A223" s="23">
        <v>43790</v>
      </c>
      <c r="B223">
        <v>383.51</v>
      </c>
      <c r="C223" s="28">
        <f t="shared" si="6"/>
        <v>-4.6208560272575756E-2</v>
      </c>
      <c r="I223" s="26" t="s">
        <v>923</v>
      </c>
      <c r="J223" s="14">
        <v>37101.31</v>
      </c>
      <c r="K223" s="28">
        <f t="shared" si="7"/>
        <v>-2.4616906183552799E-2</v>
      </c>
    </row>
    <row r="224" spans="1:11" x14ac:dyDescent="0.3">
      <c r="A224" s="23">
        <v>43791</v>
      </c>
      <c r="B224">
        <v>399.87</v>
      </c>
      <c r="C224" s="28">
        <f t="shared" si="6"/>
        <v>4.2658600818753133E-2</v>
      </c>
      <c r="I224" s="26" t="s">
        <v>922</v>
      </c>
      <c r="J224" s="14">
        <v>37925.79</v>
      </c>
      <c r="K224" s="28">
        <f t="shared" si="7"/>
        <v>2.2222395920791026E-2</v>
      </c>
    </row>
    <row r="225" spans="1:11" x14ac:dyDescent="0.3">
      <c r="A225" s="23">
        <v>43794</v>
      </c>
      <c r="B225">
        <v>416.38</v>
      </c>
      <c r="C225" s="28">
        <f t="shared" si="6"/>
        <v>4.1288418736089204E-2</v>
      </c>
      <c r="I225" s="26" t="s">
        <v>921</v>
      </c>
      <c r="J225" s="14">
        <v>38212.28</v>
      </c>
      <c r="K225" s="28">
        <f t="shared" si="7"/>
        <v>7.5539626201589459E-3</v>
      </c>
    </row>
    <row r="226" spans="1:11" x14ac:dyDescent="0.3">
      <c r="A226" s="23">
        <v>43795</v>
      </c>
      <c r="B226">
        <v>405.59</v>
      </c>
      <c r="C226" s="28">
        <f t="shared" si="6"/>
        <v>-2.5913828714155387E-2</v>
      </c>
      <c r="I226" s="26" t="s">
        <v>920</v>
      </c>
      <c r="J226" s="14">
        <v>37795.050000000003</v>
      </c>
      <c r="K226" s="28">
        <f t="shared" si="7"/>
        <v>-1.0918741305151013E-2</v>
      </c>
    </row>
    <row r="227" spans="1:11" x14ac:dyDescent="0.3">
      <c r="A227" s="23">
        <v>43796</v>
      </c>
      <c r="B227">
        <v>406.26</v>
      </c>
      <c r="C227" s="28">
        <f t="shared" si="6"/>
        <v>1.6519144949333465E-3</v>
      </c>
      <c r="I227" s="26" t="s">
        <v>919</v>
      </c>
      <c r="J227" s="14">
        <v>38122.720000000001</v>
      </c>
      <c r="K227" s="28">
        <f t="shared" si="7"/>
        <v>8.6696538303295857E-3</v>
      </c>
    </row>
    <row r="228" spans="1:11" x14ac:dyDescent="0.3">
      <c r="A228" s="23">
        <v>43797</v>
      </c>
      <c r="B228">
        <v>416.48</v>
      </c>
      <c r="C228" s="28">
        <f t="shared" si="6"/>
        <v>2.5156303844828504E-2</v>
      </c>
      <c r="I228" s="26" t="s">
        <v>918</v>
      </c>
      <c r="J228" s="14">
        <v>38706.269999999997</v>
      </c>
      <c r="K228" s="28">
        <f t="shared" si="7"/>
        <v>1.5307144925650521E-2</v>
      </c>
    </row>
    <row r="229" spans="1:11" x14ac:dyDescent="0.3">
      <c r="A229" s="23">
        <v>43798</v>
      </c>
      <c r="B229">
        <v>420.29</v>
      </c>
      <c r="C229" s="28">
        <f t="shared" si="6"/>
        <v>9.1480983480599354E-3</v>
      </c>
      <c r="I229" s="26" t="s">
        <v>917</v>
      </c>
      <c r="J229" s="14">
        <v>39287.65</v>
      </c>
      <c r="K229" s="28">
        <f t="shared" si="7"/>
        <v>1.5020305495724716E-2</v>
      </c>
    </row>
    <row r="230" spans="1:11" x14ac:dyDescent="0.3">
      <c r="A230" s="23">
        <v>43801</v>
      </c>
      <c r="B230">
        <v>427.84</v>
      </c>
      <c r="C230" s="28">
        <f t="shared" si="6"/>
        <v>1.7963786909038888E-2</v>
      </c>
      <c r="I230" s="27">
        <v>43508</v>
      </c>
      <c r="J230" s="14">
        <v>40124.22</v>
      </c>
      <c r="K230" s="28">
        <f t="shared" si="7"/>
        <v>2.1293459904066538E-2</v>
      </c>
    </row>
    <row r="231" spans="1:11" x14ac:dyDescent="0.3">
      <c r="A231" s="23">
        <v>43802</v>
      </c>
      <c r="B231">
        <v>416</v>
      </c>
      <c r="C231" s="28">
        <f t="shared" si="6"/>
        <v>-2.7673896783844371E-2</v>
      </c>
      <c r="I231" s="27">
        <v>43536</v>
      </c>
      <c r="J231" s="14">
        <v>39788.730000000003</v>
      </c>
      <c r="K231" s="28">
        <f t="shared" si="7"/>
        <v>-8.3612840324372145E-3</v>
      </c>
    </row>
    <row r="232" spans="1:11" x14ac:dyDescent="0.3">
      <c r="A232" s="23">
        <v>43803</v>
      </c>
      <c r="B232">
        <v>427.67</v>
      </c>
      <c r="C232" s="28">
        <f t="shared" si="6"/>
        <v>2.8052884615384653E-2</v>
      </c>
      <c r="I232" s="27">
        <v>43567</v>
      </c>
      <c r="J232" s="14">
        <v>40270.519999999997</v>
      </c>
      <c r="K232" s="28">
        <f t="shared" si="7"/>
        <v>1.2108705153444041E-2</v>
      </c>
    </row>
    <row r="233" spans="1:11" x14ac:dyDescent="0.3">
      <c r="A233" s="23">
        <v>43804</v>
      </c>
      <c r="B233">
        <v>435.25</v>
      </c>
      <c r="C233" s="28">
        <f t="shared" si="6"/>
        <v>1.7723946033156367E-2</v>
      </c>
      <c r="I233" s="27">
        <v>43597</v>
      </c>
      <c r="J233" s="14">
        <v>40641.1</v>
      </c>
      <c r="K233" s="28">
        <f t="shared" si="7"/>
        <v>9.2022650812555139E-3</v>
      </c>
    </row>
    <row r="234" spans="1:11" x14ac:dyDescent="0.3">
      <c r="A234" s="23">
        <v>43805</v>
      </c>
      <c r="B234">
        <v>430.48</v>
      </c>
      <c r="C234" s="28">
        <f t="shared" si="6"/>
        <v>-1.095921883974723E-2</v>
      </c>
      <c r="I234" s="27">
        <v>43628</v>
      </c>
      <c r="J234" s="14">
        <v>40732.25</v>
      </c>
      <c r="K234" s="28">
        <f t="shared" si="7"/>
        <v>2.2428034674258682E-3</v>
      </c>
    </row>
    <row r="235" spans="1:11" x14ac:dyDescent="0.3">
      <c r="A235" s="23">
        <v>43808</v>
      </c>
      <c r="B235">
        <v>418.43</v>
      </c>
      <c r="C235" s="28">
        <f t="shared" si="6"/>
        <v>-2.7992008920275067E-2</v>
      </c>
      <c r="I235" s="27">
        <v>43720</v>
      </c>
      <c r="J235" s="14">
        <v>40442.800000000003</v>
      </c>
      <c r="K235" s="28">
        <f t="shared" si="7"/>
        <v>-7.1061628071122287E-3</v>
      </c>
    </row>
    <row r="236" spans="1:11" x14ac:dyDescent="0.3">
      <c r="A236" s="23">
        <v>43809</v>
      </c>
      <c r="B236">
        <v>428.62</v>
      </c>
      <c r="C236" s="28">
        <f t="shared" si="6"/>
        <v>2.4352938364839993E-2</v>
      </c>
      <c r="I236" s="27">
        <v>43750</v>
      </c>
      <c r="J236" s="14">
        <v>40664.6</v>
      </c>
      <c r="K236" s="28">
        <f t="shared" si="7"/>
        <v>5.4842889216373649E-3</v>
      </c>
    </row>
    <row r="237" spans="1:11" x14ac:dyDescent="0.3">
      <c r="A237" s="23">
        <v>43810</v>
      </c>
      <c r="B237">
        <v>424.19</v>
      </c>
      <c r="C237" s="28">
        <f t="shared" si="6"/>
        <v>-1.033549531053149E-2</v>
      </c>
      <c r="I237" s="27">
        <v>43781</v>
      </c>
      <c r="J237" s="14">
        <v>40531.42</v>
      </c>
      <c r="K237" s="28">
        <f t="shared" si="7"/>
        <v>-3.2750844715059364E-3</v>
      </c>
    </row>
    <row r="238" spans="1:11" x14ac:dyDescent="0.3">
      <c r="A238" s="23">
        <v>43811</v>
      </c>
      <c r="B238">
        <v>420.6</v>
      </c>
      <c r="C238" s="28">
        <f t="shared" si="6"/>
        <v>-8.463188665456459E-3</v>
      </c>
      <c r="I238" s="27">
        <v>43811</v>
      </c>
      <c r="J238" s="14">
        <v>40514.17</v>
      </c>
      <c r="K238" s="28">
        <f t="shared" si="7"/>
        <v>-4.2559574769401122E-4</v>
      </c>
    </row>
    <row r="239" spans="1:11" x14ac:dyDescent="0.3">
      <c r="A239" s="23">
        <v>43812</v>
      </c>
      <c r="B239">
        <v>424.52</v>
      </c>
      <c r="C239" s="28">
        <f t="shared" si="6"/>
        <v>9.3200190204468826E-3</v>
      </c>
      <c r="I239" s="26" t="s">
        <v>916</v>
      </c>
      <c r="J239" s="14">
        <v>40916.589999999997</v>
      </c>
      <c r="K239" s="28">
        <f t="shared" si="7"/>
        <v>9.9328210352081329E-3</v>
      </c>
    </row>
    <row r="240" spans="1:11" x14ac:dyDescent="0.3">
      <c r="A240" s="23">
        <v>43815</v>
      </c>
      <c r="B240">
        <v>432.9</v>
      </c>
      <c r="C240" s="28">
        <f t="shared" si="6"/>
        <v>1.9739941581079799E-2</v>
      </c>
      <c r="I240" s="26" t="s">
        <v>915</v>
      </c>
      <c r="J240" s="14">
        <v>41644.879999999997</v>
      </c>
      <c r="K240" s="28">
        <f t="shared" si="7"/>
        <v>1.7799381620022609E-2</v>
      </c>
    </row>
    <row r="241" spans="1:11" x14ac:dyDescent="0.3">
      <c r="A241" s="23">
        <v>43816</v>
      </c>
      <c r="B241">
        <v>425.78</v>
      </c>
      <c r="C241" s="28">
        <f t="shared" si="6"/>
        <v>-1.6447216447216459E-2</v>
      </c>
      <c r="I241" s="26" t="s">
        <v>914</v>
      </c>
      <c r="J241" s="14">
        <v>41768.660000000003</v>
      </c>
      <c r="K241" s="28">
        <f t="shared" si="7"/>
        <v>2.9722741427038839E-3</v>
      </c>
    </row>
    <row r="242" spans="1:11" x14ac:dyDescent="0.3">
      <c r="A242" s="23">
        <v>43817</v>
      </c>
      <c r="B242">
        <v>420.67</v>
      </c>
      <c r="C242" s="28">
        <f t="shared" si="6"/>
        <v>-1.2001503123678795E-2</v>
      </c>
      <c r="I242" s="26" t="s">
        <v>913</v>
      </c>
      <c r="J242" s="14">
        <v>41603.71</v>
      </c>
      <c r="K242" s="28">
        <f t="shared" si="7"/>
        <v>-3.9491331539006601E-3</v>
      </c>
    </row>
    <row r="243" spans="1:11" x14ac:dyDescent="0.3">
      <c r="A243" s="23">
        <v>43818</v>
      </c>
      <c r="B243">
        <v>414.46</v>
      </c>
      <c r="C243" s="28">
        <f t="shared" si="6"/>
        <v>-1.4762165117550659E-2</v>
      </c>
      <c r="I243" s="26" t="s">
        <v>912</v>
      </c>
      <c r="J243" s="14">
        <v>40655.370000000003</v>
      </c>
      <c r="K243" s="28">
        <f t="shared" si="7"/>
        <v>-2.2794601731432041E-2</v>
      </c>
    </row>
    <row r="244" spans="1:11" x14ac:dyDescent="0.3">
      <c r="A244" s="23">
        <v>43819</v>
      </c>
      <c r="B244">
        <v>417.33</v>
      </c>
      <c r="C244" s="28">
        <f t="shared" si="6"/>
        <v>6.9246730685711645E-3</v>
      </c>
      <c r="I244" s="26" t="s">
        <v>911</v>
      </c>
      <c r="J244" s="14">
        <v>40832.99</v>
      </c>
      <c r="K244" s="28">
        <f t="shared" si="7"/>
        <v>4.3689185463075438E-3</v>
      </c>
    </row>
    <row r="245" spans="1:11" x14ac:dyDescent="0.3">
      <c r="A245" s="23">
        <v>43822</v>
      </c>
      <c r="B245">
        <v>413.61</v>
      </c>
      <c r="C245" s="28">
        <f t="shared" si="6"/>
        <v>-8.9138092157284889E-3</v>
      </c>
      <c r="I245" s="26" t="s">
        <v>910</v>
      </c>
      <c r="J245" s="14">
        <v>40008.29</v>
      </c>
      <c r="K245" s="28">
        <f t="shared" si="7"/>
        <v>-2.0196904512748078E-2</v>
      </c>
    </row>
    <row r="246" spans="1:11" x14ac:dyDescent="0.3">
      <c r="A246" s="23">
        <v>43823</v>
      </c>
      <c r="B246">
        <v>421.26</v>
      </c>
      <c r="C246" s="28">
        <f t="shared" si="6"/>
        <v>1.8495684340320537E-2</v>
      </c>
      <c r="I246" s="26" t="s">
        <v>909</v>
      </c>
      <c r="J246" s="14">
        <v>40328.32</v>
      </c>
      <c r="K246" s="28">
        <f t="shared" si="7"/>
        <v>7.9990921881439771E-3</v>
      </c>
    </row>
    <row r="247" spans="1:11" x14ac:dyDescent="0.3">
      <c r="A247" s="23">
        <v>43825</v>
      </c>
      <c r="B247">
        <v>424.12</v>
      </c>
      <c r="C247" s="28">
        <f t="shared" si="6"/>
        <v>6.7891563405023348E-3</v>
      </c>
      <c r="I247" s="26" t="s">
        <v>908</v>
      </c>
      <c r="J247" s="14">
        <v>41127.79</v>
      </c>
      <c r="K247" s="28">
        <f t="shared" si="7"/>
        <v>1.9824034326250167E-2</v>
      </c>
    </row>
    <row r="248" spans="1:11" x14ac:dyDescent="0.3">
      <c r="A248" s="23">
        <v>43826</v>
      </c>
      <c r="B248">
        <v>420.5</v>
      </c>
      <c r="C248" s="28">
        <f t="shared" si="6"/>
        <v>-8.5353201923983879E-3</v>
      </c>
      <c r="I248" s="26" t="s">
        <v>907</v>
      </c>
      <c r="J248" s="14">
        <v>40848.53</v>
      </c>
      <c r="K248" s="28">
        <f t="shared" si="7"/>
        <v>-6.7900560667130917E-3</v>
      </c>
    </row>
    <row r="249" spans="1:11" x14ac:dyDescent="0.3">
      <c r="A249" s="23">
        <v>43829</v>
      </c>
      <c r="B249">
        <v>430.77</v>
      </c>
      <c r="C249" s="28">
        <f t="shared" si="6"/>
        <v>2.4423305588584975E-2</v>
      </c>
      <c r="I249" s="26" t="s">
        <v>906</v>
      </c>
      <c r="J249" s="14">
        <v>40887.620000000003</v>
      </c>
      <c r="K249" s="28">
        <f t="shared" si="7"/>
        <v>9.5694998081947589E-4</v>
      </c>
    </row>
    <row r="250" spans="1:11" x14ac:dyDescent="0.3">
      <c r="A250" s="23">
        <v>43830</v>
      </c>
      <c r="B250">
        <v>428.4</v>
      </c>
      <c r="C250" s="28">
        <f t="shared" si="6"/>
        <v>-5.5017758896859217E-3</v>
      </c>
      <c r="I250" s="26" t="s">
        <v>905</v>
      </c>
      <c r="J250" s="14">
        <v>40735.08</v>
      </c>
      <c r="K250" s="28">
        <f t="shared" si="7"/>
        <v>-3.7307135998622776E-3</v>
      </c>
    </row>
    <row r="251" spans="1:11" x14ac:dyDescent="0.3">
      <c r="A251" s="23">
        <v>43831</v>
      </c>
      <c r="B251">
        <v>436.98</v>
      </c>
      <c r="C251" s="28">
        <f t="shared" si="6"/>
        <v>2.0028011204481888E-2</v>
      </c>
      <c r="I251" s="27">
        <v>43831</v>
      </c>
      <c r="J251" s="14">
        <v>41400</v>
      </c>
      <c r="K251" s="28">
        <f t="shared" si="7"/>
        <v>1.6323031647415404E-2</v>
      </c>
    </row>
    <row r="252" spans="1:11" x14ac:dyDescent="0.3">
      <c r="A252" s="23">
        <v>43832</v>
      </c>
      <c r="B252">
        <v>458.82</v>
      </c>
      <c r="C252" s="28">
        <f t="shared" si="6"/>
        <v>4.9979404091720386E-2</v>
      </c>
      <c r="I252" s="27">
        <v>43862</v>
      </c>
      <c r="J252" s="14">
        <v>42480.76</v>
      </c>
      <c r="K252" s="28">
        <f t="shared" si="7"/>
        <v>2.6105314009661883E-2</v>
      </c>
    </row>
    <row r="253" spans="1:11" x14ac:dyDescent="0.3">
      <c r="A253" s="23">
        <v>43833</v>
      </c>
      <c r="B253">
        <v>463.46</v>
      </c>
      <c r="C253" s="28">
        <f t="shared" si="6"/>
        <v>1.0112898304345901E-2</v>
      </c>
      <c r="I253" s="27">
        <v>43891</v>
      </c>
      <c r="J253" s="14">
        <v>42323.3</v>
      </c>
      <c r="K253" s="28">
        <f t="shared" si="7"/>
        <v>-3.7066191847791594E-3</v>
      </c>
    </row>
    <row r="254" spans="1:11" x14ac:dyDescent="0.3">
      <c r="A254" s="23">
        <v>43836</v>
      </c>
      <c r="B254">
        <v>445.11</v>
      </c>
      <c r="C254" s="28">
        <f t="shared" si="6"/>
        <v>-3.9593492426530805E-2</v>
      </c>
      <c r="I254" s="27">
        <v>43983</v>
      </c>
      <c r="J254" s="14">
        <v>41296.239999999998</v>
      </c>
      <c r="K254" s="28">
        <f t="shared" si="7"/>
        <v>-2.4267011315280352E-2</v>
      </c>
    </row>
    <row r="255" spans="1:11" x14ac:dyDescent="0.3">
      <c r="A255" s="23">
        <v>43837</v>
      </c>
      <c r="B255">
        <v>466.02</v>
      </c>
      <c r="C255" s="28">
        <f t="shared" si="6"/>
        <v>4.6977151715306253E-2</v>
      </c>
      <c r="I255" s="27">
        <v>44013</v>
      </c>
      <c r="J255" s="14">
        <v>41904.47</v>
      </c>
      <c r="K255" s="28">
        <f t="shared" si="7"/>
        <v>1.4728459540142232E-2</v>
      </c>
    </row>
    <row r="256" spans="1:11" x14ac:dyDescent="0.3">
      <c r="A256" s="23">
        <v>43838</v>
      </c>
      <c r="B256">
        <v>477.03</v>
      </c>
      <c r="C256" s="28">
        <f t="shared" si="6"/>
        <v>2.3625595468005647E-2</v>
      </c>
      <c r="I256" s="27">
        <v>44044</v>
      </c>
      <c r="J256" s="14">
        <v>41357.56</v>
      </c>
      <c r="K256" s="28">
        <f t="shared" si="7"/>
        <v>-1.305135227816993E-2</v>
      </c>
    </row>
    <row r="257" spans="1:11" x14ac:dyDescent="0.3">
      <c r="A257" s="23">
        <v>43839</v>
      </c>
      <c r="B257">
        <v>498.43</v>
      </c>
      <c r="C257" s="28">
        <f t="shared" si="6"/>
        <v>4.4860910215290518E-2</v>
      </c>
      <c r="I257" s="27">
        <v>44075</v>
      </c>
      <c r="J257" s="14">
        <v>42523.07</v>
      </c>
      <c r="K257" s="28">
        <f t="shared" si="7"/>
        <v>2.8181304699793751E-2</v>
      </c>
    </row>
    <row r="258" spans="1:11" x14ac:dyDescent="0.3">
      <c r="A258" s="23">
        <v>43840</v>
      </c>
      <c r="B258">
        <v>493.7</v>
      </c>
      <c r="C258" s="28">
        <f t="shared" si="6"/>
        <v>-9.4897979656120585E-3</v>
      </c>
      <c r="I258" s="27">
        <v>44105</v>
      </c>
      <c r="J258" s="14">
        <v>43207.05</v>
      </c>
      <c r="K258" s="28">
        <f t="shared" si="7"/>
        <v>1.6084915788065236E-2</v>
      </c>
    </row>
    <row r="259" spans="1:11" x14ac:dyDescent="0.3">
      <c r="A259" s="23">
        <v>43843</v>
      </c>
      <c r="B259">
        <v>489.91</v>
      </c>
      <c r="C259" s="28">
        <f t="shared" si="6"/>
        <v>-7.6767267571398899E-3</v>
      </c>
      <c r="I259" s="26" t="s">
        <v>904</v>
      </c>
      <c r="J259" s="14">
        <v>43218.67</v>
      </c>
      <c r="K259" s="28">
        <f t="shared" si="7"/>
        <v>2.6893759236039816E-4</v>
      </c>
    </row>
    <row r="260" spans="1:11" x14ac:dyDescent="0.3">
      <c r="A260" s="23">
        <v>43844</v>
      </c>
      <c r="B260">
        <v>487.75</v>
      </c>
      <c r="C260" s="28">
        <f t="shared" si="6"/>
        <v>-4.408973076687606E-3</v>
      </c>
      <c r="I260" s="26" t="s">
        <v>903</v>
      </c>
      <c r="J260" s="14">
        <v>43207.040000000001</v>
      </c>
      <c r="K260" s="28">
        <f t="shared" si="7"/>
        <v>-2.6909666586216979E-4</v>
      </c>
    </row>
    <row r="261" spans="1:11" x14ac:dyDescent="0.3">
      <c r="A261" s="23">
        <v>43845</v>
      </c>
      <c r="B261">
        <v>486.09</v>
      </c>
      <c r="C261" s="28">
        <f t="shared" si="6"/>
        <v>-3.4033828805741157E-3</v>
      </c>
      <c r="I261" s="26" t="s">
        <v>902</v>
      </c>
      <c r="J261" s="14">
        <v>42993.03</v>
      </c>
      <c r="K261" s="28">
        <f t="shared" si="7"/>
        <v>-4.9531280087689884E-3</v>
      </c>
    </row>
    <row r="262" spans="1:11" x14ac:dyDescent="0.3">
      <c r="A262" s="23">
        <v>43846</v>
      </c>
      <c r="B262">
        <v>486.83</v>
      </c>
      <c r="C262" s="28">
        <f t="shared" ref="C262:C325" si="8">(B262-B261)/B261</f>
        <v>1.5223518278508284E-3</v>
      </c>
      <c r="I262" s="26" t="s">
        <v>901</v>
      </c>
      <c r="J262" s="14">
        <v>43065.1</v>
      </c>
      <c r="K262" s="28">
        <f t="shared" ref="K262:K325" si="9">(J262-J261)/J261</f>
        <v>1.676318231117921E-3</v>
      </c>
    </row>
    <row r="263" spans="1:11" x14ac:dyDescent="0.3">
      <c r="A263" s="23">
        <v>43847</v>
      </c>
      <c r="B263">
        <v>489.16</v>
      </c>
      <c r="C263" s="28">
        <f t="shared" si="8"/>
        <v>4.7860649508042665E-3</v>
      </c>
      <c r="I263" s="26" t="s">
        <v>900</v>
      </c>
      <c r="J263" s="14">
        <v>43167.77</v>
      </c>
      <c r="K263" s="28">
        <f t="shared" si="9"/>
        <v>2.3840650549980902E-3</v>
      </c>
    </row>
    <row r="264" spans="1:11" x14ac:dyDescent="0.3">
      <c r="A264" s="23">
        <v>43850</v>
      </c>
      <c r="B264">
        <v>483.34</v>
      </c>
      <c r="C264" s="28">
        <f t="shared" si="8"/>
        <v>-1.189794750183999E-2</v>
      </c>
      <c r="I264" s="26" t="s">
        <v>899</v>
      </c>
      <c r="J264" s="14">
        <v>42747.63</v>
      </c>
      <c r="K264" s="28">
        <f t="shared" si="9"/>
        <v>-9.7327242060453768E-3</v>
      </c>
    </row>
    <row r="265" spans="1:11" x14ac:dyDescent="0.3">
      <c r="A265" s="23">
        <v>43851</v>
      </c>
      <c r="B265">
        <v>481.17</v>
      </c>
      <c r="C265" s="28">
        <f t="shared" si="8"/>
        <v>-4.489593246989612E-3</v>
      </c>
      <c r="I265" s="26" t="s">
        <v>898</v>
      </c>
      <c r="J265" s="14">
        <v>42626.48</v>
      </c>
      <c r="K265" s="28">
        <f t="shared" si="9"/>
        <v>-2.8340752458088131E-3</v>
      </c>
    </row>
    <row r="266" spans="1:11" x14ac:dyDescent="0.3">
      <c r="A266" s="23">
        <v>43852</v>
      </c>
      <c r="B266">
        <v>495.97</v>
      </c>
      <c r="C266" s="28">
        <f t="shared" si="8"/>
        <v>3.0758359831244697E-2</v>
      </c>
      <c r="I266" s="26" t="s">
        <v>897</v>
      </c>
      <c r="J266" s="14">
        <v>42561.27</v>
      </c>
      <c r="K266" s="28">
        <f t="shared" si="9"/>
        <v>-1.5298002556159082E-3</v>
      </c>
    </row>
    <row r="267" spans="1:11" x14ac:dyDescent="0.3">
      <c r="A267" s="23">
        <v>43853</v>
      </c>
      <c r="B267">
        <v>490.95</v>
      </c>
      <c r="C267" s="28">
        <f t="shared" si="8"/>
        <v>-1.0121579934270295E-2</v>
      </c>
      <c r="I267" s="26" t="s">
        <v>896</v>
      </c>
      <c r="J267" s="14">
        <v>42506.95</v>
      </c>
      <c r="K267" s="28">
        <f t="shared" si="9"/>
        <v>-1.2762777050590764E-3</v>
      </c>
    </row>
    <row r="268" spans="1:11" x14ac:dyDescent="0.3">
      <c r="A268" s="23">
        <v>43854</v>
      </c>
      <c r="B268">
        <v>496.42</v>
      </c>
      <c r="C268" s="28">
        <f t="shared" si="8"/>
        <v>1.11416641205826E-2</v>
      </c>
      <c r="I268" s="26" t="s">
        <v>895</v>
      </c>
      <c r="J268" s="14">
        <v>42633.03</v>
      </c>
      <c r="K268" s="28">
        <f t="shared" si="9"/>
        <v>2.9661031901842346E-3</v>
      </c>
    </row>
    <row r="269" spans="1:11" x14ac:dyDescent="0.3">
      <c r="A269" s="23">
        <v>43857</v>
      </c>
      <c r="B269">
        <v>491.79</v>
      </c>
      <c r="C269" s="28">
        <f t="shared" si="8"/>
        <v>-9.3267797429595813E-3</v>
      </c>
      <c r="I269" s="26" t="s">
        <v>894</v>
      </c>
      <c r="J269" s="14">
        <v>42539.23</v>
      </c>
      <c r="K269" s="28">
        <f t="shared" si="9"/>
        <v>-2.2001720262433996E-3</v>
      </c>
    </row>
    <row r="270" spans="1:11" x14ac:dyDescent="0.3">
      <c r="A270" s="23">
        <v>43858</v>
      </c>
      <c r="B270">
        <v>489.54</v>
      </c>
      <c r="C270" s="28">
        <f t="shared" si="8"/>
        <v>-4.5751235283352648E-3</v>
      </c>
      <c r="I270" s="26" t="s">
        <v>893</v>
      </c>
      <c r="J270" s="14">
        <v>42299.19</v>
      </c>
      <c r="K270" s="28">
        <f t="shared" si="9"/>
        <v>-5.6427913716350971E-3</v>
      </c>
    </row>
    <row r="271" spans="1:11" x14ac:dyDescent="0.3">
      <c r="A271" s="23">
        <v>43859</v>
      </c>
      <c r="B271">
        <v>476.08</v>
      </c>
      <c r="C271" s="28">
        <f t="shared" si="8"/>
        <v>-2.7495199575111401E-2</v>
      </c>
      <c r="I271" s="26" t="s">
        <v>892</v>
      </c>
      <c r="J271" s="14">
        <v>41898.699999999997</v>
      </c>
      <c r="K271" s="28">
        <f t="shared" si="9"/>
        <v>-9.4680300024658909E-3</v>
      </c>
    </row>
    <row r="272" spans="1:11" x14ac:dyDescent="0.3">
      <c r="A272" s="23">
        <v>43860</v>
      </c>
      <c r="B272">
        <v>487.35</v>
      </c>
      <c r="C272" s="28">
        <f t="shared" si="8"/>
        <v>2.3672492018148292E-2</v>
      </c>
      <c r="I272" s="26" t="s">
        <v>891</v>
      </c>
      <c r="J272" s="14">
        <v>41903.51</v>
      </c>
      <c r="K272" s="28">
        <f t="shared" si="9"/>
        <v>1.1480069787379914E-4</v>
      </c>
    </row>
    <row r="273" spans="1:11" x14ac:dyDescent="0.3">
      <c r="A273" s="23">
        <v>43861</v>
      </c>
      <c r="B273">
        <v>476.87</v>
      </c>
      <c r="C273" s="28">
        <f t="shared" si="8"/>
        <v>-2.1504052528983315E-2</v>
      </c>
      <c r="I273" s="26" t="s">
        <v>890</v>
      </c>
      <c r="J273" s="14">
        <v>41630.94</v>
      </c>
      <c r="K273" s="28">
        <f t="shared" si="9"/>
        <v>-6.5047056917188961E-3</v>
      </c>
    </row>
    <row r="274" spans="1:11" x14ac:dyDescent="0.3">
      <c r="A274" s="23">
        <v>43864</v>
      </c>
      <c r="B274">
        <v>460.14</v>
      </c>
      <c r="C274" s="28">
        <f t="shared" si="8"/>
        <v>-3.508293664940134E-2</v>
      </c>
      <c r="I274" s="27">
        <v>43892</v>
      </c>
      <c r="J274" s="14">
        <v>40409.379999999997</v>
      </c>
      <c r="K274" s="28">
        <f t="shared" si="9"/>
        <v>-2.9342599518531288E-2</v>
      </c>
    </row>
    <row r="275" spans="1:11" x14ac:dyDescent="0.3">
      <c r="A275" s="23">
        <v>43865</v>
      </c>
      <c r="B275">
        <v>470.35</v>
      </c>
      <c r="C275" s="28">
        <f t="shared" si="8"/>
        <v>2.2188899030729858E-2</v>
      </c>
      <c r="I275" s="27">
        <v>43923</v>
      </c>
      <c r="J275" s="14">
        <v>40884.25</v>
      </c>
      <c r="K275" s="28">
        <f t="shared" si="9"/>
        <v>1.1751479483228959E-2</v>
      </c>
    </row>
    <row r="276" spans="1:11" x14ac:dyDescent="0.3">
      <c r="A276" s="23">
        <v>43867</v>
      </c>
      <c r="B276">
        <v>471.52</v>
      </c>
      <c r="C276" s="28">
        <f t="shared" si="8"/>
        <v>2.4875093015838397E-3</v>
      </c>
      <c r="I276" s="27">
        <v>43984</v>
      </c>
      <c r="J276" s="14">
        <v>40724.410000000003</v>
      </c>
      <c r="K276" s="28">
        <f t="shared" si="9"/>
        <v>-3.9095739802001142E-3</v>
      </c>
    </row>
    <row r="277" spans="1:11" x14ac:dyDescent="0.3">
      <c r="A277" s="23">
        <v>43868</v>
      </c>
      <c r="B277">
        <v>468.81</v>
      </c>
      <c r="C277" s="28">
        <f t="shared" si="8"/>
        <v>-5.7473702069901159E-3</v>
      </c>
      <c r="I277" s="27">
        <v>44014</v>
      </c>
      <c r="J277" s="14">
        <v>40143.629999999997</v>
      </c>
      <c r="K277" s="28">
        <f t="shared" si="9"/>
        <v>-1.4261225638382632E-2</v>
      </c>
    </row>
    <row r="278" spans="1:11" x14ac:dyDescent="0.3">
      <c r="A278" s="23">
        <v>43871</v>
      </c>
      <c r="B278">
        <v>460.91</v>
      </c>
      <c r="C278" s="28">
        <f t="shared" si="8"/>
        <v>-1.6851176382756291E-2</v>
      </c>
      <c r="I278" s="27">
        <v>44106</v>
      </c>
      <c r="J278" s="14">
        <v>39296.699999999997</v>
      </c>
      <c r="K278" s="28">
        <f t="shared" si="9"/>
        <v>-2.109749417279903E-2</v>
      </c>
    </row>
    <row r="279" spans="1:11" x14ac:dyDescent="0.3">
      <c r="A279" s="23">
        <v>43872</v>
      </c>
      <c r="B279">
        <v>471.96</v>
      </c>
      <c r="C279" s="28">
        <f t="shared" si="8"/>
        <v>2.3974311687748051E-2</v>
      </c>
      <c r="I279" s="27">
        <v>44137</v>
      </c>
      <c r="J279" s="14">
        <v>39714.46</v>
      </c>
      <c r="K279" s="28">
        <f t="shared" si="9"/>
        <v>1.0630918117806382E-2</v>
      </c>
    </row>
    <row r="280" spans="1:11" x14ac:dyDescent="0.3">
      <c r="A280" s="23">
        <v>43873</v>
      </c>
      <c r="B280">
        <v>492.27</v>
      </c>
      <c r="C280" s="28">
        <f t="shared" si="8"/>
        <v>4.3033307907449789E-2</v>
      </c>
      <c r="I280" s="27">
        <v>44167</v>
      </c>
      <c r="J280" s="14">
        <v>40531.129999999997</v>
      </c>
      <c r="K280" s="28">
        <f t="shared" si="9"/>
        <v>2.0563542850639244E-2</v>
      </c>
    </row>
    <row r="281" spans="1:11" x14ac:dyDescent="0.3">
      <c r="A281" s="23">
        <v>43874</v>
      </c>
      <c r="B281">
        <v>484.97</v>
      </c>
      <c r="C281" s="28">
        <f t="shared" si="8"/>
        <v>-1.4829260365246623E-2</v>
      </c>
      <c r="I281" s="26" t="s">
        <v>889</v>
      </c>
      <c r="J281" s="14">
        <v>40455.440000000002</v>
      </c>
      <c r="K281" s="28">
        <f t="shared" si="9"/>
        <v>-1.867453485752681E-3</v>
      </c>
    </row>
    <row r="282" spans="1:11" x14ac:dyDescent="0.3">
      <c r="A282" s="23">
        <v>43875</v>
      </c>
      <c r="B282">
        <v>484.76</v>
      </c>
      <c r="C282" s="28">
        <f t="shared" si="8"/>
        <v>-4.3301647524596648E-4</v>
      </c>
      <c r="I282" s="26" t="s">
        <v>888</v>
      </c>
      <c r="J282" s="14">
        <v>40243.26</v>
      </c>
      <c r="K282" s="28">
        <f t="shared" si="9"/>
        <v>-5.2447829018792101E-3</v>
      </c>
    </row>
    <row r="283" spans="1:11" x14ac:dyDescent="0.3">
      <c r="A283" s="23">
        <v>43878</v>
      </c>
      <c r="B283">
        <v>483.55</v>
      </c>
      <c r="C283" s="28">
        <f t="shared" si="8"/>
        <v>-2.4960805346975401E-3</v>
      </c>
      <c r="I283" s="26" t="s">
        <v>887</v>
      </c>
      <c r="J283" s="14">
        <v>40276.93</v>
      </c>
      <c r="K283" s="28">
        <f t="shared" si="9"/>
        <v>8.3666184101383067E-4</v>
      </c>
    </row>
    <row r="284" spans="1:11" x14ac:dyDescent="0.3">
      <c r="A284" s="23">
        <v>43879</v>
      </c>
      <c r="B284">
        <v>481.36</v>
      </c>
      <c r="C284" s="28">
        <f t="shared" si="8"/>
        <v>-4.5290042394788496E-3</v>
      </c>
      <c r="I284" s="26" t="s">
        <v>886</v>
      </c>
      <c r="J284" s="14">
        <v>40175.35</v>
      </c>
      <c r="K284" s="28">
        <f t="shared" si="9"/>
        <v>-2.5220392914753371E-3</v>
      </c>
    </row>
    <row r="285" spans="1:11" x14ac:dyDescent="0.3">
      <c r="A285" s="23">
        <v>43880</v>
      </c>
      <c r="B285">
        <v>487.05</v>
      </c>
      <c r="C285" s="28">
        <f t="shared" si="8"/>
        <v>1.1820674754861222E-2</v>
      </c>
      <c r="I285" s="26" t="s">
        <v>885</v>
      </c>
      <c r="J285" s="14">
        <v>40574.519999999997</v>
      </c>
      <c r="K285" s="28">
        <f t="shared" si="9"/>
        <v>9.9356943996753797E-3</v>
      </c>
    </row>
    <row r="286" spans="1:11" x14ac:dyDescent="0.3">
      <c r="A286" s="23">
        <v>43881</v>
      </c>
      <c r="B286">
        <v>483.67</v>
      </c>
      <c r="C286" s="28">
        <f t="shared" si="8"/>
        <v>-6.9397392464839247E-3</v>
      </c>
      <c r="I286" s="26" t="s">
        <v>884</v>
      </c>
      <c r="J286" s="14">
        <v>40481.65</v>
      </c>
      <c r="K286" s="28">
        <f t="shared" si="9"/>
        <v>-2.2888748899554537E-3</v>
      </c>
    </row>
    <row r="287" spans="1:11" x14ac:dyDescent="0.3">
      <c r="A287" s="23">
        <v>43882</v>
      </c>
      <c r="B287">
        <v>489.99</v>
      </c>
      <c r="C287" s="28">
        <f t="shared" si="8"/>
        <v>1.3066760394483828E-2</v>
      </c>
      <c r="I287" s="26" t="s">
        <v>883</v>
      </c>
      <c r="J287" s="14">
        <v>40249.22</v>
      </c>
      <c r="K287" s="28">
        <f t="shared" si="9"/>
        <v>-5.7416137929160562E-3</v>
      </c>
    </row>
    <row r="288" spans="1:11" x14ac:dyDescent="0.3">
      <c r="A288" s="23">
        <v>43885</v>
      </c>
      <c r="B288">
        <v>476.81</v>
      </c>
      <c r="C288" s="28">
        <f t="shared" si="8"/>
        <v>-2.6898508132819049E-2</v>
      </c>
      <c r="I288" s="26" t="s">
        <v>882</v>
      </c>
      <c r="J288" s="14">
        <v>39143.730000000003</v>
      </c>
      <c r="K288" s="28">
        <f t="shared" si="9"/>
        <v>-2.7466122324854941E-2</v>
      </c>
    </row>
    <row r="289" spans="1:11" x14ac:dyDescent="0.3">
      <c r="A289" s="23">
        <v>43886</v>
      </c>
      <c r="B289">
        <v>478.35</v>
      </c>
      <c r="C289" s="28">
        <f t="shared" si="8"/>
        <v>3.2297980327594231E-3</v>
      </c>
      <c r="I289" s="26" t="s">
        <v>881</v>
      </c>
      <c r="J289" s="14">
        <v>38858.449999999997</v>
      </c>
      <c r="K289" s="28">
        <f t="shared" si="9"/>
        <v>-7.2880126651191923E-3</v>
      </c>
    </row>
    <row r="290" spans="1:11" x14ac:dyDescent="0.3">
      <c r="A290" s="23">
        <v>43887</v>
      </c>
      <c r="B290">
        <v>471.4</v>
      </c>
      <c r="C290" s="28">
        <f t="shared" si="8"/>
        <v>-1.4529110483955358E-2</v>
      </c>
      <c r="I290" s="26" t="s">
        <v>880</v>
      </c>
      <c r="J290" s="14">
        <v>38338.33</v>
      </c>
      <c r="K290" s="28">
        <f t="shared" si="9"/>
        <v>-1.3384990909313043E-2</v>
      </c>
    </row>
    <row r="291" spans="1:11" x14ac:dyDescent="0.3">
      <c r="A291" s="23">
        <v>43888</v>
      </c>
      <c r="B291">
        <v>476.95</v>
      </c>
      <c r="C291" s="28">
        <f t="shared" si="8"/>
        <v>1.1773440814594848E-2</v>
      </c>
      <c r="I291" s="26" t="s">
        <v>879</v>
      </c>
      <c r="J291" s="14">
        <v>38087.32</v>
      </c>
      <c r="K291" s="28">
        <f t="shared" si="9"/>
        <v>-6.5472335388631177E-3</v>
      </c>
    </row>
    <row r="292" spans="1:11" x14ac:dyDescent="0.3">
      <c r="A292" s="23">
        <v>43889</v>
      </c>
      <c r="B292">
        <v>489.09</v>
      </c>
      <c r="C292" s="28">
        <f t="shared" si="8"/>
        <v>2.5453401824090546E-2</v>
      </c>
      <c r="I292" s="26" t="s">
        <v>878</v>
      </c>
      <c r="J292" s="14">
        <v>37983.620000000003</v>
      </c>
      <c r="K292" s="28">
        <f t="shared" si="9"/>
        <v>-2.7226909113058383E-3</v>
      </c>
    </row>
    <row r="293" spans="1:11" x14ac:dyDescent="0.3">
      <c r="A293" s="23">
        <v>43892</v>
      </c>
      <c r="B293">
        <v>514.79999999999995</v>
      </c>
      <c r="C293" s="28">
        <f t="shared" si="8"/>
        <v>5.2567012206342349E-2</v>
      </c>
      <c r="I293" s="27">
        <v>43864</v>
      </c>
      <c r="J293" s="14">
        <v>39296.300000000003</v>
      </c>
      <c r="K293" s="28">
        <f t="shared" si="9"/>
        <v>3.4559107320471301E-2</v>
      </c>
    </row>
    <row r="294" spans="1:11" x14ac:dyDescent="0.3">
      <c r="A294" s="23">
        <v>43893</v>
      </c>
      <c r="B294">
        <v>503.4</v>
      </c>
      <c r="C294" s="28">
        <f t="shared" si="8"/>
        <v>-2.2144522144522102E-2</v>
      </c>
      <c r="I294" s="27">
        <v>43893</v>
      </c>
      <c r="J294" s="14">
        <v>39199.68</v>
      </c>
      <c r="K294" s="28">
        <f t="shared" si="9"/>
        <v>-2.4587556589297874E-3</v>
      </c>
    </row>
    <row r="295" spans="1:11" x14ac:dyDescent="0.3">
      <c r="A295" s="23">
        <v>43894</v>
      </c>
      <c r="B295">
        <v>505.35</v>
      </c>
      <c r="C295" s="28">
        <f t="shared" si="8"/>
        <v>3.8736591179977069E-3</v>
      </c>
      <c r="I295" s="27">
        <v>43924</v>
      </c>
      <c r="J295" s="14">
        <v>38906.400000000001</v>
      </c>
      <c r="K295" s="28">
        <f t="shared" si="9"/>
        <v>-7.4816937281120361E-3</v>
      </c>
    </row>
    <row r="296" spans="1:11" x14ac:dyDescent="0.3">
      <c r="A296" s="23">
        <v>43895</v>
      </c>
      <c r="B296">
        <v>536.75</v>
      </c>
      <c r="C296" s="28">
        <f t="shared" si="8"/>
        <v>6.2135153853764669E-2</v>
      </c>
      <c r="I296" s="27">
        <v>43954</v>
      </c>
      <c r="J296" s="14">
        <v>39382.11</v>
      </c>
      <c r="K296" s="28">
        <f t="shared" si="9"/>
        <v>1.2227037196965001E-2</v>
      </c>
    </row>
    <row r="297" spans="1:11" x14ac:dyDescent="0.3">
      <c r="A297" s="23">
        <v>43896</v>
      </c>
      <c r="B297">
        <v>529.75</v>
      </c>
      <c r="C297" s="28">
        <f t="shared" si="8"/>
        <v>-1.304145319049837E-2</v>
      </c>
      <c r="I297" s="27">
        <v>43985</v>
      </c>
      <c r="J297" s="14">
        <v>38219.67</v>
      </c>
      <c r="K297" s="28">
        <f t="shared" si="9"/>
        <v>-2.9516955795410717E-2</v>
      </c>
    </row>
    <row r="298" spans="1:11" x14ac:dyDescent="0.3">
      <c r="A298" s="23">
        <v>43899</v>
      </c>
      <c r="B298">
        <v>566.47</v>
      </c>
      <c r="C298" s="28">
        <f t="shared" si="8"/>
        <v>6.9315714959886796E-2</v>
      </c>
      <c r="I298" s="27">
        <v>44077</v>
      </c>
      <c r="J298" s="14">
        <v>37058.949999999997</v>
      </c>
      <c r="K298" s="28">
        <f t="shared" si="9"/>
        <v>-3.0369702302505523E-2</v>
      </c>
    </row>
    <row r="299" spans="1:11" x14ac:dyDescent="0.3">
      <c r="A299" s="23">
        <v>43900</v>
      </c>
      <c r="B299">
        <v>559.74</v>
      </c>
      <c r="C299" s="28">
        <f t="shared" si="8"/>
        <v>-1.1880593853160834E-2</v>
      </c>
      <c r="I299" s="27">
        <v>44107</v>
      </c>
      <c r="J299" s="14">
        <v>37695.75</v>
      </c>
      <c r="K299" s="28">
        <f t="shared" si="9"/>
        <v>1.7183433421616181E-2</v>
      </c>
    </row>
    <row r="300" spans="1:11" x14ac:dyDescent="0.3">
      <c r="A300" s="23">
        <v>43901</v>
      </c>
      <c r="B300">
        <v>555</v>
      </c>
      <c r="C300" s="28">
        <f t="shared" si="8"/>
        <v>-8.4682173866438143E-3</v>
      </c>
      <c r="I300" s="27">
        <v>44138</v>
      </c>
      <c r="J300" s="14">
        <v>37673.25</v>
      </c>
      <c r="K300" s="28">
        <f t="shared" si="9"/>
        <v>-5.9688426414118299E-4</v>
      </c>
    </row>
    <row r="301" spans="1:11" x14ac:dyDescent="0.3">
      <c r="A301" s="23">
        <v>43902</v>
      </c>
      <c r="B301">
        <v>517.04999999999995</v>
      </c>
      <c r="C301" s="28">
        <f t="shared" si="8"/>
        <v>-6.8378378378378457E-2</v>
      </c>
      <c r="I301" s="27">
        <v>44168</v>
      </c>
      <c r="J301" s="14">
        <v>35956.69</v>
      </c>
      <c r="K301" s="28">
        <f t="shared" si="9"/>
        <v>-4.55644256866609E-2</v>
      </c>
    </row>
    <row r="302" spans="1:11" x14ac:dyDescent="0.3">
      <c r="A302" s="23">
        <v>43903</v>
      </c>
      <c r="B302">
        <v>499.03</v>
      </c>
      <c r="C302" s="28">
        <f t="shared" si="8"/>
        <v>-3.4851561744512101E-2</v>
      </c>
      <c r="I302" s="26" t="s">
        <v>877</v>
      </c>
      <c r="J302" s="14">
        <v>36060.879999999997</v>
      </c>
      <c r="K302" s="28">
        <f t="shared" si="9"/>
        <v>2.8976527038499663E-3</v>
      </c>
    </row>
    <row r="303" spans="1:11" x14ac:dyDescent="0.3">
      <c r="A303" s="23">
        <v>43906</v>
      </c>
      <c r="B303">
        <v>461.61</v>
      </c>
      <c r="C303" s="28">
        <f t="shared" si="8"/>
        <v>-7.4985471815321642E-2</v>
      </c>
      <c r="I303" s="26" t="s">
        <v>876</v>
      </c>
      <c r="J303" s="14">
        <v>33684.910000000003</v>
      </c>
      <c r="K303" s="28">
        <f t="shared" si="9"/>
        <v>-6.5887743172102123E-2</v>
      </c>
    </row>
    <row r="304" spans="1:11" x14ac:dyDescent="0.3">
      <c r="A304" s="23">
        <v>43907</v>
      </c>
      <c r="B304">
        <v>433.53</v>
      </c>
      <c r="C304" s="28">
        <f t="shared" si="8"/>
        <v>-6.0830571261454559E-2</v>
      </c>
      <c r="I304" s="26" t="s">
        <v>875</v>
      </c>
      <c r="J304" s="14">
        <v>32616.93</v>
      </c>
      <c r="K304" s="28">
        <f t="shared" si="9"/>
        <v>-3.1704997875903577E-2</v>
      </c>
    </row>
    <row r="305" spans="1:11" x14ac:dyDescent="0.3">
      <c r="A305" s="23">
        <v>43908</v>
      </c>
      <c r="B305">
        <v>401.02</v>
      </c>
      <c r="C305" s="28">
        <f t="shared" si="8"/>
        <v>-7.498904343413372E-2</v>
      </c>
      <c r="I305" s="26" t="s">
        <v>874</v>
      </c>
      <c r="J305" s="14">
        <v>30416.05</v>
      </c>
      <c r="K305" s="28">
        <f t="shared" si="9"/>
        <v>-6.7476614138731045E-2</v>
      </c>
    </row>
    <row r="306" spans="1:11" x14ac:dyDescent="0.3">
      <c r="A306" s="23">
        <v>43909</v>
      </c>
      <c r="B306">
        <v>371.51</v>
      </c>
      <c r="C306" s="28">
        <f t="shared" si="8"/>
        <v>-7.3587352251757998E-2</v>
      </c>
      <c r="I306" s="26" t="s">
        <v>873</v>
      </c>
      <c r="J306" s="14">
        <v>30129.83</v>
      </c>
      <c r="K306" s="28">
        <f t="shared" si="9"/>
        <v>-9.4101633841342826E-3</v>
      </c>
    </row>
    <row r="307" spans="1:11" x14ac:dyDescent="0.3">
      <c r="A307" s="23">
        <v>43910</v>
      </c>
      <c r="B307">
        <v>372.7</v>
      </c>
      <c r="C307" s="28">
        <f t="shared" si="8"/>
        <v>3.2031439261392632E-3</v>
      </c>
      <c r="I307" s="26" t="s">
        <v>872</v>
      </c>
      <c r="J307" s="14">
        <v>30667.41</v>
      </c>
      <c r="K307" s="28">
        <f t="shared" si="9"/>
        <v>1.7842118591442371E-2</v>
      </c>
    </row>
    <row r="308" spans="1:11" x14ac:dyDescent="0.3">
      <c r="A308" s="23">
        <v>43914</v>
      </c>
      <c r="B308">
        <v>344.75</v>
      </c>
      <c r="C308" s="28">
        <f t="shared" si="8"/>
        <v>-7.4993292192111594E-2</v>
      </c>
      <c r="I308" s="26" t="s">
        <v>871</v>
      </c>
      <c r="J308" s="14">
        <v>28564.83</v>
      </c>
      <c r="K308" s="28">
        <f t="shared" si="9"/>
        <v>-6.8560729451883878E-2</v>
      </c>
    </row>
    <row r="309" spans="1:11" x14ac:dyDescent="0.3">
      <c r="A309" s="23">
        <v>43915</v>
      </c>
      <c r="B309">
        <v>318.89999999999998</v>
      </c>
      <c r="C309" s="28">
        <f t="shared" si="8"/>
        <v>-7.4981870920957275E-2</v>
      </c>
      <c r="I309" s="26" t="s">
        <v>870</v>
      </c>
      <c r="J309" s="14">
        <v>27228.799999999999</v>
      </c>
      <c r="K309" s="28">
        <f t="shared" si="9"/>
        <v>-4.6771851959210062E-2</v>
      </c>
    </row>
    <row r="310" spans="1:11" x14ac:dyDescent="0.3">
      <c r="A310" s="23">
        <v>43916</v>
      </c>
      <c r="B310">
        <v>310.3</v>
      </c>
      <c r="C310" s="28">
        <f t="shared" si="8"/>
        <v>-2.6967701473816139E-2</v>
      </c>
      <c r="I310" s="26" t="s">
        <v>869</v>
      </c>
      <c r="J310" s="14">
        <v>27267.200000000001</v>
      </c>
      <c r="K310" s="28">
        <f t="shared" si="9"/>
        <v>1.4102714772594258E-3</v>
      </c>
    </row>
    <row r="311" spans="1:11" x14ac:dyDescent="0.3">
      <c r="A311" s="23">
        <v>43917</v>
      </c>
      <c r="B311">
        <v>331.38</v>
      </c>
      <c r="C311" s="28">
        <f t="shared" si="8"/>
        <v>6.7934257170480128E-2</v>
      </c>
      <c r="I311" s="26" t="s">
        <v>868</v>
      </c>
      <c r="J311" s="14">
        <v>28109.57</v>
      </c>
      <c r="K311" s="28">
        <f t="shared" si="9"/>
        <v>3.089316101396546E-2</v>
      </c>
    </row>
    <row r="312" spans="1:11" x14ac:dyDescent="0.3">
      <c r="A312" s="23">
        <v>43920</v>
      </c>
      <c r="B312">
        <v>353.93</v>
      </c>
      <c r="C312" s="28">
        <f t="shared" si="8"/>
        <v>6.8048765767396976E-2</v>
      </c>
      <c r="I312" s="26" t="s">
        <v>867</v>
      </c>
      <c r="J312" s="14">
        <v>28023.39</v>
      </c>
      <c r="K312" s="28">
        <f t="shared" si="9"/>
        <v>-3.0658597765814378E-3</v>
      </c>
    </row>
    <row r="313" spans="1:11" x14ac:dyDescent="0.3">
      <c r="A313" s="23">
        <v>43921</v>
      </c>
      <c r="B313">
        <v>370.7</v>
      </c>
      <c r="C313" s="28">
        <f t="shared" si="8"/>
        <v>4.7382250727544942E-2</v>
      </c>
      <c r="I313" s="26" t="s">
        <v>866</v>
      </c>
      <c r="J313" s="14">
        <v>29231.63</v>
      </c>
      <c r="K313" s="28">
        <f t="shared" si="9"/>
        <v>4.3115411804210753E-2</v>
      </c>
    </row>
    <row r="314" spans="1:11" x14ac:dyDescent="0.3">
      <c r="A314" s="23">
        <v>43922</v>
      </c>
      <c r="B314">
        <v>364.43</v>
      </c>
      <c r="C314" s="28">
        <f t="shared" si="8"/>
        <v>-1.6913946587537042E-2</v>
      </c>
      <c r="I314" s="27">
        <v>43834</v>
      </c>
      <c r="J314" s="14">
        <v>29505.57</v>
      </c>
      <c r="K314" s="28">
        <f t="shared" si="9"/>
        <v>9.3713556171858593E-3</v>
      </c>
    </row>
    <row r="315" spans="1:11" x14ac:dyDescent="0.3">
      <c r="A315" s="23">
        <v>43923</v>
      </c>
      <c r="B315">
        <v>391.76</v>
      </c>
      <c r="C315" s="28">
        <f t="shared" si="8"/>
        <v>7.4993825974809927E-2</v>
      </c>
      <c r="I315" s="27">
        <v>43865</v>
      </c>
      <c r="J315" s="14">
        <v>30782.66</v>
      </c>
      <c r="K315" s="28">
        <f t="shared" si="9"/>
        <v>4.3283014020742527E-2</v>
      </c>
    </row>
    <row r="316" spans="1:11" x14ac:dyDescent="0.3">
      <c r="A316" s="23">
        <v>43924</v>
      </c>
      <c r="B316">
        <v>410.73</v>
      </c>
      <c r="C316" s="28">
        <f t="shared" si="8"/>
        <v>4.842250357361657E-2</v>
      </c>
      <c r="I316" s="27">
        <v>43894</v>
      </c>
      <c r="J316" s="14">
        <v>31621.79</v>
      </c>
      <c r="K316" s="28">
        <f t="shared" si="9"/>
        <v>2.7259827448310219E-2</v>
      </c>
    </row>
    <row r="317" spans="1:11" x14ac:dyDescent="0.3">
      <c r="A317" s="23">
        <v>43927</v>
      </c>
      <c r="B317">
        <v>391.52</v>
      </c>
      <c r="C317" s="28">
        <f t="shared" si="8"/>
        <v>-4.677038443746509E-2</v>
      </c>
      <c r="I317" s="27">
        <v>43986</v>
      </c>
      <c r="J317" s="14">
        <v>30579.15</v>
      </c>
      <c r="K317" s="28">
        <f t="shared" si="9"/>
        <v>-3.2972200498453737E-2</v>
      </c>
    </row>
    <row r="318" spans="1:11" x14ac:dyDescent="0.3">
      <c r="A318" s="23">
        <v>43928</v>
      </c>
      <c r="B318">
        <v>409.43</v>
      </c>
      <c r="C318" s="28">
        <f t="shared" si="8"/>
        <v>4.5744789538210116E-2</v>
      </c>
      <c r="I318" s="27">
        <v>44016</v>
      </c>
      <c r="J318" s="14">
        <v>31231.55</v>
      </c>
      <c r="K318" s="28">
        <f t="shared" si="9"/>
        <v>2.1334798383866059E-2</v>
      </c>
    </row>
    <row r="319" spans="1:11" x14ac:dyDescent="0.3">
      <c r="A319" s="23">
        <v>43929</v>
      </c>
      <c r="B319">
        <v>398.37</v>
      </c>
      <c r="C319" s="28">
        <f t="shared" si="8"/>
        <v>-2.7013164643528813E-2</v>
      </c>
      <c r="I319" s="27">
        <v>44047</v>
      </c>
      <c r="J319" s="14">
        <v>30971.27</v>
      </c>
      <c r="K319" s="28">
        <f t="shared" si="9"/>
        <v>-8.3338803229426276E-3</v>
      </c>
    </row>
    <row r="320" spans="1:11" x14ac:dyDescent="0.3">
      <c r="A320" s="23">
        <v>43930</v>
      </c>
      <c r="B320">
        <v>409.94</v>
      </c>
      <c r="C320" s="28">
        <f t="shared" si="8"/>
        <v>2.904335165800636E-2</v>
      </c>
      <c r="I320" s="27">
        <v>44078</v>
      </c>
      <c r="J320" s="14">
        <v>31837.3</v>
      </c>
      <c r="K320" s="28">
        <f t="shared" si="9"/>
        <v>2.7962366412484823E-2</v>
      </c>
    </row>
    <row r="321" spans="1:11" x14ac:dyDescent="0.3">
      <c r="A321" s="23">
        <v>43931</v>
      </c>
      <c r="B321">
        <v>412.73</v>
      </c>
      <c r="C321" s="28">
        <f t="shared" si="8"/>
        <v>6.805874030345954E-3</v>
      </c>
      <c r="I321" s="27">
        <v>44108</v>
      </c>
      <c r="J321" s="14">
        <v>32033.200000000001</v>
      </c>
      <c r="K321" s="28">
        <f t="shared" si="9"/>
        <v>6.1531599727364271E-3</v>
      </c>
    </row>
    <row r="322" spans="1:11" x14ac:dyDescent="0.3">
      <c r="A322" s="23">
        <v>43934</v>
      </c>
      <c r="B322">
        <v>399.51</v>
      </c>
      <c r="C322" s="28">
        <f t="shared" si="8"/>
        <v>-3.2030625348290716E-2</v>
      </c>
      <c r="I322" s="26" t="s">
        <v>865</v>
      </c>
      <c r="J322" s="14">
        <v>31032.99</v>
      </c>
      <c r="K322" s="28">
        <f t="shared" si="9"/>
        <v>-3.1224167426295191E-2</v>
      </c>
    </row>
    <row r="323" spans="1:11" x14ac:dyDescent="0.3">
      <c r="A323" s="23">
        <v>43935</v>
      </c>
      <c r="B323">
        <v>407.5</v>
      </c>
      <c r="C323" s="28">
        <f t="shared" si="8"/>
        <v>1.999949938674879E-2</v>
      </c>
      <c r="I323" s="26" t="s">
        <v>864</v>
      </c>
      <c r="J323" s="14">
        <v>31222.74</v>
      </c>
      <c r="K323" s="28">
        <f t="shared" si="9"/>
        <v>6.1144607722298109E-3</v>
      </c>
    </row>
    <row r="324" spans="1:11" x14ac:dyDescent="0.3">
      <c r="A324" s="23">
        <v>43936</v>
      </c>
      <c r="B324">
        <v>413.72</v>
      </c>
      <c r="C324" s="28">
        <f t="shared" si="8"/>
        <v>1.5263803680981663E-2</v>
      </c>
      <c r="I324" s="26" t="s">
        <v>863</v>
      </c>
      <c r="J324" s="14">
        <v>31242.19</v>
      </c>
      <c r="K324" s="28">
        <f t="shared" si="9"/>
        <v>6.2294340599182158E-4</v>
      </c>
    </row>
    <row r="325" spans="1:11" x14ac:dyDescent="0.3">
      <c r="A325" s="23">
        <v>43937</v>
      </c>
      <c r="B325">
        <v>409.24</v>
      </c>
      <c r="C325" s="28">
        <f t="shared" si="8"/>
        <v>-1.0828579715749825E-2</v>
      </c>
      <c r="I325" s="26" t="s">
        <v>862</v>
      </c>
      <c r="J325" s="14">
        <v>31329.46</v>
      </c>
      <c r="K325" s="28">
        <f t="shared" si="9"/>
        <v>2.7933381110607303E-3</v>
      </c>
    </row>
    <row r="326" spans="1:11" x14ac:dyDescent="0.3">
      <c r="A326" s="23">
        <v>43938</v>
      </c>
      <c r="B326">
        <v>439.93</v>
      </c>
      <c r="C326" s="28">
        <f t="shared" ref="C326:C389" si="10">(B326-B325)/B325</f>
        <v>7.4992669338285592E-2</v>
      </c>
      <c r="I326" s="26" t="s">
        <v>861</v>
      </c>
      <c r="J326" s="14">
        <v>32831.83</v>
      </c>
      <c r="K326" s="28">
        <f t="shared" ref="K326:K389" si="11">(J326-J325)/J325</f>
        <v>4.7953906642502063E-2</v>
      </c>
    </row>
    <row r="327" spans="1:11" x14ac:dyDescent="0.3">
      <c r="A327" s="23">
        <v>43941</v>
      </c>
      <c r="B327">
        <v>471.77</v>
      </c>
      <c r="C327" s="28">
        <f t="shared" si="10"/>
        <v>7.23751505921396E-2</v>
      </c>
      <c r="I327" s="26" t="s">
        <v>860</v>
      </c>
      <c r="J327" s="14">
        <v>33499.65</v>
      </c>
      <c r="K327" s="28">
        <f t="shared" si="11"/>
        <v>2.0340626763722877E-2</v>
      </c>
    </row>
    <row r="328" spans="1:11" x14ac:dyDescent="0.3">
      <c r="A328" s="23">
        <v>43942</v>
      </c>
      <c r="B328">
        <v>459.73</v>
      </c>
      <c r="C328" s="28">
        <f t="shared" si="10"/>
        <v>-2.552091061322247E-2</v>
      </c>
      <c r="I328" s="26" t="s">
        <v>859</v>
      </c>
      <c r="J328" s="14">
        <v>32422.83</v>
      </c>
      <c r="K328" s="28">
        <f t="shared" si="11"/>
        <v>-3.2144216432111967E-2</v>
      </c>
    </row>
    <row r="329" spans="1:11" x14ac:dyDescent="0.3">
      <c r="A329" s="23">
        <v>43943</v>
      </c>
      <c r="B329">
        <v>469.33</v>
      </c>
      <c r="C329" s="28">
        <f t="shared" si="10"/>
        <v>2.0881821938964099E-2</v>
      </c>
      <c r="I329" s="26" t="s">
        <v>858</v>
      </c>
      <c r="J329" s="14">
        <v>32464.23</v>
      </c>
      <c r="K329" s="28">
        <f t="shared" si="11"/>
        <v>1.2768780516690806E-3</v>
      </c>
    </row>
    <row r="330" spans="1:11" x14ac:dyDescent="0.3">
      <c r="A330" s="23">
        <v>43944</v>
      </c>
      <c r="B330">
        <v>458.16</v>
      </c>
      <c r="C330" s="28">
        <f t="shared" si="10"/>
        <v>-2.3799884942364562E-2</v>
      </c>
      <c r="I330" s="26" t="s">
        <v>857</v>
      </c>
      <c r="J330" s="14">
        <v>32850.83</v>
      </c>
      <c r="K330" s="28">
        <f t="shared" si="11"/>
        <v>1.190849128409952E-2</v>
      </c>
    </row>
    <row r="331" spans="1:11" x14ac:dyDescent="0.3">
      <c r="A331" s="23">
        <v>43945</v>
      </c>
      <c r="B331">
        <v>456.06</v>
      </c>
      <c r="C331" s="28">
        <f t="shared" si="10"/>
        <v>-4.583551597695178E-3</v>
      </c>
      <c r="I331" s="26" t="s">
        <v>856</v>
      </c>
      <c r="J331" s="14">
        <v>32806.379999999997</v>
      </c>
      <c r="K331" s="28">
        <f t="shared" si="11"/>
        <v>-1.3530860559688861E-3</v>
      </c>
    </row>
    <row r="332" spans="1:11" x14ac:dyDescent="0.3">
      <c r="A332" s="23">
        <v>43948</v>
      </c>
      <c r="B332">
        <v>442.63</v>
      </c>
      <c r="C332" s="28">
        <f t="shared" si="10"/>
        <v>-2.9447879664956381E-2</v>
      </c>
      <c r="I332" s="26" t="s">
        <v>855</v>
      </c>
      <c r="J332" s="14">
        <v>32314.57</v>
      </c>
      <c r="K332" s="28">
        <f t="shared" si="11"/>
        <v>-1.4991291328089162E-2</v>
      </c>
    </row>
    <row r="333" spans="1:11" x14ac:dyDescent="0.3">
      <c r="A333" s="23">
        <v>43949</v>
      </c>
      <c r="B333">
        <v>454.27</v>
      </c>
      <c r="C333" s="28">
        <f t="shared" si="10"/>
        <v>2.6297358967986774E-2</v>
      </c>
      <c r="I333" s="26" t="s">
        <v>854</v>
      </c>
      <c r="J333" s="14">
        <v>32553.39</v>
      </c>
      <c r="K333" s="28">
        <f t="shared" si="11"/>
        <v>7.3904743278341541E-3</v>
      </c>
    </row>
    <row r="334" spans="1:11" x14ac:dyDescent="0.3">
      <c r="A334" s="23">
        <v>43950</v>
      </c>
      <c r="B334">
        <v>467.8</v>
      </c>
      <c r="C334" s="28">
        <f t="shared" si="10"/>
        <v>2.9784049133775133E-2</v>
      </c>
      <c r="I334" s="26" t="s">
        <v>853</v>
      </c>
      <c r="J334" s="14">
        <v>33158.839999999997</v>
      </c>
      <c r="K334" s="28">
        <f t="shared" si="11"/>
        <v>1.859867743420876E-2</v>
      </c>
    </row>
    <row r="335" spans="1:11" x14ac:dyDescent="0.3">
      <c r="A335" s="23">
        <v>43951</v>
      </c>
      <c r="B335">
        <v>470.44</v>
      </c>
      <c r="C335" s="28">
        <f t="shared" si="10"/>
        <v>5.6434373663958662E-3</v>
      </c>
      <c r="I335" s="26" t="s">
        <v>852</v>
      </c>
      <c r="J335" s="14">
        <v>34111.64</v>
      </c>
      <c r="K335" s="28">
        <f t="shared" si="11"/>
        <v>2.873441893624756E-2</v>
      </c>
    </row>
    <row r="336" spans="1:11" x14ac:dyDescent="0.3">
      <c r="A336" s="23">
        <v>43955</v>
      </c>
      <c r="B336">
        <v>461.52</v>
      </c>
      <c r="C336" s="28">
        <f t="shared" si="10"/>
        <v>-1.8960972706402551E-2</v>
      </c>
      <c r="I336" s="27">
        <v>43926</v>
      </c>
      <c r="J336" s="14">
        <v>33916.639999999999</v>
      </c>
      <c r="K336" s="28">
        <f t="shared" si="11"/>
        <v>-5.7165237438012361E-3</v>
      </c>
    </row>
    <row r="337" spans="1:11" x14ac:dyDescent="0.3">
      <c r="A337" s="23">
        <v>43956</v>
      </c>
      <c r="B337">
        <v>460.86</v>
      </c>
      <c r="C337" s="28">
        <f t="shared" si="10"/>
        <v>-1.4300572022880227E-3</v>
      </c>
      <c r="I337" s="27">
        <v>43956</v>
      </c>
      <c r="J337" s="14">
        <v>33992.75</v>
      </c>
      <c r="K337" s="28">
        <f t="shared" si="11"/>
        <v>2.2440312483783943E-3</v>
      </c>
    </row>
    <row r="338" spans="1:11" x14ac:dyDescent="0.3">
      <c r="A338" s="23">
        <v>43957</v>
      </c>
      <c r="B338">
        <v>452.51</v>
      </c>
      <c r="C338" s="28">
        <f t="shared" si="10"/>
        <v>-1.8118300568502416E-2</v>
      </c>
      <c r="I338" s="27">
        <v>43987</v>
      </c>
      <c r="J338" s="14">
        <v>33728.18</v>
      </c>
      <c r="K338" s="28">
        <f t="shared" si="11"/>
        <v>-7.7831302262982459E-3</v>
      </c>
    </row>
    <row r="339" spans="1:11" x14ac:dyDescent="0.3">
      <c r="A339" s="23">
        <v>43958</v>
      </c>
      <c r="B339">
        <v>440.99</v>
      </c>
      <c r="C339" s="28">
        <f t="shared" si="10"/>
        <v>-2.5458000928156244E-2</v>
      </c>
      <c r="I339" s="27">
        <v>44017</v>
      </c>
      <c r="J339" s="14">
        <v>33304.160000000003</v>
      </c>
      <c r="K339" s="28">
        <f t="shared" si="11"/>
        <v>-1.2571683381670662E-2</v>
      </c>
    </row>
    <row r="340" spans="1:11" x14ac:dyDescent="0.3">
      <c r="A340" s="23">
        <v>43959</v>
      </c>
      <c r="B340">
        <v>435.15</v>
      </c>
      <c r="C340" s="28">
        <f t="shared" si="10"/>
        <v>-1.324293067870027E-2</v>
      </c>
      <c r="I340" s="27">
        <v>44048</v>
      </c>
      <c r="J340" s="14">
        <v>33267.69</v>
      </c>
      <c r="K340" s="28">
        <f t="shared" si="11"/>
        <v>-1.0950583951074328E-3</v>
      </c>
    </row>
    <row r="341" spans="1:11" x14ac:dyDescent="0.3">
      <c r="A341" s="23">
        <v>43962</v>
      </c>
      <c r="B341">
        <v>433.43</v>
      </c>
      <c r="C341" s="28">
        <f t="shared" si="10"/>
        <v>-3.9526600022979901E-3</v>
      </c>
      <c r="I341" s="27">
        <v>44140</v>
      </c>
      <c r="J341" s="14">
        <v>33283.79</v>
      </c>
      <c r="K341" s="28">
        <f t="shared" si="11"/>
        <v>4.8395304873883769E-4</v>
      </c>
    </row>
    <row r="342" spans="1:11" x14ac:dyDescent="0.3">
      <c r="A342" s="23">
        <v>43963</v>
      </c>
      <c r="B342">
        <v>450.76</v>
      </c>
      <c r="C342" s="28">
        <f t="shared" si="10"/>
        <v>3.99833883210668E-2</v>
      </c>
      <c r="I342" s="27">
        <v>44170</v>
      </c>
      <c r="J342" s="14">
        <v>33603.019999999997</v>
      </c>
      <c r="K342" s="28">
        <f t="shared" si="11"/>
        <v>9.5911553341730595E-3</v>
      </c>
    </row>
    <row r="343" spans="1:11" x14ac:dyDescent="0.3">
      <c r="A343" s="23">
        <v>43964</v>
      </c>
      <c r="B343">
        <v>455.35</v>
      </c>
      <c r="C343" s="28">
        <f t="shared" si="10"/>
        <v>1.0182802378205768E-2</v>
      </c>
      <c r="I343" s="26" t="s">
        <v>851</v>
      </c>
      <c r="J343" s="14">
        <v>33693.040000000001</v>
      </c>
      <c r="K343" s="28">
        <f t="shared" si="11"/>
        <v>2.6789258822571328E-3</v>
      </c>
    </row>
    <row r="344" spans="1:11" x14ac:dyDescent="0.3">
      <c r="A344" s="23">
        <v>43965</v>
      </c>
      <c r="B344">
        <v>451.95</v>
      </c>
      <c r="C344" s="28">
        <f t="shared" si="10"/>
        <v>-7.4667837926870187E-3</v>
      </c>
      <c r="I344" s="26" t="s">
        <v>850</v>
      </c>
      <c r="J344" s="14">
        <v>33804.9</v>
      </c>
      <c r="K344" s="28">
        <f t="shared" si="11"/>
        <v>3.3199735019458195E-3</v>
      </c>
    </row>
    <row r="345" spans="1:11" x14ac:dyDescent="0.3">
      <c r="A345" s="23">
        <v>43966</v>
      </c>
      <c r="B345">
        <v>458.56</v>
      </c>
      <c r="C345" s="28">
        <f t="shared" si="10"/>
        <v>1.4625511671645124E-2</v>
      </c>
      <c r="I345" s="26" t="s">
        <v>849</v>
      </c>
      <c r="J345" s="14">
        <v>34008.33</v>
      </c>
      <c r="K345" s="28">
        <f t="shared" si="11"/>
        <v>6.017766655129886E-3</v>
      </c>
    </row>
    <row r="346" spans="1:11" x14ac:dyDescent="0.3">
      <c r="A346" s="23">
        <v>43969</v>
      </c>
      <c r="B346">
        <v>450.71</v>
      </c>
      <c r="C346" s="28">
        <f t="shared" si="10"/>
        <v>-1.7118806699232429E-2</v>
      </c>
      <c r="I346" s="26" t="s">
        <v>848</v>
      </c>
      <c r="J346" s="14">
        <v>33804.97</v>
      </c>
      <c r="K346" s="28">
        <f t="shared" si="11"/>
        <v>-5.9797114412851373E-3</v>
      </c>
    </row>
    <row r="347" spans="1:11" x14ac:dyDescent="0.3">
      <c r="A347" s="23">
        <v>43970</v>
      </c>
      <c r="B347">
        <v>455.91</v>
      </c>
      <c r="C347" s="28">
        <f t="shared" si="10"/>
        <v>1.1537352177675325E-2</v>
      </c>
      <c r="I347" s="26" t="s">
        <v>847</v>
      </c>
      <c r="J347" s="14">
        <v>34158.550000000003</v>
      </c>
      <c r="K347" s="28">
        <f t="shared" si="11"/>
        <v>1.0459408779241683E-2</v>
      </c>
    </row>
    <row r="348" spans="1:11" x14ac:dyDescent="0.3">
      <c r="A348" s="23">
        <v>43971</v>
      </c>
      <c r="B348">
        <v>457.21</v>
      </c>
      <c r="C348" s="28">
        <f t="shared" si="10"/>
        <v>2.8514399771883804E-3</v>
      </c>
      <c r="I348" s="26" t="s">
        <v>846</v>
      </c>
      <c r="J348" s="14">
        <v>33932.81</v>
      </c>
      <c r="K348" s="28">
        <f t="shared" si="11"/>
        <v>-6.6085943343615356E-3</v>
      </c>
    </row>
    <row r="349" spans="1:11" x14ac:dyDescent="0.3">
      <c r="A349" s="23">
        <v>43972</v>
      </c>
      <c r="B349">
        <v>452.57</v>
      </c>
      <c r="C349" s="28">
        <f t="shared" si="10"/>
        <v>-1.0148509437676312E-2</v>
      </c>
      <c r="I349" s="26" t="s">
        <v>845</v>
      </c>
      <c r="J349" s="14">
        <v>33836.61</v>
      </c>
      <c r="K349" s="28">
        <f t="shared" si="11"/>
        <v>-2.8350142531666871E-3</v>
      </c>
    </row>
    <row r="350" spans="1:11" x14ac:dyDescent="0.3">
      <c r="A350" s="23">
        <v>43979</v>
      </c>
      <c r="B350">
        <v>449</v>
      </c>
      <c r="C350" s="28">
        <f t="shared" si="10"/>
        <v>-7.8882824756391131E-3</v>
      </c>
      <c r="I350" s="26" t="s">
        <v>844</v>
      </c>
      <c r="J350" s="14">
        <v>33695.42</v>
      </c>
      <c r="K350" s="28">
        <f t="shared" si="11"/>
        <v>-4.1726993336508094E-3</v>
      </c>
    </row>
    <row r="351" spans="1:11" x14ac:dyDescent="0.3">
      <c r="A351" s="23">
        <v>43980</v>
      </c>
      <c r="B351">
        <v>457.1</v>
      </c>
      <c r="C351" s="28">
        <f t="shared" si="10"/>
        <v>1.804008908685974E-2</v>
      </c>
      <c r="I351" s="26" t="s">
        <v>843</v>
      </c>
      <c r="J351" s="14">
        <v>33931.230000000003</v>
      </c>
      <c r="K351" s="28">
        <f t="shared" si="11"/>
        <v>6.9982804784746696E-3</v>
      </c>
    </row>
    <row r="352" spans="1:11" x14ac:dyDescent="0.3">
      <c r="A352" s="23">
        <v>43983</v>
      </c>
      <c r="B352">
        <v>454</v>
      </c>
      <c r="C352" s="28">
        <f t="shared" si="10"/>
        <v>-6.7818858017939677E-3</v>
      </c>
      <c r="I352" s="27">
        <v>43836</v>
      </c>
      <c r="J352" s="14">
        <v>34021.97</v>
      </c>
      <c r="K352" s="28">
        <f t="shared" si="11"/>
        <v>2.6742325580298137E-3</v>
      </c>
    </row>
    <row r="353" spans="1:11" x14ac:dyDescent="0.3">
      <c r="A353" s="23">
        <v>43984</v>
      </c>
      <c r="B353">
        <v>452</v>
      </c>
      <c r="C353" s="28">
        <f t="shared" si="10"/>
        <v>-4.4052863436123352E-3</v>
      </c>
      <c r="I353" s="27">
        <v>43867</v>
      </c>
      <c r="J353" s="14">
        <v>34408.050000000003</v>
      </c>
      <c r="K353" s="28">
        <f t="shared" si="11"/>
        <v>1.1347961332045197E-2</v>
      </c>
    </row>
    <row r="354" spans="1:11" x14ac:dyDescent="0.3">
      <c r="A354" s="23">
        <v>43985</v>
      </c>
      <c r="B354">
        <v>449.75</v>
      </c>
      <c r="C354" s="28">
        <f t="shared" si="10"/>
        <v>-4.9778761061946902E-3</v>
      </c>
      <c r="I354" s="27">
        <v>43896</v>
      </c>
      <c r="J354" s="14">
        <v>34401.42</v>
      </c>
      <c r="K354" s="28">
        <f t="shared" si="11"/>
        <v>-1.9268746703183284E-4</v>
      </c>
    </row>
    <row r="355" spans="1:11" x14ac:dyDescent="0.3">
      <c r="A355" s="23">
        <v>43986</v>
      </c>
      <c r="B355">
        <v>447</v>
      </c>
      <c r="C355" s="28">
        <f t="shared" si="10"/>
        <v>-6.1145080600333518E-3</v>
      </c>
      <c r="I355" s="27">
        <v>43927</v>
      </c>
      <c r="J355" s="14">
        <v>34119.39</v>
      </c>
      <c r="K355" s="28">
        <f t="shared" si="11"/>
        <v>-8.1982080972238594E-3</v>
      </c>
    </row>
    <row r="356" spans="1:11" x14ac:dyDescent="0.3">
      <c r="A356" s="23">
        <v>43987</v>
      </c>
      <c r="B356">
        <v>452</v>
      </c>
      <c r="C356" s="28">
        <f t="shared" si="10"/>
        <v>1.1185682326621925E-2</v>
      </c>
      <c r="I356" s="27">
        <v>43957</v>
      </c>
      <c r="J356" s="14">
        <v>34350.42</v>
      </c>
      <c r="K356" s="28">
        <f t="shared" si="11"/>
        <v>6.7712230494155626E-3</v>
      </c>
    </row>
    <row r="357" spans="1:11" x14ac:dyDescent="0.3">
      <c r="A357" s="23">
        <v>43990</v>
      </c>
      <c r="B357">
        <v>456.55</v>
      </c>
      <c r="C357" s="28">
        <f t="shared" si="10"/>
        <v>1.0066371681415954E-2</v>
      </c>
      <c r="I357" s="27">
        <v>44049</v>
      </c>
      <c r="J357" s="14">
        <v>34749.57</v>
      </c>
      <c r="K357" s="28">
        <f t="shared" si="11"/>
        <v>1.1619945258311296E-2</v>
      </c>
    </row>
    <row r="358" spans="1:11" x14ac:dyDescent="0.3">
      <c r="A358" s="23">
        <v>43991</v>
      </c>
      <c r="B358">
        <v>467.98</v>
      </c>
      <c r="C358" s="28">
        <f t="shared" si="10"/>
        <v>2.5035593034716912E-2</v>
      </c>
      <c r="I358" s="27">
        <v>44080</v>
      </c>
      <c r="J358" s="14">
        <v>34803.599999999999</v>
      </c>
      <c r="K358" s="28">
        <f t="shared" si="11"/>
        <v>1.554839383623994E-3</v>
      </c>
    </row>
    <row r="359" spans="1:11" x14ac:dyDescent="0.3">
      <c r="A359" s="23">
        <v>43992</v>
      </c>
      <c r="B359">
        <v>466.21</v>
      </c>
      <c r="C359" s="28">
        <f t="shared" si="10"/>
        <v>-3.7822129150819235E-3</v>
      </c>
      <c r="I359" s="27">
        <v>44110</v>
      </c>
      <c r="J359" s="14">
        <v>35065.08</v>
      </c>
      <c r="K359" s="28">
        <f t="shared" si="11"/>
        <v>7.5130158949075158E-3</v>
      </c>
    </row>
    <row r="360" spans="1:11" x14ac:dyDescent="0.3">
      <c r="A360" s="23">
        <v>43993</v>
      </c>
      <c r="B360">
        <v>477</v>
      </c>
      <c r="C360" s="28">
        <f t="shared" si="10"/>
        <v>2.3144076703631455E-2</v>
      </c>
      <c r="I360" s="27">
        <v>44141</v>
      </c>
      <c r="J360" s="14">
        <v>35128.58</v>
      </c>
      <c r="K360" s="28">
        <f t="shared" si="11"/>
        <v>1.8109184407963704E-3</v>
      </c>
    </row>
    <row r="361" spans="1:11" x14ac:dyDescent="0.3">
      <c r="A361" s="23">
        <v>43994</v>
      </c>
      <c r="B361">
        <v>471</v>
      </c>
      <c r="C361" s="28">
        <f t="shared" si="10"/>
        <v>-1.2578616352201259E-2</v>
      </c>
      <c r="I361" s="27">
        <v>44171</v>
      </c>
      <c r="J361" s="14">
        <v>34609.089999999997</v>
      </c>
      <c r="K361" s="28">
        <f t="shared" si="11"/>
        <v>-1.4788243646626342E-2</v>
      </c>
    </row>
    <row r="362" spans="1:11" x14ac:dyDescent="0.3">
      <c r="A362" s="23">
        <v>43997</v>
      </c>
      <c r="B362">
        <v>455.02</v>
      </c>
      <c r="C362" s="28">
        <f t="shared" si="10"/>
        <v>-3.3927813163481993E-2</v>
      </c>
      <c r="I362" s="26" t="s">
        <v>842</v>
      </c>
      <c r="J362" s="14">
        <v>33824.51</v>
      </c>
      <c r="K362" s="28">
        <f t="shared" si="11"/>
        <v>-2.2669766815596553E-2</v>
      </c>
    </row>
    <row r="363" spans="1:11" x14ac:dyDescent="0.3">
      <c r="A363" s="23">
        <v>43998</v>
      </c>
      <c r="B363">
        <v>454</v>
      </c>
      <c r="C363" s="28">
        <f t="shared" si="10"/>
        <v>-2.2416597072655747E-3</v>
      </c>
      <c r="I363" s="26" t="s">
        <v>841</v>
      </c>
      <c r="J363" s="14">
        <v>34019.120000000003</v>
      </c>
      <c r="K363" s="28">
        <f t="shared" si="11"/>
        <v>5.7535201544678862E-3</v>
      </c>
    </row>
    <row r="364" spans="1:11" x14ac:dyDescent="0.3">
      <c r="A364" s="23">
        <v>43999</v>
      </c>
      <c r="B364">
        <v>448.49</v>
      </c>
      <c r="C364" s="28">
        <f t="shared" si="10"/>
        <v>-1.2136563876651962E-2</v>
      </c>
      <c r="I364" s="26" t="s">
        <v>840</v>
      </c>
      <c r="J364" s="14">
        <v>33848.68</v>
      </c>
      <c r="K364" s="28">
        <f t="shared" si="11"/>
        <v>-5.0101237186618089E-3</v>
      </c>
    </row>
    <row r="365" spans="1:11" x14ac:dyDescent="0.3">
      <c r="A365" s="23">
        <v>44000</v>
      </c>
      <c r="B365">
        <v>447.5</v>
      </c>
      <c r="C365" s="28">
        <f t="shared" si="10"/>
        <v>-2.2074070770808918E-3</v>
      </c>
      <c r="I365" s="26" t="s">
        <v>839</v>
      </c>
      <c r="J365" s="14">
        <v>33539.85</v>
      </c>
      <c r="K365" s="28">
        <f t="shared" si="11"/>
        <v>-9.1238417569016496E-3</v>
      </c>
    </row>
    <row r="366" spans="1:11" x14ac:dyDescent="0.3">
      <c r="A366" s="23">
        <v>44001</v>
      </c>
      <c r="B366">
        <v>438.75</v>
      </c>
      <c r="C366" s="28">
        <f t="shared" si="10"/>
        <v>-1.9553072625698324E-2</v>
      </c>
      <c r="I366" s="26" t="s">
        <v>838</v>
      </c>
      <c r="J366" s="14">
        <v>33438.94</v>
      </c>
      <c r="K366" s="28">
        <f t="shared" si="11"/>
        <v>-3.0086598479121471E-3</v>
      </c>
    </row>
    <row r="367" spans="1:11" x14ac:dyDescent="0.3">
      <c r="A367" s="23">
        <v>44004</v>
      </c>
      <c r="B367">
        <v>442.5</v>
      </c>
      <c r="C367" s="28">
        <f t="shared" si="10"/>
        <v>8.5470085470085479E-3</v>
      </c>
      <c r="I367" s="26" t="s">
        <v>837</v>
      </c>
      <c r="J367" s="14">
        <v>33737.919999999998</v>
      </c>
      <c r="K367" s="28">
        <f t="shared" si="11"/>
        <v>8.9410728928607155E-3</v>
      </c>
    </row>
    <row r="368" spans="1:11" x14ac:dyDescent="0.3">
      <c r="A368" s="23">
        <v>44005</v>
      </c>
      <c r="B368">
        <v>447.5</v>
      </c>
      <c r="C368" s="28">
        <f t="shared" si="10"/>
        <v>1.1299435028248588E-2</v>
      </c>
      <c r="I368" s="26" t="s">
        <v>836</v>
      </c>
      <c r="J368" s="14">
        <v>34052.61</v>
      </c>
      <c r="K368" s="28">
        <f t="shared" si="11"/>
        <v>9.3274866974609686E-3</v>
      </c>
    </row>
    <row r="369" spans="1:11" x14ac:dyDescent="0.3">
      <c r="A369" s="23">
        <v>44006</v>
      </c>
      <c r="B369">
        <v>447</v>
      </c>
      <c r="C369" s="28">
        <f t="shared" si="10"/>
        <v>-1.1173184357541898E-3</v>
      </c>
      <c r="I369" s="26" t="s">
        <v>835</v>
      </c>
      <c r="J369" s="14">
        <v>34034.65</v>
      </c>
      <c r="K369" s="28">
        <f t="shared" si="11"/>
        <v>-5.2741919048199617E-4</v>
      </c>
    </row>
    <row r="370" spans="1:11" x14ac:dyDescent="0.3">
      <c r="A370" s="23">
        <v>44007</v>
      </c>
      <c r="B370">
        <v>441.05</v>
      </c>
      <c r="C370" s="28">
        <f t="shared" si="10"/>
        <v>-1.3310961968680065E-2</v>
      </c>
      <c r="I370" s="26" t="s">
        <v>834</v>
      </c>
      <c r="J370" s="14">
        <v>33709.629999999997</v>
      </c>
      <c r="K370" s="28">
        <f t="shared" si="11"/>
        <v>-9.5496795177856704E-3</v>
      </c>
    </row>
    <row r="371" spans="1:11" x14ac:dyDescent="0.3">
      <c r="A371" s="23">
        <v>44008</v>
      </c>
      <c r="B371">
        <v>453.99</v>
      </c>
      <c r="C371" s="28">
        <f t="shared" si="10"/>
        <v>2.9339077202131272E-2</v>
      </c>
      <c r="I371" s="26" t="s">
        <v>833</v>
      </c>
      <c r="J371" s="14">
        <v>33939.49</v>
      </c>
      <c r="K371" s="28">
        <f t="shared" si="11"/>
        <v>6.8188229891577154E-3</v>
      </c>
    </row>
    <row r="372" spans="1:11" x14ac:dyDescent="0.3">
      <c r="A372" s="23">
        <v>44011</v>
      </c>
      <c r="B372">
        <v>461.01</v>
      </c>
      <c r="C372" s="28">
        <f t="shared" si="10"/>
        <v>1.546289565849464E-2</v>
      </c>
      <c r="I372" s="26" t="s">
        <v>832</v>
      </c>
      <c r="J372" s="14">
        <v>34181.800000000003</v>
      </c>
      <c r="K372" s="28">
        <f t="shared" si="11"/>
        <v>7.1394708641763609E-3</v>
      </c>
    </row>
    <row r="373" spans="1:11" x14ac:dyDescent="0.3">
      <c r="A373" s="23">
        <v>44012</v>
      </c>
      <c r="B373">
        <v>462.01</v>
      </c>
      <c r="C373" s="28">
        <f t="shared" si="10"/>
        <v>2.1691503438103295E-3</v>
      </c>
      <c r="I373" s="26" t="s">
        <v>831</v>
      </c>
      <c r="J373" s="14">
        <v>34421.919999999998</v>
      </c>
      <c r="K373" s="28">
        <f t="shared" si="11"/>
        <v>7.0247909706333579E-3</v>
      </c>
    </row>
    <row r="374" spans="1:11" x14ac:dyDescent="0.3">
      <c r="A374" s="23">
        <v>44013</v>
      </c>
      <c r="B374">
        <v>494.89</v>
      </c>
      <c r="C374" s="28">
        <f t="shared" si="10"/>
        <v>7.1167290751282433E-2</v>
      </c>
      <c r="I374" s="27">
        <v>43837</v>
      </c>
      <c r="J374" s="14">
        <v>34889.410000000003</v>
      </c>
      <c r="K374" s="28">
        <f t="shared" si="11"/>
        <v>1.3581171532558476E-2</v>
      </c>
    </row>
    <row r="375" spans="1:11" x14ac:dyDescent="0.3">
      <c r="A375" s="23">
        <v>44014</v>
      </c>
      <c r="B375">
        <v>491.5</v>
      </c>
      <c r="C375" s="28">
        <f t="shared" si="10"/>
        <v>-6.8500070722786605E-3</v>
      </c>
      <c r="I375" s="27">
        <v>43868</v>
      </c>
      <c r="J375" s="14">
        <v>34978.18</v>
      </c>
      <c r="K375" s="28">
        <f t="shared" si="11"/>
        <v>2.5443250545078518E-3</v>
      </c>
    </row>
    <row r="376" spans="1:11" x14ac:dyDescent="0.3">
      <c r="A376" s="23">
        <v>44015</v>
      </c>
      <c r="B376">
        <v>489.15</v>
      </c>
      <c r="C376" s="28">
        <f t="shared" si="10"/>
        <v>-4.7812817904374829E-3</v>
      </c>
      <c r="I376" s="27">
        <v>43897</v>
      </c>
      <c r="J376" s="14">
        <v>35051.379999999997</v>
      </c>
      <c r="K376" s="28">
        <f t="shared" si="11"/>
        <v>2.0927332411233828E-3</v>
      </c>
    </row>
    <row r="377" spans="1:11" x14ac:dyDescent="0.3">
      <c r="A377" s="23">
        <v>44018</v>
      </c>
      <c r="B377">
        <v>491</v>
      </c>
      <c r="C377" s="28">
        <f t="shared" si="10"/>
        <v>3.7820709393846935E-3</v>
      </c>
      <c r="I377" s="27">
        <v>43989</v>
      </c>
      <c r="J377" s="14">
        <v>35202.769999999997</v>
      </c>
      <c r="K377" s="28">
        <f t="shared" si="11"/>
        <v>4.3190881500243198E-3</v>
      </c>
    </row>
    <row r="378" spans="1:11" x14ac:dyDescent="0.3">
      <c r="A378" s="23">
        <v>44019</v>
      </c>
      <c r="B378">
        <v>494</v>
      </c>
      <c r="C378" s="28">
        <f t="shared" si="10"/>
        <v>6.1099796334012219E-3</v>
      </c>
      <c r="I378" s="27">
        <v>44019</v>
      </c>
      <c r="J378" s="14">
        <v>35373.35</v>
      </c>
      <c r="K378" s="28">
        <f t="shared" si="11"/>
        <v>4.8456414083324056E-3</v>
      </c>
    </row>
    <row r="379" spans="1:11" x14ac:dyDescent="0.3">
      <c r="A379" s="23">
        <v>44020</v>
      </c>
      <c r="B379">
        <v>489.5</v>
      </c>
      <c r="C379" s="28">
        <f t="shared" si="10"/>
        <v>-9.1093117408906875E-3</v>
      </c>
      <c r="I379" s="27">
        <v>44050</v>
      </c>
      <c r="J379" s="14">
        <v>35694.89</v>
      </c>
      <c r="K379" s="28">
        <f t="shared" si="11"/>
        <v>9.0898939455833529E-3</v>
      </c>
    </row>
    <row r="380" spans="1:11" x14ac:dyDescent="0.3">
      <c r="A380" s="23">
        <v>44021</v>
      </c>
      <c r="B380">
        <v>488</v>
      </c>
      <c r="C380" s="28">
        <f t="shared" si="10"/>
        <v>-3.0643513789581204E-3</v>
      </c>
      <c r="I380" s="27">
        <v>44081</v>
      </c>
      <c r="J380" s="14">
        <v>36142.17</v>
      </c>
      <c r="K380" s="28">
        <f t="shared" si="11"/>
        <v>1.2530645142764099E-2</v>
      </c>
    </row>
    <row r="381" spans="1:11" x14ac:dyDescent="0.3">
      <c r="A381" s="23">
        <v>44022</v>
      </c>
      <c r="B381">
        <v>497</v>
      </c>
      <c r="C381" s="28">
        <f t="shared" si="10"/>
        <v>1.8442622950819672E-2</v>
      </c>
      <c r="I381" s="27">
        <v>44111</v>
      </c>
      <c r="J381" s="14">
        <v>36190.400000000001</v>
      </c>
      <c r="K381" s="28">
        <f t="shared" si="11"/>
        <v>1.3344522478866987E-3</v>
      </c>
    </row>
    <row r="382" spans="1:11" x14ac:dyDescent="0.3">
      <c r="A382" s="23">
        <v>44025</v>
      </c>
      <c r="B382">
        <v>514.41</v>
      </c>
      <c r="C382" s="28">
        <f t="shared" si="10"/>
        <v>3.5030181086519049E-2</v>
      </c>
      <c r="I382" s="26" t="s">
        <v>830</v>
      </c>
      <c r="J382" s="14">
        <v>36618.57</v>
      </c>
      <c r="K382" s="28">
        <f t="shared" si="11"/>
        <v>1.1831038065343247E-2</v>
      </c>
    </row>
    <row r="383" spans="1:11" x14ac:dyDescent="0.3">
      <c r="A383" s="23">
        <v>44026</v>
      </c>
      <c r="B383">
        <v>511</v>
      </c>
      <c r="C383" s="28">
        <f t="shared" si="10"/>
        <v>-6.6289535584455363E-3</v>
      </c>
      <c r="I383" s="26" t="s">
        <v>829</v>
      </c>
      <c r="J383" s="14">
        <v>36745.22</v>
      </c>
      <c r="K383" s="28">
        <f t="shared" si="11"/>
        <v>3.4586276853520348E-3</v>
      </c>
    </row>
    <row r="384" spans="1:11" x14ac:dyDescent="0.3">
      <c r="A384" s="23">
        <v>44027</v>
      </c>
      <c r="B384">
        <v>512.49</v>
      </c>
      <c r="C384" s="28">
        <f t="shared" si="10"/>
        <v>2.9158512720156736E-3</v>
      </c>
      <c r="I384" s="26" t="s">
        <v>828</v>
      </c>
      <c r="J384" s="14">
        <v>36679.03</v>
      </c>
      <c r="K384" s="28">
        <f t="shared" si="11"/>
        <v>-1.801322729868057E-3</v>
      </c>
    </row>
    <row r="385" spans="1:11" x14ac:dyDescent="0.3">
      <c r="A385" s="23">
        <v>44028</v>
      </c>
      <c r="B385">
        <v>526.01</v>
      </c>
      <c r="C385" s="28">
        <f t="shared" si="10"/>
        <v>2.63810025561474E-2</v>
      </c>
      <c r="I385" s="26" t="s">
        <v>827</v>
      </c>
      <c r="J385" s="14">
        <v>37001.440000000002</v>
      </c>
      <c r="K385" s="28">
        <f t="shared" si="11"/>
        <v>8.790036159625909E-3</v>
      </c>
    </row>
    <row r="386" spans="1:11" x14ac:dyDescent="0.3">
      <c r="A386" s="23">
        <v>44029</v>
      </c>
      <c r="B386">
        <v>525.84</v>
      </c>
      <c r="C386" s="28">
        <f t="shared" si="10"/>
        <v>-3.2318777209550971E-4</v>
      </c>
      <c r="I386" s="26" t="s">
        <v>826</v>
      </c>
      <c r="J386" s="14">
        <v>37330.85</v>
      </c>
      <c r="K386" s="28">
        <f t="shared" si="11"/>
        <v>8.9026264923742476E-3</v>
      </c>
    </row>
    <row r="387" spans="1:11" x14ac:dyDescent="0.3">
      <c r="A387" s="23">
        <v>44032</v>
      </c>
      <c r="B387">
        <v>532</v>
      </c>
      <c r="C387" s="28">
        <f t="shared" si="10"/>
        <v>1.1714589989350311E-2</v>
      </c>
      <c r="I387" s="26" t="s">
        <v>825</v>
      </c>
      <c r="J387" s="14">
        <v>37650.57</v>
      </c>
      <c r="K387" s="28">
        <f t="shared" si="11"/>
        <v>8.5644982635005949E-3</v>
      </c>
    </row>
    <row r="388" spans="1:11" x14ac:dyDescent="0.3">
      <c r="A388" s="23">
        <v>44033</v>
      </c>
      <c r="B388">
        <v>537</v>
      </c>
      <c r="C388" s="28">
        <f t="shared" si="10"/>
        <v>9.3984962406015032E-3</v>
      </c>
      <c r="I388" s="26" t="s">
        <v>824</v>
      </c>
      <c r="J388" s="14">
        <v>37700.31</v>
      </c>
      <c r="K388" s="28">
        <f t="shared" si="11"/>
        <v>1.3210955371989843E-3</v>
      </c>
    </row>
    <row r="389" spans="1:11" x14ac:dyDescent="0.3">
      <c r="A389" s="23">
        <v>44034</v>
      </c>
      <c r="B389">
        <v>555.29999999999995</v>
      </c>
      <c r="C389" s="28">
        <f t="shared" si="10"/>
        <v>3.4078212290502709E-2</v>
      </c>
      <c r="I389" s="26" t="s">
        <v>823</v>
      </c>
      <c r="J389" s="14">
        <v>37804.61</v>
      </c>
      <c r="K389" s="28">
        <f t="shared" si="11"/>
        <v>2.7665555004720895E-3</v>
      </c>
    </row>
    <row r="390" spans="1:11" x14ac:dyDescent="0.3">
      <c r="A390" s="23">
        <v>44035</v>
      </c>
      <c r="B390">
        <v>540</v>
      </c>
      <c r="C390" s="28">
        <f t="shared" ref="C390:C453" si="12">(B390-B389)/B389</f>
        <v>-2.7552674230145787E-2</v>
      </c>
      <c r="I390" s="26" t="s">
        <v>822</v>
      </c>
      <c r="J390" s="14">
        <v>37578.21</v>
      </c>
      <c r="K390" s="28">
        <f t="shared" ref="K390:K453" si="13">(J390-J389)/J389</f>
        <v>-5.9886876230174427E-3</v>
      </c>
    </row>
    <row r="391" spans="1:11" x14ac:dyDescent="0.3">
      <c r="A391" s="23">
        <v>44036</v>
      </c>
      <c r="B391">
        <v>531.1</v>
      </c>
      <c r="C391" s="28">
        <f t="shared" si="12"/>
        <v>-1.6481481481481441E-2</v>
      </c>
      <c r="I391" s="26" t="s">
        <v>821</v>
      </c>
      <c r="J391" s="14">
        <v>37607.620000000003</v>
      </c>
      <c r="K391" s="28">
        <f t="shared" si="13"/>
        <v>7.8263440435304111E-4</v>
      </c>
    </row>
    <row r="392" spans="1:11" x14ac:dyDescent="0.3">
      <c r="A392" s="23">
        <v>44039</v>
      </c>
      <c r="B392">
        <v>546.13</v>
      </c>
      <c r="C392" s="28">
        <f t="shared" si="12"/>
        <v>2.8299755225004653E-2</v>
      </c>
      <c r="I392" s="26" t="s">
        <v>820</v>
      </c>
      <c r="J392" s="14">
        <v>38221.160000000003</v>
      </c>
      <c r="K392" s="28">
        <f t="shared" si="13"/>
        <v>1.6314246953144092E-2</v>
      </c>
    </row>
    <row r="393" spans="1:11" x14ac:dyDescent="0.3">
      <c r="A393" s="23">
        <v>44040</v>
      </c>
      <c r="B393">
        <v>560.99</v>
      </c>
      <c r="C393" s="28">
        <f t="shared" si="12"/>
        <v>2.7209638730705168E-2</v>
      </c>
      <c r="I393" s="26" t="s">
        <v>819</v>
      </c>
      <c r="J393" s="14">
        <v>38627.269999999997</v>
      </c>
      <c r="K393" s="28">
        <f t="shared" si="13"/>
        <v>1.0625266213793439E-2</v>
      </c>
    </row>
    <row r="394" spans="1:11" x14ac:dyDescent="0.3">
      <c r="A394" s="23">
        <v>44041</v>
      </c>
      <c r="B394">
        <v>571.9</v>
      </c>
      <c r="C394" s="28">
        <f t="shared" si="12"/>
        <v>1.9447761992192319E-2</v>
      </c>
      <c r="I394" s="26" t="s">
        <v>818</v>
      </c>
      <c r="J394" s="14">
        <v>38836.269999999997</v>
      </c>
      <c r="K394" s="28">
        <f t="shared" si="13"/>
        <v>5.4106852490481468E-3</v>
      </c>
    </row>
    <row r="395" spans="1:11" x14ac:dyDescent="0.3">
      <c r="A395" s="23">
        <v>44042</v>
      </c>
      <c r="B395">
        <v>582.01</v>
      </c>
      <c r="C395" s="28">
        <f t="shared" si="12"/>
        <v>1.7677915719531413E-2</v>
      </c>
      <c r="I395" s="26" t="s">
        <v>817</v>
      </c>
      <c r="J395" s="14">
        <v>39258.44</v>
      </c>
      <c r="K395" s="28">
        <f t="shared" si="13"/>
        <v>1.0870508419063046E-2</v>
      </c>
    </row>
    <row r="396" spans="1:11" x14ac:dyDescent="0.3">
      <c r="A396" s="23">
        <v>44046</v>
      </c>
      <c r="B396">
        <v>600</v>
      </c>
      <c r="C396" s="28">
        <f t="shared" si="12"/>
        <v>3.0910121819212745E-2</v>
      </c>
      <c r="I396" s="27">
        <v>43898</v>
      </c>
      <c r="J396" s="14">
        <v>39871.61</v>
      </c>
      <c r="K396" s="28">
        <f t="shared" si="13"/>
        <v>1.5618807064162464E-2</v>
      </c>
    </row>
    <row r="397" spans="1:11" x14ac:dyDescent="0.3">
      <c r="A397" s="23">
        <v>44047</v>
      </c>
      <c r="B397">
        <v>582.5</v>
      </c>
      <c r="C397" s="28">
        <f t="shared" si="12"/>
        <v>-2.9166666666666667E-2</v>
      </c>
      <c r="I397" s="27">
        <v>43929</v>
      </c>
      <c r="J397" s="14">
        <v>39577.620000000003</v>
      </c>
      <c r="K397" s="28">
        <f t="shared" si="13"/>
        <v>-7.3734168246528788E-3</v>
      </c>
    </row>
    <row r="398" spans="1:11" x14ac:dyDescent="0.3">
      <c r="A398" s="23">
        <v>44048</v>
      </c>
      <c r="B398">
        <v>600</v>
      </c>
      <c r="C398" s="28">
        <f t="shared" si="12"/>
        <v>3.0042918454935622E-2</v>
      </c>
      <c r="I398" s="27">
        <v>43959</v>
      </c>
      <c r="J398" s="14">
        <v>39882.78</v>
      </c>
      <c r="K398" s="28">
        <f t="shared" si="13"/>
        <v>7.7104181605664058E-3</v>
      </c>
    </row>
    <row r="399" spans="1:11" x14ac:dyDescent="0.3">
      <c r="A399" s="23">
        <v>44049</v>
      </c>
      <c r="B399">
        <v>603</v>
      </c>
      <c r="C399" s="28">
        <f t="shared" si="12"/>
        <v>5.0000000000000001E-3</v>
      </c>
      <c r="I399" s="27">
        <v>43990</v>
      </c>
      <c r="J399" s="14">
        <v>40166.120000000003</v>
      </c>
      <c r="K399" s="28">
        <f t="shared" si="13"/>
        <v>7.1043192074374904E-3</v>
      </c>
    </row>
    <row r="400" spans="1:11" x14ac:dyDescent="0.3">
      <c r="A400" s="23">
        <v>44050</v>
      </c>
      <c r="B400">
        <v>598.99</v>
      </c>
      <c r="C400" s="28">
        <f t="shared" si="12"/>
        <v>-6.6500829187396198E-3</v>
      </c>
      <c r="I400" s="27">
        <v>44020</v>
      </c>
      <c r="J400" s="14">
        <v>40029.69</v>
      </c>
      <c r="K400" s="28">
        <f t="shared" si="13"/>
        <v>-3.3966437385537932E-3</v>
      </c>
    </row>
    <row r="401" spans="1:11" x14ac:dyDescent="0.3">
      <c r="A401" s="23">
        <v>44053</v>
      </c>
      <c r="B401">
        <v>605.02</v>
      </c>
      <c r="C401" s="28">
        <f t="shared" si="12"/>
        <v>1.0066946025810068E-2</v>
      </c>
      <c r="I401" s="27">
        <v>44112</v>
      </c>
      <c r="J401" s="14">
        <v>39914.76</v>
      </c>
      <c r="K401" s="28">
        <f t="shared" si="13"/>
        <v>-2.8711189119875842E-3</v>
      </c>
    </row>
    <row r="402" spans="1:11" x14ac:dyDescent="0.3">
      <c r="A402" s="23">
        <v>44054</v>
      </c>
      <c r="B402">
        <v>617</v>
      </c>
      <c r="C402" s="28">
        <f t="shared" si="12"/>
        <v>1.980099831410535E-2</v>
      </c>
      <c r="I402" s="27">
        <v>44143</v>
      </c>
      <c r="J402" s="14">
        <v>40559.15</v>
      </c>
      <c r="K402" s="28">
        <f t="shared" si="13"/>
        <v>1.6144153190448832E-2</v>
      </c>
    </row>
    <row r="403" spans="1:11" x14ac:dyDescent="0.3">
      <c r="A403" s="23">
        <v>44055</v>
      </c>
      <c r="B403">
        <v>609.77</v>
      </c>
      <c r="C403" s="28">
        <f t="shared" si="12"/>
        <v>-1.1717990275526773E-2</v>
      </c>
      <c r="I403" s="27">
        <v>44173</v>
      </c>
      <c r="J403" s="14">
        <v>40473.18</v>
      </c>
      <c r="K403" s="28">
        <f t="shared" si="13"/>
        <v>-2.1196203569355167E-3</v>
      </c>
    </row>
    <row r="404" spans="1:11" x14ac:dyDescent="0.3">
      <c r="A404" s="23">
        <v>44056</v>
      </c>
      <c r="B404">
        <v>612</v>
      </c>
      <c r="C404" s="28">
        <f t="shared" si="12"/>
        <v>3.6571166177411453E-3</v>
      </c>
      <c r="I404" s="26" t="s">
        <v>816</v>
      </c>
      <c r="J404" s="14">
        <v>40290.74</v>
      </c>
      <c r="K404" s="28">
        <f t="shared" si="13"/>
        <v>-4.507676441534921E-3</v>
      </c>
    </row>
    <row r="405" spans="1:11" x14ac:dyDescent="0.3">
      <c r="A405" s="23">
        <v>44060</v>
      </c>
      <c r="B405">
        <v>602.4</v>
      </c>
      <c r="C405" s="28">
        <f t="shared" si="12"/>
        <v>-1.568627450980396E-2</v>
      </c>
      <c r="I405" s="26" t="s">
        <v>815</v>
      </c>
      <c r="J405" s="14">
        <v>40122.5</v>
      </c>
      <c r="K405" s="28">
        <f t="shared" si="13"/>
        <v>-4.1756492931129575E-3</v>
      </c>
    </row>
    <row r="406" spans="1:11" x14ac:dyDescent="0.3">
      <c r="A406" s="23">
        <v>44061</v>
      </c>
      <c r="B406">
        <v>608.5</v>
      </c>
      <c r="C406" s="28">
        <f t="shared" si="12"/>
        <v>1.0126162018592335E-2</v>
      </c>
      <c r="I406" s="26" t="s">
        <v>814</v>
      </c>
      <c r="J406" s="14">
        <v>40184.01</v>
      </c>
      <c r="K406" s="28">
        <f t="shared" si="13"/>
        <v>1.5330550190043501E-3</v>
      </c>
    </row>
    <row r="407" spans="1:11" x14ac:dyDescent="0.3">
      <c r="A407" s="23">
        <v>44062</v>
      </c>
      <c r="B407">
        <v>610</v>
      </c>
      <c r="C407" s="28">
        <f t="shared" si="12"/>
        <v>2.4650780608052587E-3</v>
      </c>
      <c r="I407" s="26" t="s">
        <v>813</v>
      </c>
      <c r="J407" s="14">
        <v>40154.11</v>
      </c>
      <c r="K407" s="28">
        <f t="shared" si="13"/>
        <v>-7.4407705950703905E-4</v>
      </c>
    </row>
    <row r="408" spans="1:11" x14ac:dyDescent="0.3">
      <c r="A408" s="23">
        <v>44063</v>
      </c>
      <c r="B408">
        <v>603</v>
      </c>
      <c r="C408" s="28">
        <f t="shared" si="12"/>
        <v>-1.1475409836065573E-2</v>
      </c>
      <c r="I408" s="26" t="s">
        <v>812</v>
      </c>
      <c r="J408" s="14">
        <v>39868.550000000003</v>
      </c>
      <c r="K408" s="28">
        <f t="shared" si="13"/>
        <v>-7.1116007800944327E-3</v>
      </c>
    </row>
    <row r="409" spans="1:11" x14ac:dyDescent="0.3">
      <c r="A409" s="23">
        <v>44064</v>
      </c>
      <c r="B409">
        <v>597.86</v>
      </c>
      <c r="C409" s="28">
        <f t="shared" si="12"/>
        <v>-8.5240464344941737E-3</v>
      </c>
      <c r="I409" s="26" t="s">
        <v>811</v>
      </c>
      <c r="J409" s="14">
        <v>39621.589999999997</v>
      </c>
      <c r="K409" s="28">
        <f t="shared" si="13"/>
        <v>-6.1943562030725065E-3</v>
      </c>
    </row>
    <row r="410" spans="1:11" x14ac:dyDescent="0.3">
      <c r="A410" s="23">
        <v>44067</v>
      </c>
      <c r="B410">
        <v>614.01</v>
      </c>
      <c r="C410" s="28">
        <f t="shared" si="12"/>
        <v>2.7013013079985243E-2</v>
      </c>
      <c r="I410" s="26" t="s">
        <v>810</v>
      </c>
      <c r="J410" s="14">
        <v>39802.6</v>
      </c>
      <c r="K410" s="28">
        <f t="shared" si="13"/>
        <v>4.568468857509304E-3</v>
      </c>
    </row>
    <row r="411" spans="1:11" x14ac:dyDescent="0.3">
      <c r="A411" s="23">
        <v>44068</v>
      </c>
      <c r="B411">
        <v>607.5</v>
      </c>
      <c r="C411" s="28">
        <f t="shared" si="12"/>
        <v>-1.0602433185127264E-2</v>
      </c>
      <c r="I411" s="26" t="s">
        <v>809</v>
      </c>
      <c r="J411" s="14">
        <v>40292.82</v>
      </c>
      <c r="K411" s="28">
        <f t="shared" si="13"/>
        <v>1.2316280845974916E-2</v>
      </c>
    </row>
    <row r="412" spans="1:11" x14ac:dyDescent="0.3">
      <c r="A412" s="23">
        <v>44069</v>
      </c>
      <c r="B412">
        <v>607.9</v>
      </c>
      <c r="C412" s="28">
        <f t="shared" si="12"/>
        <v>6.5843621399173209E-4</v>
      </c>
      <c r="I412" s="26" t="s">
        <v>808</v>
      </c>
      <c r="J412" s="14">
        <v>40862.589999999997</v>
      </c>
      <c r="K412" s="28">
        <f t="shared" si="13"/>
        <v>1.4140732765787969E-2</v>
      </c>
    </row>
    <row r="413" spans="1:11" x14ac:dyDescent="0.3">
      <c r="A413" s="23">
        <v>44070</v>
      </c>
      <c r="B413">
        <v>608</v>
      </c>
      <c r="C413" s="28">
        <f t="shared" si="12"/>
        <v>1.6450074025336855E-4</v>
      </c>
      <c r="I413" s="26" t="s">
        <v>807</v>
      </c>
      <c r="J413" s="14">
        <v>41081.94</v>
      </c>
      <c r="K413" s="28">
        <f t="shared" si="13"/>
        <v>5.367990624187205E-3</v>
      </c>
    </row>
    <row r="414" spans="1:11" x14ac:dyDescent="0.3">
      <c r="A414" s="23">
        <v>44071</v>
      </c>
      <c r="B414">
        <v>604.95000000000005</v>
      </c>
      <c r="C414" s="28">
        <f t="shared" si="12"/>
        <v>-5.016447368420978E-3</v>
      </c>
      <c r="I414" s="26" t="s">
        <v>806</v>
      </c>
      <c r="J414" s="14">
        <v>41056.22</v>
      </c>
      <c r="K414" s="28">
        <f t="shared" si="13"/>
        <v>-6.2606585764939928E-4</v>
      </c>
    </row>
    <row r="415" spans="1:11" x14ac:dyDescent="0.3">
      <c r="A415" s="23">
        <v>44074</v>
      </c>
      <c r="B415">
        <v>614</v>
      </c>
      <c r="C415" s="28">
        <f t="shared" si="12"/>
        <v>1.4959914042482774E-2</v>
      </c>
      <c r="I415" s="26" t="s">
        <v>805</v>
      </c>
      <c r="J415" s="14">
        <v>41110.93</v>
      </c>
      <c r="K415" s="28">
        <f t="shared" si="13"/>
        <v>1.3325630075052971E-3</v>
      </c>
    </row>
    <row r="416" spans="1:11" x14ac:dyDescent="0.3">
      <c r="A416" s="23">
        <v>44075</v>
      </c>
      <c r="B416">
        <v>615.1</v>
      </c>
      <c r="C416" s="28">
        <f t="shared" si="12"/>
        <v>1.7915309446254442E-3</v>
      </c>
      <c r="I416" s="27">
        <v>43839</v>
      </c>
      <c r="J416" s="14">
        <v>41377.26</v>
      </c>
      <c r="K416" s="28">
        <f t="shared" si="13"/>
        <v>6.4783258369489997E-3</v>
      </c>
    </row>
    <row r="417" spans="1:11" x14ac:dyDescent="0.3">
      <c r="A417" s="23">
        <v>44076</v>
      </c>
      <c r="B417">
        <v>616</v>
      </c>
      <c r="C417" s="28">
        <f t="shared" si="12"/>
        <v>1.463176719232608E-3</v>
      </c>
      <c r="I417" s="27">
        <v>43870</v>
      </c>
      <c r="J417" s="14">
        <v>41834.85</v>
      </c>
      <c r="K417" s="28">
        <f t="shared" si="13"/>
        <v>1.1058972972110684E-2</v>
      </c>
    </row>
    <row r="418" spans="1:11" x14ac:dyDescent="0.3">
      <c r="A418" s="23">
        <v>44077</v>
      </c>
      <c r="B418">
        <v>621</v>
      </c>
      <c r="C418" s="28">
        <f t="shared" si="12"/>
        <v>8.1168831168831161E-3</v>
      </c>
      <c r="I418" s="27">
        <v>43899</v>
      </c>
      <c r="J418" s="14">
        <v>42188.11</v>
      </c>
      <c r="K418" s="28">
        <f t="shared" si="13"/>
        <v>8.4441560086865874E-3</v>
      </c>
    </row>
    <row r="419" spans="1:11" x14ac:dyDescent="0.3">
      <c r="A419" s="23">
        <v>44078</v>
      </c>
      <c r="B419">
        <v>614.44000000000005</v>
      </c>
      <c r="C419" s="28">
        <f t="shared" si="12"/>
        <v>-1.0563607085346129E-2</v>
      </c>
      <c r="I419" s="27">
        <v>43930</v>
      </c>
      <c r="J419" s="14">
        <v>42023</v>
      </c>
      <c r="K419" s="28">
        <f t="shared" si="13"/>
        <v>-3.9136619298660354E-3</v>
      </c>
    </row>
    <row r="420" spans="1:11" x14ac:dyDescent="0.3">
      <c r="A420" s="23">
        <v>44081</v>
      </c>
      <c r="B420">
        <v>629</v>
      </c>
      <c r="C420" s="28">
        <f t="shared" si="12"/>
        <v>2.3696373933988581E-2</v>
      </c>
      <c r="I420" s="27">
        <v>44021</v>
      </c>
      <c r="J420" s="14">
        <v>42295.75</v>
      </c>
      <c r="K420" s="28">
        <f t="shared" si="13"/>
        <v>6.49049330128739E-3</v>
      </c>
    </row>
    <row r="421" spans="1:11" x14ac:dyDescent="0.3">
      <c r="A421" s="23">
        <v>44082</v>
      </c>
      <c r="B421">
        <v>637</v>
      </c>
      <c r="C421" s="28">
        <f t="shared" si="12"/>
        <v>1.2718600953895072E-2</v>
      </c>
      <c r="I421" s="27">
        <v>44052</v>
      </c>
      <c r="J421" s="14">
        <v>41985.19</v>
      </c>
      <c r="K421" s="28">
        <f t="shared" si="13"/>
        <v>-7.3425817014711329E-3</v>
      </c>
    </row>
    <row r="422" spans="1:11" x14ac:dyDescent="0.3">
      <c r="A422" s="23">
        <v>44083</v>
      </c>
      <c r="B422">
        <v>645</v>
      </c>
      <c r="C422" s="28">
        <f t="shared" si="12"/>
        <v>1.2558869701726845E-2</v>
      </c>
      <c r="I422" s="27">
        <v>44083</v>
      </c>
      <c r="J422" s="14">
        <v>42022.25</v>
      </c>
      <c r="K422" s="28">
        <f t="shared" si="13"/>
        <v>8.8269220646608167E-4</v>
      </c>
    </row>
    <row r="423" spans="1:11" x14ac:dyDescent="0.3">
      <c r="A423" s="23">
        <v>44084</v>
      </c>
      <c r="B423">
        <v>665.51</v>
      </c>
      <c r="C423" s="28">
        <f t="shared" si="12"/>
        <v>3.1798449612403086E-2</v>
      </c>
      <c r="I423" s="27">
        <v>44113</v>
      </c>
      <c r="J423" s="14">
        <v>42647.35</v>
      </c>
      <c r="K423" s="28">
        <f t="shared" si="13"/>
        <v>1.4875452885078704E-2</v>
      </c>
    </row>
    <row r="424" spans="1:11" x14ac:dyDescent="0.3">
      <c r="A424" s="23">
        <v>44085</v>
      </c>
      <c r="B424">
        <v>657.37</v>
      </c>
      <c r="C424" s="28">
        <f t="shared" si="12"/>
        <v>-1.2231221168727721E-2</v>
      </c>
      <c r="I424" s="27">
        <v>44144</v>
      </c>
      <c r="J424" s="14">
        <v>42530.67</v>
      </c>
      <c r="K424" s="28">
        <f t="shared" si="13"/>
        <v>-2.735926147814584E-3</v>
      </c>
    </row>
    <row r="425" spans="1:11" x14ac:dyDescent="0.3">
      <c r="A425" s="23">
        <v>44088</v>
      </c>
      <c r="B425">
        <v>658</v>
      </c>
      <c r="C425" s="28">
        <f t="shared" si="12"/>
        <v>9.5836439143860447E-4</v>
      </c>
      <c r="I425" s="26" t="s">
        <v>804</v>
      </c>
      <c r="J425" s="14">
        <v>42531.31</v>
      </c>
      <c r="K425" s="28">
        <f t="shared" si="13"/>
        <v>1.5047964210284436E-5</v>
      </c>
    </row>
    <row r="426" spans="1:11" x14ac:dyDescent="0.3">
      <c r="A426" s="23">
        <v>44089</v>
      </c>
      <c r="B426">
        <v>654</v>
      </c>
      <c r="C426" s="28">
        <f t="shared" si="12"/>
        <v>-6.0790273556231003E-3</v>
      </c>
      <c r="I426" s="26" t="s">
        <v>803</v>
      </c>
      <c r="J426" s="14">
        <v>42346.42</v>
      </c>
      <c r="K426" s="28">
        <f t="shared" si="13"/>
        <v>-4.3471503699274586E-3</v>
      </c>
    </row>
    <row r="427" spans="1:11" x14ac:dyDescent="0.3">
      <c r="A427" s="23">
        <v>44090</v>
      </c>
      <c r="B427">
        <v>663.9</v>
      </c>
      <c r="C427" s="28">
        <f t="shared" si="12"/>
        <v>1.5137614678899047E-2</v>
      </c>
      <c r="I427" s="26" t="s">
        <v>802</v>
      </c>
      <c r="J427" s="14">
        <v>42282.28</v>
      </c>
      <c r="K427" s="28">
        <f t="shared" si="13"/>
        <v>-1.5146498806746691E-3</v>
      </c>
    </row>
    <row r="428" spans="1:11" x14ac:dyDescent="0.3">
      <c r="A428" s="23">
        <v>44091</v>
      </c>
      <c r="B428">
        <v>665</v>
      </c>
      <c r="C428" s="28">
        <f t="shared" si="12"/>
        <v>1.6568760355475565E-3</v>
      </c>
      <c r="I428" s="26" t="s">
        <v>801</v>
      </c>
      <c r="J428" s="14">
        <v>42334.76</v>
      </c>
      <c r="K428" s="28">
        <f t="shared" si="13"/>
        <v>1.2411818851775071E-3</v>
      </c>
    </row>
    <row r="429" spans="1:11" x14ac:dyDescent="0.3">
      <c r="A429" s="23">
        <v>44092</v>
      </c>
      <c r="B429">
        <v>661.1</v>
      </c>
      <c r="C429" s="28">
        <f t="shared" si="12"/>
        <v>-5.8646616541353043E-3</v>
      </c>
      <c r="I429" s="26" t="s">
        <v>800</v>
      </c>
      <c r="J429" s="14">
        <v>42504.76</v>
      </c>
      <c r="K429" s="28">
        <f t="shared" si="13"/>
        <v>4.0156127021860992E-3</v>
      </c>
    </row>
    <row r="430" spans="1:11" x14ac:dyDescent="0.3">
      <c r="A430" s="23">
        <v>44095</v>
      </c>
      <c r="B430">
        <v>662</v>
      </c>
      <c r="C430" s="28">
        <f t="shared" si="12"/>
        <v>1.3613674179397629E-3</v>
      </c>
      <c r="I430" s="26" t="s">
        <v>799</v>
      </c>
      <c r="J430" s="14">
        <v>42174.13</v>
      </c>
      <c r="K430" s="28">
        <f t="shared" si="13"/>
        <v>-7.7786582020461861E-3</v>
      </c>
    </row>
    <row r="431" spans="1:11" x14ac:dyDescent="0.3">
      <c r="A431" s="23">
        <v>44096</v>
      </c>
      <c r="B431">
        <v>661</v>
      </c>
      <c r="C431" s="28">
        <f t="shared" si="12"/>
        <v>-1.5105740181268882E-3</v>
      </c>
      <c r="I431" s="26" t="s">
        <v>798</v>
      </c>
      <c r="J431" s="14">
        <v>41828.910000000003</v>
      </c>
      <c r="K431" s="28">
        <f t="shared" si="13"/>
        <v>-8.1855867566205612E-3</v>
      </c>
    </row>
    <row r="432" spans="1:11" x14ac:dyDescent="0.3">
      <c r="A432" s="23">
        <v>44097</v>
      </c>
      <c r="B432">
        <v>658</v>
      </c>
      <c r="C432" s="28">
        <f t="shared" si="12"/>
        <v>-4.5385779122541605E-3</v>
      </c>
      <c r="I432" s="26" t="s">
        <v>797</v>
      </c>
      <c r="J432" s="14">
        <v>41876.26</v>
      </c>
      <c r="K432" s="28">
        <f t="shared" si="13"/>
        <v>1.1319922034783727E-3</v>
      </c>
    </row>
    <row r="433" spans="1:11" x14ac:dyDescent="0.3">
      <c r="A433" s="23">
        <v>44098</v>
      </c>
      <c r="B433">
        <v>663.99</v>
      </c>
      <c r="C433" s="28">
        <f t="shared" si="12"/>
        <v>9.103343465045606E-3</v>
      </c>
      <c r="I433" s="26" t="s">
        <v>796</v>
      </c>
      <c r="J433" s="14">
        <v>41806.370000000003</v>
      </c>
      <c r="K433" s="28">
        <f t="shared" si="13"/>
        <v>-1.6689647069723851E-3</v>
      </c>
    </row>
    <row r="434" spans="1:11" x14ac:dyDescent="0.3">
      <c r="A434" s="23">
        <v>44099</v>
      </c>
      <c r="B434">
        <v>650.45000000000005</v>
      </c>
      <c r="C434" s="28">
        <f t="shared" si="12"/>
        <v>-2.0391873371586867E-2</v>
      </c>
      <c r="I434" s="26" t="s">
        <v>795</v>
      </c>
      <c r="J434" s="14">
        <v>41701.230000000003</v>
      </c>
      <c r="K434" s="28">
        <f t="shared" si="13"/>
        <v>-2.5149277490487554E-3</v>
      </c>
    </row>
    <row r="435" spans="1:11" x14ac:dyDescent="0.3">
      <c r="A435" s="23">
        <v>44102</v>
      </c>
      <c r="B435">
        <v>646</v>
      </c>
      <c r="C435" s="28">
        <f t="shared" si="12"/>
        <v>-6.8414174802060804E-3</v>
      </c>
      <c r="I435" s="26" t="s">
        <v>794</v>
      </c>
      <c r="J435" s="14">
        <v>40740.949999999997</v>
      </c>
      <c r="K435" s="28">
        <f t="shared" si="13"/>
        <v>-2.3027618130208774E-2</v>
      </c>
    </row>
    <row r="436" spans="1:11" x14ac:dyDescent="0.3">
      <c r="A436" s="23">
        <v>44103</v>
      </c>
      <c r="B436">
        <v>663</v>
      </c>
      <c r="C436" s="28">
        <f t="shared" si="12"/>
        <v>2.6315789473684209E-2</v>
      </c>
      <c r="I436" s="26" t="s">
        <v>793</v>
      </c>
      <c r="J436" s="14">
        <v>41204.36</v>
      </c>
      <c r="K436" s="28">
        <f t="shared" si="13"/>
        <v>1.1374550667080751E-2</v>
      </c>
    </row>
    <row r="437" spans="1:11" x14ac:dyDescent="0.3">
      <c r="A437" s="23">
        <v>44104</v>
      </c>
      <c r="B437">
        <v>648</v>
      </c>
      <c r="C437" s="28">
        <f t="shared" si="12"/>
        <v>-2.2624434389140271E-2</v>
      </c>
      <c r="I437" s="26" t="s">
        <v>792</v>
      </c>
      <c r="J437" s="14">
        <v>40571.480000000003</v>
      </c>
      <c r="K437" s="28">
        <f t="shared" si="13"/>
        <v>-1.5359539621535133E-2</v>
      </c>
    </row>
    <row r="438" spans="1:11" x14ac:dyDescent="0.3">
      <c r="A438" s="23">
        <v>44105</v>
      </c>
      <c r="B438">
        <v>646</v>
      </c>
      <c r="C438" s="28">
        <f t="shared" si="12"/>
        <v>-3.0864197530864196E-3</v>
      </c>
      <c r="I438" s="27">
        <v>43840</v>
      </c>
      <c r="J438" s="14">
        <v>40676.92</v>
      </c>
      <c r="K438" s="28">
        <f t="shared" si="13"/>
        <v>2.5988699450943138E-3</v>
      </c>
    </row>
    <row r="439" spans="1:11" x14ac:dyDescent="0.3">
      <c r="A439" s="23">
        <v>44106</v>
      </c>
      <c r="B439">
        <v>636.5</v>
      </c>
      <c r="C439" s="28">
        <f t="shared" si="12"/>
        <v>-1.4705882352941176E-2</v>
      </c>
      <c r="I439" s="27">
        <v>43871</v>
      </c>
      <c r="J439" s="14">
        <v>40070.83</v>
      </c>
      <c r="K439" s="28">
        <f t="shared" si="13"/>
        <v>-1.490009568079384E-2</v>
      </c>
    </row>
    <row r="440" spans="1:11" x14ac:dyDescent="0.3">
      <c r="A440" s="23">
        <v>44109</v>
      </c>
      <c r="B440">
        <v>631.01</v>
      </c>
      <c r="C440" s="28">
        <f t="shared" si="12"/>
        <v>-8.6252945797329287E-3</v>
      </c>
      <c r="I440" s="27">
        <v>43961</v>
      </c>
      <c r="J440" s="14">
        <v>39072.47</v>
      </c>
      <c r="K440" s="28">
        <f t="shared" si="13"/>
        <v>-2.4914881972746772E-2</v>
      </c>
    </row>
    <row r="441" spans="1:11" x14ac:dyDescent="0.3">
      <c r="A441" s="23">
        <v>44110</v>
      </c>
      <c r="B441">
        <v>630.01</v>
      </c>
      <c r="C441" s="28">
        <f t="shared" si="12"/>
        <v>-1.5847609388123802E-3</v>
      </c>
      <c r="I441" s="27">
        <v>43992</v>
      </c>
      <c r="J441" s="14">
        <v>39127.480000000003</v>
      </c>
      <c r="K441" s="28">
        <f t="shared" si="13"/>
        <v>1.4078966597197986E-3</v>
      </c>
    </row>
    <row r="442" spans="1:11" x14ac:dyDescent="0.3">
      <c r="A442" s="23">
        <v>44111</v>
      </c>
      <c r="B442">
        <v>648</v>
      </c>
      <c r="C442" s="28">
        <f t="shared" si="12"/>
        <v>2.8555102299963508E-2</v>
      </c>
      <c r="I442" s="27">
        <v>44022</v>
      </c>
      <c r="J442" s="14">
        <v>39849.96</v>
      </c>
      <c r="K442" s="28">
        <f t="shared" si="13"/>
        <v>1.8464772073233337E-2</v>
      </c>
    </row>
    <row r="443" spans="1:11" x14ac:dyDescent="0.3">
      <c r="A443" s="23">
        <v>44112</v>
      </c>
      <c r="B443">
        <v>654.95000000000005</v>
      </c>
      <c r="C443" s="28">
        <f t="shared" si="12"/>
        <v>1.0725308641975378E-2</v>
      </c>
      <c r="I443" s="27">
        <v>44053</v>
      </c>
      <c r="J443" s="14">
        <v>40353.620000000003</v>
      </c>
      <c r="K443" s="28">
        <f t="shared" si="13"/>
        <v>1.2638908545955969E-2</v>
      </c>
    </row>
    <row r="444" spans="1:11" x14ac:dyDescent="0.3">
      <c r="A444" s="23">
        <v>44113</v>
      </c>
      <c r="B444">
        <v>654.95000000000005</v>
      </c>
      <c r="C444" s="28">
        <f t="shared" si="12"/>
        <v>0</v>
      </c>
      <c r="I444" s="27">
        <v>44084</v>
      </c>
      <c r="J444" s="14">
        <v>40798.43</v>
      </c>
      <c r="K444" s="28">
        <f t="shared" si="13"/>
        <v>1.1022802910866426E-2</v>
      </c>
    </row>
    <row r="445" spans="1:11" x14ac:dyDescent="0.3">
      <c r="A445" s="23">
        <v>44116</v>
      </c>
      <c r="B445">
        <v>647.9</v>
      </c>
      <c r="C445" s="28">
        <f t="shared" si="12"/>
        <v>-1.0764180471791843E-2</v>
      </c>
      <c r="I445" s="27">
        <v>44175</v>
      </c>
      <c r="J445" s="14">
        <v>40209.82</v>
      </c>
      <c r="K445" s="28">
        <f t="shared" si="13"/>
        <v>-1.4427270853314713E-2</v>
      </c>
    </row>
    <row r="446" spans="1:11" x14ac:dyDescent="0.3">
      <c r="A446" s="23">
        <v>44117</v>
      </c>
      <c r="B446">
        <v>647.1</v>
      </c>
      <c r="C446" s="28">
        <f t="shared" si="12"/>
        <v>-1.2347584503780745E-3</v>
      </c>
      <c r="I446" s="26" t="s">
        <v>791</v>
      </c>
      <c r="J446" s="14">
        <v>40006.67</v>
      </c>
      <c r="K446" s="28">
        <f t="shared" si="13"/>
        <v>-5.0522484308559816E-3</v>
      </c>
    </row>
    <row r="447" spans="1:11" x14ac:dyDescent="0.3">
      <c r="A447" s="23">
        <v>44118</v>
      </c>
      <c r="B447">
        <v>647</v>
      </c>
      <c r="C447" s="28">
        <f t="shared" si="12"/>
        <v>-1.5453562046055129E-4</v>
      </c>
      <c r="I447" s="26" t="s">
        <v>790</v>
      </c>
      <c r="J447" s="14">
        <v>40144.29</v>
      </c>
      <c r="K447" s="28">
        <f t="shared" si="13"/>
        <v>3.439926392274154E-3</v>
      </c>
    </row>
    <row r="448" spans="1:11" x14ac:dyDescent="0.3">
      <c r="A448" s="23">
        <v>44119</v>
      </c>
      <c r="B448">
        <v>642.61</v>
      </c>
      <c r="C448" s="28">
        <f t="shared" si="12"/>
        <v>-6.785162287480659E-3</v>
      </c>
      <c r="I448" s="26" t="s">
        <v>789</v>
      </c>
      <c r="J448" s="14">
        <v>40068.49</v>
      </c>
      <c r="K448" s="28">
        <f t="shared" si="13"/>
        <v>-1.8881888308400251E-3</v>
      </c>
    </row>
    <row r="449" spans="1:11" x14ac:dyDescent="0.3">
      <c r="A449" s="23">
        <v>44120</v>
      </c>
      <c r="B449">
        <v>638</v>
      </c>
      <c r="C449" s="28">
        <f t="shared" si="12"/>
        <v>-7.1738690652184273E-3</v>
      </c>
      <c r="I449" s="26" t="s">
        <v>788</v>
      </c>
      <c r="J449" s="14">
        <v>40164.019999999997</v>
      </c>
      <c r="K449" s="28">
        <f t="shared" si="13"/>
        <v>2.3841677088405088E-3</v>
      </c>
    </row>
    <row r="450" spans="1:11" x14ac:dyDescent="0.3">
      <c r="A450" s="23">
        <v>44123</v>
      </c>
      <c r="B450">
        <v>637</v>
      </c>
      <c r="C450" s="28">
        <f t="shared" si="12"/>
        <v>-1.567398119122257E-3</v>
      </c>
      <c r="I450" s="26" t="s">
        <v>787</v>
      </c>
      <c r="J450" s="14">
        <v>40340.17</v>
      </c>
      <c r="K450" s="28">
        <f t="shared" si="13"/>
        <v>4.3857661658370222E-3</v>
      </c>
    </row>
    <row r="451" spans="1:11" x14ac:dyDescent="0.3">
      <c r="A451" s="23">
        <v>44124</v>
      </c>
      <c r="B451">
        <v>654</v>
      </c>
      <c r="C451" s="28">
        <f t="shared" si="12"/>
        <v>2.6687598116169546E-2</v>
      </c>
      <c r="I451" s="26" t="s">
        <v>786</v>
      </c>
      <c r="J451" s="14">
        <v>40956.58</v>
      </c>
      <c r="K451" s="28">
        <f t="shared" si="13"/>
        <v>1.5280302487570169E-2</v>
      </c>
    </row>
    <row r="452" spans="1:11" x14ac:dyDescent="0.3">
      <c r="A452" s="23">
        <v>44125</v>
      </c>
      <c r="B452">
        <v>657</v>
      </c>
      <c r="C452" s="28">
        <f t="shared" si="12"/>
        <v>4.5871559633027525E-3</v>
      </c>
      <c r="I452" s="26" t="s">
        <v>785</v>
      </c>
      <c r="J452" s="14">
        <v>41535.919999999998</v>
      </c>
      <c r="K452" s="28">
        <f t="shared" si="13"/>
        <v>1.4145224039702448E-2</v>
      </c>
    </row>
    <row r="453" spans="1:11" x14ac:dyDescent="0.3">
      <c r="A453" s="23">
        <v>44126</v>
      </c>
      <c r="B453">
        <v>649</v>
      </c>
      <c r="C453" s="28">
        <f t="shared" si="12"/>
        <v>-1.2176560121765601E-2</v>
      </c>
      <c r="I453" s="26" t="s">
        <v>784</v>
      </c>
      <c r="J453" s="14">
        <v>41199.019999999997</v>
      </c>
      <c r="K453" s="28">
        <f t="shared" si="13"/>
        <v>-8.1110518317639643E-3</v>
      </c>
    </row>
    <row r="454" spans="1:11" x14ac:dyDescent="0.3">
      <c r="A454" s="23">
        <v>44127</v>
      </c>
      <c r="B454">
        <v>660.94</v>
      </c>
      <c r="C454" s="28">
        <f t="shared" ref="C454:C517" si="14">(B454-B453)/B453</f>
        <v>1.8397534668721193E-2</v>
      </c>
      <c r="I454" s="26" t="s">
        <v>783</v>
      </c>
      <c r="J454" s="14">
        <v>41266</v>
      </c>
      <c r="K454" s="28">
        <f t="shared" ref="K454:K517" si="15">(J454-J453)/J453</f>
        <v>1.6257668264925526E-3</v>
      </c>
    </row>
    <row r="455" spans="1:11" x14ac:dyDescent="0.3">
      <c r="A455" s="23">
        <v>44130</v>
      </c>
      <c r="B455">
        <v>706</v>
      </c>
      <c r="C455" s="28">
        <f t="shared" si="14"/>
        <v>6.8175628650104306E-2</v>
      </c>
      <c r="I455" s="26" t="s">
        <v>782</v>
      </c>
      <c r="J455" s="14">
        <v>41850.47</v>
      </c>
      <c r="K455" s="28">
        <f t="shared" si="15"/>
        <v>1.4163475985072485E-2</v>
      </c>
    </row>
    <row r="456" spans="1:11" x14ac:dyDescent="0.3">
      <c r="A456" s="23">
        <v>44131</v>
      </c>
      <c r="B456">
        <v>694</v>
      </c>
      <c r="C456" s="28">
        <f t="shared" si="14"/>
        <v>-1.69971671388102E-2</v>
      </c>
      <c r="I456" s="26" t="s">
        <v>781</v>
      </c>
      <c r="J456" s="14">
        <v>41381.83</v>
      </c>
      <c r="K456" s="28">
        <f t="shared" si="15"/>
        <v>-1.119796265131549E-2</v>
      </c>
    </row>
    <row r="457" spans="1:11" x14ac:dyDescent="0.3">
      <c r="A457" s="23">
        <v>44132</v>
      </c>
      <c r="B457">
        <v>682</v>
      </c>
      <c r="C457" s="28">
        <f t="shared" si="14"/>
        <v>-1.7291066282420751E-2</v>
      </c>
      <c r="I457" s="26" t="s">
        <v>780</v>
      </c>
      <c r="J457" s="14">
        <v>41186.86</v>
      </c>
      <c r="K457" s="28">
        <f t="shared" si="15"/>
        <v>-4.7114881096365522E-3</v>
      </c>
    </row>
    <row r="458" spans="1:11" x14ac:dyDescent="0.3">
      <c r="A458" s="23">
        <v>44133</v>
      </c>
      <c r="B458">
        <v>673</v>
      </c>
      <c r="C458" s="28">
        <f t="shared" si="14"/>
        <v>-1.3196480938416423E-2</v>
      </c>
      <c r="I458" s="26" t="s">
        <v>779</v>
      </c>
      <c r="J458" s="14">
        <v>39888</v>
      </c>
      <c r="K458" s="28">
        <f t="shared" si="15"/>
        <v>-3.153578592784205E-2</v>
      </c>
    </row>
    <row r="459" spans="1:11" x14ac:dyDescent="0.3">
      <c r="A459" s="23">
        <v>44137</v>
      </c>
      <c r="B459">
        <v>659.8</v>
      </c>
      <c r="C459" s="28">
        <f t="shared" si="14"/>
        <v>-1.9613670133729638E-2</v>
      </c>
      <c r="I459" s="27">
        <v>43872</v>
      </c>
      <c r="J459" s="14">
        <v>39112.18</v>
      </c>
      <c r="K459" s="28">
        <f t="shared" si="15"/>
        <v>-1.9449959887685511E-2</v>
      </c>
    </row>
    <row r="460" spans="1:11" x14ac:dyDescent="0.3">
      <c r="A460" s="23">
        <v>44138</v>
      </c>
      <c r="B460">
        <v>679.99</v>
      </c>
      <c r="C460" s="28">
        <f t="shared" si="14"/>
        <v>3.0600181873295024E-2</v>
      </c>
      <c r="I460" s="27">
        <v>43901</v>
      </c>
      <c r="J460" s="14">
        <v>40480.879999999997</v>
      </c>
      <c r="K460" s="28">
        <f t="shared" si="15"/>
        <v>3.4994214078581075E-2</v>
      </c>
    </row>
    <row r="461" spans="1:11" x14ac:dyDescent="0.3">
      <c r="A461" s="23">
        <v>44139</v>
      </c>
      <c r="B461">
        <v>675.99</v>
      </c>
      <c r="C461" s="28">
        <f t="shared" si="14"/>
        <v>-5.8824394476389361E-3</v>
      </c>
      <c r="I461" s="27">
        <v>43932</v>
      </c>
      <c r="J461" s="14">
        <v>40281.96</v>
      </c>
      <c r="K461" s="28">
        <f t="shared" si="15"/>
        <v>-4.9139247961012275E-3</v>
      </c>
    </row>
    <row r="462" spans="1:11" x14ac:dyDescent="0.3">
      <c r="A462" s="23">
        <v>44140</v>
      </c>
      <c r="B462">
        <v>686.55</v>
      </c>
      <c r="C462" s="28">
        <f t="shared" si="14"/>
        <v>1.5621532862912093E-2</v>
      </c>
      <c r="I462" s="27">
        <v>43962</v>
      </c>
      <c r="J462" s="14">
        <v>41071.300000000003</v>
      </c>
      <c r="K462" s="28">
        <f t="shared" si="15"/>
        <v>1.9595372221212767E-2</v>
      </c>
    </row>
    <row r="463" spans="1:11" x14ac:dyDescent="0.3">
      <c r="A463" s="23">
        <v>44141</v>
      </c>
      <c r="B463">
        <v>682.86</v>
      </c>
      <c r="C463" s="28">
        <f t="shared" si="14"/>
        <v>-5.374699584880841E-3</v>
      </c>
      <c r="I463" s="27">
        <v>43993</v>
      </c>
      <c r="J463" s="14">
        <v>40731.61</v>
      </c>
      <c r="K463" s="28">
        <f t="shared" si="15"/>
        <v>-8.2707389344871558E-3</v>
      </c>
    </row>
    <row r="464" spans="1:11" x14ac:dyDescent="0.3">
      <c r="A464" s="23">
        <v>44144</v>
      </c>
      <c r="B464">
        <v>675</v>
      </c>
      <c r="C464" s="28">
        <f t="shared" si="14"/>
        <v>-1.1510412090326001E-2</v>
      </c>
      <c r="I464" s="27">
        <v>44085</v>
      </c>
      <c r="J464" s="14">
        <v>40784.04</v>
      </c>
      <c r="K464" s="28">
        <f t="shared" si="15"/>
        <v>1.2872066682362983E-3</v>
      </c>
    </row>
    <row r="465" spans="1:11" x14ac:dyDescent="0.3">
      <c r="A465" s="23">
        <v>44145</v>
      </c>
      <c r="B465">
        <v>674</v>
      </c>
      <c r="C465" s="28">
        <f t="shared" si="14"/>
        <v>-1.4814814814814814E-3</v>
      </c>
      <c r="I465" s="27">
        <v>44115</v>
      </c>
      <c r="J465" s="14">
        <v>41153.050000000003</v>
      </c>
      <c r="K465" s="28">
        <f t="shared" si="15"/>
        <v>9.0479020714966454E-3</v>
      </c>
    </row>
    <row r="466" spans="1:11" x14ac:dyDescent="0.3">
      <c r="A466" s="23">
        <v>44146</v>
      </c>
      <c r="B466">
        <v>664.5</v>
      </c>
      <c r="C466" s="28">
        <f t="shared" si="14"/>
        <v>-1.4094955489614243E-2</v>
      </c>
      <c r="I466" s="27">
        <v>44146</v>
      </c>
      <c r="J466" s="14">
        <v>41197.32</v>
      </c>
      <c r="K466" s="28">
        <f t="shared" si="15"/>
        <v>1.0757404372214647E-3</v>
      </c>
    </row>
    <row r="467" spans="1:11" x14ac:dyDescent="0.3">
      <c r="A467" s="23">
        <v>44147</v>
      </c>
      <c r="B467">
        <v>655</v>
      </c>
      <c r="C467" s="28">
        <f t="shared" si="14"/>
        <v>-1.4296463506395787E-2</v>
      </c>
      <c r="I467" s="27">
        <v>44176</v>
      </c>
      <c r="J467" s="14">
        <v>40564.550000000003</v>
      </c>
      <c r="K467" s="28">
        <f t="shared" si="15"/>
        <v>-1.5359494258364302E-2</v>
      </c>
    </row>
    <row r="468" spans="1:11" x14ac:dyDescent="0.3">
      <c r="A468" s="23">
        <v>44148</v>
      </c>
      <c r="B468">
        <v>659.98</v>
      </c>
      <c r="C468" s="28">
        <f t="shared" si="14"/>
        <v>7.6030534351145315E-3</v>
      </c>
      <c r="I468" s="26" t="s">
        <v>778</v>
      </c>
      <c r="J468" s="14">
        <v>40569.35</v>
      </c>
      <c r="K468" s="28">
        <f t="shared" si="15"/>
        <v>1.1832992107630022E-4</v>
      </c>
    </row>
    <row r="469" spans="1:11" x14ac:dyDescent="0.3">
      <c r="A469" s="23">
        <v>44151</v>
      </c>
      <c r="B469">
        <v>653</v>
      </c>
      <c r="C469" s="28">
        <f t="shared" si="14"/>
        <v>-1.0576078062971632E-2</v>
      </c>
      <c r="I469" s="26" t="s">
        <v>777</v>
      </c>
      <c r="J469" s="14">
        <v>40504.75</v>
      </c>
      <c r="K469" s="28">
        <f t="shared" si="15"/>
        <v>-1.5923351002665447E-3</v>
      </c>
    </row>
    <row r="470" spans="1:11" x14ac:dyDescent="0.3">
      <c r="A470" s="23">
        <v>44152</v>
      </c>
      <c r="B470">
        <v>658</v>
      </c>
      <c r="C470" s="28">
        <f t="shared" si="14"/>
        <v>7.656967840735069E-3</v>
      </c>
      <c r="I470" s="26" t="s">
        <v>776</v>
      </c>
      <c r="J470" s="14">
        <v>40652.67</v>
      </c>
      <c r="K470" s="28">
        <f t="shared" si="15"/>
        <v>3.6519173677160891E-3</v>
      </c>
    </row>
    <row r="471" spans="1:11" x14ac:dyDescent="0.3">
      <c r="A471" s="23">
        <v>44153</v>
      </c>
      <c r="B471">
        <v>654</v>
      </c>
      <c r="C471" s="28">
        <f t="shared" si="14"/>
        <v>-6.0790273556231003E-3</v>
      </c>
      <c r="I471" s="26" t="s">
        <v>775</v>
      </c>
      <c r="J471" s="14">
        <v>40514.67</v>
      </c>
      <c r="K471" s="28">
        <f t="shared" si="15"/>
        <v>-3.3946109812713408E-3</v>
      </c>
    </row>
    <row r="472" spans="1:11" x14ac:dyDescent="0.3">
      <c r="A472" s="23">
        <v>44154</v>
      </c>
      <c r="B472">
        <v>658.5</v>
      </c>
      <c r="C472" s="28">
        <f t="shared" si="14"/>
        <v>6.8807339449541288E-3</v>
      </c>
      <c r="I472" s="26" t="s">
        <v>774</v>
      </c>
      <c r="J472" s="14">
        <v>40540.699999999997</v>
      </c>
      <c r="K472" s="28">
        <f t="shared" si="15"/>
        <v>6.4248332764400742E-4</v>
      </c>
    </row>
    <row r="473" spans="1:11" x14ac:dyDescent="0.3">
      <c r="A473" s="23">
        <v>44155</v>
      </c>
      <c r="B473">
        <v>650.47</v>
      </c>
      <c r="C473" s="28">
        <f t="shared" si="14"/>
        <v>-1.219438116932418E-2</v>
      </c>
      <c r="I473" s="26" t="s">
        <v>773</v>
      </c>
      <c r="J473" s="14">
        <v>40187.18</v>
      </c>
      <c r="K473" s="28">
        <f t="shared" si="15"/>
        <v>-8.7201257008388319E-3</v>
      </c>
    </row>
    <row r="474" spans="1:11" x14ac:dyDescent="0.3">
      <c r="A474" s="23">
        <v>44158</v>
      </c>
      <c r="B474">
        <v>647</v>
      </c>
      <c r="C474" s="28">
        <f t="shared" si="14"/>
        <v>-5.3346042092641127E-3</v>
      </c>
      <c r="I474" s="26" t="s">
        <v>772</v>
      </c>
      <c r="J474" s="14">
        <v>39632.519999999997</v>
      </c>
      <c r="K474" s="28">
        <f t="shared" si="15"/>
        <v>-1.380191394370054E-2</v>
      </c>
    </row>
    <row r="475" spans="1:11" x14ac:dyDescent="0.3">
      <c r="A475" s="23">
        <v>44159</v>
      </c>
      <c r="B475">
        <v>653</v>
      </c>
      <c r="C475" s="28">
        <f t="shared" si="14"/>
        <v>9.2735703245749607E-3</v>
      </c>
      <c r="I475" s="26" t="s">
        <v>771</v>
      </c>
      <c r="J475" s="14">
        <v>39863.360000000001</v>
      </c>
      <c r="K475" s="28">
        <f t="shared" si="15"/>
        <v>5.824509771268741E-3</v>
      </c>
    </row>
    <row r="476" spans="1:11" x14ac:dyDescent="0.3">
      <c r="A476" s="23">
        <v>44160</v>
      </c>
      <c r="B476">
        <v>645</v>
      </c>
      <c r="C476" s="28">
        <f t="shared" si="14"/>
        <v>-1.2251148545176111E-2</v>
      </c>
      <c r="I476" s="26" t="s">
        <v>770</v>
      </c>
      <c r="J476" s="14">
        <v>40377.53</v>
      </c>
      <c r="K476" s="28">
        <f t="shared" si="15"/>
        <v>1.2898310629108992E-2</v>
      </c>
    </row>
    <row r="477" spans="1:11" x14ac:dyDescent="0.3">
      <c r="A477" s="23">
        <v>44161</v>
      </c>
      <c r="B477">
        <v>653.4</v>
      </c>
      <c r="C477" s="28">
        <f t="shared" si="14"/>
        <v>1.3023255813953452E-2</v>
      </c>
      <c r="I477" s="26" t="s">
        <v>769</v>
      </c>
      <c r="J477" s="14">
        <v>41031.03</v>
      </c>
      <c r="K477" s="28">
        <f t="shared" si="15"/>
        <v>1.6184744336763542E-2</v>
      </c>
    </row>
    <row r="478" spans="1:11" x14ac:dyDescent="0.3">
      <c r="A478" s="23">
        <v>44162</v>
      </c>
      <c r="B478">
        <v>648.63</v>
      </c>
      <c r="C478" s="28">
        <f t="shared" si="14"/>
        <v>-7.300275482093636E-3</v>
      </c>
      <c r="I478" s="26" t="s">
        <v>768</v>
      </c>
      <c r="J478" s="14">
        <v>40807.089999999997</v>
      </c>
      <c r="K478" s="28">
        <f t="shared" si="15"/>
        <v>-5.4578205811553438E-3</v>
      </c>
    </row>
    <row r="479" spans="1:11" x14ac:dyDescent="0.3">
      <c r="A479" s="23">
        <v>44165</v>
      </c>
      <c r="B479">
        <v>654.35</v>
      </c>
      <c r="C479" s="28">
        <f t="shared" si="14"/>
        <v>8.8185868677058219E-3</v>
      </c>
      <c r="I479" s="26" t="s">
        <v>767</v>
      </c>
      <c r="J479" s="14">
        <v>41068.82</v>
      </c>
      <c r="K479" s="28">
        <f t="shared" si="15"/>
        <v>6.4138364191125424E-3</v>
      </c>
    </row>
    <row r="480" spans="1:11" x14ac:dyDescent="0.3">
      <c r="A480" s="23">
        <v>44166</v>
      </c>
      <c r="B480">
        <v>660.5</v>
      </c>
      <c r="C480" s="28">
        <f t="shared" si="14"/>
        <v>9.3986398716282976E-3</v>
      </c>
      <c r="I480" s="27">
        <v>43842</v>
      </c>
      <c r="J480" s="14">
        <v>41665.269999999997</v>
      </c>
      <c r="K480" s="28">
        <f t="shared" si="15"/>
        <v>1.4523183281136325E-2</v>
      </c>
    </row>
    <row r="481" spans="1:11" x14ac:dyDescent="0.3">
      <c r="A481" s="23">
        <v>44167</v>
      </c>
      <c r="B481">
        <v>667</v>
      </c>
      <c r="C481" s="28">
        <f t="shared" si="14"/>
        <v>9.8410295230885701E-3</v>
      </c>
      <c r="I481" s="27">
        <v>43873</v>
      </c>
      <c r="J481" s="14">
        <v>42027.38</v>
      </c>
      <c r="K481" s="28">
        <f t="shared" si="15"/>
        <v>8.6909313200178619E-3</v>
      </c>
    </row>
    <row r="482" spans="1:11" x14ac:dyDescent="0.3">
      <c r="A482" s="23">
        <v>44168</v>
      </c>
      <c r="B482">
        <v>673.79</v>
      </c>
      <c r="C482" s="28">
        <f t="shared" si="14"/>
        <v>1.0179910044977456E-2</v>
      </c>
      <c r="I482" s="27">
        <v>43902</v>
      </c>
      <c r="J482" s="14">
        <v>42047.72</v>
      </c>
      <c r="K482" s="28">
        <f t="shared" si="15"/>
        <v>4.8397021180011186E-4</v>
      </c>
    </row>
    <row r="483" spans="1:11" x14ac:dyDescent="0.3">
      <c r="A483" s="23">
        <v>44169</v>
      </c>
      <c r="B483">
        <v>673</v>
      </c>
      <c r="C483" s="28">
        <f t="shared" si="14"/>
        <v>-1.1724721352349599E-3</v>
      </c>
      <c r="I483" s="27">
        <v>43933</v>
      </c>
      <c r="J483" s="14">
        <v>42207</v>
      </c>
      <c r="K483" s="28">
        <f t="shared" si="15"/>
        <v>3.7880769753984005E-3</v>
      </c>
    </row>
    <row r="484" spans="1:11" x14ac:dyDescent="0.3">
      <c r="A484" s="23">
        <v>44172</v>
      </c>
      <c r="B484">
        <v>670</v>
      </c>
      <c r="C484" s="28">
        <f t="shared" si="14"/>
        <v>-4.4576523031203564E-3</v>
      </c>
      <c r="I484" s="27">
        <v>44024</v>
      </c>
      <c r="J484" s="14">
        <v>42115.31</v>
      </c>
      <c r="K484" s="28">
        <f t="shared" si="15"/>
        <v>-2.1723884663681931E-3</v>
      </c>
    </row>
    <row r="485" spans="1:11" x14ac:dyDescent="0.3">
      <c r="A485" s="23">
        <v>44173</v>
      </c>
      <c r="B485">
        <v>670.25</v>
      </c>
      <c r="C485" s="28">
        <f t="shared" si="14"/>
        <v>3.7313432835820896E-4</v>
      </c>
      <c r="I485" s="27">
        <v>44055</v>
      </c>
      <c r="J485" s="14">
        <v>42101.78</v>
      </c>
      <c r="K485" s="28">
        <f t="shared" si="15"/>
        <v>-3.2126084314703697E-4</v>
      </c>
    </row>
    <row r="486" spans="1:11" x14ac:dyDescent="0.3">
      <c r="A486" s="23">
        <v>44174</v>
      </c>
      <c r="B486">
        <v>672</v>
      </c>
      <c r="C486" s="28">
        <f t="shared" si="14"/>
        <v>2.6109660574412533E-3</v>
      </c>
      <c r="I486" s="27">
        <v>44086</v>
      </c>
      <c r="J486" s="14">
        <v>42204.03</v>
      </c>
      <c r="K486" s="28">
        <f t="shared" si="15"/>
        <v>2.428638409112394E-3</v>
      </c>
    </row>
    <row r="487" spans="1:11" x14ac:dyDescent="0.3">
      <c r="A487" s="23">
        <v>44175</v>
      </c>
      <c r="B487">
        <v>672</v>
      </c>
      <c r="C487" s="28">
        <f t="shared" si="14"/>
        <v>0</v>
      </c>
      <c r="I487" s="27">
        <v>44116</v>
      </c>
      <c r="J487" s="14">
        <v>42305.84</v>
      </c>
      <c r="K487" s="28">
        <f t="shared" si="15"/>
        <v>2.4123288700154386E-3</v>
      </c>
    </row>
    <row r="488" spans="1:11" x14ac:dyDescent="0.3">
      <c r="A488" s="23">
        <v>44176</v>
      </c>
      <c r="B488">
        <v>679.33</v>
      </c>
      <c r="C488" s="28">
        <f t="shared" si="14"/>
        <v>1.0907738095238156E-2</v>
      </c>
      <c r="I488" s="27">
        <v>44147</v>
      </c>
      <c r="J488" s="14">
        <v>42470.39</v>
      </c>
      <c r="K488" s="28">
        <f t="shared" si="15"/>
        <v>3.8895339272309194E-3</v>
      </c>
    </row>
    <row r="489" spans="1:11" x14ac:dyDescent="0.3">
      <c r="A489" s="23">
        <v>44179</v>
      </c>
      <c r="B489">
        <v>700</v>
      </c>
      <c r="C489" s="28">
        <f t="shared" si="14"/>
        <v>3.0427038405487699E-2</v>
      </c>
      <c r="I489" s="26" t="s">
        <v>766</v>
      </c>
      <c r="J489" s="14">
        <v>43266.22</v>
      </c>
      <c r="K489" s="28">
        <f t="shared" si="15"/>
        <v>1.8738466964866623E-2</v>
      </c>
    </row>
    <row r="490" spans="1:11" x14ac:dyDescent="0.3">
      <c r="A490" s="23">
        <v>44180</v>
      </c>
      <c r="B490">
        <v>685</v>
      </c>
      <c r="C490" s="28">
        <f t="shared" si="14"/>
        <v>-2.1428571428571429E-2</v>
      </c>
      <c r="I490" s="26" t="s">
        <v>765</v>
      </c>
      <c r="J490" s="14">
        <v>43250.84</v>
      </c>
      <c r="K490" s="28">
        <f t="shared" si="15"/>
        <v>-3.5547362353366337E-4</v>
      </c>
    </row>
    <row r="491" spans="1:11" x14ac:dyDescent="0.3">
      <c r="A491" s="23">
        <v>44181</v>
      </c>
      <c r="B491">
        <v>678.5</v>
      </c>
      <c r="C491" s="28">
        <f t="shared" si="14"/>
        <v>-9.4890510948905105E-3</v>
      </c>
      <c r="I491" s="26" t="s">
        <v>764</v>
      </c>
      <c r="J491" s="14">
        <v>43360.19</v>
      </c>
      <c r="K491" s="28">
        <f t="shared" si="15"/>
        <v>2.5282745953605947E-3</v>
      </c>
    </row>
    <row r="492" spans="1:11" x14ac:dyDescent="0.3">
      <c r="A492" s="23">
        <v>44182</v>
      </c>
      <c r="B492">
        <v>683</v>
      </c>
      <c r="C492" s="28">
        <f t="shared" si="14"/>
        <v>6.6322770817980837E-3</v>
      </c>
      <c r="I492" s="26" t="s">
        <v>763</v>
      </c>
      <c r="J492" s="14">
        <v>43766.69</v>
      </c>
      <c r="K492" s="28">
        <f t="shared" si="15"/>
        <v>9.3749589196910794E-3</v>
      </c>
    </row>
    <row r="493" spans="1:11" x14ac:dyDescent="0.3">
      <c r="A493" s="23">
        <v>44183</v>
      </c>
      <c r="B493">
        <v>683.15</v>
      </c>
      <c r="C493" s="28">
        <f t="shared" si="14"/>
        <v>2.1961932650069876E-4</v>
      </c>
      <c r="I493" s="26" t="s">
        <v>762</v>
      </c>
      <c r="J493" s="14">
        <v>43740.55</v>
      </c>
      <c r="K493" s="28">
        <f t="shared" si="15"/>
        <v>-5.9725786894095523E-4</v>
      </c>
    </row>
    <row r="494" spans="1:11" x14ac:dyDescent="0.3">
      <c r="A494" s="23">
        <v>44186</v>
      </c>
      <c r="B494">
        <v>673.99</v>
      </c>
      <c r="C494" s="28">
        <f t="shared" si="14"/>
        <v>-1.3408475444631441E-2</v>
      </c>
      <c r="I494" s="26" t="s">
        <v>761</v>
      </c>
      <c r="J494" s="14">
        <v>43333.760000000002</v>
      </c>
      <c r="K494" s="28">
        <f t="shared" si="15"/>
        <v>-9.3000659571038959E-3</v>
      </c>
    </row>
    <row r="495" spans="1:11" x14ac:dyDescent="0.3">
      <c r="A495" s="23">
        <v>44187</v>
      </c>
      <c r="B495">
        <v>667.51</v>
      </c>
      <c r="C495" s="28">
        <f t="shared" si="14"/>
        <v>-9.6143859701182787E-3</v>
      </c>
      <c r="I495" s="26" t="s">
        <v>760</v>
      </c>
      <c r="J495" s="14">
        <v>42906.94</v>
      </c>
      <c r="K495" s="28">
        <f t="shared" si="15"/>
        <v>-9.8495953270613876E-3</v>
      </c>
    </row>
    <row r="496" spans="1:11" x14ac:dyDescent="0.3">
      <c r="A496" s="23">
        <v>44188</v>
      </c>
      <c r="B496">
        <v>677.1</v>
      </c>
      <c r="C496" s="28">
        <f t="shared" si="14"/>
        <v>1.4366825965154128E-2</v>
      </c>
      <c r="I496" s="26" t="s">
        <v>759</v>
      </c>
      <c r="J496" s="14">
        <v>43087.7</v>
      </c>
      <c r="K496" s="28">
        <f t="shared" si="15"/>
        <v>4.2128382960890422E-3</v>
      </c>
    </row>
    <row r="497" spans="1:11" x14ac:dyDescent="0.3">
      <c r="A497" s="23">
        <v>44189</v>
      </c>
      <c r="B497">
        <v>695</v>
      </c>
      <c r="C497" s="28">
        <f t="shared" si="14"/>
        <v>2.6436272337911647E-2</v>
      </c>
      <c r="I497" s="26" t="s">
        <v>758</v>
      </c>
      <c r="J497" s="14">
        <v>43416.77</v>
      </c>
      <c r="K497" s="28">
        <f t="shared" si="15"/>
        <v>7.6372143326285625E-3</v>
      </c>
    </row>
    <row r="498" spans="1:11" x14ac:dyDescent="0.3">
      <c r="A498" s="23">
        <v>44193</v>
      </c>
      <c r="B498">
        <v>694.1</v>
      </c>
      <c r="C498" s="28">
        <f t="shared" si="14"/>
        <v>-1.2949640287769457E-3</v>
      </c>
      <c r="I498" s="26" t="s">
        <v>757</v>
      </c>
      <c r="J498" s="14">
        <v>43674.28</v>
      </c>
      <c r="K498" s="28">
        <f t="shared" si="15"/>
        <v>5.9311183213307224E-3</v>
      </c>
    </row>
    <row r="499" spans="1:11" x14ac:dyDescent="0.3">
      <c r="A499" s="23">
        <v>44194</v>
      </c>
      <c r="B499">
        <v>687</v>
      </c>
      <c r="C499" s="28">
        <f t="shared" si="14"/>
        <v>-1.0229073620515809E-2</v>
      </c>
      <c r="I499" s="26" t="s">
        <v>756</v>
      </c>
      <c r="J499" s="14">
        <v>43255.55</v>
      </c>
      <c r="K499" s="28">
        <f t="shared" si="15"/>
        <v>-9.5875650382787284E-3</v>
      </c>
    </row>
    <row r="500" spans="1:11" x14ac:dyDescent="0.3">
      <c r="A500" s="23">
        <v>44195</v>
      </c>
      <c r="B500">
        <v>691.79</v>
      </c>
      <c r="C500" s="28">
        <f t="shared" si="14"/>
        <v>6.9723435225618104E-3</v>
      </c>
      <c r="I500" s="26" t="s">
        <v>755</v>
      </c>
      <c r="J500" s="14">
        <v>43694.76</v>
      </c>
      <c r="K500" s="28">
        <f t="shared" si="15"/>
        <v>1.0153841530162005E-2</v>
      </c>
    </row>
    <row r="501" spans="1:11" x14ac:dyDescent="0.3">
      <c r="A501" s="23">
        <v>44196</v>
      </c>
      <c r="B501">
        <v>696</v>
      </c>
      <c r="C501" s="28">
        <f t="shared" si="14"/>
        <v>6.0856618337935455E-3</v>
      </c>
      <c r="I501" s="26" t="s">
        <v>754</v>
      </c>
      <c r="J501" s="14">
        <v>43755.38</v>
      </c>
      <c r="K501" s="28">
        <f t="shared" si="15"/>
        <v>1.3873517099074429E-3</v>
      </c>
    </row>
    <row r="502" spans="1:11" x14ac:dyDescent="0.3">
      <c r="A502" s="23">
        <v>44197</v>
      </c>
      <c r="B502">
        <v>702.6</v>
      </c>
      <c r="C502" s="28">
        <f t="shared" si="14"/>
        <v>9.482758620689688E-3</v>
      </c>
      <c r="I502" s="27">
        <v>44197</v>
      </c>
      <c r="J502" s="14">
        <v>44434.8</v>
      </c>
      <c r="K502" s="28">
        <f t="shared" si="15"/>
        <v>1.552769053771229E-2</v>
      </c>
    </row>
    <row r="503" spans="1:11" x14ac:dyDescent="0.3">
      <c r="A503" s="23">
        <v>44200</v>
      </c>
      <c r="B503">
        <v>695</v>
      </c>
      <c r="C503" s="28">
        <f t="shared" si="14"/>
        <v>-1.0816965556504445E-2</v>
      </c>
      <c r="I503" s="27">
        <v>44287</v>
      </c>
      <c r="J503" s="14">
        <v>44686.46</v>
      </c>
      <c r="K503" s="28">
        <f t="shared" si="15"/>
        <v>5.6635789966421862E-3</v>
      </c>
    </row>
    <row r="504" spans="1:11" x14ac:dyDescent="0.3">
      <c r="A504" s="23">
        <v>44201</v>
      </c>
      <c r="B504">
        <v>693</v>
      </c>
      <c r="C504" s="28">
        <f t="shared" si="14"/>
        <v>-2.8776978417266188E-3</v>
      </c>
      <c r="I504" s="27">
        <v>44317</v>
      </c>
      <c r="J504" s="14">
        <v>44650.43</v>
      </c>
      <c r="K504" s="28">
        <f t="shared" si="15"/>
        <v>-8.0628449870495081E-4</v>
      </c>
    </row>
    <row r="505" spans="1:11" x14ac:dyDescent="0.3">
      <c r="A505" s="23">
        <v>44202</v>
      </c>
      <c r="B505">
        <v>704.5</v>
      </c>
      <c r="C505" s="28">
        <f t="shared" si="14"/>
        <v>1.6594516594516596E-2</v>
      </c>
      <c r="I505" s="27">
        <v>44348</v>
      </c>
      <c r="J505" s="14">
        <v>45153.42</v>
      </c>
      <c r="K505" s="28">
        <f t="shared" si="15"/>
        <v>1.1265065084479544E-2</v>
      </c>
    </row>
    <row r="506" spans="1:11" x14ac:dyDescent="0.3">
      <c r="A506" s="23">
        <v>44203</v>
      </c>
      <c r="B506">
        <v>700</v>
      </c>
      <c r="C506" s="28">
        <f t="shared" si="14"/>
        <v>-6.3875088715400997E-3</v>
      </c>
      <c r="I506" s="27">
        <v>44378</v>
      </c>
      <c r="J506" s="14">
        <v>45344.54</v>
      </c>
      <c r="K506" s="28">
        <f t="shared" si="15"/>
        <v>4.2326804924190152E-3</v>
      </c>
    </row>
    <row r="507" spans="1:11" x14ac:dyDescent="0.3">
      <c r="A507" s="23">
        <v>44204</v>
      </c>
      <c r="B507">
        <v>698</v>
      </c>
      <c r="C507" s="28">
        <f t="shared" si="14"/>
        <v>-2.8571428571428571E-3</v>
      </c>
      <c r="I507" s="27">
        <v>44409</v>
      </c>
      <c r="J507" s="14">
        <v>45654.34</v>
      </c>
      <c r="K507" s="28">
        <f t="shared" si="15"/>
        <v>6.8321345855530922E-3</v>
      </c>
    </row>
    <row r="508" spans="1:11" x14ac:dyDescent="0.3">
      <c r="A508" s="23">
        <v>44207</v>
      </c>
      <c r="B508">
        <v>697.85</v>
      </c>
      <c r="C508" s="28">
        <f t="shared" si="14"/>
        <v>-2.1489971346701613E-4</v>
      </c>
      <c r="I508" s="27">
        <v>44501</v>
      </c>
      <c r="J508" s="14">
        <v>45605.42</v>
      </c>
      <c r="K508" s="28">
        <f t="shared" si="15"/>
        <v>-1.0715301108284176E-3</v>
      </c>
    </row>
    <row r="509" spans="1:11" x14ac:dyDescent="0.3">
      <c r="A509" s="23">
        <v>44208</v>
      </c>
      <c r="B509">
        <v>700.63</v>
      </c>
      <c r="C509" s="28">
        <f t="shared" si="14"/>
        <v>3.9836641111986428E-3</v>
      </c>
      <c r="I509" s="27">
        <v>44531</v>
      </c>
      <c r="J509" s="14">
        <v>45922.04</v>
      </c>
      <c r="K509" s="28">
        <f t="shared" si="15"/>
        <v>6.9425958581239384E-3</v>
      </c>
    </row>
    <row r="510" spans="1:11" x14ac:dyDescent="0.3">
      <c r="A510" s="23">
        <v>44209</v>
      </c>
      <c r="B510">
        <v>704</v>
      </c>
      <c r="C510" s="28">
        <f t="shared" si="14"/>
        <v>4.8099567532078336E-3</v>
      </c>
      <c r="I510" s="26" t="s">
        <v>753</v>
      </c>
      <c r="J510" s="14">
        <v>46091.96</v>
      </c>
      <c r="K510" s="28">
        <f t="shared" si="15"/>
        <v>3.7001840510569269E-3</v>
      </c>
    </row>
    <row r="511" spans="1:11" x14ac:dyDescent="0.3">
      <c r="A511" s="23">
        <v>44210</v>
      </c>
      <c r="B511">
        <v>703</v>
      </c>
      <c r="C511" s="28">
        <f t="shared" si="14"/>
        <v>-1.4204545454545455E-3</v>
      </c>
      <c r="I511" s="26" t="s">
        <v>752</v>
      </c>
      <c r="J511" s="14">
        <v>45989.35</v>
      </c>
      <c r="K511" s="28">
        <f t="shared" si="15"/>
        <v>-2.2262017063279711E-3</v>
      </c>
    </row>
    <row r="512" spans="1:11" x14ac:dyDescent="0.3">
      <c r="A512" s="23">
        <v>44211</v>
      </c>
      <c r="B512">
        <v>699</v>
      </c>
      <c r="C512" s="28">
        <f t="shared" si="14"/>
        <v>-5.6899004267425323E-3</v>
      </c>
      <c r="I512" s="26" t="s">
        <v>751</v>
      </c>
      <c r="J512" s="14">
        <v>45931</v>
      </c>
      <c r="K512" s="28">
        <f t="shared" si="15"/>
        <v>-1.268772009171657E-3</v>
      </c>
    </row>
    <row r="513" spans="1:11" x14ac:dyDescent="0.3">
      <c r="A513" s="23">
        <v>44214</v>
      </c>
      <c r="B513">
        <v>690.75</v>
      </c>
      <c r="C513" s="28">
        <f t="shared" si="14"/>
        <v>-1.1802575107296138E-2</v>
      </c>
      <c r="I513" s="26" t="s">
        <v>750</v>
      </c>
      <c r="J513" s="14">
        <v>45726.68</v>
      </c>
      <c r="K513" s="28">
        <f t="shared" si="15"/>
        <v>-4.4484117480568615E-3</v>
      </c>
    </row>
    <row r="514" spans="1:11" x14ac:dyDescent="0.3">
      <c r="A514" s="23">
        <v>44215</v>
      </c>
      <c r="B514">
        <v>691</v>
      </c>
      <c r="C514" s="28">
        <f t="shared" si="14"/>
        <v>3.6192544335866811E-4</v>
      </c>
      <c r="I514" s="26" t="s">
        <v>749</v>
      </c>
      <c r="J514" s="14">
        <v>45903.23</v>
      </c>
      <c r="K514" s="28">
        <f t="shared" si="15"/>
        <v>3.8609844405936076E-3</v>
      </c>
    </row>
    <row r="515" spans="1:11" x14ac:dyDescent="0.3">
      <c r="A515" s="23">
        <v>44216</v>
      </c>
      <c r="B515">
        <v>685.08</v>
      </c>
      <c r="C515" s="28">
        <f t="shared" si="14"/>
        <v>-8.5672937771345287E-3</v>
      </c>
      <c r="I515" s="26" t="s">
        <v>748</v>
      </c>
      <c r="J515" s="14">
        <v>45676.94</v>
      </c>
      <c r="K515" s="28">
        <f t="shared" si="15"/>
        <v>-4.9297184533637576E-3</v>
      </c>
    </row>
    <row r="516" spans="1:11" x14ac:dyDescent="0.3">
      <c r="A516" s="23">
        <v>44217</v>
      </c>
      <c r="B516">
        <v>699.5</v>
      </c>
      <c r="C516" s="28">
        <f t="shared" si="14"/>
        <v>2.1048636655573012E-2</v>
      </c>
      <c r="I516" s="26" t="s">
        <v>747</v>
      </c>
      <c r="J516" s="14">
        <v>45984.46</v>
      </c>
      <c r="K516" s="28">
        <f t="shared" si="15"/>
        <v>6.7325000317446128E-3</v>
      </c>
    </row>
    <row r="517" spans="1:11" x14ac:dyDescent="0.3">
      <c r="A517" s="23">
        <v>44218</v>
      </c>
      <c r="B517">
        <v>698.82</v>
      </c>
      <c r="C517" s="28">
        <f t="shared" si="14"/>
        <v>-9.7212294496061471E-4</v>
      </c>
      <c r="I517" s="26" t="s">
        <v>746</v>
      </c>
      <c r="J517" s="14">
        <v>45868.04</v>
      </c>
      <c r="K517" s="28">
        <f t="shared" si="15"/>
        <v>-2.5317248479159752E-3</v>
      </c>
    </row>
    <row r="518" spans="1:11" x14ac:dyDescent="0.3">
      <c r="A518" s="23">
        <v>44221</v>
      </c>
      <c r="B518">
        <v>703.43</v>
      </c>
      <c r="C518" s="28">
        <f t="shared" ref="C518:C581" si="16">(B518-B517)/B517</f>
        <v>6.596834664147992E-3</v>
      </c>
      <c r="I518" s="26" t="s">
        <v>745</v>
      </c>
      <c r="J518" s="14">
        <v>46087.64</v>
      </c>
      <c r="K518" s="28">
        <f t="shared" ref="K518:K581" si="17">(J518-J517)/J517</f>
        <v>4.7876473466055783E-3</v>
      </c>
    </row>
    <row r="519" spans="1:11" x14ac:dyDescent="0.3">
      <c r="A519" s="23">
        <v>44222</v>
      </c>
      <c r="B519">
        <v>710.44</v>
      </c>
      <c r="C519" s="28">
        <f t="shared" si="16"/>
        <v>9.9654549848600497E-3</v>
      </c>
      <c r="I519" s="26" t="s">
        <v>744</v>
      </c>
      <c r="J519" s="14">
        <v>46287.38</v>
      </c>
      <c r="K519" s="28">
        <f t="shared" si="17"/>
        <v>4.3339168592706843E-3</v>
      </c>
    </row>
    <row r="520" spans="1:11" x14ac:dyDescent="0.3">
      <c r="A520" s="23">
        <v>44223</v>
      </c>
      <c r="B520">
        <v>717.86</v>
      </c>
      <c r="C520" s="28">
        <f t="shared" si="16"/>
        <v>1.0444231743708066E-2</v>
      </c>
      <c r="I520" s="26" t="s">
        <v>743</v>
      </c>
      <c r="J520" s="14">
        <v>46458.13</v>
      </c>
      <c r="K520" s="28">
        <f t="shared" si="17"/>
        <v>3.6889104546422805E-3</v>
      </c>
    </row>
    <row r="521" spans="1:11" x14ac:dyDescent="0.3">
      <c r="A521" s="23">
        <v>44224</v>
      </c>
      <c r="B521">
        <v>727.93</v>
      </c>
      <c r="C521" s="28">
        <f t="shared" si="16"/>
        <v>1.4027804864458163E-2</v>
      </c>
      <c r="I521" s="26" t="s">
        <v>742</v>
      </c>
      <c r="J521" s="14">
        <v>46166.05</v>
      </c>
      <c r="K521" s="28">
        <f t="shared" si="17"/>
        <v>-6.2869512828001147E-3</v>
      </c>
    </row>
    <row r="522" spans="1:11" x14ac:dyDescent="0.3">
      <c r="A522" s="23">
        <v>44225</v>
      </c>
      <c r="B522">
        <v>727.29</v>
      </c>
      <c r="C522" s="28">
        <f t="shared" si="16"/>
        <v>-8.7920541810337038E-4</v>
      </c>
      <c r="I522" s="26" t="s">
        <v>741</v>
      </c>
      <c r="J522" s="14">
        <v>46385.54</v>
      </c>
      <c r="K522" s="28">
        <f t="shared" si="17"/>
        <v>4.7543595347663047E-3</v>
      </c>
    </row>
    <row r="523" spans="1:11" x14ac:dyDescent="0.3">
      <c r="A523" s="23">
        <v>44228</v>
      </c>
      <c r="B523">
        <v>710.5</v>
      </c>
      <c r="C523" s="28">
        <f t="shared" si="16"/>
        <v>-2.3085701714584229E-2</v>
      </c>
      <c r="I523" s="27">
        <v>44198</v>
      </c>
      <c r="J523" s="14">
        <v>46248.45</v>
      </c>
      <c r="K523" s="28">
        <f t="shared" si="17"/>
        <v>-2.9554468914235726E-3</v>
      </c>
    </row>
    <row r="524" spans="1:11" x14ac:dyDescent="0.3">
      <c r="A524" s="23">
        <v>44229</v>
      </c>
      <c r="B524">
        <v>714.05</v>
      </c>
      <c r="C524" s="28">
        <f t="shared" si="16"/>
        <v>4.9964813511610903E-3</v>
      </c>
      <c r="I524" s="27">
        <v>44229</v>
      </c>
      <c r="J524" s="14">
        <v>46580.34</v>
      </c>
      <c r="K524" s="28">
        <f t="shared" si="17"/>
        <v>7.1762405010329959E-3</v>
      </c>
    </row>
    <row r="525" spans="1:11" x14ac:dyDescent="0.3">
      <c r="A525" s="23">
        <v>44230</v>
      </c>
      <c r="B525">
        <v>727</v>
      </c>
      <c r="C525" s="28">
        <f t="shared" si="16"/>
        <v>1.8135984875008816E-2</v>
      </c>
      <c r="I525" s="27">
        <v>44257</v>
      </c>
      <c r="J525" s="14">
        <v>46933.63</v>
      </c>
      <c r="K525" s="28">
        <f t="shared" si="17"/>
        <v>7.5845302975461517E-3</v>
      </c>
    </row>
    <row r="526" spans="1:11" x14ac:dyDescent="0.3">
      <c r="A526" s="23">
        <v>44231</v>
      </c>
      <c r="B526">
        <v>742.55</v>
      </c>
      <c r="C526" s="28">
        <f t="shared" si="16"/>
        <v>2.1389270976616168E-2</v>
      </c>
      <c r="I526" s="27">
        <v>44288</v>
      </c>
      <c r="J526" s="14">
        <v>46905.79</v>
      </c>
      <c r="K526" s="28">
        <f t="shared" si="17"/>
        <v>-5.9317806868969031E-4</v>
      </c>
    </row>
    <row r="527" spans="1:11" x14ac:dyDescent="0.3">
      <c r="A527" s="23">
        <v>44235</v>
      </c>
      <c r="B527">
        <v>738</v>
      </c>
      <c r="C527" s="28">
        <f t="shared" si="16"/>
        <v>-6.1275334994275871E-3</v>
      </c>
      <c r="I527" s="27">
        <v>44410</v>
      </c>
      <c r="J527" s="14">
        <v>46721.87</v>
      </c>
      <c r="K527" s="28">
        <f t="shared" si="17"/>
        <v>-3.9210511111740839E-3</v>
      </c>
    </row>
    <row r="528" spans="1:11" x14ac:dyDescent="0.3">
      <c r="A528" s="23">
        <v>44236</v>
      </c>
      <c r="B528">
        <v>744.5</v>
      </c>
      <c r="C528" s="28">
        <f t="shared" si="16"/>
        <v>8.8075880758807581E-3</v>
      </c>
      <c r="I528" s="27">
        <v>44441</v>
      </c>
      <c r="J528" s="14">
        <v>46674.77</v>
      </c>
      <c r="K528" s="28">
        <f t="shared" si="17"/>
        <v>-1.0080932120226742E-3</v>
      </c>
    </row>
    <row r="529" spans="1:11" x14ac:dyDescent="0.3">
      <c r="A529" s="23">
        <v>44237</v>
      </c>
      <c r="B529">
        <v>767</v>
      </c>
      <c r="C529" s="28">
        <f t="shared" si="16"/>
        <v>3.0221625251846879E-2</v>
      </c>
      <c r="I529" s="27">
        <v>44471</v>
      </c>
      <c r="J529" s="14">
        <v>46644.29</v>
      </c>
      <c r="K529" s="28">
        <f t="shared" si="17"/>
        <v>-6.5302946324097429E-4</v>
      </c>
    </row>
    <row r="530" spans="1:11" x14ac:dyDescent="0.3">
      <c r="A530" s="23">
        <v>44238</v>
      </c>
      <c r="B530">
        <v>767</v>
      </c>
      <c r="C530" s="28">
        <f t="shared" si="16"/>
        <v>0</v>
      </c>
      <c r="I530" s="27">
        <v>44502</v>
      </c>
      <c r="J530" s="14">
        <v>46055.519999999997</v>
      </c>
      <c r="K530" s="28">
        <f t="shared" si="17"/>
        <v>-1.2622552513930517E-2</v>
      </c>
    </row>
    <row r="531" spans="1:11" x14ac:dyDescent="0.3">
      <c r="A531" s="23">
        <v>44239</v>
      </c>
      <c r="B531">
        <v>789.82</v>
      </c>
      <c r="C531" s="28">
        <f t="shared" si="16"/>
        <v>2.9752281616688463E-2</v>
      </c>
      <c r="I531" s="27">
        <v>44532</v>
      </c>
      <c r="J531" s="14">
        <v>45808.36</v>
      </c>
      <c r="K531" s="28">
        <f t="shared" si="17"/>
        <v>-5.3665662661065653E-3</v>
      </c>
    </row>
    <row r="532" spans="1:11" x14ac:dyDescent="0.3">
      <c r="A532" s="23">
        <v>44242</v>
      </c>
      <c r="B532">
        <v>792</v>
      </c>
      <c r="C532" s="28">
        <f t="shared" si="16"/>
        <v>2.7601225595704714E-3</v>
      </c>
      <c r="I532" s="26" t="s">
        <v>740</v>
      </c>
      <c r="J532" s="14">
        <v>46375.59</v>
      </c>
      <c r="K532" s="28">
        <f t="shared" si="17"/>
        <v>1.238267425421901E-2</v>
      </c>
    </row>
    <row r="533" spans="1:11" x14ac:dyDescent="0.3">
      <c r="A533" s="23">
        <v>44243</v>
      </c>
      <c r="B533">
        <v>831</v>
      </c>
      <c r="C533" s="28">
        <f t="shared" si="16"/>
        <v>4.924242424242424E-2</v>
      </c>
      <c r="I533" s="26" t="s">
        <v>739</v>
      </c>
      <c r="J533" s="14">
        <v>46867.95</v>
      </c>
      <c r="K533" s="28">
        <f t="shared" si="17"/>
        <v>1.0616792152940816E-2</v>
      </c>
    </row>
    <row r="534" spans="1:11" x14ac:dyDescent="0.3">
      <c r="A534" s="23">
        <v>44244</v>
      </c>
      <c r="B534">
        <v>850</v>
      </c>
      <c r="C534" s="28">
        <f t="shared" si="16"/>
        <v>2.2864019253910951E-2</v>
      </c>
      <c r="I534" s="26" t="s">
        <v>738</v>
      </c>
      <c r="J534" s="14">
        <v>46768.14</v>
      </c>
      <c r="K534" s="28">
        <f t="shared" si="17"/>
        <v>-2.1296002918838497E-3</v>
      </c>
    </row>
    <row r="535" spans="1:11" x14ac:dyDescent="0.3">
      <c r="A535" s="23">
        <v>44245</v>
      </c>
      <c r="B535">
        <v>837</v>
      </c>
      <c r="C535" s="28">
        <f t="shared" si="16"/>
        <v>-1.5294117647058824E-2</v>
      </c>
      <c r="I535" s="26" t="s">
        <v>737</v>
      </c>
      <c r="J535" s="14">
        <v>46142.74</v>
      </c>
      <c r="K535" s="28">
        <f t="shared" si="17"/>
        <v>-1.3372351348589049E-2</v>
      </c>
    </row>
    <row r="536" spans="1:11" x14ac:dyDescent="0.3">
      <c r="A536" s="23">
        <v>44246</v>
      </c>
      <c r="B536">
        <v>830.01</v>
      </c>
      <c r="C536" s="28">
        <f t="shared" si="16"/>
        <v>-8.3512544802867485E-3</v>
      </c>
      <c r="I536" s="26" t="s">
        <v>736</v>
      </c>
      <c r="J536" s="14">
        <v>46227.65</v>
      </c>
      <c r="K536" s="28">
        <f t="shared" si="17"/>
        <v>1.8401594703739634E-3</v>
      </c>
    </row>
    <row r="537" spans="1:11" x14ac:dyDescent="0.3">
      <c r="A537" s="23">
        <v>44249</v>
      </c>
      <c r="B537">
        <v>833</v>
      </c>
      <c r="C537" s="28">
        <f t="shared" si="16"/>
        <v>3.602366236551378E-3</v>
      </c>
      <c r="I537" s="26" t="s">
        <v>735</v>
      </c>
      <c r="J537" s="14">
        <v>45890.04</v>
      </c>
      <c r="K537" s="28">
        <f t="shared" si="17"/>
        <v>-7.3032049000976811E-3</v>
      </c>
    </row>
    <row r="538" spans="1:11" x14ac:dyDescent="0.3">
      <c r="A538" s="23">
        <v>44250</v>
      </c>
      <c r="B538">
        <v>829</v>
      </c>
      <c r="C538" s="28">
        <f t="shared" si="16"/>
        <v>-4.8019207683073226E-3</v>
      </c>
      <c r="I538" s="26" t="s">
        <v>734</v>
      </c>
      <c r="J538" s="14">
        <v>45728.75</v>
      </c>
      <c r="K538" s="28">
        <f t="shared" si="17"/>
        <v>-3.5147060233549779E-3</v>
      </c>
    </row>
    <row r="539" spans="1:11" x14ac:dyDescent="0.3">
      <c r="A539" s="23">
        <v>44251</v>
      </c>
      <c r="B539">
        <v>837</v>
      </c>
      <c r="C539" s="28">
        <f t="shared" si="16"/>
        <v>9.6501809408926411E-3</v>
      </c>
      <c r="I539" s="26" t="s">
        <v>733</v>
      </c>
      <c r="J539" s="14">
        <v>45362.58</v>
      </c>
      <c r="K539" s="28">
        <f t="shared" si="17"/>
        <v>-8.0074351474728311E-3</v>
      </c>
    </row>
    <row r="540" spans="1:11" x14ac:dyDescent="0.3">
      <c r="A540" s="23">
        <v>44252</v>
      </c>
      <c r="B540">
        <v>865</v>
      </c>
      <c r="C540" s="28">
        <f t="shared" si="16"/>
        <v>3.3452807646356032E-2</v>
      </c>
      <c r="I540" s="26" t="s">
        <v>732</v>
      </c>
      <c r="J540" s="14">
        <v>45965.62</v>
      </c>
      <c r="K540" s="28">
        <f t="shared" si="17"/>
        <v>1.329377650036662E-2</v>
      </c>
    </row>
    <row r="541" spans="1:11" x14ac:dyDescent="0.3">
      <c r="A541" s="23">
        <v>44253</v>
      </c>
      <c r="B541">
        <v>884.73</v>
      </c>
      <c r="C541" s="28">
        <f t="shared" si="16"/>
        <v>2.2809248554913317E-2</v>
      </c>
      <c r="I541" s="26" t="s">
        <v>731</v>
      </c>
      <c r="J541" s="14">
        <v>45865.02</v>
      </c>
      <c r="K541" s="28">
        <f t="shared" si="17"/>
        <v>-2.1885922565605732E-3</v>
      </c>
    </row>
    <row r="542" spans="1:11" x14ac:dyDescent="0.3">
      <c r="A542" s="23">
        <v>44256</v>
      </c>
      <c r="B542">
        <v>885</v>
      </c>
      <c r="C542" s="28">
        <f t="shared" si="16"/>
        <v>3.0517785086973633E-4</v>
      </c>
      <c r="I542" s="27">
        <v>44199</v>
      </c>
      <c r="J542" s="14">
        <v>45593.43</v>
      </c>
      <c r="K542" s="28">
        <f t="shared" si="17"/>
        <v>-5.9215061936089101E-3</v>
      </c>
    </row>
    <row r="543" spans="1:11" x14ac:dyDescent="0.3">
      <c r="A543" s="23">
        <v>44257</v>
      </c>
      <c r="B543">
        <v>876.02</v>
      </c>
      <c r="C543" s="28">
        <f t="shared" si="16"/>
        <v>-1.0146892655367253E-2</v>
      </c>
      <c r="I543" s="27">
        <v>44230</v>
      </c>
      <c r="J543" s="14">
        <v>45964.27</v>
      </c>
      <c r="K543" s="28">
        <f t="shared" si="17"/>
        <v>8.133628024914916E-3</v>
      </c>
    </row>
    <row r="544" spans="1:11" x14ac:dyDescent="0.3">
      <c r="A544" s="23">
        <v>44258</v>
      </c>
      <c r="B544">
        <v>880</v>
      </c>
      <c r="C544" s="28">
        <f t="shared" si="16"/>
        <v>4.5432752676879736E-3</v>
      </c>
      <c r="I544" s="27">
        <v>44258</v>
      </c>
      <c r="J544" s="14">
        <v>46160.78</v>
      </c>
      <c r="K544" s="28">
        <f t="shared" si="17"/>
        <v>4.275277296909144E-3</v>
      </c>
    </row>
    <row r="545" spans="1:11" x14ac:dyDescent="0.3">
      <c r="A545" s="23">
        <v>44259</v>
      </c>
      <c r="B545">
        <v>862</v>
      </c>
      <c r="C545" s="28">
        <f t="shared" si="16"/>
        <v>-2.0454545454545454E-2</v>
      </c>
      <c r="I545" s="27">
        <v>44289</v>
      </c>
      <c r="J545" s="14">
        <v>45278.53</v>
      </c>
      <c r="K545" s="28">
        <f t="shared" si="17"/>
        <v>-1.9112545325273966E-2</v>
      </c>
    </row>
    <row r="546" spans="1:11" x14ac:dyDescent="0.3">
      <c r="A546" s="23">
        <v>44260</v>
      </c>
      <c r="B546">
        <v>869.72</v>
      </c>
      <c r="C546" s="28">
        <f t="shared" si="16"/>
        <v>8.9559164733178966E-3</v>
      </c>
      <c r="I546" s="27">
        <v>44319</v>
      </c>
      <c r="J546" s="14">
        <v>45837.35</v>
      </c>
      <c r="K546" s="28">
        <f t="shared" si="17"/>
        <v>1.2341831768831711E-2</v>
      </c>
    </row>
    <row r="547" spans="1:11" x14ac:dyDescent="0.3">
      <c r="A547" s="23">
        <v>44263</v>
      </c>
      <c r="B547">
        <v>832.01</v>
      </c>
      <c r="C547" s="28">
        <f t="shared" si="16"/>
        <v>-4.335878213677969E-2</v>
      </c>
      <c r="I547" s="27">
        <v>44411</v>
      </c>
      <c r="J547" s="14">
        <v>45051.05</v>
      </c>
      <c r="K547" s="28">
        <f t="shared" si="17"/>
        <v>-1.7154133037795501E-2</v>
      </c>
    </row>
    <row r="548" spans="1:11" x14ac:dyDescent="0.3">
      <c r="A548" s="23">
        <v>44264</v>
      </c>
      <c r="B548">
        <v>829</v>
      </c>
      <c r="C548" s="28">
        <f t="shared" si="16"/>
        <v>-3.6177449790266835E-3</v>
      </c>
      <c r="I548" s="27">
        <v>44442</v>
      </c>
      <c r="J548" s="14">
        <v>44222.91</v>
      </c>
      <c r="K548" s="28">
        <f t="shared" si="17"/>
        <v>-1.8382257461257826E-2</v>
      </c>
    </row>
    <row r="549" spans="1:11" x14ac:dyDescent="0.3">
      <c r="A549" s="23">
        <v>44265</v>
      </c>
      <c r="B549">
        <v>813</v>
      </c>
      <c r="C549" s="28">
        <f t="shared" si="16"/>
        <v>-1.9300361881785282E-2</v>
      </c>
      <c r="I549" s="27">
        <v>44472</v>
      </c>
      <c r="J549" s="14">
        <v>43691.68</v>
      </c>
      <c r="K549" s="28">
        <f t="shared" si="17"/>
        <v>-1.2012551865085385E-2</v>
      </c>
    </row>
    <row r="550" spans="1:11" x14ac:dyDescent="0.3">
      <c r="A550" s="23">
        <v>44266</v>
      </c>
      <c r="B550">
        <v>805</v>
      </c>
      <c r="C550" s="28">
        <f t="shared" si="16"/>
        <v>-9.8400984009840101E-3</v>
      </c>
      <c r="I550" s="27">
        <v>44503</v>
      </c>
      <c r="J550" s="14">
        <v>42779.76</v>
      </c>
      <c r="K550" s="28">
        <f t="shared" si="17"/>
        <v>-2.0871708297781139E-2</v>
      </c>
    </row>
    <row r="551" spans="1:11" x14ac:dyDescent="0.3">
      <c r="A551" s="23">
        <v>44267</v>
      </c>
      <c r="B551">
        <v>824.64</v>
      </c>
      <c r="C551" s="28">
        <f t="shared" si="16"/>
        <v>2.4397515527950293E-2</v>
      </c>
      <c r="I551" s="27">
        <v>44533</v>
      </c>
      <c r="J551" s="14">
        <v>43788.08</v>
      </c>
      <c r="K551" s="28">
        <f t="shared" si="17"/>
        <v>2.3570024703270884E-2</v>
      </c>
    </row>
    <row r="552" spans="1:11" x14ac:dyDescent="0.3">
      <c r="A552" s="23">
        <v>44270</v>
      </c>
      <c r="B552">
        <v>848</v>
      </c>
      <c r="C552" s="28">
        <f t="shared" si="16"/>
        <v>2.8327512611563851E-2</v>
      </c>
      <c r="I552" s="26" t="s">
        <v>730</v>
      </c>
      <c r="J552" s="14">
        <v>44766.59</v>
      </c>
      <c r="K552" s="28">
        <f t="shared" si="17"/>
        <v>2.2346492470096763E-2</v>
      </c>
    </row>
    <row r="553" spans="1:11" x14ac:dyDescent="0.3">
      <c r="A553" s="23">
        <v>44271</v>
      </c>
      <c r="B553">
        <v>843</v>
      </c>
      <c r="C553" s="28">
        <f t="shared" si="16"/>
        <v>-5.89622641509434E-3</v>
      </c>
      <c r="I553" s="26" t="s">
        <v>729</v>
      </c>
      <c r="J553" s="14">
        <v>44857.06</v>
      </c>
      <c r="K553" s="28">
        <f t="shared" si="17"/>
        <v>2.0209267670376761E-3</v>
      </c>
    </row>
    <row r="554" spans="1:11" x14ac:dyDescent="0.3">
      <c r="A554" s="23">
        <v>44272</v>
      </c>
      <c r="B554">
        <v>850</v>
      </c>
      <c r="C554" s="28">
        <f t="shared" si="16"/>
        <v>8.3036773428232496E-3</v>
      </c>
      <c r="I554" s="26" t="s">
        <v>728</v>
      </c>
      <c r="J554" s="14">
        <v>45450.31</v>
      </c>
      <c r="K554" s="28">
        <f t="shared" si="17"/>
        <v>1.3225342900314912E-2</v>
      </c>
    </row>
    <row r="555" spans="1:11" x14ac:dyDescent="0.3">
      <c r="A555" s="23">
        <v>44273</v>
      </c>
      <c r="B555">
        <v>839</v>
      </c>
      <c r="C555" s="28">
        <f t="shared" si="16"/>
        <v>-1.2941176470588235E-2</v>
      </c>
      <c r="I555" s="26" t="s">
        <v>727</v>
      </c>
      <c r="J555" s="14">
        <v>44724.09</v>
      </c>
      <c r="K555" s="28">
        <f t="shared" si="17"/>
        <v>-1.5978328860683264E-2</v>
      </c>
    </row>
    <row r="556" spans="1:11" x14ac:dyDescent="0.3">
      <c r="A556" s="23">
        <v>44274</v>
      </c>
      <c r="B556">
        <v>839.52</v>
      </c>
      <c r="C556" s="28">
        <f t="shared" si="16"/>
        <v>6.1978545887959695E-4</v>
      </c>
      <c r="I556" s="26" t="s">
        <v>726</v>
      </c>
      <c r="J556" s="14">
        <v>44901.31</v>
      </c>
      <c r="K556" s="28">
        <f t="shared" si="17"/>
        <v>3.9625177393212739E-3</v>
      </c>
    </row>
    <row r="557" spans="1:11" x14ac:dyDescent="0.3">
      <c r="A557" s="23">
        <v>44277</v>
      </c>
      <c r="B557">
        <v>839.99</v>
      </c>
      <c r="C557" s="28">
        <f t="shared" si="16"/>
        <v>5.5984372022111124E-4</v>
      </c>
      <c r="I557" s="26" t="s">
        <v>725</v>
      </c>
      <c r="J557" s="14">
        <v>45407.33</v>
      </c>
      <c r="K557" s="28">
        <f t="shared" si="17"/>
        <v>1.1269604383480217E-2</v>
      </c>
    </row>
    <row r="558" spans="1:11" x14ac:dyDescent="0.3">
      <c r="A558" s="23">
        <v>44279</v>
      </c>
      <c r="B558">
        <v>838</v>
      </c>
      <c r="C558" s="28">
        <f t="shared" si="16"/>
        <v>-2.3690758223312292E-3</v>
      </c>
      <c r="I558" s="26" t="s">
        <v>724</v>
      </c>
      <c r="J558" s="14">
        <v>45544.19</v>
      </c>
      <c r="K558" s="28">
        <f t="shared" si="17"/>
        <v>3.014050815143735E-3</v>
      </c>
    </row>
    <row r="559" spans="1:11" x14ac:dyDescent="0.3">
      <c r="A559" s="23">
        <v>44280</v>
      </c>
      <c r="B559">
        <v>844</v>
      </c>
      <c r="C559" s="28">
        <f t="shared" si="16"/>
        <v>7.1599045346062056E-3</v>
      </c>
      <c r="I559" s="26" t="s">
        <v>723</v>
      </c>
      <c r="J559" s="14">
        <v>45726.16</v>
      </c>
      <c r="K559" s="28">
        <f t="shared" si="17"/>
        <v>3.9954602332372396E-3</v>
      </c>
    </row>
    <row r="560" spans="1:11" x14ac:dyDescent="0.3">
      <c r="A560" s="23">
        <v>44281</v>
      </c>
      <c r="B560">
        <v>836.75</v>
      </c>
      <c r="C560" s="28">
        <f t="shared" si="16"/>
        <v>-8.5900473933649291E-3</v>
      </c>
      <c r="I560" s="26" t="s">
        <v>722</v>
      </c>
      <c r="J560" s="14">
        <v>45521.63</v>
      </c>
      <c r="K560" s="28">
        <f t="shared" si="17"/>
        <v>-4.4729319059375657E-3</v>
      </c>
    </row>
    <row r="561" spans="1:11" x14ac:dyDescent="0.3">
      <c r="A561" s="23">
        <v>44284</v>
      </c>
      <c r="B561">
        <v>820</v>
      </c>
      <c r="C561" s="28">
        <f t="shared" si="16"/>
        <v>-2.0017926501344489E-2</v>
      </c>
      <c r="I561" s="26" t="s">
        <v>721</v>
      </c>
      <c r="J561" s="14">
        <v>44431.8</v>
      </c>
      <c r="K561" s="28">
        <f t="shared" si="17"/>
        <v>-2.3940926544150431E-2</v>
      </c>
    </row>
    <row r="562" spans="1:11" x14ac:dyDescent="0.3">
      <c r="A562" s="23">
        <v>44285</v>
      </c>
      <c r="B562">
        <v>819</v>
      </c>
      <c r="C562" s="28">
        <f t="shared" si="16"/>
        <v>-1.2195121951219512E-3</v>
      </c>
      <c r="I562" s="26" t="s">
        <v>720</v>
      </c>
      <c r="J562" s="14">
        <v>44491.03</v>
      </c>
      <c r="K562" s="28">
        <f t="shared" si="17"/>
        <v>1.3330542539351528E-3</v>
      </c>
    </row>
    <row r="563" spans="1:11" x14ac:dyDescent="0.3">
      <c r="A563" s="23">
        <v>44286</v>
      </c>
      <c r="B563">
        <v>819.5</v>
      </c>
      <c r="C563" s="28">
        <f t="shared" si="16"/>
        <v>6.105006105006105E-4</v>
      </c>
      <c r="I563" s="26" t="s">
        <v>719</v>
      </c>
      <c r="J563" s="14">
        <v>44587.85</v>
      </c>
      <c r="K563" s="28">
        <f t="shared" si="17"/>
        <v>2.1761689940646397E-3</v>
      </c>
    </row>
    <row r="564" spans="1:11" x14ac:dyDescent="0.3">
      <c r="A564" s="23">
        <v>44287</v>
      </c>
      <c r="B564">
        <v>812</v>
      </c>
      <c r="C564" s="28">
        <f t="shared" si="16"/>
        <v>-9.1519219035997561E-3</v>
      </c>
      <c r="I564" s="27">
        <v>44200</v>
      </c>
      <c r="J564" s="14">
        <v>44428.1</v>
      </c>
      <c r="K564" s="28">
        <f t="shared" si="17"/>
        <v>-3.5828146008385696E-3</v>
      </c>
    </row>
    <row r="565" spans="1:11" x14ac:dyDescent="0.3">
      <c r="A565" s="23">
        <v>44288</v>
      </c>
      <c r="B565">
        <v>816.65</v>
      </c>
      <c r="C565" s="28">
        <f t="shared" si="16"/>
        <v>5.7266009852216465E-3</v>
      </c>
      <c r="I565" s="27">
        <v>44231</v>
      </c>
      <c r="J565" s="14">
        <v>44300.95</v>
      </c>
      <c r="K565" s="28">
        <f t="shared" si="17"/>
        <v>-2.8619274738285335E-3</v>
      </c>
    </row>
    <row r="566" spans="1:11" x14ac:dyDescent="0.3">
      <c r="A566" s="23">
        <v>44291</v>
      </c>
      <c r="B566">
        <v>803</v>
      </c>
      <c r="C566" s="28">
        <f t="shared" si="16"/>
        <v>-1.6714626829118933E-2</v>
      </c>
      <c r="I566" s="27">
        <v>44320</v>
      </c>
      <c r="J566" s="14">
        <v>43548.21</v>
      </c>
      <c r="K566" s="28">
        <f t="shared" si="17"/>
        <v>-1.69915092114277E-2</v>
      </c>
    </row>
    <row r="567" spans="1:11" x14ac:dyDescent="0.3">
      <c r="A567" s="23">
        <v>44292</v>
      </c>
      <c r="B567">
        <v>831</v>
      </c>
      <c r="C567" s="28">
        <f t="shared" si="16"/>
        <v>3.4869240348692404E-2</v>
      </c>
      <c r="I567" s="27">
        <v>44351</v>
      </c>
      <c r="J567" s="14">
        <v>44404.7</v>
      </c>
      <c r="K567" s="28">
        <f t="shared" si="17"/>
        <v>1.9667628129835829E-2</v>
      </c>
    </row>
    <row r="568" spans="1:11" x14ac:dyDescent="0.3">
      <c r="A568" s="23">
        <v>44293</v>
      </c>
      <c r="B568">
        <v>845</v>
      </c>
      <c r="C568" s="28">
        <f t="shared" si="16"/>
        <v>1.684717208182912E-2</v>
      </c>
      <c r="I568" s="27">
        <v>44381</v>
      </c>
      <c r="J568" s="14">
        <v>43953.58</v>
      </c>
      <c r="K568" s="28">
        <f t="shared" si="17"/>
        <v>-1.015928494055799E-2</v>
      </c>
    </row>
    <row r="569" spans="1:11" x14ac:dyDescent="0.3">
      <c r="A569" s="23">
        <v>44294</v>
      </c>
      <c r="B569">
        <v>854.5</v>
      </c>
      <c r="C569" s="28">
        <f t="shared" si="16"/>
        <v>1.1242603550295858E-2</v>
      </c>
      <c r="I569" s="27">
        <v>44412</v>
      </c>
      <c r="J569" s="14">
        <v>44741.36</v>
      </c>
      <c r="K569" s="28">
        <f t="shared" si="17"/>
        <v>1.7922999673746685E-2</v>
      </c>
    </row>
    <row r="570" spans="1:11" x14ac:dyDescent="0.3">
      <c r="A570" s="23">
        <v>44295</v>
      </c>
      <c r="B570">
        <v>858.14</v>
      </c>
      <c r="C570" s="28">
        <f t="shared" si="16"/>
        <v>4.2598010532474972E-3</v>
      </c>
      <c r="I570" s="27">
        <v>44443</v>
      </c>
      <c r="J570" s="14">
        <v>45186.48</v>
      </c>
      <c r="K570" s="28">
        <f t="shared" si="17"/>
        <v>9.948736471131021E-3</v>
      </c>
    </row>
    <row r="571" spans="1:11" x14ac:dyDescent="0.3">
      <c r="A571" s="23">
        <v>44298</v>
      </c>
      <c r="B571">
        <v>856.05</v>
      </c>
      <c r="C571" s="28">
        <f t="shared" si="16"/>
        <v>-2.4355000349593676E-3</v>
      </c>
      <c r="I571" s="27">
        <v>44534</v>
      </c>
      <c r="J571" s="14">
        <v>44978.05</v>
      </c>
      <c r="K571" s="28">
        <f t="shared" si="17"/>
        <v>-4.6126629027089579E-3</v>
      </c>
    </row>
    <row r="572" spans="1:11" x14ac:dyDescent="0.3">
      <c r="A572" s="23">
        <v>44299</v>
      </c>
      <c r="B572">
        <v>859.99</v>
      </c>
      <c r="C572" s="28">
        <f t="shared" si="16"/>
        <v>4.6025348986625256E-3</v>
      </c>
      <c r="I572" s="26" t="s">
        <v>718</v>
      </c>
      <c r="J572" s="14">
        <v>45048.57</v>
      </c>
      <c r="K572" s="28">
        <f t="shared" si="17"/>
        <v>1.5678758861266062E-3</v>
      </c>
    </row>
    <row r="573" spans="1:11" x14ac:dyDescent="0.3">
      <c r="A573" s="23">
        <v>44300</v>
      </c>
      <c r="B573">
        <v>863</v>
      </c>
      <c r="C573" s="28">
        <f t="shared" si="16"/>
        <v>3.5000406981476424E-3</v>
      </c>
      <c r="I573" s="26" t="s">
        <v>717</v>
      </c>
      <c r="J573" s="14">
        <v>45311.22</v>
      </c>
      <c r="K573" s="28">
        <f t="shared" si="17"/>
        <v>5.8303737499326054E-3</v>
      </c>
    </row>
    <row r="574" spans="1:11" x14ac:dyDescent="0.3">
      <c r="A574" s="23">
        <v>44301</v>
      </c>
      <c r="B574">
        <v>861.5</v>
      </c>
      <c r="C574" s="28">
        <f t="shared" si="16"/>
        <v>-1.7381228273464658E-3</v>
      </c>
      <c r="I574" s="26" t="s">
        <v>716</v>
      </c>
      <c r="J574" s="14">
        <v>45230.18</v>
      </c>
      <c r="K574" s="28">
        <f t="shared" si="17"/>
        <v>-1.7885194881091455E-3</v>
      </c>
    </row>
    <row r="575" spans="1:11" x14ac:dyDescent="0.3">
      <c r="A575" s="23">
        <v>44302</v>
      </c>
      <c r="B575">
        <v>861</v>
      </c>
      <c r="C575" s="28">
        <f t="shared" si="16"/>
        <v>-5.8038305281485781E-4</v>
      </c>
      <c r="I575" s="26" t="s">
        <v>715</v>
      </c>
      <c r="J575" s="14">
        <v>45305.63</v>
      </c>
      <c r="K575" s="28">
        <f t="shared" si="17"/>
        <v>1.6681339760309839E-3</v>
      </c>
    </row>
    <row r="576" spans="1:11" x14ac:dyDescent="0.3">
      <c r="A576" s="23">
        <v>44305</v>
      </c>
      <c r="B576">
        <v>856.5</v>
      </c>
      <c r="C576" s="28">
        <f t="shared" si="16"/>
        <v>-5.2264808362369342E-3</v>
      </c>
      <c r="I576" s="26" t="s">
        <v>714</v>
      </c>
      <c r="J576" s="14">
        <v>44913.57</v>
      </c>
      <c r="K576" s="28">
        <f t="shared" si="17"/>
        <v>-8.653670636519074E-3</v>
      </c>
    </row>
    <row r="577" spans="1:11" x14ac:dyDescent="0.3">
      <c r="A577" s="23">
        <v>44306</v>
      </c>
      <c r="B577">
        <v>863</v>
      </c>
      <c r="C577" s="28">
        <f t="shared" si="16"/>
        <v>7.5890251021599534E-3</v>
      </c>
      <c r="I577" s="26" t="s">
        <v>713</v>
      </c>
      <c r="J577" s="14">
        <v>45399.78</v>
      </c>
      <c r="K577" s="28">
        <f t="shared" si="17"/>
        <v>1.0825458764466934E-2</v>
      </c>
    </row>
    <row r="578" spans="1:11" x14ac:dyDescent="0.3">
      <c r="A578" s="23">
        <v>44307</v>
      </c>
      <c r="B578">
        <v>854</v>
      </c>
      <c r="C578" s="28">
        <f t="shared" si="16"/>
        <v>-1.0428736964078795E-2</v>
      </c>
      <c r="I578" s="26" t="s">
        <v>712</v>
      </c>
      <c r="J578" s="14">
        <v>45306.54</v>
      </c>
      <c r="K578" s="28">
        <f t="shared" si="17"/>
        <v>-2.0537544455060787E-3</v>
      </c>
    </row>
    <row r="579" spans="1:11" x14ac:dyDescent="0.3">
      <c r="A579" s="23">
        <v>44308</v>
      </c>
      <c r="B579">
        <v>847.9</v>
      </c>
      <c r="C579" s="28">
        <f t="shared" si="16"/>
        <v>-7.1428571428571695E-3</v>
      </c>
      <c r="I579" s="26" t="s">
        <v>711</v>
      </c>
      <c r="J579" s="14">
        <v>44929.61</v>
      </c>
      <c r="K579" s="28">
        <f t="shared" si="17"/>
        <v>-8.3195494513595668E-3</v>
      </c>
    </row>
    <row r="580" spans="1:11" x14ac:dyDescent="0.3">
      <c r="A580" s="23">
        <v>44309</v>
      </c>
      <c r="B580">
        <v>847</v>
      </c>
      <c r="C580" s="28">
        <f t="shared" si="16"/>
        <v>-1.0614459252270047E-3</v>
      </c>
      <c r="I580" s="26" t="s">
        <v>710</v>
      </c>
      <c r="J580" s="14">
        <v>44706.76</v>
      </c>
      <c r="K580" s="28">
        <f t="shared" si="17"/>
        <v>-4.9599807343085897E-3</v>
      </c>
    </row>
    <row r="581" spans="1:11" x14ac:dyDescent="0.3">
      <c r="A581" s="23">
        <v>44312</v>
      </c>
      <c r="B581">
        <v>867.01</v>
      </c>
      <c r="C581" s="28">
        <f t="shared" si="16"/>
        <v>2.3624557260920886E-2</v>
      </c>
      <c r="I581" s="26" t="s">
        <v>709</v>
      </c>
      <c r="J581" s="14">
        <v>45682.77</v>
      </c>
      <c r="K581" s="28">
        <f t="shared" si="17"/>
        <v>2.1831374047235692E-2</v>
      </c>
    </row>
    <row r="582" spans="1:11" x14ac:dyDescent="0.3">
      <c r="A582" s="23">
        <v>44313</v>
      </c>
      <c r="B582">
        <v>863</v>
      </c>
      <c r="C582" s="28">
        <f t="shared" ref="C582:C645" si="18">(B582-B581)/B581</f>
        <v>-4.6250908294021877E-3</v>
      </c>
      <c r="I582" s="26" t="s">
        <v>708</v>
      </c>
      <c r="J582" s="14">
        <v>45292.87</v>
      </c>
      <c r="K582" s="28">
        <f t="shared" ref="K582:K645" si="19">(J582-J581)/J581</f>
        <v>-8.5349465454917506E-3</v>
      </c>
    </row>
    <row r="583" spans="1:11" x14ac:dyDescent="0.3">
      <c r="A583" s="23">
        <v>44314</v>
      </c>
      <c r="B583">
        <v>851.5</v>
      </c>
      <c r="C583" s="28">
        <f t="shared" si="18"/>
        <v>-1.3325608342989572E-2</v>
      </c>
      <c r="I583" s="26" t="s">
        <v>707</v>
      </c>
      <c r="J583" s="14">
        <v>45059.12</v>
      </c>
      <c r="K583" s="28">
        <f t="shared" si="19"/>
        <v>-5.1608564438508754E-3</v>
      </c>
    </row>
    <row r="584" spans="1:11" x14ac:dyDescent="0.3">
      <c r="A584" s="23">
        <v>44315</v>
      </c>
      <c r="B584">
        <v>845.01</v>
      </c>
      <c r="C584" s="28">
        <f t="shared" si="18"/>
        <v>-7.6218438050499222E-3</v>
      </c>
      <c r="I584" s="26" t="s">
        <v>706</v>
      </c>
      <c r="J584" s="14">
        <v>44863.11</v>
      </c>
      <c r="K584" s="28">
        <f t="shared" si="19"/>
        <v>-4.3500627619891827E-3</v>
      </c>
    </row>
    <row r="585" spans="1:11" x14ac:dyDescent="0.3">
      <c r="A585" s="23">
        <v>44316</v>
      </c>
      <c r="B585">
        <v>835.01</v>
      </c>
      <c r="C585" s="28">
        <f t="shared" si="18"/>
        <v>-1.1834179477165951E-2</v>
      </c>
      <c r="I585" s="26" t="s">
        <v>705</v>
      </c>
      <c r="J585" s="14">
        <v>44262.35</v>
      </c>
      <c r="K585" s="28">
        <f t="shared" si="19"/>
        <v>-1.3390957514982845E-2</v>
      </c>
    </row>
    <row r="586" spans="1:11" x14ac:dyDescent="0.3">
      <c r="A586" s="23">
        <v>44319</v>
      </c>
      <c r="B586">
        <v>837</v>
      </c>
      <c r="C586" s="28">
        <f t="shared" si="18"/>
        <v>2.3832049915569983E-3</v>
      </c>
      <c r="I586" s="27">
        <v>44260</v>
      </c>
      <c r="J586" s="14">
        <v>44076.2</v>
      </c>
      <c r="K586" s="28">
        <f t="shared" si="19"/>
        <v>-4.2056058930445735E-3</v>
      </c>
    </row>
    <row r="587" spans="1:11" x14ac:dyDescent="0.3">
      <c r="A587" s="23">
        <v>44320</v>
      </c>
      <c r="B587">
        <v>846</v>
      </c>
      <c r="C587" s="28">
        <f t="shared" si="18"/>
        <v>1.0752688172043012E-2</v>
      </c>
      <c r="I587" s="27">
        <v>44291</v>
      </c>
      <c r="J587" s="14">
        <v>44563.59</v>
      </c>
      <c r="K587" s="28">
        <f t="shared" si="19"/>
        <v>1.1057895190601718E-2</v>
      </c>
    </row>
    <row r="588" spans="1:11" x14ac:dyDescent="0.3">
      <c r="A588" s="23">
        <v>44321</v>
      </c>
      <c r="B588">
        <v>856</v>
      </c>
      <c r="C588" s="28">
        <f t="shared" si="18"/>
        <v>1.1820330969267139E-2</v>
      </c>
      <c r="I588" s="27">
        <v>44321</v>
      </c>
      <c r="J588" s="14">
        <v>44943.61</v>
      </c>
      <c r="K588" s="28">
        <f t="shared" si="19"/>
        <v>8.5275894513885467E-3</v>
      </c>
    </row>
    <row r="589" spans="1:11" x14ac:dyDescent="0.3">
      <c r="A589" s="23">
        <v>44322</v>
      </c>
      <c r="B589">
        <v>881</v>
      </c>
      <c r="C589" s="28">
        <f t="shared" si="18"/>
        <v>2.9205607476635514E-2</v>
      </c>
      <c r="I589" s="27">
        <v>44352</v>
      </c>
      <c r="J589" s="14">
        <v>45174.67</v>
      </c>
      <c r="K589" s="28">
        <f t="shared" si="19"/>
        <v>5.1411090475375178E-3</v>
      </c>
    </row>
    <row r="590" spans="1:11" x14ac:dyDescent="0.3">
      <c r="A590" s="23">
        <v>44333</v>
      </c>
      <c r="B590">
        <v>912</v>
      </c>
      <c r="C590" s="28">
        <f t="shared" si="18"/>
        <v>3.5187287173666287E-2</v>
      </c>
      <c r="I590" s="26" t="s">
        <v>704</v>
      </c>
      <c r="J590" s="14">
        <v>45796.31</v>
      </c>
      <c r="K590" s="28">
        <f t="shared" si="19"/>
        <v>1.376080887807259E-2</v>
      </c>
    </row>
    <row r="591" spans="1:11" x14ac:dyDescent="0.3">
      <c r="A591" s="23">
        <v>44334</v>
      </c>
      <c r="B591">
        <v>909</v>
      </c>
      <c r="C591" s="28">
        <f t="shared" si="18"/>
        <v>-3.2894736842105261E-3</v>
      </c>
      <c r="I591" s="26" t="s">
        <v>703</v>
      </c>
      <c r="J591" s="14">
        <v>45981.82</v>
      </c>
      <c r="K591" s="28">
        <f t="shared" si="19"/>
        <v>4.0507630418259036E-3</v>
      </c>
    </row>
    <row r="592" spans="1:11" x14ac:dyDescent="0.3">
      <c r="A592" s="23">
        <v>44335</v>
      </c>
      <c r="B592">
        <v>898</v>
      </c>
      <c r="C592" s="28">
        <f t="shared" si="18"/>
        <v>-1.2101210121012101E-2</v>
      </c>
      <c r="I592" s="26" t="s">
        <v>702</v>
      </c>
      <c r="J592" s="14">
        <v>45682.11</v>
      </c>
      <c r="K592" s="28">
        <f t="shared" si="19"/>
        <v>-6.5180108138390156E-3</v>
      </c>
    </row>
    <row r="593" spans="1:11" x14ac:dyDescent="0.3">
      <c r="A593" s="23">
        <v>44336</v>
      </c>
      <c r="B593">
        <v>892</v>
      </c>
      <c r="C593" s="28">
        <f t="shared" si="18"/>
        <v>-6.6815144766146995E-3</v>
      </c>
      <c r="I593" s="26" t="s">
        <v>701</v>
      </c>
      <c r="J593" s="14">
        <v>45574.07</v>
      </c>
      <c r="K593" s="28">
        <f t="shared" si="19"/>
        <v>-2.3650396183539E-3</v>
      </c>
    </row>
    <row r="594" spans="1:11" x14ac:dyDescent="0.3">
      <c r="A594" s="23">
        <v>44337</v>
      </c>
      <c r="B594">
        <v>901.05</v>
      </c>
      <c r="C594" s="28">
        <f t="shared" si="18"/>
        <v>1.0145739910313851E-2</v>
      </c>
      <c r="I594" s="26" t="s">
        <v>700</v>
      </c>
      <c r="J594" s="14">
        <v>45914.98</v>
      </c>
      <c r="K594" s="28">
        <f t="shared" si="19"/>
        <v>7.4803501201451501E-3</v>
      </c>
    </row>
    <row r="595" spans="1:11" x14ac:dyDescent="0.3">
      <c r="A595" s="23">
        <v>44340</v>
      </c>
      <c r="B595">
        <v>908</v>
      </c>
      <c r="C595" s="28">
        <f t="shared" si="18"/>
        <v>7.7132234615171699E-3</v>
      </c>
      <c r="I595" s="26" t="s">
        <v>699</v>
      </c>
      <c r="J595" s="14">
        <v>46097.11</v>
      </c>
      <c r="K595" s="28">
        <f t="shared" si="19"/>
        <v>3.966679284189983E-3</v>
      </c>
    </row>
    <row r="596" spans="1:11" x14ac:dyDescent="0.3">
      <c r="A596" s="23">
        <v>44341</v>
      </c>
      <c r="B596">
        <v>907</v>
      </c>
      <c r="C596" s="28">
        <f t="shared" si="18"/>
        <v>-1.1013215859030838E-3</v>
      </c>
      <c r="I596" s="26" t="s">
        <v>698</v>
      </c>
      <c r="J596" s="14">
        <v>46300.66</v>
      </c>
      <c r="K596" s="28">
        <f t="shared" si="19"/>
        <v>4.4156781195177509E-3</v>
      </c>
    </row>
    <row r="597" spans="1:11" x14ac:dyDescent="0.3">
      <c r="A597" s="23">
        <v>44342</v>
      </c>
      <c r="B597">
        <v>904</v>
      </c>
      <c r="C597" s="28">
        <f t="shared" si="18"/>
        <v>-3.3076074972436605E-3</v>
      </c>
      <c r="I597" s="26" t="s">
        <v>697</v>
      </c>
      <c r="J597" s="14">
        <v>46812.31</v>
      </c>
      <c r="K597" s="28">
        <f t="shared" si="19"/>
        <v>1.1050598414795689E-2</v>
      </c>
    </row>
    <row r="598" spans="1:11" x14ac:dyDescent="0.3">
      <c r="A598" s="23">
        <v>44343</v>
      </c>
      <c r="B598">
        <v>919.9</v>
      </c>
      <c r="C598" s="28">
        <f t="shared" si="18"/>
        <v>1.7588495575221214E-2</v>
      </c>
      <c r="I598" s="26" t="s">
        <v>696</v>
      </c>
      <c r="J598" s="14">
        <v>46790.75</v>
      </c>
      <c r="K598" s="28">
        <f t="shared" si="19"/>
        <v>-4.6056261696971742E-4</v>
      </c>
    </row>
    <row r="599" spans="1:11" x14ac:dyDescent="0.3">
      <c r="A599" s="23">
        <v>44344</v>
      </c>
      <c r="B599">
        <v>915.32</v>
      </c>
      <c r="C599" s="28">
        <f t="shared" si="18"/>
        <v>-4.9788020437003229E-3</v>
      </c>
      <c r="I599" s="26" t="s">
        <v>695</v>
      </c>
      <c r="J599" s="14">
        <v>47126.29</v>
      </c>
      <c r="K599" s="28">
        <f t="shared" si="19"/>
        <v>7.171075479662131E-3</v>
      </c>
    </row>
    <row r="600" spans="1:11" x14ac:dyDescent="0.3">
      <c r="A600" s="23">
        <v>44347</v>
      </c>
      <c r="B600">
        <v>932</v>
      </c>
      <c r="C600" s="28">
        <f t="shared" si="18"/>
        <v>1.8223135078442455E-2</v>
      </c>
      <c r="I600" s="26" t="s">
        <v>694</v>
      </c>
      <c r="J600" s="14">
        <v>47896.34</v>
      </c>
      <c r="K600" s="28">
        <f t="shared" si="19"/>
        <v>1.6340136259399916E-2</v>
      </c>
    </row>
    <row r="601" spans="1:11" x14ac:dyDescent="0.3">
      <c r="A601" s="23">
        <v>44348</v>
      </c>
      <c r="B601">
        <v>939.9</v>
      </c>
      <c r="C601" s="28">
        <f t="shared" si="18"/>
        <v>8.4763948497853826E-3</v>
      </c>
      <c r="I601" s="27">
        <v>44202</v>
      </c>
      <c r="J601" s="14">
        <v>48191.26</v>
      </c>
      <c r="K601" s="28">
        <f t="shared" si="19"/>
        <v>6.157464223780054E-3</v>
      </c>
    </row>
    <row r="602" spans="1:11" x14ac:dyDescent="0.3">
      <c r="A602" s="23">
        <v>44349</v>
      </c>
      <c r="B602">
        <v>933.1</v>
      </c>
      <c r="C602" s="28">
        <f t="shared" si="18"/>
        <v>-7.2348122140652778E-3</v>
      </c>
      <c r="I602" s="27">
        <v>44233</v>
      </c>
      <c r="J602" s="14">
        <v>48126.9</v>
      </c>
      <c r="K602" s="28">
        <f t="shared" si="19"/>
        <v>-1.3355118749748519E-3</v>
      </c>
    </row>
    <row r="603" spans="1:11" x14ac:dyDescent="0.3">
      <c r="A603" s="23">
        <v>44350</v>
      </c>
      <c r="B603">
        <v>916</v>
      </c>
      <c r="C603" s="28">
        <f t="shared" si="18"/>
        <v>-1.8326010073947081E-2</v>
      </c>
      <c r="I603" s="27">
        <v>44261</v>
      </c>
      <c r="J603" s="14">
        <v>48093.53</v>
      </c>
      <c r="K603" s="28">
        <f t="shared" si="19"/>
        <v>-6.9337522258866905E-4</v>
      </c>
    </row>
    <row r="604" spans="1:11" x14ac:dyDescent="0.3">
      <c r="A604" s="23">
        <v>44351</v>
      </c>
      <c r="B604">
        <v>918</v>
      </c>
      <c r="C604" s="28">
        <f t="shared" si="18"/>
        <v>2.1834061135371178E-3</v>
      </c>
      <c r="I604" s="27">
        <v>44292</v>
      </c>
      <c r="J604" s="14">
        <v>48211.7</v>
      </c>
      <c r="K604" s="28">
        <f t="shared" si="19"/>
        <v>2.4570872630891986E-3</v>
      </c>
    </row>
    <row r="605" spans="1:11" x14ac:dyDescent="0.3">
      <c r="A605" s="23">
        <v>44354</v>
      </c>
      <c r="B605">
        <v>915</v>
      </c>
      <c r="C605" s="28">
        <f t="shared" si="18"/>
        <v>-3.2679738562091504E-3</v>
      </c>
      <c r="I605" s="27">
        <v>44383</v>
      </c>
      <c r="J605" s="14">
        <v>48302.66</v>
      </c>
      <c r="K605" s="28">
        <f t="shared" si="19"/>
        <v>1.8866789596717478E-3</v>
      </c>
    </row>
    <row r="606" spans="1:11" x14ac:dyDescent="0.3">
      <c r="A606" s="23">
        <v>44355</v>
      </c>
      <c r="B606">
        <v>916</v>
      </c>
      <c r="C606" s="28">
        <f t="shared" si="18"/>
        <v>1.092896174863388E-3</v>
      </c>
      <c r="I606" s="27">
        <v>44414</v>
      </c>
      <c r="J606" s="14">
        <v>48147.98</v>
      </c>
      <c r="K606" s="28">
        <f t="shared" si="19"/>
        <v>-3.2023081130521649E-3</v>
      </c>
    </row>
    <row r="607" spans="1:11" x14ac:dyDescent="0.3">
      <c r="A607" s="23">
        <v>44356</v>
      </c>
      <c r="B607">
        <v>916</v>
      </c>
      <c r="C607" s="28">
        <f t="shared" si="18"/>
        <v>0</v>
      </c>
      <c r="I607" s="27">
        <v>44445</v>
      </c>
      <c r="J607" s="14">
        <v>47777.62</v>
      </c>
      <c r="K607" s="28">
        <f t="shared" si="19"/>
        <v>-7.6921191709392704E-3</v>
      </c>
    </row>
    <row r="608" spans="1:11" x14ac:dyDescent="0.3">
      <c r="A608" s="23">
        <v>44357</v>
      </c>
      <c r="B608">
        <v>915</v>
      </c>
      <c r="C608" s="28">
        <f t="shared" si="18"/>
        <v>-1.0917030567685589E-3</v>
      </c>
      <c r="I608" s="27">
        <v>44475</v>
      </c>
      <c r="J608" s="14">
        <v>48251.49</v>
      </c>
      <c r="K608" s="28">
        <f t="shared" si="19"/>
        <v>9.9182420555899466E-3</v>
      </c>
    </row>
    <row r="609" spans="1:11" x14ac:dyDescent="0.3">
      <c r="A609" s="23">
        <v>44358</v>
      </c>
      <c r="B609">
        <v>910</v>
      </c>
      <c r="C609" s="28">
        <f t="shared" si="18"/>
        <v>-5.4644808743169399E-3</v>
      </c>
      <c r="I609" s="27">
        <v>44506</v>
      </c>
      <c r="J609" s="14">
        <v>48304.72</v>
      </c>
      <c r="K609" s="28">
        <f t="shared" si="19"/>
        <v>1.1031783681706658E-3</v>
      </c>
    </row>
    <row r="610" spans="1:11" x14ac:dyDescent="0.3">
      <c r="A610" s="23">
        <v>44361</v>
      </c>
      <c r="B610">
        <v>919.99</v>
      </c>
      <c r="C610" s="28">
        <f t="shared" si="18"/>
        <v>1.0978021978021987E-2</v>
      </c>
      <c r="I610" s="26" t="s">
        <v>693</v>
      </c>
      <c r="J610" s="14">
        <v>48726.080000000002</v>
      </c>
      <c r="K610" s="28">
        <f t="shared" si="19"/>
        <v>8.7229570940479638E-3</v>
      </c>
    </row>
    <row r="611" spans="1:11" x14ac:dyDescent="0.3">
      <c r="A611" s="23">
        <v>44362</v>
      </c>
      <c r="B611">
        <v>910.15</v>
      </c>
      <c r="C611" s="28">
        <f t="shared" si="18"/>
        <v>-1.0695768432265603E-2</v>
      </c>
      <c r="I611" s="26" t="s">
        <v>692</v>
      </c>
      <c r="J611" s="14">
        <v>48632.56</v>
      </c>
      <c r="K611" s="28">
        <f t="shared" si="19"/>
        <v>-1.9193007112413736E-3</v>
      </c>
    </row>
    <row r="612" spans="1:11" x14ac:dyDescent="0.3">
      <c r="A612" s="23">
        <v>44363</v>
      </c>
      <c r="B612">
        <v>911</v>
      </c>
      <c r="C612" s="28">
        <f t="shared" si="18"/>
        <v>9.3391199252872907E-4</v>
      </c>
      <c r="I612" s="26" t="s">
        <v>691</v>
      </c>
      <c r="J612" s="14">
        <v>48480.9</v>
      </c>
      <c r="K612" s="28">
        <f t="shared" si="19"/>
        <v>-3.1184868738145027E-3</v>
      </c>
    </row>
    <row r="613" spans="1:11" x14ac:dyDescent="0.3">
      <c r="A613" s="23">
        <v>44364</v>
      </c>
      <c r="B613">
        <v>913.01</v>
      </c>
      <c r="C613" s="28">
        <f t="shared" si="18"/>
        <v>2.2063666300768288E-3</v>
      </c>
      <c r="I613" s="26" t="s">
        <v>690</v>
      </c>
      <c r="J613" s="14">
        <v>48131.25</v>
      </c>
      <c r="K613" s="28">
        <f t="shared" si="19"/>
        <v>-7.2121185869074515E-3</v>
      </c>
    </row>
    <row r="614" spans="1:11" x14ac:dyDescent="0.3">
      <c r="A614" s="23">
        <v>44365</v>
      </c>
      <c r="B614">
        <v>921.98</v>
      </c>
      <c r="C614" s="28">
        <f t="shared" si="18"/>
        <v>9.8246459513039591E-3</v>
      </c>
      <c r="I614" s="26" t="s">
        <v>689</v>
      </c>
      <c r="J614" s="14">
        <v>48238.67</v>
      </c>
      <c r="K614" s="28">
        <f t="shared" si="19"/>
        <v>2.2318140501233243E-3</v>
      </c>
    </row>
    <row r="615" spans="1:11" x14ac:dyDescent="0.3">
      <c r="A615" s="23">
        <v>44368</v>
      </c>
      <c r="B615">
        <v>913.96</v>
      </c>
      <c r="C615" s="28">
        <f t="shared" si="18"/>
        <v>-8.698670253150808E-3</v>
      </c>
      <c r="I615" s="26" t="s">
        <v>688</v>
      </c>
      <c r="J615" s="14">
        <v>48012.52</v>
      </c>
      <c r="K615" s="28">
        <f t="shared" si="19"/>
        <v>-4.6881474966038962E-3</v>
      </c>
    </row>
    <row r="616" spans="1:11" x14ac:dyDescent="0.3">
      <c r="A616" s="23">
        <v>44369</v>
      </c>
      <c r="B616">
        <v>909</v>
      </c>
      <c r="C616" s="28">
        <f t="shared" si="18"/>
        <v>-5.4269333450041972E-3</v>
      </c>
      <c r="I616" s="26" t="s">
        <v>687</v>
      </c>
      <c r="J616" s="14">
        <v>47987.14</v>
      </c>
      <c r="K616" s="28">
        <f t="shared" si="19"/>
        <v>-5.2861212033855718E-4</v>
      </c>
    </row>
    <row r="617" spans="1:11" x14ac:dyDescent="0.3">
      <c r="A617" s="23">
        <v>44370</v>
      </c>
      <c r="B617">
        <v>902</v>
      </c>
      <c r="C617" s="28">
        <f t="shared" si="18"/>
        <v>-7.7007700770077006E-3</v>
      </c>
      <c r="I617" s="26" t="s">
        <v>686</v>
      </c>
      <c r="J617" s="14">
        <v>47900.7</v>
      </c>
      <c r="K617" s="28">
        <f t="shared" si="19"/>
        <v>-1.8013159358945402E-3</v>
      </c>
    </row>
    <row r="618" spans="1:11" x14ac:dyDescent="0.3">
      <c r="A618" s="23">
        <v>44371</v>
      </c>
      <c r="B618">
        <v>903</v>
      </c>
      <c r="C618" s="28">
        <f t="shared" si="18"/>
        <v>1.1086474501108647E-3</v>
      </c>
      <c r="I618" s="26" t="s">
        <v>685</v>
      </c>
      <c r="J618" s="14">
        <v>47962.54</v>
      </c>
      <c r="K618" s="28">
        <f t="shared" si="19"/>
        <v>1.2910040980612764E-3</v>
      </c>
    </row>
    <row r="619" spans="1:11" x14ac:dyDescent="0.3">
      <c r="A619" s="23">
        <v>44372</v>
      </c>
      <c r="B619">
        <v>881.25</v>
      </c>
      <c r="C619" s="28">
        <f t="shared" si="18"/>
        <v>-2.408637873754153E-2</v>
      </c>
      <c r="I619" s="26" t="s">
        <v>684</v>
      </c>
      <c r="J619" s="14">
        <v>47703.94</v>
      </c>
      <c r="K619" s="28">
        <f t="shared" si="19"/>
        <v>-5.3917077786121946E-3</v>
      </c>
    </row>
    <row r="620" spans="1:11" x14ac:dyDescent="0.3">
      <c r="A620" s="23">
        <v>44375</v>
      </c>
      <c r="B620">
        <v>860</v>
      </c>
      <c r="C620" s="28">
        <f t="shared" si="18"/>
        <v>-2.4113475177304965E-2</v>
      </c>
      <c r="I620" s="26" t="s">
        <v>683</v>
      </c>
      <c r="J620" s="14">
        <v>47002.35</v>
      </c>
      <c r="K620" s="28">
        <f t="shared" si="19"/>
        <v>-1.4707170938081923E-2</v>
      </c>
    </row>
    <row r="621" spans="1:11" x14ac:dyDescent="0.3">
      <c r="A621" s="23">
        <v>44376</v>
      </c>
      <c r="B621">
        <v>867.99</v>
      </c>
      <c r="C621" s="28">
        <f t="shared" si="18"/>
        <v>9.2906976744186152E-3</v>
      </c>
      <c r="I621" s="26" t="s">
        <v>682</v>
      </c>
      <c r="J621" s="14">
        <v>47137.77</v>
      </c>
      <c r="K621" s="28">
        <f t="shared" si="19"/>
        <v>2.8811325391176878E-3</v>
      </c>
    </row>
    <row r="622" spans="1:11" x14ac:dyDescent="0.3">
      <c r="A622" s="23">
        <v>44377</v>
      </c>
      <c r="B622">
        <v>864.99</v>
      </c>
      <c r="C622" s="28">
        <f t="shared" si="18"/>
        <v>-3.4562610168319911E-3</v>
      </c>
      <c r="I622" s="26" t="s">
        <v>681</v>
      </c>
      <c r="J622" s="14">
        <v>47356.02</v>
      </c>
      <c r="K622" s="28">
        <f t="shared" si="19"/>
        <v>4.6300450785007443E-3</v>
      </c>
    </row>
    <row r="623" spans="1:11" x14ac:dyDescent="0.3">
      <c r="A623" s="23">
        <v>44378</v>
      </c>
      <c r="B623">
        <v>886</v>
      </c>
      <c r="C623" s="28">
        <f t="shared" si="18"/>
        <v>2.4289298142175043E-2</v>
      </c>
      <c r="I623" s="27">
        <v>44203</v>
      </c>
      <c r="J623" s="14">
        <v>47800.57</v>
      </c>
      <c r="K623" s="28">
        <f t="shared" si="19"/>
        <v>9.3874020663054659E-3</v>
      </c>
    </row>
    <row r="624" spans="1:11" x14ac:dyDescent="0.3">
      <c r="A624" s="23">
        <v>44379</v>
      </c>
      <c r="B624">
        <v>893.98</v>
      </c>
      <c r="C624" s="28">
        <f t="shared" si="18"/>
        <v>9.0067720090293655E-3</v>
      </c>
      <c r="I624" s="27">
        <v>44234</v>
      </c>
      <c r="J624" s="14">
        <v>47686.18</v>
      </c>
      <c r="K624" s="28">
        <f t="shared" si="19"/>
        <v>-2.3930676977282784E-3</v>
      </c>
    </row>
    <row r="625" spans="1:11" x14ac:dyDescent="0.3">
      <c r="A625" s="23">
        <v>44382</v>
      </c>
      <c r="B625">
        <v>882</v>
      </c>
      <c r="C625" s="28">
        <f t="shared" si="18"/>
        <v>-1.3400747220295776E-2</v>
      </c>
      <c r="I625" s="27">
        <v>44323</v>
      </c>
      <c r="J625" s="14">
        <v>47429.120000000003</v>
      </c>
      <c r="K625" s="28">
        <f t="shared" si="19"/>
        <v>-5.3906603548448976E-3</v>
      </c>
    </row>
    <row r="626" spans="1:11" x14ac:dyDescent="0.3">
      <c r="A626" s="23">
        <v>44383</v>
      </c>
      <c r="B626">
        <v>876</v>
      </c>
      <c r="C626" s="28">
        <f t="shared" si="18"/>
        <v>-6.8027210884353739E-3</v>
      </c>
      <c r="I626" s="27">
        <v>44354</v>
      </c>
      <c r="J626" s="14">
        <v>47346.16</v>
      </c>
      <c r="K626" s="28">
        <f t="shared" si="19"/>
        <v>-1.7491363955308285E-3</v>
      </c>
    </row>
    <row r="627" spans="1:11" x14ac:dyDescent="0.3">
      <c r="A627" s="23">
        <v>44384</v>
      </c>
      <c r="B627">
        <v>877</v>
      </c>
      <c r="C627" s="28">
        <f t="shared" si="18"/>
        <v>1.1415525114155251E-3</v>
      </c>
      <c r="I627" s="27">
        <v>44384</v>
      </c>
      <c r="J627" s="14">
        <v>47247.92</v>
      </c>
      <c r="K627" s="28">
        <f t="shared" si="19"/>
        <v>-2.0749306807564803E-3</v>
      </c>
    </row>
    <row r="628" spans="1:11" x14ac:dyDescent="0.3">
      <c r="A628" s="23">
        <v>44385</v>
      </c>
      <c r="B628">
        <v>909.5</v>
      </c>
      <c r="C628" s="28">
        <f t="shared" si="18"/>
        <v>3.7058152793614595E-2</v>
      </c>
      <c r="I628" s="27">
        <v>44415</v>
      </c>
      <c r="J628" s="14">
        <v>48053.17</v>
      </c>
      <c r="K628" s="28">
        <f t="shared" si="19"/>
        <v>1.7043078298473246E-2</v>
      </c>
    </row>
    <row r="629" spans="1:11" x14ac:dyDescent="0.3">
      <c r="A629" s="23">
        <v>44386</v>
      </c>
      <c r="B629">
        <v>889.3</v>
      </c>
      <c r="C629" s="28">
        <f t="shared" si="18"/>
        <v>-2.2210005497526164E-2</v>
      </c>
      <c r="I629" s="27">
        <v>44446</v>
      </c>
      <c r="J629" s="14">
        <v>47563.45</v>
      </c>
      <c r="K629" s="28">
        <f t="shared" si="19"/>
        <v>-1.0191211110526135E-2</v>
      </c>
    </row>
    <row r="630" spans="1:11" x14ac:dyDescent="0.3">
      <c r="A630" s="23">
        <v>44389</v>
      </c>
      <c r="B630">
        <v>883</v>
      </c>
      <c r="C630" s="28">
        <f t="shared" si="18"/>
        <v>-7.0842235466096418E-3</v>
      </c>
      <c r="I630" s="27">
        <v>44537</v>
      </c>
      <c r="J630" s="14">
        <v>47447.08</v>
      </c>
      <c r="K630" s="28">
        <f t="shared" si="19"/>
        <v>-2.4466265588386745E-3</v>
      </c>
    </row>
    <row r="631" spans="1:11" x14ac:dyDescent="0.3">
      <c r="A631" s="23">
        <v>44390</v>
      </c>
      <c r="B631">
        <v>882.98</v>
      </c>
      <c r="C631" s="28">
        <f t="shared" si="18"/>
        <v>-2.2650056625120962E-5</v>
      </c>
      <c r="I631" s="26" t="s">
        <v>680</v>
      </c>
      <c r="J631" s="14">
        <v>47480.49</v>
      </c>
      <c r="K631" s="28">
        <f t="shared" si="19"/>
        <v>7.0415292152849478E-4</v>
      </c>
    </row>
    <row r="632" spans="1:11" x14ac:dyDescent="0.3">
      <c r="A632" s="23">
        <v>44391</v>
      </c>
      <c r="B632">
        <v>885.06</v>
      </c>
      <c r="C632" s="28">
        <f t="shared" si="18"/>
        <v>2.355659244829925E-3</v>
      </c>
      <c r="I632" s="26" t="s">
        <v>679</v>
      </c>
      <c r="J632" s="14">
        <v>47491.47</v>
      </c>
      <c r="K632" s="28">
        <f t="shared" si="19"/>
        <v>2.3125287881408136E-4</v>
      </c>
    </row>
    <row r="633" spans="1:11" x14ac:dyDescent="0.3">
      <c r="A633" s="23">
        <v>44392</v>
      </c>
      <c r="B633">
        <v>893</v>
      </c>
      <c r="C633" s="28">
        <f t="shared" si="18"/>
        <v>8.9711431993311809E-3</v>
      </c>
      <c r="I633" s="26" t="s">
        <v>678</v>
      </c>
      <c r="J633" s="14">
        <v>47628.26</v>
      </c>
      <c r="K633" s="28">
        <f t="shared" si="19"/>
        <v>2.8803067161324099E-3</v>
      </c>
    </row>
    <row r="634" spans="1:11" x14ac:dyDescent="0.3">
      <c r="A634" s="23">
        <v>44393</v>
      </c>
      <c r="B634">
        <v>911.53</v>
      </c>
      <c r="C634" s="28">
        <f t="shared" si="18"/>
        <v>2.0750279955207136E-2</v>
      </c>
      <c r="I634" s="26" t="s">
        <v>677</v>
      </c>
      <c r="J634" s="14">
        <v>47834.33</v>
      </c>
      <c r="K634" s="28">
        <f t="shared" si="19"/>
        <v>4.3266329695856977E-3</v>
      </c>
    </row>
    <row r="635" spans="1:11" x14ac:dyDescent="0.3">
      <c r="A635" s="23">
        <v>44396</v>
      </c>
      <c r="B635">
        <v>906</v>
      </c>
      <c r="C635" s="28">
        <f t="shared" si="18"/>
        <v>-6.0667229822386239E-3</v>
      </c>
      <c r="I635" s="26" t="s">
        <v>676</v>
      </c>
      <c r="J635" s="14">
        <v>47873.26</v>
      </c>
      <c r="K635" s="28">
        <f t="shared" si="19"/>
        <v>8.1385063823409445E-4</v>
      </c>
    </row>
    <row r="636" spans="1:11" x14ac:dyDescent="0.3">
      <c r="A636" s="23">
        <v>44400</v>
      </c>
      <c r="B636">
        <v>905</v>
      </c>
      <c r="C636" s="28">
        <f t="shared" si="18"/>
        <v>-1.1037527593818985E-3</v>
      </c>
      <c r="I636" s="26" t="s">
        <v>675</v>
      </c>
      <c r="J636" s="14">
        <v>47793.07</v>
      </c>
      <c r="K636" s="28">
        <f t="shared" si="19"/>
        <v>-1.6750478241925101E-3</v>
      </c>
    </row>
    <row r="637" spans="1:11" x14ac:dyDescent="0.3">
      <c r="A637" s="23">
        <v>44403</v>
      </c>
      <c r="B637">
        <v>900</v>
      </c>
      <c r="C637" s="28">
        <f t="shared" si="18"/>
        <v>-5.5248618784530384E-3</v>
      </c>
      <c r="I637" s="26" t="s">
        <v>674</v>
      </c>
      <c r="J637" s="14">
        <v>47672.68</v>
      </c>
      <c r="K637" s="28">
        <f t="shared" si="19"/>
        <v>-2.5189844469082948E-3</v>
      </c>
    </row>
    <row r="638" spans="1:11" x14ac:dyDescent="0.3">
      <c r="A638" s="23">
        <v>44404</v>
      </c>
      <c r="B638">
        <v>900</v>
      </c>
      <c r="C638" s="28">
        <f t="shared" si="18"/>
        <v>0</v>
      </c>
      <c r="I638" s="26" t="s">
        <v>673</v>
      </c>
      <c r="J638" s="14">
        <v>47686.99</v>
      </c>
      <c r="K638" s="28">
        <f t="shared" si="19"/>
        <v>3.0017192236722737E-4</v>
      </c>
    </row>
    <row r="639" spans="1:11" x14ac:dyDescent="0.3">
      <c r="A639" s="23">
        <v>44405</v>
      </c>
      <c r="B639">
        <v>891</v>
      </c>
      <c r="C639" s="28">
        <f t="shared" si="18"/>
        <v>-0.01</v>
      </c>
      <c r="I639" s="26" t="s">
        <v>672</v>
      </c>
      <c r="J639" s="14">
        <v>47318.03</v>
      </c>
      <c r="K639" s="28">
        <f t="shared" si="19"/>
        <v>-7.7371207534801239E-3</v>
      </c>
    </row>
    <row r="640" spans="1:11" x14ac:dyDescent="0.3">
      <c r="A640" s="23">
        <v>44406</v>
      </c>
      <c r="B640">
        <v>880</v>
      </c>
      <c r="C640" s="28">
        <f t="shared" si="18"/>
        <v>-1.2345679012345678E-2</v>
      </c>
      <c r="I640" s="26" t="s">
        <v>671</v>
      </c>
      <c r="J640" s="14">
        <v>47312.33</v>
      </c>
      <c r="K640" s="28">
        <f t="shared" si="19"/>
        <v>-1.2046148159585447E-4</v>
      </c>
    </row>
    <row r="641" spans="1:11" x14ac:dyDescent="0.3">
      <c r="A641" s="23">
        <v>44407</v>
      </c>
      <c r="B641">
        <v>884.5</v>
      </c>
      <c r="C641" s="28">
        <f t="shared" si="18"/>
        <v>5.1136363636363636E-3</v>
      </c>
      <c r="I641" s="26" t="s">
        <v>670</v>
      </c>
      <c r="J641" s="14">
        <v>47055.29</v>
      </c>
      <c r="K641" s="28">
        <f t="shared" si="19"/>
        <v>-5.4328332593216368E-3</v>
      </c>
    </row>
    <row r="642" spans="1:11" x14ac:dyDescent="0.3">
      <c r="A642" s="23">
        <v>44410</v>
      </c>
      <c r="B642">
        <v>887</v>
      </c>
      <c r="C642" s="28">
        <f t="shared" si="18"/>
        <v>2.8264556246466932E-3</v>
      </c>
      <c r="I642" s="27">
        <v>44235</v>
      </c>
      <c r="J642" s="14">
        <v>47453.25</v>
      </c>
      <c r="K642" s="28">
        <f t="shared" si="19"/>
        <v>8.4572850363901515E-3</v>
      </c>
    </row>
    <row r="643" spans="1:11" x14ac:dyDescent="0.3">
      <c r="A643" s="23">
        <v>44411</v>
      </c>
      <c r="B643">
        <v>884</v>
      </c>
      <c r="C643" s="28">
        <f t="shared" si="18"/>
        <v>-3.3821871476888386E-3</v>
      </c>
      <c r="I643" s="27">
        <v>44263</v>
      </c>
      <c r="J643" s="14">
        <v>47758.32</v>
      </c>
      <c r="K643" s="28">
        <f t="shared" si="19"/>
        <v>6.428853661234999E-3</v>
      </c>
    </row>
    <row r="644" spans="1:11" x14ac:dyDescent="0.3">
      <c r="A644" s="23">
        <v>44412</v>
      </c>
      <c r="B644">
        <v>884.5</v>
      </c>
      <c r="C644" s="28">
        <f t="shared" si="18"/>
        <v>5.6561085972850684E-4</v>
      </c>
      <c r="I644" s="27">
        <v>44294</v>
      </c>
      <c r="J644" s="14">
        <v>47789.88</v>
      </c>
      <c r="K644" s="28">
        <f t="shared" si="19"/>
        <v>6.6082726528063948E-4</v>
      </c>
    </row>
    <row r="645" spans="1:11" x14ac:dyDescent="0.3">
      <c r="A645" s="23">
        <v>44413</v>
      </c>
      <c r="B645">
        <v>880</v>
      </c>
      <c r="C645" s="28">
        <f t="shared" si="18"/>
        <v>-5.0876201243640479E-3</v>
      </c>
      <c r="I645" s="27">
        <v>44324</v>
      </c>
      <c r="J645" s="14">
        <v>47640.88</v>
      </c>
      <c r="K645" s="28">
        <f t="shared" si="19"/>
        <v>-3.1178149013975347E-3</v>
      </c>
    </row>
    <row r="646" spans="1:11" x14ac:dyDescent="0.3">
      <c r="A646" s="23">
        <v>44414</v>
      </c>
      <c r="B646">
        <v>872.62</v>
      </c>
      <c r="C646" s="28">
        <f t="shared" ref="C646:C709" si="20">(B646-B645)/B645</f>
        <v>-8.386363636363631E-3</v>
      </c>
      <c r="I646" s="27">
        <v>44355</v>
      </c>
      <c r="J646" s="14">
        <v>47489.95</v>
      </c>
      <c r="K646" s="28">
        <f t="shared" ref="K646:K709" si="21">(J646-J645)/J645</f>
        <v>-3.1680774998278853E-3</v>
      </c>
    </row>
    <row r="647" spans="1:11" x14ac:dyDescent="0.3">
      <c r="A647" s="23">
        <v>44417</v>
      </c>
      <c r="B647">
        <v>860</v>
      </c>
      <c r="C647" s="28">
        <f t="shared" si="20"/>
        <v>-1.4462194311384112E-2</v>
      </c>
      <c r="I647" s="27">
        <v>44447</v>
      </c>
      <c r="J647" s="14">
        <v>47123.62</v>
      </c>
      <c r="K647" s="28">
        <f t="shared" si="21"/>
        <v>-7.7138426130159013E-3</v>
      </c>
    </row>
    <row r="648" spans="1:11" x14ac:dyDescent="0.3">
      <c r="A648" s="23">
        <v>44418</v>
      </c>
      <c r="B648">
        <v>865</v>
      </c>
      <c r="C648" s="28">
        <f t="shared" si="20"/>
        <v>5.8139534883720929E-3</v>
      </c>
      <c r="I648" s="27">
        <v>44477</v>
      </c>
      <c r="J648" s="14">
        <v>47135.48</v>
      </c>
      <c r="K648" s="28">
        <f t="shared" si="21"/>
        <v>2.5167845763972676E-4</v>
      </c>
    </row>
    <row r="649" spans="1:11" x14ac:dyDescent="0.3">
      <c r="A649" s="23">
        <v>44419</v>
      </c>
      <c r="B649">
        <v>867.98</v>
      </c>
      <c r="C649" s="28">
        <f t="shared" si="20"/>
        <v>3.4450867052023331E-3</v>
      </c>
      <c r="I649" s="27">
        <v>44508</v>
      </c>
      <c r="J649" s="14">
        <v>47377.38</v>
      </c>
      <c r="K649" s="28">
        <f t="shared" si="21"/>
        <v>5.1320152038335908E-3</v>
      </c>
    </row>
    <row r="650" spans="1:11" x14ac:dyDescent="0.3">
      <c r="A650" s="23">
        <v>44420</v>
      </c>
      <c r="B650">
        <v>863</v>
      </c>
      <c r="C650" s="28">
        <f t="shared" si="20"/>
        <v>-5.7374593884651926E-3</v>
      </c>
      <c r="I650" s="27">
        <v>44538</v>
      </c>
      <c r="J650" s="14">
        <v>47270.76</v>
      </c>
      <c r="K650" s="28">
        <f t="shared" si="21"/>
        <v>-2.2504410332524795E-3</v>
      </c>
    </row>
    <row r="651" spans="1:11" x14ac:dyDescent="0.3">
      <c r="A651" s="23">
        <v>44421</v>
      </c>
      <c r="B651">
        <v>857.5</v>
      </c>
      <c r="C651" s="28">
        <f t="shared" si="20"/>
        <v>-6.3731170336037077E-3</v>
      </c>
      <c r="I651" s="26" t="s">
        <v>669</v>
      </c>
      <c r="J651" s="14">
        <v>47169.84</v>
      </c>
      <c r="K651" s="28">
        <f t="shared" si="21"/>
        <v>-2.1349349999874243E-3</v>
      </c>
    </row>
    <row r="652" spans="1:11" x14ac:dyDescent="0.3">
      <c r="A652" s="23">
        <v>44424</v>
      </c>
      <c r="B652">
        <v>846.95</v>
      </c>
      <c r="C652" s="28">
        <f t="shared" si="20"/>
        <v>-1.2303206997084495E-2</v>
      </c>
      <c r="I652" s="26" t="s">
        <v>668</v>
      </c>
      <c r="J652" s="14">
        <v>46912.79</v>
      </c>
      <c r="K652" s="28">
        <f t="shared" si="21"/>
        <v>-5.4494566867302422E-3</v>
      </c>
    </row>
    <row r="653" spans="1:11" x14ac:dyDescent="0.3">
      <c r="A653" s="23">
        <v>44425</v>
      </c>
      <c r="B653">
        <v>851</v>
      </c>
      <c r="C653" s="28">
        <f t="shared" si="20"/>
        <v>4.7818643367376519E-3</v>
      </c>
      <c r="I653" s="26" t="s">
        <v>667</v>
      </c>
      <c r="J653" s="14">
        <v>47258.45</v>
      </c>
      <c r="K653" s="28">
        <f t="shared" si="21"/>
        <v>7.3681399038512995E-3</v>
      </c>
    </row>
    <row r="654" spans="1:11" x14ac:dyDescent="0.3">
      <c r="A654" s="23">
        <v>44428</v>
      </c>
      <c r="B654">
        <v>859.9</v>
      </c>
      <c r="C654" s="28">
        <f t="shared" si="20"/>
        <v>1.0458284371327823E-2</v>
      </c>
      <c r="I654" s="26" t="s">
        <v>666</v>
      </c>
      <c r="J654" s="14">
        <v>47599.82</v>
      </c>
      <c r="K654" s="28">
        <f t="shared" si="21"/>
        <v>7.2234700884181062E-3</v>
      </c>
    </row>
    <row r="655" spans="1:11" x14ac:dyDescent="0.3">
      <c r="A655" s="23">
        <v>44431</v>
      </c>
      <c r="B655">
        <v>860.55</v>
      </c>
      <c r="C655" s="28">
        <f t="shared" si="20"/>
        <v>7.5590184905218892E-4</v>
      </c>
      <c r="I655" s="26" t="s">
        <v>665</v>
      </c>
      <c r="J655" s="14">
        <v>48112.21</v>
      </c>
      <c r="K655" s="28">
        <f t="shared" si="21"/>
        <v>1.0764536504549794E-2</v>
      </c>
    </row>
    <row r="656" spans="1:11" x14ac:dyDescent="0.3">
      <c r="A656" s="23">
        <v>44432</v>
      </c>
      <c r="B656">
        <v>851.11</v>
      </c>
      <c r="C656" s="28">
        <f t="shared" si="20"/>
        <v>-1.0969728661902203E-2</v>
      </c>
      <c r="I656" s="26" t="s">
        <v>664</v>
      </c>
      <c r="J656" s="14">
        <v>47828.71</v>
      </c>
      <c r="K656" s="28">
        <f t="shared" si="21"/>
        <v>-5.8924751118271225E-3</v>
      </c>
    </row>
    <row r="657" spans="1:11" x14ac:dyDescent="0.3">
      <c r="A657" s="23">
        <v>44433</v>
      </c>
      <c r="B657">
        <v>843</v>
      </c>
      <c r="C657" s="28">
        <f t="shared" si="20"/>
        <v>-9.5287330662311726E-3</v>
      </c>
      <c r="I657" s="26" t="s">
        <v>663</v>
      </c>
      <c r="J657" s="14">
        <v>47635.9</v>
      </c>
      <c r="K657" s="28">
        <f t="shared" si="21"/>
        <v>-4.0312607218550879E-3</v>
      </c>
    </row>
    <row r="658" spans="1:11" x14ac:dyDescent="0.3">
      <c r="A658" s="23">
        <v>44434</v>
      </c>
      <c r="B658">
        <v>815</v>
      </c>
      <c r="C658" s="28">
        <f t="shared" si="20"/>
        <v>-3.3214709371292998E-2</v>
      </c>
      <c r="I658" s="26" t="s">
        <v>662</v>
      </c>
      <c r="J658" s="14">
        <v>47363.27</v>
      </c>
      <c r="K658" s="28">
        <f t="shared" si="21"/>
        <v>-5.7232045579070547E-3</v>
      </c>
    </row>
    <row r="659" spans="1:11" x14ac:dyDescent="0.3">
      <c r="A659" s="23">
        <v>44435</v>
      </c>
      <c r="B659">
        <v>818</v>
      </c>
      <c r="C659" s="28">
        <f t="shared" si="20"/>
        <v>3.6809815950920245E-3</v>
      </c>
      <c r="I659" s="26" t="s">
        <v>661</v>
      </c>
      <c r="J659" s="14">
        <v>47136.53</v>
      </c>
      <c r="K659" s="28">
        <f t="shared" si="21"/>
        <v>-4.7872539206013009E-3</v>
      </c>
    </row>
    <row r="660" spans="1:11" x14ac:dyDescent="0.3">
      <c r="A660" s="23">
        <v>44438</v>
      </c>
      <c r="B660">
        <v>823.15</v>
      </c>
      <c r="C660" s="28">
        <f t="shared" si="20"/>
        <v>6.2958435207823684E-3</v>
      </c>
      <c r="I660" s="26" t="s">
        <v>660</v>
      </c>
      <c r="J660" s="14">
        <v>47365.7</v>
      </c>
      <c r="K660" s="28">
        <f t="shared" si="21"/>
        <v>4.8618343352809009E-3</v>
      </c>
    </row>
    <row r="661" spans="1:11" x14ac:dyDescent="0.3">
      <c r="A661" s="23">
        <v>44439</v>
      </c>
      <c r="B661">
        <v>830</v>
      </c>
      <c r="C661" s="28">
        <f t="shared" si="20"/>
        <v>8.3216910648120299E-3</v>
      </c>
      <c r="I661" s="26" t="s">
        <v>659</v>
      </c>
      <c r="J661" s="14">
        <v>47419.74</v>
      </c>
      <c r="K661" s="28">
        <f t="shared" si="21"/>
        <v>1.1409099833846197E-3</v>
      </c>
    </row>
    <row r="662" spans="1:11" x14ac:dyDescent="0.3">
      <c r="A662" s="23">
        <v>44440</v>
      </c>
      <c r="B662">
        <v>831</v>
      </c>
      <c r="C662" s="28">
        <f t="shared" si="20"/>
        <v>1.2048192771084338E-3</v>
      </c>
      <c r="I662" s="27">
        <v>44205</v>
      </c>
      <c r="J662" s="14">
        <v>47413.46</v>
      </c>
      <c r="K662" s="28">
        <f t="shared" si="21"/>
        <v>-1.3243429845880293E-4</v>
      </c>
    </row>
    <row r="663" spans="1:11" x14ac:dyDescent="0.3">
      <c r="A663" s="23">
        <v>44441</v>
      </c>
      <c r="B663">
        <v>821</v>
      </c>
      <c r="C663" s="28">
        <f t="shared" si="20"/>
        <v>-1.2033694344163659E-2</v>
      </c>
      <c r="I663" s="27">
        <v>44236</v>
      </c>
      <c r="J663" s="14">
        <v>46903.06</v>
      </c>
      <c r="K663" s="28">
        <f t="shared" si="21"/>
        <v>-1.0764875628144445E-2</v>
      </c>
    </row>
    <row r="664" spans="1:11" x14ac:dyDescent="0.3">
      <c r="A664" s="23">
        <v>44442</v>
      </c>
      <c r="B664">
        <v>823</v>
      </c>
      <c r="C664" s="28">
        <f t="shared" si="20"/>
        <v>2.4360535931790498E-3</v>
      </c>
      <c r="I664" s="27">
        <v>44264</v>
      </c>
      <c r="J664" s="14">
        <v>46957.47</v>
      </c>
      <c r="K664" s="28">
        <f t="shared" si="21"/>
        <v>1.1600522439261637E-3</v>
      </c>
    </row>
    <row r="665" spans="1:11" x14ac:dyDescent="0.3">
      <c r="A665" s="23">
        <v>44445</v>
      </c>
      <c r="B665">
        <v>815.05</v>
      </c>
      <c r="C665" s="28">
        <f t="shared" si="20"/>
        <v>-9.6597812879708929E-3</v>
      </c>
      <c r="I665" s="27">
        <v>44356</v>
      </c>
      <c r="J665" s="14">
        <v>46918.52</v>
      </c>
      <c r="K665" s="28">
        <f t="shared" si="21"/>
        <v>-8.2947398997442509E-4</v>
      </c>
    </row>
    <row r="666" spans="1:11" x14ac:dyDescent="0.3">
      <c r="A666" s="23">
        <v>44446</v>
      </c>
      <c r="B666">
        <v>807</v>
      </c>
      <c r="C666" s="28">
        <f t="shared" si="20"/>
        <v>-9.8766946813078401E-3</v>
      </c>
      <c r="I666" s="27">
        <v>44386</v>
      </c>
      <c r="J666" s="14">
        <v>46729.96</v>
      </c>
      <c r="K666" s="28">
        <f t="shared" si="21"/>
        <v>-4.018882096025145E-3</v>
      </c>
    </row>
    <row r="667" spans="1:11" x14ac:dyDescent="0.3">
      <c r="A667" s="23">
        <v>44447</v>
      </c>
      <c r="B667">
        <v>774</v>
      </c>
      <c r="C667" s="28">
        <f t="shared" si="20"/>
        <v>-4.0892193308550186E-2</v>
      </c>
      <c r="I667" s="27">
        <v>44417</v>
      </c>
      <c r="J667" s="14">
        <v>46396.71</v>
      </c>
      <c r="K667" s="28">
        <f t="shared" si="21"/>
        <v>-7.1313992136950262E-3</v>
      </c>
    </row>
    <row r="668" spans="1:11" x14ac:dyDescent="0.3">
      <c r="A668" s="23">
        <v>44448</v>
      </c>
      <c r="B668">
        <v>757</v>
      </c>
      <c r="C668" s="28">
        <f t="shared" si="20"/>
        <v>-2.1963824289405683E-2</v>
      </c>
      <c r="I668" s="27">
        <v>44448</v>
      </c>
      <c r="J668" s="14">
        <v>46625.120000000003</v>
      </c>
      <c r="K668" s="28">
        <f t="shared" si="21"/>
        <v>4.9229783749753699E-3</v>
      </c>
    </row>
    <row r="669" spans="1:11" x14ac:dyDescent="0.3">
      <c r="A669" s="23">
        <v>44449</v>
      </c>
      <c r="B669">
        <v>785.42</v>
      </c>
      <c r="C669" s="28">
        <f t="shared" si="20"/>
        <v>3.7542932628797834E-2</v>
      </c>
      <c r="I669" s="27">
        <v>44478</v>
      </c>
      <c r="J669" s="14">
        <v>47198.29</v>
      </c>
      <c r="K669" s="28">
        <f t="shared" si="21"/>
        <v>1.2293158709296582E-2</v>
      </c>
    </row>
    <row r="670" spans="1:11" x14ac:dyDescent="0.3">
      <c r="A670" s="23">
        <v>44452</v>
      </c>
      <c r="B670">
        <v>780.5</v>
      </c>
      <c r="C670" s="28">
        <f t="shared" si="20"/>
        <v>-6.2641643961192216E-3</v>
      </c>
      <c r="I670" s="26" t="s">
        <v>658</v>
      </c>
      <c r="J670" s="14">
        <v>47270.46</v>
      </c>
      <c r="K670" s="28">
        <f t="shared" si="21"/>
        <v>1.5290808205127399E-3</v>
      </c>
    </row>
    <row r="671" spans="1:11" x14ac:dyDescent="0.3">
      <c r="A671" s="23">
        <v>44453</v>
      </c>
      <c r="B671">
        <v>768.01</v>
      </c>
      <c r="C671" s="28">
        <f t="shared" si="20"/>
        <v>-1.6002562459961574E-2</v>
      </c>
      <c r="I671" s="26" t="s">
        <v>657</v>
      </c>
      <c r="J671" s="14">
        <v>46891.34</v>
      </c>
      <c r="K671" s="28">
        <f t="shared" si="21"/>
        <v>-8.0202308164549832E-3</v>
      </c>
    </row>
    <row r="672" spans="1:11" x14ac:dyDescent="0.3">
      <c r="A672" s="23">
        <v>44454</v>
      </c>
      <c r="B672">
        <v>763.5</v>
      </c>
      <c r="C672" s="28">
        <f t="shared" si="20"/>
        <v>-5.8723193708415137E-3</v>
      </c>
      <c r="I672" s="26" t="s">
        <v>656</v>
      </c>
      <c r="J672" s="14">
        <v>46716.72</v>
      </c>
      <c r="K672" s="28">
        <f t="shared" si="21"/>
        <v>-3.7239285548247365E-3</v>
      </c>
    </row>
    <row r="673" spans="1:11" x14ac:dyDescent="0.3">
      <c r="A673" s="23">
        <v>44455</v>
      </c>
      <c r="B673">
        <v>757</v>
      </c>
      <c r="C673" s="28">
        <f t="shared" si="20"/>
        <v>-8.5134250163719713E-3</v>
      </c>
      <c r="I673" s="26" t="s">
        <v>655</v>
      </c>
      <c r="J673" s="14">
        <v>46920.46</v>
      </c>
      <c r="K673" s="28">
        <f t="shared" si="21"/>
        <v>4.3611794663666022E-3</v>
      </c>
    </row>
    <row r="674" spans="1:11" x14ac:dyDescent="0.3">
      <c r="A674" s="23">
        <v>44456</v>
      </c>
      <c r="B674">
        <v>736.73</v>
      </c>
      <c r="C674" s="28">
        <f t="shared" si="20"/>
        <v>-2.6776750330250967E-2</v>
      </c>
      <c r="I674" s="26" t="s">
        <v>654</v>
      </c>
      <c r="J674" s="14">
        <v>46636.08</v>
      </c>
      <c r="K674" s="28">
        <f t="shared" si="21"/>
        <v>-6.0608953961661374E-3</v>
      </c>
    </row>
    <row r="675" spans="1:11" x14ac:dyDescent="0.3">
      <c r="A675" s="23">
        <v>44459</v>
      </c>
      <c r="B675">
        <v>740</v>
      </c>
      <c r="C675" s="28">
        <f t="shared" si="20"/>
        <v>4.4385324338631271E-3</v>
      </c>
      <c r="I675" s="26" t="s">
        <v>653</v>
      </c>
      <c r="J675" s="14">
        <v>46528.21</v>
      </c>
      <c r="K675" s="28">
        <f t="shared" si="21"/>
        <v>-2.3130160167836281E-3</v>
      </c>
    </row>
    <row r="676" spans="1:11" x14ac:dyDescent="0.3">
      <c r="A676" s="23">
        <v>44460</v>
      </c>
      <c r="B676">
        <v>728</v>
      </c>
      <c r="C676" s="28">
        <f t="shared" si="20"/>
        <v>-1.6216216216216217E-2</v>
      </c>
      <c r="I676" s="26" t="s">
        <v>652</v>
      </c>
      <c r="J676" s="14">
        <v>46008.85</v>
      </c>
      <c r="K676" s="28">
        <f t="shared" si="21"/>
        <v>-1.1162260486702595E-2</v>
      </c>
    </row>
    <row r="677" spans="1:11" x14ac:dyDescent="0.3">
      <c r="A677" s="23">
        <v>44461</v>
      </c>
      <c r="B677">
        <v>721.01</v>
      </c>
      <c r="C677" s="28">
        <f t="shared" si="20"/>
        <v>-9.601648351648364E-3</v>
      </c>
      <c r="I677" s="26" t="s">
        <v>651</v>
      </c>
      <c r="J677" s="14">
        <v>45597.24</v>
      </c>
      <c r="K677" s="28">
        <f t="shared" si="21"/>
        <v>-8.9463222836476154E-3</v>
      </c>
    </row>
    <row r="678" spans="1:11" x14ac:dyDescent="0.3">
      <c r="A678" s="23">
        <v>44462</v>
      </c>
      <c r="B678">
        <v>727.9</v>
      </c>
      <c r="C678" s="28">
        <f t="shared" si="20"/>
        <v>9.5560394446678777E-3</v>
      </c>
      <c r="I678" s="26" t="s">
        <v>650</v>
      </c>
      <c r="J678" s="14">
        <v>45296.88</v>
      </c>
      <c r="K678" s="28">
        <f t="shared" si="21"/>
        <v>-6.5872408066804172E-3</v>
      </c>
    </row>
    <row r="679" spans="1:11" x14ac:dyDescent="0.3">
      <c r="A679" s="23">
        <v>44463</v>
      </c>
      <c r="B679">
        <v>723</v>
      </c>
      <c r="C679" s="28">
        <f t="shared" si="20"/>
        <v>-6.731693913999145E-3</v>
      </c>
      <c r="I679" s="26" t="s">
        <v>649</v>
      </c>
      <c r="J679" s="14">
        <v>45073.52</v>
      </c>
      <c r="K679" s="28">
        <f t="shared" si="21"/>
        <v>-4.9310239469031996E-3</v>
      </c>
    </row>
    <row r="680" spans="1:11" x14ac:dyDescent="0.3">
      <c r="A680" s="23">
        <v>44466</v>
      </c>
      <c r="B680">
        <v>720</v>
      </c>
      <c r="C680" s="28">
        <f t="shared" si="20"/>
        <v>-4.1493775933609959E-3</v>
      </c>
      <c r="I680" s="26" t="s">
        <v>648</v>
      </c>
      <c r="J680" s="14">
        <v>44817.760000000002</v>
      </c>
      <c r="K680" s="28">
        <f t="shared" si="21"/>
        <v>-5.6742850347608698E-3</v>
      </c>
    </row>
    <row r="681" spans="1:11" x14ac:dyDescent="0.3">
      <c r="A681" s="23">
        <v>44467</v>
      </c>
      <c r="B681">
        <v>726</v>
      </c>
      <c r="C681" s="28">
        <f t="shared" si="20"/>
        <v>8.3333333333333332E-3</v>
      </c>
      <c r="I681" s="26" t="s">
        <v>647</v>
      </c>
      <c r="J681" s="14">
        <v>45274.93</v>
      </c>
      <c r="K681" s="28">
        <f t="shared" si="21"/>
        <v>1.0200643673400862E-2</v>
      </c>
    </row>
    <row r="682" spans="1:11" x14ac:dyDescent="0.3">
      <c r="A682" s="23">
        <v>44468</v>
      </c>
      <c r="B682">
        <v>712.89</v>
      </c>
      <c r="C682" s="28">
        <f t="shared" si="20"/>
        <v>-1.805785123966944E-2</v>
      </c>
      <c r="I682" s="26" t="s">
        <v>646</v>
      </c>
      <c r="J682" s="14">
        <v>44366.74</v>
      </c>
      <c r="K682" s="28">
        <f t="shared" si="21"/>
        <v>-2.0059445702069606E-2</v>
      </c>
    </row>
    <row r="683" spans="1:11" x14ac:dyDescent="0.3">
      <c r="A683" s="23">
        <v>44469</v>
      </c>
      <c r="B683">
        <v>721.1</v>
      </c>
      <c r="C683" s="28">
        <f t="shared" si="20"/>
        <v>1.1516503247345364E-2</v>
      </c>
      <c r="I683" s="26" t="s">
        <v>645</v>
      </c>
      <c r="J683" s="14">
        <v>44899.6</v>
      </c>
      <c r="K683" s="28">
        <f t="shared" si="21"/>
        <v>1.2010348292437096E-2</v>
      </c>
    </row>
    <row r="684" spans="1:11" x14ac:dyDescent="0.3">
      <c r="A684" s="23">
        <v>44470</v>
      </c>
      <c r="B684">
        <v>712</v>
      </c>
      <c r="C684" s="28">
        <f t="shared" si="20"/>
        <v>-1.2619608930800198E-2</v>
      </c>
      <c r="I684" s="27">
        <v>44206</v>
      </c>
      <c r="J684" s="14">
        <v>44871.7</v>
      </c>
      <c r="K684" s="28">
        <f t="shared" si="21"/>
        <v>-6.2138638206134255E-4</v>
      </c>
    </row>
    <row r="685" spans="1:11" x14ac:dyDescent="0.3">
      <c r="A685" s="23">
        <v>44473</v>
      </c>
      <c r="B685">
        <v>705.95</v>
      </c>
      <c r="C685" s="28">
        <f t="shared" si="20"/>
        <v>-8.4971910112358918E-3</v>
      </c>
      <c r="I685" s="27">
        <v>44296</v>
      </c>
      <c r="J685" s="14">
        <v>45044.5</v>
      </c>
      <c r="K685" s="28">
        <f t="shared" si="21"/>
        <v>3.8509795706425857E-3</v>
      </c>
    </row>
    <row r="686" spans="1:11" x14ac:dyDescent="0.3">
      <c r="A686" s="23">
        <v>44474</v>
      </c>
      <c r="B686">
        <v>681.73</v>
      </c>
      <c r="C686" s="28">
        <f t="shared" si="20"/>
        <v>-3.4308378780366917E-2</v>
      </c>
      <c r="I686" s="27">
        <v>44326</v>
      </c>
      <c r="J686" s="14">
        <v>44666.57</v>
      </c>
      <c r="K686" s="28">
        <f t="shared" si="21"/>
        <v>-8.3901475207850077E-3</v>
      </c>
    </row>
    <row r="687" spans="1:11" x14ac:dyDescent="0.3">
      <c r="A687" s="23">
        <v>44475</v>
      </c>
      <c r="B687">
        <v>670.25</v>
      </c>
      <c r="C687" s="28">
        <f t="shared" si="20"/>
        <v>-1.6839511243454178E-2</v>
      </c>
      <c r="I687" s="27">
        <v>44357</v>
      </c>
      <c r="J687" s="14">
        <v>44373.23</v>
      </c>
      <c r="K687" s="28">
        <f t="shared" si="21"/>
        <v>-6.5673276457090058E-3</v>
      </c>
    </row>
    <row r="688" spans="1:11" x14ac:dyDescent="0.3">
      <c r="A688" s="23">
        <v>44476</v>
      </c>
      <c r="B688">
        <v>671.99</v>
      </c>
      <c r="C688" s="28">
        <f t="shared" si="20"/>
        <v>2.5960462513987454E-3</v>
      </c>
      <c r="I688" s="27">
        <v>44387</v>
      </c>
      <c r="J688" s="14">
        <v>44586.04</v>
      </c>
      <c r="K688" s="28">
        <f t="shared" si="21"/>
        <v>4.7959096058591555E-3</v>
      </c>
    </row>
    <row r="689" spans="1:11" x14ac:dyDescent="0.3">
      <c r="A689" s="23">
        <v>44477</v>
      </c>
      <c r="B689">
        <v>660.48</v>
      </c>
      <c r="C689" s="28">
        <f t="shared" si="20"/>
        <v>-1.7128231074867172E-2</v>
      </c>
      <c r="I689" s="27">
        <v>44418</v>
      </c>
      <c r="J689" s="14">
        <v>44477.23</v>
      </c>
      <c r="K689" s="28">
        <f t="shared" si="21"/>
        <v>-2.4404499704391257E-3</v>
      </c>
    </row>
    <row r="690" spans="1:11" x14ac:dyDescent="0.3">
      <c r="A690" s="23">
        <v>44480</v>
      </c>
      <c r="B690">
        <v>655</v>
      </c>
      <c r="C690" s="28">
        <f t="shared" si="20"/>
        <v>-8.2969961240310346E-3</v>
      </c>
      <c r="I690" s="27">
        <v>44510</v>
      </c>
      <c r="J690" s="14">
        <v>43829.35</v>
      </c>
      <c r="K690" s="28">
        <f t="shared" si="21"/>
        <v>-1.4566554616823138E-2</v>
      </c>
    </row>
    <row r="691" spans="1:11" x14ac:dyDescent="0.3">
      <c r="A691" s="23">
        <v>44481</v>
      </c>
      <c r="B691">
        <v>654</v>
      </c>
      <c r="C691" s="28">
        <f t="shared" si="20"/>
        <v>-1.5267175572519084E-3</v>
      </c>
      <c r="I691" s="27">
        <v>44540</v>
      </c>
      <c r="J691" s="14">
        <v>43883.08</v>
      </c>
      <c r="K691" s="28">
        <f t="shared" si="21"/>
        <v>1.2258908699308386E-3</v>
      </c>
    </row>
    <row r="692" spans="1:11" x14ac:dyDescent="0.3">
      <c r="A692" s="23">
        <v>44482</v>
      </c>
      <c r="B692">
        <v>640</v>
      </c>
      <c r="C692" s="28">
        <f t="shared" si="20"/>
        <v>-2.1406727828746176E-2</v>
      </c>
      <c r="I692" s="26" t="s">
        <v>644</v>
      </c>
      <c r="J692" s="14">
        <v>43221.78</v>
      </c>
      <c r="K692" s="28">
        <f t="shared" si="21"/>
        <v>-1.5069589463638443E-2</v>
      </c>
    </row>
    <row r="693" spans="1:11" x14ac:dyDescent="0.3">
      <c r="A693" s="23">
        <v>44483</v>
      </c>
      <c r="B693">
        <v>670</v>
      </c>
      <c r="C693" s="28">
        <f t="shared" si="20"/>
        <v>4.6875E-2</v>
      </c>
      <c r="I693" s="26" t="s">
        <v>643</v>
      </c>
      <c r="J693" s="14">
        <v>44333.68</v>
      </c>
      <c r="K693" s="28">
        <f t="shared" si="21"/>
        <v>2.5725456008521663E-2</v>
      </c>
    </row>
    <row r="694" spans="1:11" x14ac:dyDescent="0.3">
      <c r="A694" s="23">
        <v>44484</v>
      </c>
      <c r="B694">
        <v>683</v>
      </c>
      <c r="C694" s="28">
        <f t="shared" si="20"/>
        <v>1.9402985074626865E-2</v>
      </c>
      <c r="I694" s="26" t="s">
        <v>642</v>
      </c>
      <c r="J694" s="14">
        <v>44821.53</v>
      </c>
      <c r="K694" s="28">
        <f t="shared" si="21"/>
        <v>1.1004049291644604E-2</v>
      </c>
    </row>
    <row r="695" spans="1:11" x14ac:dyDescent="0.3">
      <c r="A695" s="23">
        <v>44487</v>
      </c>
      <c r="B695">
        <v>681</v>
      </c>
      <c r="C695" s="28">
        <f t="shared" si="20"/>
        <v>-2.9282576866764276E-3</v>
      </c>
      <c r="I695" s="26" t="s">
        <v>641</v>
      </c>
      <c r="J695" s="14">
        <v>44629.45</v>
      </c>
      <c r="K695" s="28">
        <f t="shared" si="21"/>
        <v>-4.2854405014733261E-3</v>
      </c>
    </row>
    <row r="696" spans="1:11" x14ac:dyDescent="0.3">
      <c r="A696" s="23">
        <v>44489</v>
      </c>
      <c r="B696">
        <v>701.98</v>
      </c>
      <c r="C696" s="28">
        <f t="shared" si="20"/>
        <v>3.0807635829662287E-2</v>
      </c>
      <c r="I696" s="26" t="s">
        <v>640</v>
      </c>
      <c r="J696" s="14">
        <v>45499.46</v>
      </c>
      <c r="K696" s="28">
        <f t="shared" si="21"/>
        <v>1.9494078461643648E-2</v>
      </c>
    </row>
    <row r="697" spans="1:11" x14ac:dyDescent="0.3">
      <c r="A697" s="23">
        <v>44490</v>
      </c>
      <c r="B697">
        <v>706.8</v>
      </c>
      <c r="C697" s="28">
        <f t="shared" si="20"/>
        <v>6.8662924869653495E-3</v>
      </c>
      <c r="I697" s="26" t="s">
        <v>639</v>
      </c>
      <c r="J697" s="14">
        <v>45821.4</v>
      </c>
      <c r="K697" s="28">
        <f t="shared" si="21"/>
        <v>7.0756883708070891E-3</v>
      </c>
    </row>
    <row r="698" spans="1:11" x14ac:dyDescent="0.3">
      <c r="A698" s="23">
        <v>44491</v>
      </c>
      <c r="B698">
        <v>708.82</v>
      </c>
      <c r="C698" s="28">
        <f t="shared" si="20"/>
        <v>2.8579513299378831E-3</v>
      </c>
      <c r="I698" s="26" t="s">
        <v>638</v>
      </c>
      <c r="J698" s="14">
        <v>45578.36</v>
      </c>
      <c r="K698" s="28">
        <f t="shared" si="21"/>
        <v>-5.3040718965374446E-3</v>
      </c>
    </row>
    <row r="699" spans="1:11" x14ac:dyDescent="0.3">
      <c r="A699" s="23">
        <v>44494</v>
      </c>
      <c r="B699">
        <v>697.51</v>
      </c>
      <c r="C699" s="28">
        <f t="shared" si="20"/>
        <v>-1.5956096046951352E-2</v>
      </c>
      <c r="I699" s="26" t="s">
        <v>637</v>
      </c>
      <c r="J699" s="14">
        <v>45429.22</v>
      </c>
      <c r="K699" s="28">
        <f t="shared" si="21"/>
        <v>-3.2721668791944121E-3</v>
      </c>
    </row>
    <row r="700" spans="1:11" x14ac:dyDescent="0.3">
      <c r="A700" s="23">
        <v>44495</v>
      </c>
      <c r="B700">
        <v>698</v>
      </c>
      <c r="C700" s="28">
        <f t="shared" si="20"/>
        <v>7.0249888890483165E-4</v>
      </c>
      <c r="I700" s="26" t="s">
        <v>636</v>
      </c>
      <c r="J700" s="14">
        <v>45255.98</v>
      </c>
      <c r="K700" s="28">
        <f t="shared" si="21"/>
        <v>-3.8134046765495415E-3</v>
      </c>
    </row>
    <row r="701" spans="1:11" x14ac:dyDescent="0.3">
      <c r="A701" s="23">
        <v>44496</v>
      </c>
      <c r="B701">
        <v>719</v>
      </c>
      <c r="C701" s="28">
        <f t="shared" si="20"/>
        <v>3.0085959885386818E-2</v>
      </c>
      <c r="I701" s="26" t="s">
        <v>635</v>
      </c>
      <c r="J701" s="14">
        <v>45851.040000000001</v>
      </c>
      <c r="K701" s="28">
        <f t="shared" si="21"/>
        <v>1.3148759567243878E-2</v>
      </c>
    </row>
    <row r="702" spans="1:11" x14ac:dyDescent="0.3">
      <c r="A702" s="23">
        <v>44497</v>
      </c>
      <c r="B702">
        <v>734.32</v>
      </c>
      <c r="C702" s="28">
        <f t="shared" si="20"/>
        <v>2.1307371349096035E-2</v>
      </c>
      <c r="I702" s="26" t="s">
        <v>634</v>
      </c>
      <c r="J702" s="14">
        <v>45990.73</v>
      </c>
      <c r="K702" s="28">
        <f t="shared" si="21"/>
        <v>3.0466048316461812E-3</v>
      </c>
    </row>
    <row r="703" spans="1:11" x14ac:dyDescent="0.3">
      <c r="A703" s="23">
        <v>44498</v>
      </c>
      <c r="B703">
        <v>775</v>
      </c>
      <c r="C703" s="28">
        <f t="shared" si="20"/>
        <v>5.5398191524131099E-2</v>
      </c>
      <c r="I703" s="26" t="s">
        <v>633</v>
      </c>
      <c r="J703" s="14">
        <v>46218.93</v>
      </c>
      <c r="K703" s="28">
        <f t="shared" si="21"/>
        <v>4.9618694897862478E-3</v>
      </c>
    </row>
    <row r="704" spans="1:11" x14ac:dyDescent="0.3">
      <c r="A704" s="23">
        <v>44501</v>
      </c>
      <c r="B704">
        <v>788</v>
      </c>
      <c r="C704" s="28">
        <f t="shared" si="20"/>
        <v>1.6774193548387096E-2</v>
      </c>
      <c r="I704" s="27">
        <v>44207</v>
      </c>
      <c r="J704" s="14">
        <v>46946.21</v>
      </c>
      <c r="K704" s="28">
        <f t="shared" si="21"/>
        <v>1.5735543856164536E-2</v>
      </c>
    </row>
    <row r="705" spans="1:11" x14ac:dyDescent="0.3">
      <c r="A705" s="23">
        <v>44502</v>
      </c>
      <c r="B705">
        <v>777.5</v>
      </c>
      <c r="C705" s="28">
        <f t="shared" si="20"/>
        <v>-1.3324873096446701E-2</v>
      </c>
      <c r="I705" s="27">
        <v>44238</v>
      </c>
      <c r="J705" s="14">
        <v>47112.92</v>
      </c>
      <c r="K705" s="28">
        <f t="shared" si="21"/>
        <v>3.5510853804811746E-3</v>
      </c>
    </row>
    <row r="706" spans="1:11" x14ac:dyDescent="0.3">
      <c r="A706" s="23">
        <v>44503</v>
      </c>
      <c r="B706">
        <v>770.01</v>
      </c>
      <c r="C706" s="28">
        <f t="shared" si="20"/>
        <v>-9.6334405144694654E-3</v>
      </c>
      <c r="I706" s="27">
        <v>44266</v>
      </c>
      <c r="J706" s="14">
        <v>47032.44</v>
      </c>
      <c r="K706" s="28">
        <f t="shared" si="21"/>
        <v>-1.7082362969647377E-3</v>
      </c>
    </row>
    <row r="707" spans="1:11" x14ac:dyDescent="0.3">
      <c r="A707" s="23">
        <v>44504</v>
      </c>
      <c r="B707">
        <v>761</v>
      </c>
      <c r="C707" s="28">
        <f t="shared" si="20"/>
        <v>-1.1701146738354035E-2</v>
      </c>
      <c r="I707" s="27">
        <v>44297</v>
      </c>
      <c r="J707" s="14">
        <v>47219.18</v>
      </c>
      <c r="K707" s="28">
        <f t="shared" si="21"/>
        <v>3.9704510333718164E-3</v>
      </c>
    </row>
    <row r="708" spans="1:11" x14ac:dyDescent="0.3">
      <c r="A708" s="23">
        <v>44505</v>
      </c>
      <c r="B708">
        <v>764.13</v>
      </c>
      <c r="C708" s="28">
        <f t="shared" si="20"/>
        <v>4.1130091984231216E-3</v>
      </c>
      <c r="I708" s="27">
        <v>44327</v>
      </c>
      <c r="J708" s="14">
        <v>47295.8</v>
      </c>
      <c r="K708" s="28">
        <f t="shared" si="21"/>
        <v>1.6226457130344622E-3</v>
      </c>
    </row>
    <row r="709" spans="1:11" x14ac:dyDescent="0.3">
      <c r="A709" s="23">
        <v>44508</v>
      </c>
      <c r="B709">
        <v>771</v>
      </c>
      <c r="C709" s="28">
        <f t="shared" si="20"/>
        <v>8.990616779867306E-3</v>
      </c>
      <c r="I709" s="27">
        <v>44419</v>
      </c>
      <c r="J709" s="14">
        <v>47115.040000000001</v>
      </c>
      <c r="K709" s="28">
        <f t="shared" si="21"/>
        <v>-3.8219038476989928E-3</v>
      </c>
    </row>
    <row r="710" spans="1:11" x14ac:dyDescent="0.3">
      <c r="A710" s="23">
        <v>44509</v>
      </c>
      <c r="B710">
        <v>770.5</v>
      </c>
      <c r="C710" s="28">
        <f t="shared" ref="C710:C773" si="22">(B710-B709)/B709</f>
        <v>-6.485084306095979E-4</v>
      </c>
      <c r="I710" s="27">
        <v>44450</v>
      </c>
      <c r="J710" s="14">
        <v>46399.91</v>
      </c>
      <c r="K710" s="28">
        <f t="shared" ref="K710:K773" si="23">(J710-J709)/J709</f>
        <v>-1.5178380406766022E-2</v>
      </c>
    </row>
    <row r="711" spans="1:11" x14ac:dyDescent="0.3">
      <c r="A711" s="23">
        <v>44510</v>
      </c>
      <c r="B711">
        <v>765.5</v>
      </c>
      <c r="C711" s="28">
        <f t="shared" si="22"/>
        <v>-6.4892926670992862E-3</v>
      </c>
      <c r="I711" s="27">
        <v>44480</v>
      </c>
      <c r="J711" s="14">
        <v>46629.88</v>
      </c>
      <c r="K711" s="28">
        <f t="shared" si="23"/>
        <v>4.9562596134344631E-3</v>
      </c>
    </row>
    <row r="712" spans="1:11" x14ac:dyDescent="0.3">
      <c r="A712" s="23">
        <v>44511</v>
      </c>
      <c r="B712">
        <v>757</v>
      </c>
      <c r="C712" s="28">
        <f t="shared" si="22"/>
        <v>-1.1103853690398433E-2</v>
      </c>
      <c r="I712" s="27">
        <v>44511</v>
      </c>
      <c r="J712" s="14">
        <v>46348.18</v>
      </c>
      <c r="K712" s="28">
        <f t="shared" si="23"/>
        <v>-6.0411907557985801E-3</v>
      </c>
    </row>
    <row r="713" spans="1:11" x14ac:dyDescent="0.3">
      <c r="A713" s="23">
        <v>44512</v>
      </c>
      <c r="B713">
        <v>740.46</v>
      </c>
      <c r="C713" s="28">
        <f t="shared" si="22"/>
        <v>-2.1849405548216596E-2</v>
      </c>
      <c r="I713" s="27">
        <v>44541</v>
      </c>
      <c r="J713" s="14">
        <v>45749.15</v>
      </c>
      <c r="K713" s="28">
        <f t="shared" si="23"/>
        <v>-1.2924563596671948E-2</v>
      </c>
    </row>
    <row r="714" spans="1:11" x14ac:dyDescent="0.3">
      <c r="A714" s="23">
        <v>44515</v>
      </c>
      <c r="B714">
        <v>735</v>
      </c>
      <c r="C714" s="28">
        <f t="shared" si="22"/>
        <v>-7.3737946681792883E-3</v>
      </c>
      <c r="I714" s="26" t="s">
        <v>632</v>
      </c>
      <c r="J714" s="14">
        <v>45736.26</v>
      </c>
      <c r="K714" s="28">
        <f t="shared" si="23"/>
        <v>-2.8175386865109884E-4</v>
      </c>
    </row>
    <row r="715" spans="1:11" x14ac:dyDescent="0.3">
      <c r="A715" s="23">
        <v>44516</v>
      </c>
      <c r="B715">
        <v>767.4</v>
      </c>
      <c r="C715" s="28">
        <f t="shared" si="22"/>
        <v>4.4081632653061191E-2</v>
      </c>
      <c r="I715" s="26" t="s">
        <v>631</v>
      </c>
      <c r="J715" s="14">
        <v>46542.91</v>
      </c>
      <c r="K715" s="28">
        <f t="shared" si="23"/>
        <v>1.7636990868951711E-2</v>
      </c>
    </row>
    <row r="716" spans="1:11" x14ac:dyDescent="0.3">
      <c r="A716" s="23">
        <v>44517</v>
      </c>
      <c r="B716">
        <v>740.99</v>
      </c>
      <c r="C716" s="28">
        <f t="shared" si="22"/>
        <v>-3.4414907479801887E-2</v>
      </c>
      <c r="I716" s="26" t="s">
        <v>630</v>
      </c>
      <c r="J716" s="14">
        <v>46194.42</v>
      </c>
      <c r="K716" s="28">
        <f t="shared" si="23"/>
        <v>-7.4874991701207594E-3</v>
      </c>
    </row>
    <row r="717" spans="1:11" x14ac:dyDescent="0.3">
      <c r="A717" s="23">
        <v>44518</v>
      </c>
      <c r="B717">
        <v>758</v>
      </c>
      <c r="C717" s="28">
        <f t="shared" si="22"/>
        <v>2.2955775381584085E-2</v>
      </c>
      <c r="I717" s="26" t="s">
        <v>629</v>
      </c>
      <c r="J717" s="14">
        <v>46110.5</v>
      </c>
      <c r="K717" s="28">
        <f t="shared" si="23"/>
        <v>-1.8166696323927924E-3</v>
      </c>
    </row>
    <row r="718" spans="1:11" x14ac:dyDescent="0.3">
      <c r="A718" s="23">
        <v>44519</v>
      </c>
      <c r="B718">
        <v>768</v>
      </c>
      <c r="C718" s="28">
        <f t="shared" si="22"/>
        <v>1.3192612137203167E-2</v>
      </c>
      <c r="I718" s="26" t="s">
        <v>628</v>
      </c>
      <c r="J718" s="14">
        <v>46489.41</v>
      </c>
      <c r="K718" s="28">
        <f t="shared" si="23"/>
        <v>8.2174342069594453E-3</v>
      </c>
    </row>
    <row r="719" spans="1:11" x14ac:dyDescent="0.3">
      <c r="A719" s="23">
        <v>44522</v>
      </c>
      <c r="B719">
        <v>730.01</v>
      </c>
      <c r="C719" s="28">
        <f t="shared" si="22"/>
        <v>-4.9466145833333343E-2</v>
      </c>
      <c r="I719" s="26" t="s">
        <v>627</v>
      </c>
      <c r="J719" s="14">
        <v>45745</v>
      </c>
      <c r="K719" s="28">
        <f t="shared" si="23"/>
        <v>-1.601246391382475E-2</v>
      </c>
    </row>
    <row r="720" spans="1:11" x14ac:dyDescent="0.3">
      <c r="A720" s="23">
        <v>44523</v>
      </c>
      <c r="B720">
        <v>715</v>
      </c>
      <c r="C720" s="28">
        <f t="shared" si="22"/>
        <v>-2.0561362173120903E-2</v>
      </c>
      <c r="I720" s="26" t="s">
        <v>626</v>
      </c>
      <c r="J720" s="14">
        <v>44948.52</v>
      </c>
      <c r="K720" s="28">
        <f t="shared" si="23"/>
        <v>-1.7411301781615547E-2</v>
      </c>
    </row>
    <row r="721" spans="1:11" x14ac:dyDescent="0.3">
      <c r="A721" s="23">
        <v>44524</v>
      </c>
      <c r="B721">
        <v>691</v>
      </c>
      <c r="C721" s="28">
        <f t="shared" si="22"/>
        <v>-3.3566433566433566E-2</v>
      </c>
      <c r="I721" s="26" t="s">
        <v>625</v>
      </c>
      <c r="J721" s="14">
        <v>44363.7</v>
      </c>
      <c r="K721" s="28">
        <f t="shared" si="23"/>
        <v>-1.3010884451812869E-2</v>
      </c>
    </row>
    <row r="722" spans="1:11" x14ac:dyDescent="0.3">
      <c r="A722" s="23">
        <v>44525</v>
      </c>
      <c r="B722">
        <v>683</v>
      </c>
      <c r="C722" s="28">
        <f t="shared" si="22"/>
        <v>-1.1577424023154847E-2</v>
      </c>
      <c r="I722" s="26" t="s">
        <v>624</v>
      </c>
      <c r="J722" s="14">
        <v>43935.75</v>
      </c>
      <c r="K722" s="28">
        <f t="shared" si="23"/>
        <v>-9.6464000973768439E-3</v>
      </c>
    </row>
    <row r="723" spans="1:11" x14ac:dyDescent="0.3">
      <c r="A723" s="23">
        <v>44526</v>
      </c>
      <c r="B723">
        <v>701</v>
      </c>
      <c r="C723" s="28">
        <f t="shared" si="22"/>
        <v>2.6354319180087848E-2</v>
      </c>
      <c r="I723" s="26" t="s">
        <v>623</v>
      </c>
      <c r="J723" s="14">
        <v>44114.16</v>
      </c>
      <c r="K723" s="28">
        <f t="shared" si="23"/>
        <v>4.060702275481891E-3</v>
      </c>
    </row>
    <row r="724" spans="1:11" x14ac:dyDescent="0.3">
      <c r="A724" s="23">
        <v>44529</v>
      </c>
      <c r="B724">
        <v>720.06</v>
      </c>
      <c r="C724" s="28">
        <f t="shared" si="22"/>
        <v>2.7189728958630449E-2</v>
      </c>
      <c r="I724" s="26" t="s">
        <v>622</v>
      </c>
      <c r="J724" s="14">
        <v>45330.05</v>
      </c>
      <c r="K724" s="28">
        <f t="shared" si="23"/>
        <v>2.7562351861624462E-2</v>
      </c>
    </row>
    <row r="725" spans="1:11" x14ac:dyDescent="0.3">
      <c r="A725" s="23">
        <v>44530</v>
      </c>
      <c r="B725">
        <v>719</v>
      </c>
      <c r="C725" s="28">
        <f t="shared" si="22"/>
        <v>-1.4720995472598749E-3</v>
      </c>
      <c r="I725" s="26" t="s">
        <v>621</v>
      </c>
      <c r="J725" s="14">
        <v>45072.38</v>
      </c>
      <c r="K725" s="28">
        <f t="shared" si="23"/>
        <v>-5.6843087532443826E-3</v>
      </c>
    </row>
    <row r="726" spans="1:11" x14ac:dyDescent="0.3">
      <c r="A726" s="23">
        <v>44531</v>
      </c>
      <c r="B726">
        <v>728.2</v>
      </c>
      <c r="C726" s="28">
        <f t="shared" si="22"/>
        <v>1.2795549374130801E-2</v>
      </c>
      <c r="I726" s="27">
        <v>44208</v>
      </c>
      <c r="J726" s="14">
        <v>45369.14</v>
      </c>
      <c r="K726" s="28">
        <f t="shared" si="23"/>
        <v>6.5840765453255862E-3</v>
      </c>
    </row>
    <row r="727" spans="1:11" x14ac:dyDescent="0.3">
      <c r="A727" s="23">
        <v>44532</v>
      </c>
      <c r="B727">
        <v>674.56</v>
      </c>
      <c r="C727" s="28">
        <f t="shared" si="22"/>
        <v>-7.3661082120296761E-2</v>
      </c>
      <c r="I727" s="27">
        <v>44239</v>
      </c>
      <c r="J727" s="14">
        <v>43234.15</v>
      </c>
      <c r="K727" s="28">
        <f t="shared" si="23"/>
        <v>-4.7058198590495613E-2</v>
      </c>
    </row>
    <row r="728" spans="1:11" x14ac:dyDescent="0.3">
      <c r="A728" s="23">
        <v>44533</v>
      </c>
      <c r="B728">
        <v>652.5</v>
      </c>
      <c r="C728" s="28">
        <f t="shared" si="22"/>
        <v>-3.2702798861479997E-2</v>
      </c>
      <c r="I728" s="27">
        <v>44267</v>
      </c>
      <c r="J728" s="14">
        <v>43232.83</v>
      </c>
      <c r="K728" s="28">
        <f t="shared" si="23"/>
        <v>-3.0531420185194089E-5</v>
      </c>
    </row>
    <row r="729" spans="1:11" x14ac:dyDescent="0.3">
      <c r="A729" s="23">
        <v>44536</v>
      </c>
      <c r="B729">
        <v>651.02</v>
      </c>
      <c r="C729" s="28">
        <f t="shared" si="22"/>
        <v>-2.268199233716503E-3</v>
      </c>
      <c r="I729" s="27">
        <v>44359</v>
      </c>
      <c r="J729" s="14">
        <v>43280.77</v>
      </c>
      <c r="K729" s="28">
        <f t="shared" si="23"/>
        <v>1.1088795251200316E-3</v>
      </c>
    </row>
    <row r="730" spans="1:11" x14ac:dyDescent="0.3">
      <c r="A730" s="23">
        <v>44537</v>
      </c>
      <c r="B730">
        <v>661</v>
      </c>
      <c r="C730" s="28">
        <f t="shared" si="22"/>
        <v>1.5329790175417066E-2</v>
      </c>
      <c r="I730" s="27">
        <v>44389</v>
      </c>
      <c r="J730" s="14">
        <v>43853.49</v>
      </c>
      <c r="K730" s="28">
        <f t="shared" si="23"/>
        <v>1.3232666609212388E-2</v>
      </c>
    </row>
    <row r="731" spans="1:11" x14ac:dyDescent="0.3">
      <c r="A731" s="23">
        <v>44538</v>
      </c>
      <c r="B731">
        <v>651</v>
      </c>
      <c r="C731" s="28">
        <f t="shared" si="22"/>
        <v>-1.5128593040847202E-2</v>
      </c>
      <c r="I731" s="27">
        <v>44420</v>
      </c>
      <c r="J731" s="14">
        <v>43846.87</v>
      </c>
      <c r="K731" s="28">
        <f t="shared" si="23"/>
        <v>-1.5095719861738129E-4</v>
      </c>
    </row>
    <row r="732" spans="1:11" x14ac:dyDescent="0.3">
      <c r="A732" s="23">
        <v>44539</v>
      </c>
      <c r="B732">
        <v>630.5</v>
      </c>
      <c r="C732" s="28">
        <f t="shared" si="22"/>
        <v>-3.1490015360983101E-2</v>
      </c>
      <c r="I732" s="27">
        <v>44451</v>
      </c>
      <c r="J732" s="14">
        <v>43518.84</v>
      </c>
      <c r="K732" s="28">
        <f t="shared" si="23"/>
        <v>-7.4812637709374945E-3</v>
      </c>
    </row>
    <row r="733" spans="1:11" x14ac:dyDescent="0.3">
      <c r="A733" s="23">
        <v>44540</v>
      </c>
      <c r="B733">
        <v>633.99</v>
      </c>
      <c r="C733" s="28">
        <f t="shared" si="22"/>
        <v>5.5352894528152407E-3</v>
      </c>
      <c r="I733" s="27">
        <v>44481</v>
      </c>
      <c r="J733" s="14">
        <v>43395.78</v>
      </c>
      <c r="K733" s="28">
        <f t="shared" si="23"/>
        <v>-2.8277408129444093E-3</v>
      </c>
    </row>
    <row r="734" spans="1:11" x14ac:dyDescent="0.3">
      <c r="A734" s="23">
        <v>44543</v>
      </c>
      <c r="B734">
        <v>630.01</v>
      </c>
      <c r="C734" s="28">
        <f t="shared" si="22"/>
        <v>-6.2777015410337986E-3</v>
      </c>
      <c r="I734" s="26" t="s">
        <v>620</v>
      </c>
      <c r="J734" s="14">
        <v>42876.37</v>
      </c>
      <c r="K734" s="28">
        <f t="shared" si="23"/>
        <v>-1.1969136169461552E-2</v>
      </c>
    </row>
    <row r="735" spans="1:11" x14ac:dyDescent="0.3">
      <c r="A735" s="23">
        <v>44544</v>
      </c>
      <c r="B735">
        <v>642.01</v>
      </c>
      <c r="C735" s="28">
        <f t="shared" si="22"/>
        <v>1.9047316709258584E-2</v>
      </c>
      <c r="I735" s="26" t="s">
        <v>619</v>
      </c>
      <c r="J735" s="14">
        <v>43246.71</v>
      </c>
      <c r="K735" s="28">
        <f t="shared" si="23"/>
        <v>8.6373916448616445E-3</v>
      </c>
    </row>
    <row r="736" spans="1:11" x14ac:dyDescent="0.3">
      <c r="A736" s="23">
        <v>44545</v>
      </c>
      <c r="B736">
        <v>684</v>
      </c>
      <c r="C736" s="28">
        <f t="shared" si="22"/>
        <v>6.5403965670316672E-2</v>
      </c>
      <c r="I736" s="26" t="s">
        <v>618</v>
      </c>
      <c r="J736" s="14">
        <v>44366.86</v>
      </c>
      <c r="K736" s="28">
        <f t="shared" si="23"/>
        <v>2.5901392267758668E-2</v>
      </c>
    </row>
    <row r="737" spans="1:11" x14ac:dyDescent="0.3">
      <c r="A737" s="23">
        <v>44546</v>
      </c>
      <c r="B737">
        <v>661</v>
      </c>
      <c r="C737" s="28">
        <f t="shared" si="22"/>
        <v>-3.3625730994152045E-2</v>
      </c>
      <c r="I737" s="26" t="s">
        <v>617</v>
      </c>
      <c r="J737" s="14">
        <v>43731.199999999997</v>
      </c>
      <c r="K737" s="28">
        <f t="shared" si="23"/>
        <v>-1.4327360556956329E-2</v>
      </c>
    </row>
    <row r="738" spans="1:11" x14ac:dyDescent="0.3">
      <c r="A738" s="23">
        <v>44547</v>
      </c>
      <c r="B738">
        <v>674.58</v>
      </c>
      <c r="C738" s="28">
        <f t="shared" si="22"/>
        <v>2.0544629349470562E-2</v>
      </c>
      <c r="I738" s="26" t="s">
        <v>616</v>
      </c>
      <c r="J738" s="14">
        <v>43900.68</v>
      </c>
      <c r="K738" s="28">
        <f t="shared" si="23"/>
        <v>3.8754939265330749E-3</v>
      </c>
    </row>
    <row r="739" spans="1:11" x14ac:dyDescent="0.3">
      <c r="A739" s="23">
        <v>44550</v>
      </c>
      <c r="B739">
        <v>694.97</v>
      </c>
      <c r="C739" s="28">
        <f t="shared" si="22"/>
        <v>3.0226214829968255E-2</v>
      </c>
      <c r="I739" s="26" t="s">
        <v>615</v>
      </c>
      <c r="J739" s="14">
        <v>44339.95</v>
      </c>
      <c r="K739" s="28">
        <f t="shared" si="23"/>
        <v>1.0005995351324782E-2</v>
      </c>
    </row>
    <row r="740" spans="1:11" x14ac:dyDescent="0.3">
      <c r="A740" s="23">
        <v>44551</v>
      </c>
      <c r="B740">
        <v>694.5</v>
      </c>
      <c r="C740" s="28">
        <f t="shared" si="22"/>
        <v>-6.7628818510155446E-4</v>
      </c>
      <c r="I740" s="26" t="s">
        <v>614</v>
      </c>
      <c r="J740" s="14">
        <v>44177.07</v>
      </c>
      <c r="K740" s="28">
        <f t="shared" si="23"/>
        <v>-3.6734367088821118E-3</v>
      </c>
    </row>
    <row r="741" spans="1:11" x14ac:dyDescent="0.3">
      <c r="A741" s="23">
        <v>44552</v>
      </c>
      <c r="B741">
        <v>685.2</v>
      </c>
      <c r="C741" s="28">
        <f t="shared" si="22"/>
        <v>-1.3390928725701879E-2</v>
      </c>
      <c r="I741" s="26" t="s">
        <v>613</v>
      </c>
      <c r="J741" s="14">
        <v>44174.97</v>
      </c>
      <c r="K741" s="28">
        <f t="shared" si="23"/>
        <v>-4.7535972847419367E-5</v>
      </c>
    </row>
    <row r="742" spans="1:11" x14ac:dyDescent="0.3">
      <c r="A742" s="23">
        <v>44553</v>
      </c>
      <c r="B742">
        <v>680.26</v>
      </c>
      <c r="C742" s="28">
        <f t="shared" si="22"/>
        <v>-7.2095738470520348E-3</v>
      </c>
      <c r="I742" s="26" t="s">
        <v>612</v>
      </c>
      <c r="J742" s="14">
        <v>44266.9</v>
      </c>
      <c r="K742" s="28">
        <f t="shared" si="23"/>
        <v>2.081042726231626E-3</v>
      </c>
    </row>
    <row r="743" spans="1:11" x14ac:dyDescent="0.3">
      <c r="A743" s="23">
        <v>44554</v>
      </c>
      <c r="B743">
        <v>678.35</v>
      </c>
      <c r="C743" s="28">
        <f t="shared" si="22"/>
        <v>-2.8077499779495608E-3</v>
      </c>
      <c r="I743" s="26" t="s">
        <v>611</v>
      </c>
      <c r="J743" s="14">
        <v>44118.39</v>
      </c>
      <c r="K743" s="28">
        <f t="shared" si="23"/>
        <v>-3.3548768944742465E-3</v>
      </c>
    </row>
    <row r="744" spans="1:11" x14ac:dyDescent="0.3">
      <c r="A744" s="23">
        <v>44557</v>
      </c>
      <c r="B744">
        <v>678.99</v>
      </c>
      <c r="C744" s="28">
        <f t="shared" si="22"/>
        <v>9.4346576251195743E-4</v>
      </c>
      <c r="I744" s="26" t="s">
        <v>610</v>
      </c>
      <c r="J744" s="14">
        <v>43913.440000000002</v>
      </c>
      <c r="K744" s="28">
        <f t="shared" si="23"/>
        <v>-4.6454551038693183E-3</v>
      </c>
    </row>
    <row r="745" spans="1:11" x14ac:dyDescent="0.3">
      <c r="A745" s="23">
        <v>44558</v>
      </c>
      <c r="B745">
        <v>678</v>
      </c>
      <c r="C745" s="28">
        <f t="shared" si="22"/>
        <v>-1.4580479830336368E-3</v>
      </c>
      <c r="I745" s="26" t="s">
        <v>609</v>
      </c>
      <c r="J745" s="14">
        <v>44043.74</v>
      </c>
      <c r="K745" s="28">
        <f t="shared" si="23"/>
        <v>2.9672009298291283E-3</v>
      </c>
    </row>
    <row r="746" spans="1:11" x14ac:dyDescent="0.3">
      <c r="A746" s="23">
        <v>44559</v>
      </c>
      <c r="B746">
        <v>679</v>
      </c>
      <c r="C746" s="28">
        <f t="shared" si="22"/>
        <v>1.4749262536873156E-3</v>
      </c>
      <c r="I746" s="26" t="s">
        <v>608</v>
      </c>
      <c r="J746" s="14">
        <v>44260.11</v>
      </c>
      <c r="K746" s="28">
        <f t="shared" si="23"/>
        <v>4.9126164126843596E-3</v>
      </c>
    </row>
    <row r="747" spans="1:11" x14ac:dyDescent="0.3">
      <c r="A747" s="23">
        <v>44560</v>
      </c>
      <c r="B747">
        <v>678</v>
      </c>
      <c r="C747" s="28">
        <f t="shared" si="22"/>
        <v>-1.4727540500736377E-3</v>
      </c>
      <c r="I747" s="26" t="s">
        <v>607</v>
      </c>
      <c r="J747" s="14">
        <v>44416.2</v>
      </c>
      <c r="K747" s="28">
        <f t="shared" si="23"/>
        <v>3.5266518768253515E-3</v>
      </c>
    </row>
    <row r="748" spans="1:11" x14ac:dyDescent="0.3">
      <c r="A748" s="23">
        <v>44561</v>
      </c>
      <c r="B748">
        <v>679.28</v>
      </c>
      <c r="C748" s="28">
        <f t="shared" si="22"/>
        <v>1.8879056047197238E-3</v>
      </c>
      <c r="I748" s="26" t="s">
        <v>606</v>
      </c>
      <c r="J748" s="14">
        <v>44596.07</v>
      </c>
      <c r="K748" s="28">
        <f t="shared" si="23"/>
        <v>4.0496485516546355E-3</v>
      </c>
    </row>
    <row r="749" spans="1:11" x14ac:dyDescent="0.3">
      <c r="A749" s="23">
        <v>44564</v>
      </c>
      <c r="B749">
        <v>688.79</v>
      </c>
      <c r="C749" s="28">
        <f t="shared" si="22"/>
        <v>1.400011777175832E-2</v>
      </c>
      <c r="I749" s="27">
        <v>44621</v>
      </c>
      <c r="J749" s="14">
        <v>44886.89</v>
      </c>
      <c r="K749" s="28">
        <f t="shared" si="23"/>
        <v>6.5212024288238786E-3</v>
      </c>
    </row>
    <row r="750" spans="1:11" x14ac:dyDescent="0.3">
      <c r="A750" s="23">
        <v>44565</v>
      </c>
      <c r="B750">
        <v>698</v>
      </c>
      <c r="C750" s="28">
        <f t="shared" si="22"/>
        <v>1.3371274263563694E-2</v>
      </c>
      <c r="I750" s="27">
        <v>44652</v>
      </c>
      <c r="J750" s="14">
        <v>45390.84</v>
      </c>
      <c r="K750" s="28">
        <f t="shared" si="23"/>
        <v>1.1227108850713362E-2</v>
      </c>
    </row>
    <row r="751" spans="1:11" x14ac:dyDescent="0.3">
      <c r="A751" s="23">
        <v>44566</v>
      </c>
      <c r="B751">
        <v>691.6</v>
      </c>
      <c r="C751" s="28">
        <f t="shared" si="22"/>
        <v>-9.1690544412607131E-3</v>
      </c>
      <c r="I751" s="27">
        <v>44682</v>
      </c>
      <c r="J751" s="14">
        <v>45407.89</v>
      </c>
      <c r="K751" s="28">
        <f t="shared" si="23"/>
        <v>3.7562644797943621E-4</v>
      </c>
    </row>
    <row r="752" spans="1:11" x14ac:dyDescent="0.3">
      <c r="A752" s="23">
        <v>44567</v>
      </c>
      <c r="B752">
        <v>686.02</v>
      </c>
      <c r="C752" s="28">
        <f t="shared" si="22"/>
        <v>-8.0682475419318108E-3</v>
      </c>
      <c r="I752" s="27">
        <v>44713</v>
      </c>
      <c r="J752" s="14">
        <v>45082.3</v>
      </c>
      <c r="K752" s="28">
        <f t="shared" si="23"/>
        <v>-7.1703397801570722E-3</v>
      </c>
    </row>
    <row r="753" spans="1:11" x14ac:dyDescent="0.3">
      <c r="A753" s="23">
        <v>44568</v>
      </c>
      <c r="B753">
        <v>688.59</v>
      </c>
      <c r="C753" s="28">
        <f t="shared" si="22"/>
        <v>3.7462464651177082E-3</v>
      </c>
      <c r="I753" s="27">
        <v>44743</v>
      </c>
      <c r="J753" s="14">
        <v>45345.65</v>
      </c>
      <c r="K753" s="28">
        <f t="shared" si="23"/>
        <v>5.8415386970052221E-3</v>
      </c>
    </row>
    <row r="754" spans="1:11" x14ac:dyDescent="0.3">
      <c r="A754" s="23">
        <v>44571</v>
      </c>
      <c r="B754">
        <v>694</v>
      </c>
      <c r="C754" s="28">
        <f t="shared" si="22"/>
        <v>7.8566345720965571E-3</v>
      </c>
      <c r="I754" s="27">
        <v>44835</v>
      </c>
      <c r="J754" s="14">
        <v>45887.63</v>
      </c>
      <c r="K754" s="28">
        <f t="shared" si="23"/>
        <v>1.1952193870856321E-2</v>
      </c>
    </row>
    <row r="755" spans="1:11" x14ac:dyDescent="0.3">
      <c r="A755" s="23">
        <v>44572</v>
      </c>
      <c r="B755">
        <v>690</v>
      </c>
      <c r="C755" s="28">
        <f t="shared" si="22"/>
        <v>-5.763688760806916E-3</v>
      </c>
      <c r="I755" s="27">
        <v>44866</v>
      </c>
      <c r="J755" s="14">
        <v>45881.13</v>
      </c>
      <c r="K755" s="28">
        <f t="shared" si="23"/>
        <v>-1.4165037505750461E-4</v>
      </c>
    </row>
    <row r="756" spans="1:11" x14ac:dyDescent="0.3">
      <c r="A756" s="23">
        <v>44573</v>
      </c>
      <c r="B756">
        <v>686</v>
      </c>
      <c r="C756" s="28">
        <f t="shared" si="22"/>
        <v>-5.7971014492753624E-3</v>
      </c>
      <c r="I756" s="27">
        <v>44896</v>
      </c>
      <c r="J756" s="14">
        <v>45916.25</v>
      </c>
      <c r="K756" s="28">
        <f t="shared" si="23"/>
        <v>7.6545629979040666E-4</v>
      </c>
    </row>
    <row r="757" spans="1:11" x14ac:dyDescent="0.3">
      <c r="A757" s="23">
        <v>44574</v>
      </c>
      <c r="B757">
        <v>679.5</v>
      </c>
      <c r="C757" s="28">
        <f t="shared" si="22"/>
        <v>-9.4752186588921289E-3</v>
      </c>
      <c r="I757" s="26" t="s">
        <v>605</v>
      </c>
      <c r="J757" s="14">
        <v>45763.199999999997</v>
      </c>
      <c r="K757" s="28">
        <f t="shared" si="23"/>
        <v>-3.3332425884083066E-3</v>
      </c>
    </row>
    <row r="758" spans="1:11" x14ac:dyDescent="0.3">
      <c r="A758" s="23">
        <v>44575</v>
      </c>
      <c r="B758">
        <v>675</v>
      </c>
      <c r="C758" s="28">
        <f t="shared" si="22"/>
        <v>-6.6225165562913907E-3</v>
      </c>
      <c r="I758" s="26" t="s">
        <v>604</v>
      </c>
      <c r="J758" s="14">
        <v>45763.45</v>
      </c>
      <c r="K758" s="28">
        <f t="shared" si="23"/>
        <v>5.4629046919795826E-6</v>
      </c>
    </row>
    <row r="759" spans="1:11" x14ac:dyDescent="0.3">
      <c r="A759" s="23">
        <v>44578</v>
      </c>
      <c r="B759">
        <v>682</v>
      </c>
      <c r="C759" s="28">
        <f t="shared" si="22"/>
        <v>1.037037037037037E-2</v>
      </c>
      <c r="I759" s="26" t="s">
        <v>603</v>
      </c>
      <c r="J759" s="14">
        <v>45612.2</v>
      </c>
      <c r="K759" s="28">
        <f t="shared" si="23"/>
        <v>-3.3050392835330378E-3</v>
      </c>
    </row>
    <row r="760" spans="1:11" x14ac:dyDescent="0.3">
      <c r="A760" s="23">
        <v>44579</v>
      </c>
      <c r="B760">
        <v>676</v>
      </c>
      <c r="C760" s="28">
        <f t="shared" si="22"/>
        <v>-8.7976539589442824E-3</v>
      </c>
      <c r="I760" s="26" t="s">
        <v>602</v>
      </c>
      <c r="J760" s="14">
        <v>45507.41</v>
      </c>
      <c r="K760" s="28">
        <f t="shared" si="23"/>
        <v>-2.2974116574073079E-3</v>
      </c>
    </row>
    <row r="761" spans="1:11" x14ac:dyDescent="0.3">
      <c r="A761" s="23">
        <v>44580</v>
      </c>
      <c r="B761">
        <v>656</v>
      </c>
      <c r="C761" s="28">
        <f t="shared" si="22"/>
        <v>-2.9585798816568046E-2</v>
      </c>
      <c r="I761" s="26" t="s">
        <v>601</v>
      </c>
      <c r="J761" s="14">
        <v>44833.43</v>
      </c>
      <c r="K761" s="28">
        <f t="shared" si="23"/>
        <v>-1.4810335283858236E-2</v>
      </c>
    </row>
    <row r="762" spans="1:11" x14ac:dyDescent="0.3">
      <c r="A762" s="23">
        <v>44581</v>
      </c>
      <c r="B762">
        <v>659</v>
      </c>
      <c r="C762" s="28">
        <f t="shared" si="22"/>
        <v>4.5731707317073168E-3</v>
      </c>
      <c r="I762" s="26" t="s">
        <v>600</v>
      </c>
      <c r="J762" s="14">
        <v>44825.97</v>
      </c>
      <c r="K762" s="28">
        <f t="shared" si="23"/>
        <v>-1.6639369327751919E-4</v>
      </c>
    </row>
    <row r="763" spans="1:11" x14ac:dyDescent="0.3">
      <c r="A763" s="23">
        <v>44582</v>
      </c>
      <c r="B763">
        <v>666</v>
      </c>
      <c r="C763" s="28">
        <f t="shared" si="22"/>
        <v>1.0622154779969651E-2</v>
      </c>
      <c r="I763" s="26" t="s">
        <v>599</v>
      </c>
      <c r="J763" s="14">
        <v>45018.28</v>
      </c>
      <c r="K763" s="28">
        <f t="shared" si="23"/>
        <v>4.2901469839915938E-3</v>
      </c>
    </row>
    <row r="764" spans="1:11" x14ac:dyDescent="0.3">
      <c r="A764" s="23">
        <v>44585</v>
      </c>
      <c r="B764">
        <v>664.1</v>
      </c>
      <c r="C764" s="28">
        <f t="shared" si="22"/>
        <v>-2.8528528528528187E-3</v>
      </c>
      <c r="I764" s="26" t="s">
        <v>598</v>
      </c>
      <c r="J764" s="14">
        <v>44923.91</v>
      </c>
      <c r="K764" s="28">
        <f t="shared" si="23"/>
        <v>-2.0962595638926084E-3</v>
      </c>
    </row>
    <row r="765" spans="1:11" x14ac:dyDescent="0.3">
      <c r="A765" s="23">
        <v>44586</v>
      </c>
      <c r="B765">
        <v>685</v>
      </c>
      <c r="C765" s="28">
        <f t="shared" si="22"/>
        <v>3.1471163981328078E-2</v>
      </c>
      <c r="I765" s="26" t="s">
        <v>597</v>
      </c>
      <c r="J765" s="14">
        <v>44887.77</v>
      </c>
      <c r="K765" s="28">
        <f t="shared" si="23"/>
        <v>-8.0447138283392273E-4</v>
      </c>
    </row>
    <row r="766" spans="1:11" x14ac:dyDescent="0.3">
      <c r="A766" s="23">
        <v>44587</v>
      </c>
      <c r="B766">
        <v>689.11</v>
      </c>
      <c r="C766" s="28">
        <f t="shared" si="22"/>
        <v>6.0000000000000201E-3</v>
      </c>
      <c r="I766" s="26" t="s">
        <v>596</v>
      </c>
      <c r="J766" s="14">
        <v>44955.05</v>
      </c>
      <c r="K766" s="28">
        <f t="shared" si="23"/>
        <v>1.4988492411185969E-3</v>
      </c>
    </row>
    <row r="767" spans="1:11" x14ac:dyDescent="0.3">
      <c r="A767" s="23">
        <v>44588</v>
      </c>
      <c r="B767">
        <v>690.1</v>
      </c>
      <c r="C767" s="28">
        <f t="shared" si="22"/>
        <v>1.4366356604896301E-3</v>
      </c>
      <c r="I767" s="26" t="s">
        <v>595</v>
      </c>
      <c r="J767" s="14">
        <v>45083.040000000001</v>
      </c>
      <c r="K767" s="28">
        <f t="shared" si="23"/>
        <v>2.8470661249403117E-3</v>
      </c>
    </row>
    <row r="768" spans="1:11" x14ac:dyDescent="0.3">
      <c r="A768" s="23">
        <v>44589</v>
      </c>
      <c r="B768">
        <v>680.79</v>
      </c>
      <c r="C768" s="28">
        <f t="shared" si="22"/>
        <v>-1.3490798435009504E-2</v>
      </c>
      <c r="I768" s="26" t="s">
        <v>594</v>
      </c>
      <c r="J768" s="14">
        <v>45077.91</v>
      </c>
      <c r="K768" s="28">
        <f t="shared" si="23"/>
        <v>-1.1379001948398733E-4</v>
      </c>
    </row>
    <row r="769" spans="1:11" x14ac:dyDescent="0.3">
      <c r="A769" s="23">
        <v>44592</v>
      </c>
      <c r="B769">
        <v>681</v>
      </c>
      <c r="C769" s="28">
        <f t="shared" si="22"/>
        <v>3.0846516546958151E-4</v>
      </c>
      <c r="I769" s="26" t="s">
        <v>593</v>
      </c>
      <c r="J769" s="14">
        <v>45374.68</v>
      </c>
      <c r="K769" s="28">
        <f t="shared" si="23"/>
        <v>6.5834906720386279E-3</v>
      </c>
    </row>
    <row r="770" spans="1:11" x14ac:dyDescent="0.3">
      <c r="A770" s="23">
        <v>44593</v>
      </c>
      <c r="B770">
        <v>684</v>
      </c>
      <c r="C770" s="28">
        <f t="shared" si="22"/>
        <v>4.4052863436123352E-3</v>
      </c>
      <c r="I770" s="27">
        <v>44563</v>
      </c>
      <c r="J770" s="14">
        <v>45674.5</v>
      </c>
      <c r="K770" s="28">
        <f t="shared" si="23"/>
        <v>6.607649905189408E-3</v>
      </c>
    </row>
    <row r="771" spans="1:11" x14ac:dyDescent="0.3">
      <c r="A771" s="23">
        <v>44594</v>
      </c>
      <c r="B771">
        <v>693</v>
      </c>
      <c r="C771" s="28">
        <f t="shared" si="22"/>
        <v>1.3157894736842105E-2</v>
      </c>
      <c r="I771" s="27">
        <v>44594</v>
      </c>
      <c r="J771" s="14">
        <v>46119.15</v>
      </c>
      <c r="K771" s="28">
        <f t="shared" si="23"/>
        <v>9.7351914087729797E-3</v>
      </c>
    </row>
    <row r="772" spans="1:11" x14ac:dyDescent="0.3">
      <c r="A772" s="23">
        <v>44595</v>
      </c>
      <c r="B772">
        <v>687.8</v>
      </c>
      <c r="C772" s="28">
        <f t="shared" si="22"/>
        <v>-7.5036075036075695E-3</v>
      </c>
      <c r="I772" s="27">
        <v>44622</v>
      </c>
      <c r="J772" s="14">
        <v>45862.93</v>
      </c>
      <c r="K772" s="28">
        <f t="shared" si="23"/>
        <v>-5.5556097629726733E-3</v>
      </c>
    </row>
    <row r="773" spans="1:11" x14ac:dyDescent="0.3">
      <c r="A773" s="23">
        <v>44596</v>
      </c>
      <c r="B773">
        <v>688.73</v>
      </c>
      <c r="C773" s="28">
        <f t="shared" si="22"/>
        <v>1.3521372492004415E-3</v>
      </c>
      <c r="I773" s="27">
        <v>44653</v>
      </c>
      <c r="J773" s="14">
        <v>45909.65</v>
      </c>
      <c r="K773" s="28">
        <f t="shared" si="23"/>
        <v>1.0186876416312949E-3</v>
      </c>
    </row>
    <row r="774" spans="1:11" x14ac:dyDescent="0.3">
      <c r="A774" s="23">
        <v>44599</v>
      </c>
      <c r="B774">
        <v>683</v>
      </c>
      <c r="C774" s="28">
        <f t="shared" ref="C774:C837" si="24">(B774-B773)/B773</f>
        <v>-8.3196608249967597E-3</v>
      </c>
      <c r="I774" s="27">
        <v>44744</v>
      </c>
      <c r="J774" s="14">
        <v>45841.25</v>
      </c>
      <c r="K774" s="28">
        <f t="shared" ref="K774:K837" si="25">(J774-J773)/J773</f>
        <v>-1.4898828459812142E-3</v>
      </c>
    </row>
    <row r="775" spans="1:11" x14ac:dyDescent="0.3">
      <c r="A775" s="23">
        <v>44600</v>
      </c>
      <c r="B775">
        <v>684.01</v>
      </c>
      <c r="C775" s="28">
        <f t="shared" si="24"/>
        <v>1.4787701317715825E-3</v>
      </c>
      <c r="I775" s="27">
        <v>44775</v>
      </c>
      <c r="J775" s="14">
        <v>45947.95</v>
      </c>
      <c r="K775" s="28">
        <f t="shared" si="25"/>
        <v>2.3275979603522394E-3</v>
      </c>
    </row>
    <row r="776" spans="1:11" x14ac:dyDescent="0.3">
      <c r="A776" s="23">
        <v>44601</v>
      </c>
      <c r="B776">
        <v>691</v>
      </c>
      <c r="C776" s="28">
        <f t="shared" si="24"/>
        <v>1.0219148842853187E-2</v>
      </c>
      <c r="I776" s="27">
        <v>44806</v>
      </c>
      <c r="J776" s="14">
        <v>46339.76</v>
      </c>
      <c r="K776" s="28">
        <f t="shared" si="25"/>
        <v>8.5272574728579836E-3</v>
      </c>
    </row>
    <row r="777" spans="1:11" x14ac:dyDescent="0.3">
      <c r="A777" s="23">
        <v>44602</v>
      </c>
      <c r="B777">
        <v>684.95</v>
      </c>
      <c r="C777" s="28">
        <f t="shared" si="24"/>
        <v>-8.755426917510788E-3</v>
      </c>
      <c r="I777" s="27">
        <v>44836</v>
      </c>
      <c r="J777" s="14">
        <v>45940.04</v>
      </c>
      <c r="K777" s="28">
        <f t="shared" si="25"/>
        <v>-8.6258539103353394E-3</v>
      </c>
    </row>
    <row r="778" spans="1:11" x14ac:dyDescent="0.3">
      <c r="A778" s="23">
        <v>44603</v>
      </c>
      <c r="B778">
        <v>689</v>
      </c>
      <c r="C778" s="28">
        <f t="shared" si="24"/>
        <v>5.9128403533103939E-3</v>
      </c>
      <c r="I778" s="27">
        <v>44867</v>
      </c>
      <c r="J778" s="14">
        <v>46079.37</v>
      </c>
      <c r="K778" s="28">
        <f t="shared" si="25"/>
        <v>3.032866318792969E-3</v>
      </c>
    </row>
    <row r="779" spans="1:11" x14ac:dyDescent="0.3">
      <c r="A779" s="23">
        <v>44606</v>
      </c>
      <c r="B779">
        <v>679.99</v>
      </c>
      <c r="C779" s="28">
        <f t="shared" si="24"/>
        <v>-1.3076923076923064E-2</v>
      </c>
      <c r="I779" s="26" t="s">
        <v>592</v>
      </c>
      <c r="J779" s="14">
        <v>45644.09</v>
      </c>
      <c r="K779" s="28">
        <f t="shared" si="25"/>
        <v>-9.446309704321176E-3</v>
      </c>
    </row>
    <row r="780" spans="1:11" x14ac:dyDescent="0.3">
      <c r="A780" s="23">
        <v>44607</v>
      </c>
      <c r="B780">
        <v>677</v>
      </c>
      <c r="C780" s="28">
        <f t="shared" si="24"/>
        <v>-4.397123487110118E-3</v>
      </c>
      <c r="I780" s="26" t="s">
        <v>591</v>
      </c>
      <c r="J780" s="14">
        <v>45731.7</v>
      </c>
      <c r="K780" s="28">
        <f t="shared" si="25"/>
        <v>1.9194160733624131E-3</v>
      </c>
    </row>
    <row r="781" spans="1:11" x14ac:dyDescent="0.3">
      <c r="A781" s="23">
        <v>44608</v>
      </c>
      <c r="B781">
        <v>676</v>
      </c>
      <c r="C781" s="28">
        <f t="shared" si="24"/>
        <v>-1.4771048744460858E-3</v>
      </c>
      <c r="I781" s="26" t="s">
        <v>590</v>
      </c>
      <c r="J781" s="14">
        <v>45684.800000000003</v>
      </c>
      <c r="K781" s="28">
        <f t="shared" si="25"/>
        <v>-1.0255468307540324E-3</v>
      </c>
    </row>
    <row r="782" spans="1:11" x14ac:dyDescent="0.3">
      <c r="A782" s="23">
        <v>44609</v>
      </c>
      <c r="B782">
        <v>677</v>
      </c>
      <c r="C782" s="28">
        <f t="shared" si="24"/>
        <v>1.4792899408284023E-3</v>
      </c>
      <c r="I782" s="26" t="s">
        <v>589</v>
      </c>
      <c r="J782" s="14">
        <v>45441.1</v>
      </c>
      <c r="K782" s="28">
        <f t="shared" si="25"/>
        <v>-5.3343781739222749E-3</v>
      </c>
    </row>
    <row r="783" spans="1:11" x14ac:dyDescent="0.3">
      <c r="A783" s="23">
        <v>44610</v>
      </c>
      <c r="B783">
        <v>681.68</v>
      </c>
      <c r="C783" s="28">
        <f t="shared" si="24"/>
        <v>6.9128508124076072E-3</v>
      </c>
      <c r="I783" s="26" t="s">
        <v>588</v>
      </c>
      <c r="J783" s="14">
        <v>45675.87</v>
      </c>
      <c r="K783" s="28">
        <f t="shared" si="25"/>
        <v>5.1664682413058681E-3</v>
      </c>
    </row>
    <row r="784" spans="1:11" x14ac:dyDescent="0.3">
      <c r="A784" s="23">
        <v>44613</v>
      </c>
      <c r="B784">
        <v>671.1</v>
      </c>
      <c r="C784" s="28">
        <f t="shared" si="24"/>
        <v>-1.5520478817040148E-2</v>
      </c>
      <c r="I784" s="26" t="s">
        <v>587</v>
      </c>
      <c r="J784" s="14">
        <v>45362.85</v>
      </c>
      <c r="K784" s="28">
        <f t="shared" si="25"/>
        <v>-6.853071435749424E-3</v>
      </c>
    </row>
    <row r="785" spans="1:11" x14ac:dyDescent="0.3">
      <c r="A785" s="23">
        <v>44614</v>
      </c>
      <c r="B785">
        <v>663</v>
      </c>
      <c r="C785" s="28">
        <f t="shared" si="24"/>
        <v>-1.2069736253911521E-2</v>
      </c>
      <c r="I785" s="26" t="s">
        <v>586</v>
      </c>
      <c r="J785" s="14">
        <v>45012.18</v>
      </c>
      <c r="K785" s="28">
        <f t="shared" si="25"/>
        <v>-7.730334403592329E-3</v>
      </c>
    </row>
    <row r="786" spans="1:11" x14ac:dyDescent="0.3">
      <c r="A786" s="23">
        <v>44615</v>
      </c>
      <c r="B786">
        <v>666.6</v>
      </c>
      <c r="C786" s="28">
        <f t="shared" si="24"/>
        <v>5.4298642533936996E-3</v>
      </c>
      <c r="I786" s="26" t="s">
        <v>585</v>
      </c>
      <c r="J786" s="14">
        <v>45132.92</v>
      </c>
      <c r="K786" s="28">
        <f t="shared" si="25"/>
        <v>2.6823850788830483E-3</v>
      </c>
    </row>
    <row r="787" spans="1:11" x14ac:dyDescent="0.3">
      <c r="A787" s="23">
        <v>44616</v>
      </c>
      <c r="B787">
        <v>630.11</v>
      </c>
      <c r="C787" s="28">
        <f t="shared" si="24"/>
        <v>-5.4740474047404751E-2</v>
      </c>
      <c r="I787" s="26" t="s">
        <v>584</v>
      </c>
      <c r="J787" s="14">
        <v>43830.51</v>
      </c>
      <c r="K787" s="28">
        <f t="shared" si="25"/>
        <v>-2.885720666865774E-2</v>
      </c>
    </row>
    <row r="788" spans="1:11" x14ac:dyDescent="0.3">
      <c r="A788" s="23">
        <v>44617</v>
      </c>
      <c r="B788">
        <v>634.98</v>
      </c>
      <c r="C788" s="28">
        <f t="shared" si="24"/>
        <v>7.7288092555268199E-3</v>
      </c>
      <c r="I788" s="26" t="s">
        <v>583</v>
      </c>
      <c r="J788" s="14">
        <v>43984.24</v>
      </c>
      <c r="K788" s="28">
        <f t="shared" si="25"/>
        <v>3.5073742012127151E-3</v>
      </c>
    </row>
    <row r="789" spans="1:11" x14ac:dyDescent="0.3">
      <c r="A789" s="23">
        <v>44620</v>
      </c>
      <c r="B789">
        <v>655</v>
      </c>
      <c r="C789" s="28">
        <f t="shared" si="24"/>
        <v>3.1528552080380454E-2</v>
      </c>
      <c r="I789" s="26" t="s">
        <v>582</v>
      </c>
      <c r="J789" s="14">
        <v>44461.01</v>
      </c>
      <c r="K789" s="28">
        <f t="shared" si="25"/>
        <v>1.0839564353050186E-2</v>
      </c>
    </row>
    <row r="790" spans="1:11" x14ac:dyDescent="0.3">
      <c r="A790" s="23">
        <v>44621</v>
      </c>
      <c r="B790">
        <v>640</v>
      </c>
      <c r="C790" s="28">
        <f t="shared" si="24"/>
        <v>-2.2900763358778626E-2</v>
      </c>
      <c r="I790" s="27">
        <v>44564</v>
      </c>
      <c r="J790" s="14">
        <v>44803.58</v>
      </c>
      <c r="K790" s="28">
        <f t="shared" si="25"/>
        <v>7.7049531713292091E-3</v>
      </c>
    </row>
    <row r="791" spans="1:11" x14ac:dyDescent="0.3">
      <c r="A791" s="23">
        <v>44622</v>
      </c>
      <c r="B791">
        <v>622.99</v>
      </c>
      <c r="C791" s="28">
        <f t="shared" si="24"/>
        <v>-2.6578124999999987E-2</v>
      </c>
      <c r="I791" s="27">
        <v>44595</v>
      </c>
      <c r="J791" s="14">
        <v>44514.12</v>
      </c>
      <c r="K791" s="28">
        <f t="shared" si="25"/>
        <v>-6.4606444395737825E-3</v>
      </c>
    </row>
    <row r="792" spans="1:11" x14ac:dyDescent="0.3">
      <c r="A792" s="23">
        <v>44623</v>
      </c>
      <c r="B792">
        <v>616.99</v>
      </c>
      <c r="C792" s="28">
        <f t="shared" si="24"/>
        <v>-9.6309732098428542E-3</v>
      </c>
      <c r="I792" s="27">
        <v>44623</v>
      </c>
      <c r="J792" s="14">
        <v>44525.72</v>
      </c>
      <c r="K792" s="28">
        <f t="shared" si="25"/>
        <v>2.605914707512705E-4</v>
      </c>
    </row>
    <row r="793" spans="1:11" x14ac:dyDescent="0.3">
      <c r="A793" s="23">
        <v>44624</v>
      </c>
      <c r="B793">
        <v>619.27</v>
      </c>
      <c r="C793" s="28">
        <f t="shared" si="24"/>
        <v>3.6953597303035265E-3</v>
      </c>
      <c r="I793" s="27">
        <v>44654</v>
      </c>
      <c r="J793" s="14">
        <v>44551.35</v>
      </c>
      <c r="K793" s="28">
        <f t="shared" si="25"/>
        <v>5.7562235939132218E-4</v>
      </c>
    </row>
    <row r="794" spans="1:11" x14ac:dyDescent="0.3">
      <c r="A794" s="23">
        <v>44627</v>
      </c>
      <c r="B794">
        <v>573</v>
      </c>
      <c r="C794" s="28">
        <f t="shared" si="24"/>
        <v>-7.4717005506483414E-2</v>
      </c>
      <c r="I794" s="27">
        <v>44745</v>
      </c>
      <c r="J794" s="14">
        <v>43266.97</v>
      </c>
      <c r="K794" s="28">
        <f t="shared" si="25"/>
        <v>-2.8829204951140591E-2</v>
      </c>
    </row>
    <row r="795" spans="1:11" x14ac:dyDescent="0.3">
      <c r="A795" s="23">
        <v>44628</v>
      </c>
      <c r="B795">
        <v>567</v>
      </c>
      <c r="C795" s="28">
        <f t="shared" si="24"/>
        <v>-1.0471204188481676E-2</v>
      </c>
      <c r="I795" s="27">
        <v>44776</v>
      </c>
      <c r="J795" s="14">
        <v>42878.35</v>
      </c>
      <c r="K795" s="28">
        <f t="shared" si="25"/>
        <v>-8.9819092947808141E-3</v>
      </c>
    </row>
    <row r="796" spans="1:11" x14ac:dyDescent="0.3">
      <c r="A796" s="23">
        <v>44629</v>
      </c>
      <c r="B796">
        <v>551</v>
      </c>
      <c r="C796" s="28">
        <f t="shared" si="24"/>
        <v>-2.821869488536155E-2</v>
      </c>
      <c r="I796" s="27">
        <v>44807</v>
      </c>
      <c r="J796" s="14">
        <v>43042.96</v>
      </c>
      <c r="K796" s="28">
        <f t="shared" si="25"/>
        <v>3.8390003346677423E-3</v>
      </c>
    </row>
    <row r="797" spans="1:11" x14ac:dyDescent="0.3">
      <c r="A797" s="23">
        <v>44630</v>
      </c>
      <c r="B797">
        <v>591.53</v>
      </c>
      <c r="C797" s="28">
        <f t="shared" si="24"/>
        <v>7.3557168784028987E-2</v>
      </c>
      <c r="I797" s="27">
        <v>44837</v>
      </c>
      <c r="J797" s="14">
        <v>43853.62</v>
      </c>
      <c r="K797" s="28">
        <f t="shared" si="25"/>
        <v>1.8833741917377512E-2</v>
      </c>
    </row>
    <row r="798" spans="1:11" x14ac:dyDescent="0.3">
      <c r="A798" s="23">
        <v>44631</v>
      </c>
      <c r="B798">
        <v>572.75</v>
      </c>
      <c r="C798" s="28">
        <f t="shared" si="24"/>
        <v>-3.174817845248757E-2</v>
      </c>
      <c r="I798" s="27">
        <v>44868</v>
      </c>
      <c r="J798" s="14">
        <v>43653.33</v>
      </c>
      <c r="K798" s="28">
        <f t="shared" si="25"/>
        <v>-4.567239831056156E-3</v>
      </c>
    </row>
    <row r="799" spans="1:11" x14ac:dyDescent="0.3">
      <c r="A799" s="23">
        <v>44634</v>
      </c>
      <c r="B799">
        <v>571.01</v>
      </c>
      <c r="C799" s="28">
        <f t="shared" si="24"/>
        <v>-3.0379746835443198E-3</v>
      </c>
      <c r="I799" s="26" t="s">
        <v>581</v>
      </c>
      <c r="J799" s="14">
        <v>43366.89</v>
      </c>
      <c r="K799" s="28">
        <f t="shared" si="25"/>
        <v>-6.5616987295127847E-3</v>
      </c>
    </row>
    <row r="800" spans="1:11" x14ac:dyDescent="0.3">
      <c r="A800" s="23">
        <v>44635</v>
      </c>
      <c r="B800">
        <v>583</v>
      </c>
      <c r="C800" s="28">
        <f t="shared" si="24"/>
        <v>2.0997880947794277E-2</v>
      </c>
      <c r="I800" s="26" t="s">
        <v>580</v>
      </c>
      <c r="J800" s="14">
        <v>43719.82</v>
      </c>
      <c r="K800" s="28">
        <f t="shared" si="25"/>
        <v>8.1382363365231011E-3</v>
      </c>
    </row>
    <row r="801" spans="1:11" x14ac:dyDescent="0.3">
      <c r="A801" s="23">
        <v>44636</v>
      </c>
      <c r="B801">
        <v>585</v>
      </c>
      <c r="C801" s="28">
        <f t="shared" si="24"/>
        <v>3.4305317324185248E-3</v>
      </c>
      <c r="I801" s="26" t="s">
        <v>579</v>
      </c>
      <c r="J801" s="14">
        <v>43975.69</v>
      </c>
      <c r="K801" s="28">
        <f t="shared" si="25"/>
        <v>5.8524943606813257E-3</v>
      </c>
    </row>
    <row r="802" spans="1:11" x14ac:dyDescent="0.3">
      <c r="A802" s="23">
        <v>44637</v>
      </c>
      <c r="B802">
        <v>584</v>
      </c>
      <c r="C802" s="28">
        <f t="shared" si="24"/>
        <v>-1.7094017094017094E-3</v>
      </c>
      <c r="I802" s="26" t="s">
        <v>578</v>
      </c>
      <c r="J802" s="14">
        <v>43807.23</v>
      </c>
      <c r="K802" s="28">
        <f t="shared" si="25"/>
        <v>-3.8307528545885039E-3</v>
      </c>
    </row>
    <row r="803" spans="1:11" x14ac:dyDescent="0.3">
      <c r="A803" s="23">
        <v>44638</v>
      </c>
      <c r="B803">
        <v>567.63</v>
      </c>
      <c r="C803" s="28">
        <f t="shared" si="24"/>
        <v>-2.8030821917808226E-2</v>
      </c>
      <c r="I803" s="26" t="s">
        <v>577</v>
      </c>
      <c r="J803" s="14">
        <v>43029.97</v>
      </c>
      <c r="K803" s="28">
        <f t="shared" si="25"/>
        <v>-1.7742733334200816E-2</v>
      </c>
    </row>
    <row r="804" spans="1:11" x14ac:dyDescent="0.3">
      <c r="A804" s="23">
        <v>44641</v>
      </c>
      <c r="B804">
        <v>576</v>
      </c>
      <c r="C804" s="28">
        <f t="shared" si="24"/>
        <v>1.4745520849849382E-2</v>
      </c>
      <c r="I804" s="26" t="s">
        <v>576</v>
      </c>
      <c r="J804" s="14">
        <v>43230.22</v>
      </c>
      <c r="K804" s="28">
        <f t="shared" si="25"/>
        <v>4.6537332003717411E-3</v>
      </c>
    </row>
    <row r="805" spans="1:11" x14ac:dyDescent="0.3">
      <c r="A805" s="23">
        <v>44642</v>
      </c>
      <c r="B805">
        <v>571</v>
      </c>
      <c r="C805" s="28">
        <f t="shared" si="24"/>
        <v>-8.6805555555555559E-3</v>
      </c>
      <c r="I805" s="26" t="s">
        <v>575</v>
      </c>
      <c r="J805" s="14">
        <v>43203.79</v>
      </c>
      <c r="K805" s="28">
        <f t="shared" si="25"/>
        <v>-6.1137787408901208E-4</v>
      </c>
    </row>
    <row r="806" spans="1:11" x14ac:dyDescent="0.3">
      <c r="A806" s="23">
        <v>44644</v>
      </c>
      <c r="B806">
        <v>587</v>
      </c>
      <c r="C806" s="28">
        <f t="shared" si="24"/>
        <v>2.8021015761821366E-2</v>
      </c>
      <c r="I806" s="26" t="s">
        <v>574</v>
      </c>
      <c r="J806" s="14">
        <v>43522.55</v>
      </c>
      <c r="K806" s="28">
        <f t="shared" si="25"/>
        <v>7.3780564158839315E-3</v>
      </c>
    </row>
    <row r="807" spans="1:11" x14ac:dyDescent="0.3">
      <c r="A807" s="23">
        <v>44645</v>
      </c>
      <c r="B807">
        <v>597.66999999999996</v>
      </c>
      <c r="C807" s="28">
        <f t="shared" si="24"/>
        <v>1.8177172061328722E-2</v>
      </c>
      <c r="I807" s="26" t="s">
        <v>573</v>
      </c>
      <c r="J807" s="14">
        <v>43551.14</v>
      </c>
      <c r="K807" s="28">
        <f t="shared" si="25"/>
        <v>6.5690084795115415E-4</v>
      </c>
    </row>
    <row r="808" spans="1:11" x14ac:dyDescent="0.3">
      <c r="A808" s="23">
        <v>44648</v>
      </c>
      <c r="B808">
        <v>618.99</v>
      </c>
      <c r="C808" s="28">
        <f t="shared" si="24"/>
        <v>3.5671859052654561E-2</v>
      </c>
      <c r="I808" s="26" t="s">
        <v>572</v>
      </c>
      <c r="J808" s="14">
        <v>43933.56</v>
      </c>
      <c r="K808" s="28">
        <f t="shared" si="25"/>
        <v>8.7809412107237202E-3</v>
      </c>
    </row>
    <row r="809" spans="1:11" x14ac:dyDescent="0.3">
      <c r="A809" s="23">
        <v>44649</v>
      </c>
      <c r="B809">
        <v>627</v>
      </c>
      <c r="C809" s="28">
        <f t="shared" si="24"/>
        <v>1.2940435225124785E-2</v>
      </c>
      <c r="I809" s="26" t="s">
        <v>571</v>
      </c>
      <c r="J809" s="14">
        <v>44438.7</v>
      </c>
      <c r="K809" s="28">
        <f t="shared" si="25"/>
        <v>1.1497816247988997E-2</v>
      </c>
    </row>
    <row r="810" spans="1:11" x14ac:dyDescent="0.3">
      <c r="A810" s="23">
        <v>44650</v>
      </c>
      <c r="B810">
        <v>628</v>
      </c>
      <c r="C810" s="28">
        <f t="shared" si="24"/>
        <v>1.594896331738437E-3</v>
      </c>
      <c r="I810" s="26" t="s">
        <v>570</v>
      </c>
      <c r="J810" s="14">
        <v>44337.56</v>
      </c>
      <c r="K810" s="28">
        <f t="shared" si="25"/>
        <v>-2.2759441657834146E-3</v>
      </c>
    </row>
    <row r="811" spans="1:11" x14ac:dyDescent="0.3">
      <c r="A811" s="23">
        <v>44651</v>
      </c>
      <c r="B811">
        <v>636.35</v>
      </c>
      <c r="C811" s="28">
        <f t="shared" si="24"/>
        <v>1.3296178343949082E-2</v>
      </c>
      <c r="I811" s="26" t="s">
        <v>569</v>
      </c>
      <c r="J811" s="14">
        <v>44928.83</v>
      </c>
      <c r="K811" s="28">
        <f t="shared" si="25"/>
        <v>1.3335645894812526E-2</v>
      </c>
    </row>
    <row r="812" spans="1:11" x14ac:dyDescent="0.3">
      <c r="A812" s="23">
        <v>44652</v>
      </c>
      <c r="B812">
        <v>643.64</v>
      </c>
      <c r="C812" s="28">
        <f t="shared" si="24"/>
        <v>1.1455959770566454E-2</v>
      </c>
      <c r="I812" s="27">
        <v>44565</v>
      </c>
      <c r="J812" s="14">
        <v>45152.11</v>
      </c>
      <c r="K812" s="28">
        <f t="shared" si="25"/>
        <v>4.9696375356313265E-3</v>
      </c>
    </row>
    <row r="813" spans="1:11" x14ac:dyDescent="0.3">
      <c r="A813" s="23">
        <v>44655</v>
      </c>
      <c r="B813">
        <v>595.5</v>
      </c>
      <c r="C813" s="28">
        <f t="shared" si="24"/>
        <v>-7.4793362749362977E-2</v>
      </c>
      <c r="I813" s="27">
        <v>44655</v>
      </c>
      <c r="J813" s="14">
        <v>43902.04</v>
      </c>
      <c r="K813" s="28">
        <f t="shared" si="25"/>
        <v>-2.7685749348147843E-2</v>
      </c>
    </row>
    <row r="814" spans="1:11" x14ac:dyDescent="0.3">
      <c r="A814" s="23">
        <v>44656</v>
      </c>
      <c r="B814">
        <v>584</v>
      </c>
      <c r="C814" s="28">
        <f t="shared" si="24"/>
        <v>-1.9311502938706968E-2</v>
      </c>
      <c r="I814" s="27">
        <v>44685</v>
      </c>
      <c r="J814" s="14">
        <v>43928.08</v>
      </c>
      <c r="K814" s="28">
        <f t="shared" si="25"/>
        <v>5.9313872430531408E-4</v>
      </c>
    </row>
    <row r="815" spans="1:11" x14ac:dyDescent="0.3">
      <c r="A815" s="23">
        <v>44657</v>
      </c>
      <c r="B815">
        <v>585.01</v>
      </c>
      <c r="C815" s="28">
        <f t="shared" si="24"/>
        <v>1.7294520547945049E-3</v>
      </c>
      <c r="I815" s="27">
        <v>44716</v>
      </c>
      <c r="J815" s="14">
        <v>44111.1</v>
      </c>
      <c r="K815" s="28">
        <f t="shared" si="25"/>
        <v>4.1663555520750463E-3</v>
      </c>
    </row>
    <row r="816" spans="1:11" x14ac:dyDescent="0.3">
      <c r="A816" s="23">
        <v>44658</v>
      </c>
      <c r="B816">
        <v>579</v>
      </c>
      <c r="C816" s="28">
        <f t="shared" si="24"/>
        <v>-1.0273328661048515E-2</v>
      </c>
      <c r="I816" s="27">
        <v>44746</v>
      </c>
      <c r="J816" s="14">
        <v>43786.83</v>
      </c>
      <c r="K816" s="28">
        <f t="shared" si="25"/>
        <v>-7.3512109197004108E-3</v>
      </c>
    </row>
    <row r="817" spans="1:11" x14ac:dyDescent="0.3">
      <c r="A817" s="23">
        <v>44659</v>
      </c>
      <c r="B817">
        <v>590</v>
      </c>
      <c r="C817" s="28">
        <f t="shared" si="24"/>
        <v>1.8998272884283247E-2</v>
      </c>
      <c r="I817" s="27">
        <v>44777</v>
      </c>
      <c r="J817" s="14">
        <v>44444.58</v>
      </c>
      <c r="K817" s="28">
        <f t="shared" si="25"/>
        <v>1.5021640068486346E-2</v>
      </c>
    </row>
    <row r="818" spans="1:11" x14ac:dyDescent="0.3">
      <c r="A818" s="23">
        <v>44662</v>
      </c>
      <c r="B818">
        <v>627</v>
      </c>
      <c r="C818" s="28">
        <f t="shared" si="24"/>
        <v>6.2711864406779658E-2</v>
      </c>
      <c r="I818" s="27">
        <v>44869</v>
      </c>
      <c r="J818" s="14">
        <v>46144.959999999999</v>
      </c>
      <c r="K818" s="28">
        <f t="shared" si="25"/>
        <v>3.8258433311778341E-2</v>
      </c>
    </row>
    <row r="819" spans="1:11" x14ac:dyDescent="0.3">
      <c r="A819" s="23">
        <v>44663</v>
      </c>
      <c r="B819">
        <v>624</v>
      </c>
      <c r="C819" s="28">
        <f t="shared" si="24"/>
        <v>-4.7846889952153108E-3</v>
      </c>
      <c r="I819" s="27">
        <v>44899</v>
      </c>
      <c r="J819" s="14">
        <v>46407.26</v>
      </c>
      <c r="K819" s="28">
        <f t="shared" si="25"/>
        <v>5.6842610763993056E-3</v>
      </c>
    </row>
    <row r="820" spans="1:11" x14ac:dyDescent="0.3">
      <c r="A820" s="23">
        <v>44664</v>
      </c>
      <c r="B820">
        <v>611</v>
      </c>
      <c r="C820" s="28">
        <f t="shared" si="24"/>
        <v>-2.0833333333333332E-2</v>
      </c>
      <c r="I820" s="26" t="s">
        <v>568</v>
      </c>
      <c r="J820" s="14">
        <v>46165.5</v>
      </c>
      <c r="K820" s="28">
        <f t="shared" si="25"/>
        <v>-5.20952971582468E-3</v>
      </c>
    </row>
    <row r="821" spans="1:11" x14ac:dyDescent="0.3">
      <c r="A821" s="23">
        <v>44665</v>
      </c>
      <c r="B821">
        <v>613.99</v>
      </c>
      <c r="C821" s="28">
        <f t="shared" si="24"/>
        <v>4.893617021276611E-3</v>
      </c>
      <c r="I821" s="26" t="s">
        <v>567</v>
      </c>
      <c r="J821" s="14">
        <v>46484.43</v>
      </c>
      <c r="K821" s="28">
        <f t="shared" si="25"/>
        <v>6.9084056275790428E-3</v>
      </c>
    </row>
    <row r="822" spans="1:11" x14ac:dyDescent="0.3">
      <c r="A822" s="23">
        <v>44666</v>
      </c>
      <c r="B822">
        <v>608</v>
      </c>
      <c r="C822" s="28">
        <f t="shared" si="24"/>
        <v>-9.7558592159481573E-3</v>
      </c>
      <c r="I822" s="26" t="s">
        <v>566</v>
      </c>
      <c r="J822" s="14">
        <v>46601.54</v>
      </c>
      <c r="K822" s="28">
        <f t="shared" si="25"/>
        <v>2.5193381956065846E-3</v>
      </c>
    </row>
    <row r="823" spans="1:11" x14ac:dyDescent="0.3">
      <c r="A823" s="23">
        <v>44669</v>
      </c>
      <c r="B823">
        <v>603.15</v>
      </c>
      <c r="C823" s="28">
        <f t="shared" si="24"/>
        <v>-7.9769736842105633E-3</v>
      </c>
      <c r="I823" s="26" t="s">
        <v>565</v>
      </c>
      <c r="J823" s="14">
        <v>46539.59</v>
      </c>
      <c r="K823" s="28">
        <f t="shared" si="25"/>
        <v>-1.3293552101498012E-3</v>
      </c>
    </row>
    <row r="824" spans="1:11" x14ac:dyDescent="0.3">
      <c r="A824" s="23">
        <v>44670</v>
      </c>
      <c r="B824">
        <v>595</v>
      </c>
      <c r="C824" s="28">
        <f t="shared" si="24"/>
        <v>-1.3512393268672764E-2</v>
      </c>
      <c r="I824" s="26" t="s">
        <v>564</v>
      </c>
      <c r="J824" s="14">
        <v>46333.36</v>
      </c>
      <c r="K824" s="28">
        <f t="shared" si="25"/>
        <v>-4.4312809803437447E-3</v>
      </c>
    </row>
    <row r="825" spans="1:11" x14ac:dyDescent="0.3">
      <c r="A825" s="23">
        <v>44671</v>
      </c>
      <c r="B825">
        <v>591</v>
      </c>
      <c r="C825" s="28">
        <f t="shared" si="24"/>
        <v>-6.7226890756302525E-3</v>
      </c>
      <c r="I825" s="26" t="s">
        <v>563</v>
      </c>
      <c r="J825" s="14">
        <v>45943.16</v>
      </c>
      <c r="K825" s="28">
        <f t="shared" si="25"/>
        <v>-8.4215778868615854E-3</v>
      </c>
    </row>
    <row r="826" spans="1:11" x14ac:dyDescent="0.3">
      <c r="A826" s="23">
        <v>44672</v>
      </c>
      <c r="B826">
        <v>590</v>
      </c>
      <c r="C826" s="28">
        <f t="shared" si="24"/>
        <v>-1.6920473773265651E-3</v>
      </c>
      <c r="I826" s="26" t="s">
        <v>562</v>
      </c>
      <c r="J826" s="14">
        <v>45652.62</v>
      </c>
      <c r="K826" s="28">
        <f t="shared" si="25"/>
        <v>-6.32390109866193E-3</v>
      </c>
    </row>
    <row r="827" spans="1:11" x14ac:dyDescent="0.3">
      <c r="A827" s="23">
        <v>44673</v>
      </c>
      <c r="B827">
        <v>584.99</v>
      </c>
      <c r="C827" s="28">
        <f t="shared" si="24"/>
        <v>-8.4915254237287983E-3</v>
      </c>
      <c r="I827" s="26" t="s">
        <v>561</v>
      </c>
      <c r="J827" s="14">
        <v>45553.02</v>
      </c>
      <c r="K827" s="28">
        <f t="shared" si="25"/>
        <v>-2.181692967457417E-3</v>
      </c>
    </row>
    <row r="828" spans="1:11" x14ac:dyDescent="0.3">
      <c r="A828" s="23">
        <v>44676</v>
      </c>
      <c r="B828">
        <v>585.20000000000005</v>
      </c>
      <c r="C828" s="28">
        <f t="shared" si="24"/>
        <v>3.5898049539314584E-4</v>
      </c>
      <c r="I828" s="26" t="s">
        <v>560</v>
      </c>
      <c r="J828" s="14">
        <v>46073.25</v>
      </c>
      <c r="K828" s="28">
        <f t="shared" si="25"/>
        <v>1.1420318565048009E-2</v>
      </c>
    </row>
    <row r="829" spans="1:11" x14ac:dyDescent="0.3">
      <c r="A829" s="23">
        <v>44677</v>
      </c>
      <c r="B829">
        <v>579.9</v>
      </c>
      <c r="C829" s="28">
        <f t="shared" si="24"/>
        <v>-9.0567327409433827E-3</v>
      </c>
      <c r="I829" s="26" t="s">
        <v>559</v>
      </c>
      <c r="J829" s="14">
        <v>45817.67</v>
      </c>
      <c r="K829" s="28">
        <f t="shared" si="25"/>
        <v>-5.5472535581926989E-3</v>
      </c>
    </row>
    <row r="830" spans="1:11" x14ac:dyDescent="0.3">
      <c r="A830" s="23">
        <v>44678</v>
      </c>
      <c r="B830">
        <v>570.5</v>
      </c>
      <c r="C830" s="28">
        <f t="shared" si="24"/>
        <v>-1.6209691326090667E-2</v>
      </c>
      <c r="I830" s="26" t="s">
        <v>558</v>
      </c>
      <c r="J830" s="14">
        <v>45533.3</v>
      </c>
      <c r="K830" s="28">
        <f t="shared" si="25"/>
        <v>-6.206557426425118E-3</v>
      </c>
    </row>
    <row r="831" spans="1:11" x14ac:dyDescent="0.3">
      <c r="A831" s="23">
        <v>44679</v>
      </c>
      <c r="B831">
        <v>565.5</v>
      </c>
      <c r="C831" s="28">
        <f t="shared" si="24"/>
        <v>-8.7642418930762491E-3</v>
      </c>
      <c r="I831" s="26" t="s">
        <v>557</v>
      </c>
      <c r="J831" s="14">
        <v>45249.41</v>
      </c>
      <c r="K831" s="28">
        <f t="shared" si="25"/>
        <v>-6.234777624288145E-3</v>
      </c>
    </row>
    <row r="832" spans="1:11" x14ac:dyDescent="0.3">
      <c r="A832" s="23">
        <v>44687</v>
      </c>
      <c r="B832">
        <v>560.41999999999996</v>
      </c>
      <c r="C832" s="28">
        <f t="shared" si="24"/>
        <v>-8.9832007073387104E-3</v>
      </c>
      <c r="I832" s="27">
        <v>44717</v>
      </c>
      <c r="J832" s="14">
        <v>44840.81</v>
      </c>
      <c r="K832" s="28">
        <f t="shared" si="25"/>
        <v>-9.0299519927443429E-3</v>
      </c>
    </row>
    <row r="833" spans="1:11" x14ac:dyDescent="0.3">
      <c r="A833" s="23">
        <v>44690</v>
      </c>
      <c r="B833">
        <v>518.39</v>
      </c>
      <c r="C833" s="28">
        <f t="shared" si="24"/>
        <v>-7.4997323435994384E-2</v>
      </c>
      <c r="I833" s="27">
        <v>44809</v>
      </c>
      <c r="J833" s="14">
        <v>43393.14</v>
      </c>
      <c r="K833" s="28">
        <f t="shared" si="25"/>
        <v>-3.2284653198726747E-2</v>
      </c>
    </row>
    <row r="834" spans="1:11" x14ac:dyDescent="0.3">
      <c r="A834" s="23">
        <v>44691</v>
      </c>
      <c r="B834">
        <v>516.5</v>
      </c>
      <c r="C834" s="28">
        <f t="shared" si="24"/>
        <v>-3.6459036632650829E-3</v>
      </c>
      <c r="I834" s="27">
        <v>44839</v>
      </c>
      <c r="J834" s="14">
        <v>43504.36</v>
      </c>
      <c r="K834" s="28">
        <f t="shared" si="25"/>
        <v>2.563077942734754E-3</v>
      </c>
    </row>
    <row r="835" spans="1:11" x14ac:dyDescent="0.3">
      <c r="A835" s="23">
        <v>44692</v>
      </c>
      <c r="B835">
        <v>512.01</v>
      </c>
      <c r="C835" s="28">
        <f t="shared" si="24"/>
        <v>-8.6931268151016639E-3</v>
      </c>
      <c r="I835" s="27">
        <v>44870</v>
      </c>
      <c r="J835" s="14">
        <v>42863.15</v>
      </c>
      <c r="K835" s="28">
        <f t="shared" si="25"/>
        <v>-1.4738982483594728E-2</v>
      </c>
    </row>
    <row r="836" spans="1:11" x14ac:dyDescent="0.3">
      <c r="A836" s="23">
        <v>44693</v>
      </c>
      <c r="B836">
        <v>515</v>
      </c>
      <c r="C836" s="28">
        <f t="shared" si="24"/>
        <v>5.8397296927794554E-3</v>
      </c>
      <c r="I836" s="27">
        <v>44900</v>
      </c>
      <c r="J836" s="14">
        <v>42898.44</v>
      </c>
      <c r="K836" s="28">
        <f t="shared" si="25"/>
        <v>8.2331793160327397E-4</v>
      </c>
    </row>
    <row r="837" spans="1:11" x14ac:dyDescent="0.3">
      <c r="A837" s="23">
        <v>44694</v>
      </c>
      <c r="B837">
        <v>523.33000000000004</v>
      </c>
      <c r="C837" s="28">
        <f t="shared" si="24"/>
        <v>1.6174757281553476E-2</v>
      </c>
      <c r="I837" s="26" t="s">
        <v>556</v>
      </c>
      <c r="J837" s="14">
        <v>43486.46</v>
      </c>
      <c r="K837" s="28">
        <f t="shared" si="25"/>
        <v>1.3707258352518105E-2</v>
      </c>
    </row>
    <row r="838" spans="1:11" x14ac:dyDescent="0.3">
      <c r="A838" s="23">
        <v>44697</v>
      </c>
      <c r="B838">
        <v>500.1</v>
      </c>
      <c r="C838" s="28">
        <f t="shared" ref="C838:C901" si="26">(B838-B837)/B837</f>
        <v>-4.4388817763170496E-2</v>
      </c>
      <c r="I838" s="26" t="s">
        <v>555</v>
      </c>
      <c r="J838" s="14">
        <v>42667.32</v>
      </c>
      <c r="K838" s="28">
        <f t="shared" ref="K838:K901" si="27">(J838-J837)/J837</f>
        <v>-1.8836667781189809E-2</v>
      </c>
    </row>
    <row r="839" spans="1:11" x14ac:dyDescent="0.3">
      <c r="A839" s="23">
        <v>44698</v>
      </c>
      <c r="B839">
        <v>495</v>
      </c>
      <c r="C839" s="28">
        <f t="shared" si="26"/>
        <v>-1.0197960407918462E-2</v>
      </c>
      <c r="I839" s="26" t="s">
        <v>554</v>
      </c>
      <c r="J839" s="14">
        <v>42726.06</v>
      </c>
      <c r="K839" s="28">
        <f t="shared" si="27"/>
        <v>1.3766976693168908E-3</v>
      </c>
    </row>
    <row r="840" spans="1:11" x14ac:dyDescent="0.3">
      <c r="A840" s="23">
        <v>44699</v>
      </c>
      <c r="B840">
        <v>504.05</v>
      </c>
      <c r="C840" s="28">
        <f t="shared" si="26"/>
        <v>1.8282828282828307E-2</v>
      </c>
      <c r="I840" s="26" t="s">
        <v>553</v>
      </c>
      <c r="J840" s="14">
        <v>43026.879999999997</v>
      </c>
      <c r="K840" s="28">
        <f t="shared" si="27"/>
        <v>7.040667920234155E-3</v>
      </c>
    </row>
    <row r="841" spans="1:11" x14ac:dyDescent="0.3">
      <c r="A841" s="23">
        <v>44700</v>
      </c>
      <c r="B841">
        <v>502</v>
      </c>
      <c r="C841" s="28">
        <f t="shared" si="26"/>
        <v>-4.0670568395992689E-3</v>
      </c>
      <c r="I841" s="26" t="s">
        <v>552</v>
      </c>
      <c r="J841" s="14">
        <v>42983.45</v>
      </c>
      <c r="K841" s="28">
        <f t="shared" si="27"/>
        <v>-1.0093690269896468E-3</v>
      </c>
    </row>
    <row r="842" spans="1:11" x14ac:dyDescent="0.3">
      <c r="A842" s="23">
        <v>44701</v>
      </c>
      <c r="B842">
        <v>502.79</v>
      </c>
      <c r="C842" s="28">
        <f t="shared" si="26"/>
        <v>1.5737051792829094E-3</v>
      </c>
      <c r="I842" s="26" t="s">
        <v>551</v>
      </c>
      <c r="J842" s="14">
        <v>43100.7</v>
      </c>
      <c r="K842" s="28">
        <f t="shared" si="27"/>
        <v>2.7277940695779423E-3</v>
      </c>
    </row>
    <row r="843" spans="1:11" x14ac:dyDescent="0.3">
      <c r="A843" s="23">
        <v>44704</v>
      </c>
      <c r="B843">
        <v>476</v>
      </c>
      <c r="C843" s="28">
        <f t="shared" si="26"/>
        <v>-5.3282682630919509E-2</v>
      </c>
      <c r="I843" s="26" t="s">
        <v>550</v>
      </c>
      <c r="J843" s="14">
        <v>42440.25</v>
      </c>
      <c r="K843" s="28">
        <f t="shared" si="27"/>
        <v>-1.5323417021069197E-2</v>
      </c>
    </row>
    <row r="844" spans="1:11" x14ac:dyDescent="0.3">
      <c r="A844" s="23">
        <v>44705</v>
      </c>
      <c r="B844">
        <v>467.25</v>
      </c>
      <c r="C844" s="28">
        <f t="shared" si="26"/>
        <v>-1.8382352941176471E-2</v>
      </c>
      <c r="I844" s="26" t="s">
        <v>549</v>
      </c>
      <c r="J844" s="14">
        <v>41950.32</v>
      </c>
      <c r="K844" s="28">
        <f t="shared" si="27"/>
        <v>-1.1543994203615678E-2</v>
      </c>
    </row>
    <row r="845" spans="1:11" x14ac:dyDescent="0.3">
      <c r="A845" s="23">
        <v>44706</v>
      </c>
      <c r="B845">
        <v>472.27</v>
      </c>
      <c r="C845" s="28">
        <f t="shared" si="26"/>
        <v>1.0743713215623289E-2</v>
      </c>
      <c r="I845" s="26" t="s">
        <v>548</v>
      </c>
      <c r="J845" s="14">
        <v>42012.66</v>
      </c>
      <c r="K845" s="28">
        <f t="shared" si="27"/>
        <v>1.4860434914442556E-3</v>
      </c>
    </row>
    <row r="846" spans="1:11" x14ac:dyDescent="0.3">
      <c r="A846" s="23">
        <v>44707</v>
      </c>
      <c r="B846">
        <v>481.15</v>
      </c>
      <c r="C846" s="28">
        <f t="shared" si="26"/>
        <v>1.8802803481059553E-2</v>
      </c>
      <c r="I846" s="26" t="s">
        <v>547</v>
      </c>
      <c r="J846" s="14">
        <v>42541.71</v>
      </c>
      <c r="K846" s="28">
        <f t="shared" si="27"/>
        <v>1.2592632792115414E-2</v>
      </c>
    </row>
    <row r="847" spans="1:11" x14ac:dyDescent="0.3">
      <c r="A847" s="23">
        <v>44708</v>
      </c>
      <c r="B847">
        <v>485.85</v>
      </c>
      <c r="C847" s="28">
        <f t="shared" si="26"/>
        <v>9.7682635352801528E-3</v>
      </c>
      <c r="I847" s="26" t="s">
        <v>546</v>
      </c>
      <c r="J847" s="14">
        <v>42861.45</v>
      </c>
      <c r="K847" s="28">
        <f t="shared" si="27"/>
        <v>7.5159179073901348E-3</v>
      </c>
    </row>
    <row r="848" spans="1:11" x14ac:dyDescent="0.3">
      <c r="A848" s="23">
        <v>44711</v>
      </c>
      <c r="B848">
        <v>487</v>
      </c>
      <c r="C848" s="28">
        <f t="shared" si="26"/>
        <v>2.3669856951733606E-3</v>
      </c>
      <c r="I848" s="26" t="s">
        <v>545</v>
      </c>
      <c r="J848" s="14">
        <v>43040.14</v>
      </c>
      <c r="K848" s="28">
        <f t="shared" si="27"/>
        <v>4.1690143473914754E-3</v>
      </c>
    </row>
    <row r="849" spans="1:11" x14ac:dyDescent="0.3">
      <c r="A849" s="23">
        <v>44712</v>
      </c>
      <c r="B849">
        <v>473</v>
      </c>
      <c r="C849" s="28">
        <f t="shared" si="26"/>
        <v>-2.8747433264887063E-2</v>
      </c>
      <c r="I849" s="26" t="s">
        <v>544</v>
      </c>
      <c r="J849" s="14">
        <v>43078.14</v>
      </c>
      <c r="K849" s="28">
        <f t="shared" si="27"/>
        <v>8.8289675637672187E-4</v>
      </c>
    </row>
    <row r="850" spans="1:11" x14ac:dyDescent="0.3">
      <c r="A850" s="23">
        <v>44713</v>
      </c>
      <c r="B850">
        <v>463.5</v>
      </c>
      <c r="C850" s="28">
        <f t="shared" si="26"/>
        <v>-2.0084566596194502E-2</v>
      </c>
      <c r="I850" s="27">
        <v>44567</v>
      </c>
      <c r="J850" s="14">
        <v>42756.04</v>
      </c>
      <c r="K850" s="28">
        <f t="shared" si="27"/>
        <v>-7.4771102002082392E-3</v>
      </c>
    </row>
    <row r="851" spans="1:11" x14ac:dyDescent="0.3">
      <c r="A851" s="23">
        <v>44714</v>
      </c>
      <c r="B851">
        <v>451</v>
      </c>
      <c r="C851" s="28">
        <f t="shared" si="26"/>
        <v>-2.696871628910464E-2</v>
      </c>
      <c r="I851" s="27">
        <v>44598</v>
      </c>
      <c r="J851" s="14">
        <v>42237.91</v>
      </c>
      <c r="K851" s="28">
        <f t="shared" si="27"/>
        <v>-1.21182878489214E-2</v>
      </c>
    </row>
    <row r="852" spans="1:11" x14ac:dyDescent="0.3">
      <c r="A852" s="23">
        <v>44715</v>
      </c>
      <c r="B852">
        <v>436.17</v>
      </c>
      <c r="C852" s="28">
        <f t="shared" si="26"/>
        <v>-3.2882483370288214E-2</v>
      </c>
      <c r="I852" s="27">
        <v>44626</v>
      </c>
      <c r="J852" s="14">
        <v>41314.879999999997</v>
      </c>
      <c r="K852" s="28">
        <f t="shared" si="27"/>
        <v>-2.1853117258879666E-2</v>
      </c>
    </row>
    <row r="853" spans="1:11" x14ac:dyDescent="0.3">
      <c r="A853" s="23">
        <v>44718</v>
      </c>
      <c r="B853">
        <v>447.4</v>
      </c>
      <c r="C853" s="28">
        <f t="shared" si="26"/>
        <v>2.5746841827727632E-2</v>
      </c>
      <c r="I853" s="27">
        <v>44718</v>
      </c>
      <c r="J853" s="14">
        <v>41577.21</v>
      </c>
      <c r="K853" s="28">
        <f t="shared" si="27"/>
        <v>6.3495283055403223E-3</v>
      </c>
    </row>
    <row r="854" spans="1:11" x14ac:dyDescent="0.3">
      <c r="A854" s="23">
        <v>44719</v>
      </c>
      <c r="B854">
        <v>445.6</v>
      </c>
      <c r="C854" s="28">
        <f t="shared" si="26"/>
        <v>-4.0232454179703944E-3</v>
      </c>
      <c r="I854" s="27">
        <v>44748</v>
      </c>
      <c r="J854" s="14">
        <v>41568.410000000003</v>
      </c>
      <c r="K854" s="28">
        <f t="shared" si="27"/>
        <v>-2.1165441355963121E-4</v>
      </c>
    </row>
    <row r="855" spans="1:11" x14ac:dyDescent="0.3">
      <c r="A855" s="23">
        <v>44720</v>
      </c>
      <c r="B855">
        <v>464</v>
      </c>
      <c r="C855" s="28">
        <f t="shared" si="26"/>
        <v>4.1292639138240522E-2</v>
      </c>
      <c r="I855" s="27">
        <v>44779</v>
      </c>
      <c r="J855" s="14">
        <v>41553.160000000003</v>
      </c>
      <c r="K855" s="28">
        <f t="shared" si="27"/>
        <v>-3.6686512666710125E-4</v>
      </c>
    </row>
    <row r="856" spans="1:11" x14ac:dyDescent="0.3">
      <c r="A856" s="23">
        <v>44721</v>
      </c>
      <c r="B856">
        <v>466.1</v>
      </c>
      <c r="C856" s="28">
        <f t="shared" si="26"/>
        <v>4.5258620689655662E-3</v>
      </c>
      <c r="I856" s="27">
        <v>44810</v>
      </c>
      <c r="J856" s="14">
        <v>41735.96</v>
      </c>
      <c r="K856" s="28">
        <f t="shared" si="27"/>
        <v>4.399184081306828E-3</v>
      </c>
    </row>
    <row r="857" spans="1:11" x14ac:dyDescent="0.3">
      <c r="A857" s="23">
        <v>44722</v>
      </c>
      <c r="B857">
        <v>467.18</v>
      </c>
      <c r="C857" s="28">
        <f t="shared" si="26"/>
        <v>2.317099334906638E-3</v>
      </c>
      <c r="I857" s="27">
        <v>44840</v>
      </c>
      <c r="J857" s="14">
        <v>42014.73</v>
      </c>
      <c r="K857" s="28">
        <f t="shared" si="27"/>
        <v>6.6793719372935014E-3</v>
      </c>
    </row>
    <row r="858" spans="1:11" x14ac:dyDescent="0.3">
      <c r="A858" s="23">
        <v>44725</v>
      </c>
      <c r="B858">
        <v>448.27</v>
      </c>
      <c r="C858" s="28">
        <f t="shared" si="26"/>
        <v>-4.0476903977053863E-2</v>
      </c>
      <c r="I858" s="26" t="s">
        <v>543</v>
      </c>
      <c r="J858" s="14">
        <v>40879.93</v>
      </c>
      <c r="K858" s="28">
        <f t="shared" si="27"/>
        <v>-2.7009574975252793E-2</v>
      </c>
    </row>
    <row r="859" spans="1:11" x14ac:dyDescent="0.3">
      <c r="A859" s="23">
        <v>44726</v>
      </c>
      <c r="B859">
        <v>447</v>
      </c>
      <c r="C859" s="28">
        <f t="shared" si="26"/>
        <v>-2.833113971490356E-3</v>
      </c>
      <c r="I859" s="26" t="s">
        <v>542</v>
      </c>
      <c r="J859" s="14">
        <v>41054.68</v>
      </c>
      <c r="K859" s="28">
        <f t="shared" si="27"/>
        <v>4.2747137776410083E-3</v>
      </c>
    </row>
    <row r="860" spans="1:11" x14ac:dyDescent="0.3">
      <c r="A860" s="23">
        <v>44727</v>
      </c>
      <c r="B860">
        <v>454</v>
      </c>
      <c r="C860" s="28">
        <f t="shared" si="26"/>
        <v>1.5659955257270694E-2</v>
      </c>
      <c r="I860" s="26" t="s">
        <v>541</v>
      </c>
      <c r="J860" s="14">
        <v>41438.79</v>
      </c>
      <c r="K860" s="28">
        <f t="shared" si="27"/>
        <v>9.3560587976815445E-3</v>
      </c>
    </row>
    <row r="861" spans="1:11" x14ac:dyDescent="0.3">
      <c r="A861" s="23">
        <v>44728</v>
      </c>
      <c r="B861">
        <v>458.98</v>
      </c>
      <c r="C861" s="28">
        <f t="shared" si="26"/>
        <v>1.0969162995594754E-2</v>
      </c>
      <c r="I861" s="26" t="s">
        <v>540</v>
      </c>
      <c r="J861" s="14">
        <v>41730.160000000003</v>
      </c>
      <c r="K861" s="28">
        <f t="shared" si="27"/>
        <v>7.0313346504567971E-3</v>
      </c>
    </row>
    <row r="862" spans="1:11" x14ac:dyDescent="0.3">
      <c r="A862" s="23">
        <v>44729</v>
      </c>
      <c r="B862">
        <v>463.79</v>
      </c>
      <c r="C862" s="28">
        <f t="shared" si="26"/>
        <v>1.047975946664343E-2</v>
      </c>
      <c r="I862" s="26" t="s">
        <v>539</v>
      </c>
      <c r="J862" s="14">
        <v>42140.76</v>
      </c>
      <c r="K862" s="28">
        <f t="shared" si="27"/>
        <v>9.8394063190747061E-3</v>
      </c>
    </row>
    <row r="863" spans="1:11" x14ac:dyDescent="0.3">
      <c r="A863" s="23">
        <v>44732</v>
      </c>
      <c r="B863">
        <v>450.5</v>
      </c>
      <c r="C863" s="28">
        <f t="shared" si="26"/>
        <v>-2.8655210332262489E-2</v>
      </c>
      <c r="I863" s="26" t="s">
        <v>538</v>
      </c>
      <c r="J863" s="14">
        <v>41776.980000000003</v>
      </c>
      <c r="K863" s="28">
        <f t="shared" si="27"/>
        <v>-8.6324973730895881E-3</v>
      </c>
    </row>
    <row r="864" spans="1:11" x14ac:dyDescent="0.3">
      <c r="A864" s="23">
        <v>44733</v>
      </c>
      <c r="B864">
        <v>464.99</v>
      </c>
      <c r="C864" s="28">
        <f t="shared" si="26"/>
        <v>3.2164261931187592E-2</v>
      </c>
      <c r="I864" s="26" t="s">
        <v>537</v>
      </c>
      <c r="J864" s="14">
        <v>42525.95</v>
      </c>
      <c r="K864" s="28">
        <f t="shared" si="27"/>
        <v>1.7927815749247403E-2</v>
      </c>
    </row>
    <row r="865" spans="1:11" x14ac:dyDescent="0.3">
      <c r="A865" s="23">
        <v>44734</v>
      </c>
      <c r="B865">
        <v>459</v>
      </c>
      <c r="C865" s="28">
        <f t="shared" si="26"/>
        <v>-1.2881997462311038E-2</v>
      </c>
      <c r="I865" s="26" t="s">
        <v>536</v>
      </c>
      <c r="J865" s="14">
        <v>42458.14</v>
      </c>
      <c r="K865" s="28">
        <f t="shared" si="27"/>
        <v>-1.5945557947558532E-3</v>
      </c>
    </row>
    <row r="866" spans="1:11" x14ac:dyDescent="0.3">
      <c r="A866" s="23">
        <v>44735</v>
      </c>
      <c r="B866">
        <v>462</v>
      </c>
      <c r="C866" s="28">
        <f t="shared" si="26"/>
        <v>6.5359477124183009E-3</v>
      </c>
      <c r="I866" s="26" t="s">
        <v>535</v>
      </c>
      <c r="J866" s="14">
        <v>42716.97</v>
      </c>
      <c r="K866" s="28">
        <f t="shared" si="27"/>
        <v>6.0961219686025284E-3</v>
      </c>
    </row>
    <row r="867" spans="1:11" x14ac:dyDescent="0.3">
      <c r="A867" s="23">
        <v>44736</v>
      </c>
      <c r="B867">
        <v>436.17</v>
      </c>
      <c r="C867" s="28">
        <f t="shared" si="26"/>
        <v>-5.5909090909090874E-2</v>
      </c>
      <c r="I867" s="26" t="s">
        <v>534</v>
      </c>
      <c r="J867" s="14">
        <v>41051.79</v>
      </c>
      <c r="K867" s="28">
        <f t="shared" si="27"/>
        <v>-3.8981697437809854E-2</v>
      </c>
    </row>
    <row r="868" spans="1:11" x14ac:dyDescent="0.3">
      <c r="A868" s="23">
        <v>44739</v>
      </c>
      <c r="B868">
        <v>445</v>
      </c>
      <c r="C868" s="28">
        <f t="shared" si="26"/>
        <v>2.0244400119219533E-2</v>
      </c>
      <c r="I868" s="26" t="s">
        <v>533</v>
      </c>
      <c r="J868" s="14">
        <v>41878.57</v>
      </c>
      <c r="K868" s="28">
        <f t="shared" si="27"/>
        <v>2.0139925688989417E-2</v>
      </c>
    </row>
    <row r="869" spans="1:11" x14ac:dyDescent="0.3">
      <c r="A869" s="23">
        <v>44740</v>
      </c>
      <c r="B869">
        <v>450.1</v>
      </c>
      <c r="C869" s="28">
        <f t="shared" si="26"/>
        <v>1.1460674157303423E-2</v>
      </c>
      <c r="I869" s="26" t="s">
        <v>532</v>
      </c>
      <c r="J869" s="14">
        <v>41765.620000000003</v>
      </c>
      <c r="K869" s="28">
        <f t="shared" si="27"/>
        <v>-2.6970834964039386E-3</v>
      </c>
    </row>
    <row r="870" spans="1:11" x14ac:dyDescent="0.3">
      <c r="A870" s="23">
        <v>44741</v>
      </c>
      <c r="B870">
        <v>453</v>
      </c>
      <c r="C870" s="28">
        <f t="shared" si="26"/>
        <v>6.4430126638524267E-3</v>
      </c>
      <c r="I870" s="26" t="s">
        <v>531</v>
      </c>
      <c r="J870" s="14">
        <v>41297.730000000003</v>
      </c>
      <c r="K870" s="28">
        <f t="shared" si="27"/>
        <v>-1.120275480167658E-2</v>
      </c>
    </row>
    <row r="871" spans="1:11" x14ac:dyDescent="0.3">
      <c r="A871" s="23">
        <v>44742</v>
      </c>
      <c r="B871">
        <v>456</v>
      </c>
      <c r="C871" s="28">
        <f t="shared" si="26"/>
        <v>6.6225165562913907E-3</v>
      </c>
      <c r="I871" s="26" t="s">
        <v>530</v>
      </c>
      <c r="J871" s="14">
        <v>41540.83</v>
      </c>
      <c r="K871" s="28">
        <f t="shared" si="27"/>
        <v>5.8865220921343261E-3</v>
      </c>
    </row>
    <row r="872" spans="1:11" x14ac:dyDescent="0.3">
      <c r="A872" s="23">
        <v>44743</v>
      </c>
      <c r="B872">
        <v>452.69</v>
      </c>
      <c r="C872" s="28">
        <f t="shared" si="26"/>
        <v>-7.2587719298245661E-3</v>
      </c>
      <c r="I872" s="27">
        <v>44568</v>
      </c>
      <c r="J872" s="14">
        <v>41630.35</v>
      </c>
      <c r="K872" s="28">
        <f t="shared" si="27"/>
        <v>2.1549882368743427E-3</v>
      </c>
    </row>
    <row r="873" spans="1:11" x14ac:dyDescent="0.3">
      <c r="A873" s="23">
        <v>44746</v>
      </c>
      <c r="B873">
        <v>444</v>
      </c>
      <c r="C873" s="28">
        <f t="shared" si="26"/>
        <v>-1.9196359539640807E-2</v>
      </c>
      <c r="I873" s="27">
        <v>44658</v>
      </c>
      <c r="J873" s="14">
        <v>41348.19</v>
      </c>
      <c r="K873" s="28">
        <f t="shared" si="27"/>
        <v>-6.7777474847075803E-3</v>
      </c>
    </row>
    <row r="874" spans="1:11" x14ac:dyDescent="0.3">
      <c r="A874" s="23">
        <v>44747</v>
      </c>
      <c r="B874">
        <v>437</v>
      </c>
      <c r="C874" s="28">
        <f t="shared" si="26"/>
        <v>-1.5765765765765764E-2</v>
      </c>
      <c r="I874" s="27">
        <v>44688</v>
      </c>
      <c r="J874" s="14">
        <v>41102.57</v>
      </c>
      <c r="K874" s="28">
        <f t="shared" si="27"/>
        <v>-5.9402842059108904E-3</v>
      </c>
    </row>
    <row r="875" spans="1:11" x14ac:dyDescent="0.3">
      <c r="A875" s="23">
        <v>44748</v>
      </c>
      <c r="B875">
        <v>435.63</v>
      </c>
      <c r="C875" s="28">
        <f t="shared" si="26"/>
        <v>-3.1350114416476079E-3</v>
      </c>
      <c r="I875" s="27">
        <v>44719</v>
      </c>
      <c r="J875" s="14">
        <v>41159.79</v>
      </c>
      <c r="K875" s="28">
        <f t="shared" si="27"/>
        <v>1.392127061641186E-3</v>
      </c>
    </row>
    <row r="876" spans="1:11" x14ac:dyDescent="0.3">
      <c r="A876" s="23">
        <v>44749</v>
      </c>
      <c r="B876">
        <v>435.01</v>
      </c>
      <c r="C876" s="28">
        <f t="shared" si="26"/>
        <v>-1.4232261322682197E-3</v>
      </c>
      <c r="I876" s="27">
        <v>44749</v>
      </c>
      <c r="J876" s="14">
        <v>41344.01</v>
      </c>
      <c r="K876" s="28">
        <f t="shared" si="27"/>
        <v>4.4757274028852231E-3</v>
      </c>
    </row>
    <row r="877" spans="1:11" x14ac:dyDescent="0.3">
      <c r="A877" s="23">
        <v>44755</v>
      </c>
      <c r="B877">
        <v>447</v>
      </c>
      <c r="C877" s="28">
        <f t="shared" si="26"/>
        <v>2.7562584768166271E-2</v>
      </c>
      <c r="I877" s="26" t="s">
        <v>529</v>
      </c>
      <c r="J877" s="14">
        <v>41862.769999999997</v>
      </c>
      <c r="K877" s="28">
        <f t="shared" si="27"/>
        <v>1.2547404085863823E-2</v>
      </c>
    </row>
    <row r="878" spans="1:11" x14ac:dyDescent="0.3">
      <c r="A878" s="23">
        <v>44756</v>
      </c>
      <c r="B878">
        <v>456.5</v>
      </c>
      <c r="C878" s="28">
        <f t="shared" si="26"/>
        <v>2.1252796420581657E-2</v>
      </c>
      <c r="I878" s="26" t="s">
        <v>528</v>
      </c>
      <c r="J878" s="14">
        <v>42348.91</v>
      </c>
      <c r="K878" s="28">
        <f t="shared" si="27"/>
        <v>1.1612705036002317E-2</v>
      </c>
    </row>
    <row r="879" spans="1:11" x14ac:dyDescent="0.3">
      <c r="A879" s="23">
        <v>44757</v>
      </c>
      <c r="B879">
        <v>451</v>
      </c>
      <c r="C879" s="28">
        <f t="shared" si="26"/>
        <v>-1.2048192771084338E-2</v>
      </c>
      <c r="I879" s="26" t="s">
        <v>527</v>
      </c>
      <c r="J879" s="14">
        <v>42074.91</v>
      </c>
      <c r="K879" s="28">
        <f t="shared" si="27"/>
        <v>-6.4700602683752662E-3</v>
      </c>
    </row>
    <row r="880" spans="1:11" x14ac:dyDescent="0.3">
      <c r="A880" s="23">
        <v>44760</v>
      </c>
      <c r="B880">
        <v>439.98</v>
      </c>
      <c r="C880" s="28">
        <f t="shared" si="26"/>
        <v>-2.4434589800443419E-2</v>
      </c>
      <c r="I880" s="26" t="s">
        <v>526</v>
      </c>
      <c r="J880" s="14">
        <v>41367.11</v>
      </c>
      <c r="K880" s="28">
        <f t="shared" si="27"/>
        <v>-1.682237704132945E-2</v>
      </c>
    </row>
    <row r="881" spans="1:11" x14ac:dyDescent="0.3">
      <c r="A881" s="23">
        <v>44761</v>
      </c>
      <c r="B881">
        <v>428.99</v>
      </c>
      <c r="C881" s="28">
        <f t="shared" si="26"/>
        <v>-2.4978408109459539E-2</v>
      </c>
      <c r="I881" s="26" t="s">
        <v>525</v>
      </c>
      <c r="J881" s="14">
        <v>40389.07</v>
      </c>
      <c r="K881" s="28">
        <f t="shared" si="27"/>
        <v>-2.3642937589790556E-2</v>
      </c>
    </row>
    <row r="882" spans="1:11" x14ac:dyDescent="0.3">
      <c r="A882" s="23">
        <v>44762</v>
      </c>
      <c r="B882">
        <v>429.5</v>
      </c>
      <c r="C882" s="28">
        <f t="shared" si="26"/>
        <v>1.1888389006736542E-3</v>
      </c>
      <c r="I882" s="26" t="s">
        <v>524</v>
      </c>
      <c r="J882" s="14">
        <v>40459.699999999997</v>
      </c>
      <c r="K882" s="28">
        <f t="shared" si="27"/>
        <v>1.7487404389355185E-3</v>
      </c>
    </row>
    <row r="883" spans="1:11" x14ac:dyDescent="0.3">
      <c r="A883" s="23">
        <v>44763</v>
      </c>
      <c r="B883">
        <v>422.01</v>
      </c>
      <c r="C883" s="28">
        <f t="shared" si="26"/>
        <v>-1.7438882421420276E-2</v>
      </c>
      <c r="I883" s="26" t="s">
        <v>523</v>
      </c>
      <c r="J883" s="14">
        <v>39831.75</v>
      </c>
      <c r="K883" s="28">
        <f t="shared" si="27"/>
        <v>-1.5520382009752844E-2</v>
      </c>
    </row>
    <row r="884" spans="1:11" x14ac:dyDescent="0.3">
      <c r="A884" s="23">
        <v>44764</v>
      </c>
      <c r="B884">
        <v>418.96</v>
      </c>
      <c r="C884" s="28">
        <f t="shared" si="26"/>
        <v>-7.2273168882254248E-3</v>
      </c>
      <c r="I884" s="26" t="s">
        <v>522</v>
      </c>
      <c r="J884" s="14">
        <v>40077.300000000003</v>
      </c>
      <c r="K884" s="28">
        <f t="shared" si="27"/>
        <v>6.1646801860325727E-3</v>
      </c>
    </row>
    <row r="885" spans="1:11" x14ac:dyDescent="0.3">
      <c r="A885" s="23">
        <v>44767</v>
      </c>
      <c r="B885">
        <v>417.99</v>
      </c>
      <c r="C885" s="28">
        <f t="shared" si="26"/>
        <v>-2.3152568264272733E-3</v>
      </c>
      <c r="I885" s="26" t="s">
        <v>521</v>
      </c>
      <c r="J885" s="14">
        <v>39844.019999999997</v>
      </c>
      <c r="K885" s="28">
        <f t="shared" si="27"/>
        <v>-5.8207513979236652E-3</v>
      </c>
    </row>
    <row r="886" spans="1:11" x14ac:dyDescent="0.3">
      <c r="A886" s="23">
        <v>44768</v>
      </c>
      <c r="B886">
        <v>414.99</v>
      </c>
      <c r="C886" s="28">
        <f t="shared" si="26"/>
        <v>-7.1772051962965622E-3</v>
      </c>
      <c r="I886" s="26" t="s">
        <v>520</v>
      </c>
      <c r="J886" s="14">
        <v>39894.050000000003</v>
      </c>
      <c r="K886" s="28">
        <f t="shared" si="27"/>
        <v>1.2556463931100857E-3</v>
      </c>
    </row>
    <row r="887" spans="1:11" x14ac:dyDescent="0.3">
      <c r="A887" s="23">
        <v>44769</v>
      </c>
      <c r="B887">
        <v>415.06</v>
      </c>
      <c r="C887" s="28">
        <f t="shared" si="26"/>
        <v>1.6867876334367859E-4</v>
      </c>
      <c r="I887" s="26" t="s">
        <v>519</v>
      </c>
      <c r="J887" s="14">
        <v>39972.639999999999</v>
      </c>
      <c r="K887" s="28">
        <f t="shared" si="27"/>
        <v>1.9699679526144001E-3</v>
      </c>
    </row>
    <row r="888" spans="1:11" x14ac:dyDescent="0.3">
      <c r="A888" s="23">
        <v>44770</v>
      </c>
      <c r="B888">
        <v>416</v>
      </c>
      <c r="C888" s="28">
        <f t="shared" si="26"/>
        <v>2.2647328097142529E-3</v>
      </c>
      <c r="I888" s="26" t="s">
        <v>518</v>
      </c>
      <c r="J888" s="14">
        <v>40276.639999999999</v>
      </c>
      <c r="K888" s="28">
        <f t="shared" si="27"/>
        <v>7.6052019581393671E-3</v>
      </c>
    </row>
    <row r="889" spans="1:11" x14ac:dyDescent="0.3">
      <c r="A889" s="23">
        <v>44771</v>
      </c>
      <c r="B889">
        <v>411.93</v>
      </c>
      <c r="C889" s="28">
        <f t="shared" si="26"/>
        <v>-9.7836538461538291E-3</v>
      </c>
      <c r="I889" s="26" t="s">
        <v>517</v>
      </c>
      <c r="J889" s="14">
        <v>40150.36</v>
      </c>
      <c r="K889" s="28">
        <f t="shared" si="27"/>
        <v>-3.1353161534824862E-3</v>
      </c>
    </row>
    <row r="890" spans="1:11" x14ac:dyDescent="0.3">
      <c r="A890" s="23">
        <v>44774</v>
      </c>
      <c r="B890">
        <v>414.51</v>
      </c>
      <c r="C890" s="28">
        <f t="shared" si="26"/>
        <v>6.2632000582622874E-3</v>
      </c>
      <c r="I890" s="27">
        <v>44569</v>
      </c>
      <c r="J890" s="14">
        <v>40075.96</v>
      </c>
      <c r="K890" s="28">
        <f t="shared" si="27"/>
        <v>-1.8530344435268189E-3</v>
      </c>
    </row>
    <row r="891" spans="1:11" x14ac:dyDescent="0.3">
      <c r="A891" s="23">
        <v>44775</v>
      </c>
      <c r="B891">
        <v>417</v>
      </c>
      <c r="C891" s="28">
        <f t="shared" si="26"/>
        <v>6.0070927118766959E-3</v>
      </c>
      <c r="I891" s="27">
        <v>44600</v>
      </c>
      <c r="J891" s="14">
        <v>40191.61</v>
      </c>
      <c r="K891" s="28">
        <f t="shared" si="27"/>
        <v>2.885769922916418E-3</v>
      </c>
    </row>
    <row r="892" spans="1:11" x14ac:dyDescent="0.3">
      <c r="A892" s="23">
        <v>44776</v>
      </c>
      <c r="B892">
        <v>440.02</v>
      </c>
      <c r="C892" s="28">
        <f t="shared" si="26"/>
        <v>5.5203836930455594E-2</v>
      </c>
      <c r="I892" s="27">
        <v>44628</v>
      </c>
      <c r="J892" s="14">
        <v>41068.870000000003</v>
      </c>
      <c r="K892" s="28">
        <f t="shared" si="27"/>
        <v>2.1826943483975934E-2</v>
      </c>
    </row>
    <row r="893" spans="1:11" x14ac:dyDescent="0.3">
      <c r="A893" s="23">
        <v>44777</v>
      </c>
      <c r="B893">
        <v>454.95</v>
      </c>
      <c r="C893" s="28">
        <f t="shared" si="26"/>
        <v>3.3930275896550177E-2</v>
      </c>
      <c r="I893" s="27">
        <v>44659</v>
      </c>
      <c r="J893" s="14">
        <v>41425.370000000003</v>
      </c>
      <c r="K893" s="28">
        <f t="shared" si="27"/>
        <v>8.6805407599478621E-3</v>
      </c>
    </row>
    <row r="894" spans="1:11" x14ac:dyDescent="0.3">
      <c r="A894" s="23">
        <v>44778</v>
      </c>
      <c r="B894">
        <v>466.15</v>
      </c>
      <c r="C894" s="28">
        <f t="shared" si="26"/>
        <v>2.4618089899988985E-2</v>
      </c>
      <c r="I894" s="27">
        <v>44689</v>
      </c>
      <c r="J894" s="14">
        <v>42096.24</v>
      </c>
      <c r="K894" s="28">
        <f t="shared" si="27"/>
        <v>1.6194665249821435E-2</v>
      </c>
    </row>
    <row r="895" spans="1:11" x14ac:dyDescent="0.3">
      <c r="A895" s="23">
        <v>44783</v>
      </c>
      <c r="B895">
        <v>461.2</v>
      </c>
      <c r="C895" s="28">
        <f t="shared" si="26"/>
        <v>-1.0618899495870405E-2</v>
      </c>
      <c r="I895" s="27">
        <v>44842</v>
      </c>
      <c r="J895" s="14">
        <v>42494.85</v>
      </c>
      <c r="K895" s="28">
        <f t="shared" si="27"/>
        <v>9.4690167102810269E-3</v>
      </c>
    </row>
    <row r="896" spans="1:11" x14ac:dyDescent="0.3">
      <c r="A896" s="23">
        <v>44784</v>
      </c>
      <c r="B896">
        <v>464.45</v>
      </c>
      <c r="C896" s="28">
        <f t="shared" si="26"/>
        <v>7.0468343451864706E-3</v>
      </c>
      <c r="I896" s="27">
        <v>44873</v>
      </c>
      <c r="J896" s="14">
        <v>42243.33</v>
      </c>
      <c r="K896" s="28">
        <f t="shared" si="27"/>
        <v>-5.9188348705783598E-3</v>
      </c>
    </row>
    <row r="897" spans="1:11" x14ac:dyDescent="0.3">
      <c r="A897" s="23">
        <v>44785</v>
      </c>
      <c r="B897">
        <v>463.3</v>
      </c>
      <c r="C897" s="28">
        <f t="shared" si="26"/>
        <v>-2.4760469372375441E-3</v>
      </c>
      <c r="I897" s="27">
        <v>44903</v>
      </c>
      <c r="J897" s="14">
        <v>42857.57</v>
      </c>
      <c r="K897" s="28">
        <f t="shared" si="27"/>
        <v>1.454052036143926E-2</v>
      </c>
    </row>
    <row r="898" spans="1:11" x14ac:dyDescent="0.3">
      <c r="A898" s="23">
        <v>44788</v>
      </c>
      <c r="B898">
        <v>473.9</v>
      </c>
      <c r="C898" s="28">
        <f t="shared" si="26"/>
        <v>2.2879343837686091E-2</v>
      </c>
      <c r="I898" s="26" t="s">
        <v>516</v>
      </c>
      <c r="J898" s="14">
        <v>43621.82</v>
      </c>
      <c r="K898" s="28">
        <f t="shared" si="27"/>
        <v>1.7832322271188032E-2</v>
      </c>
    </row>
    <row r="899" spans="1:11" x14ac:dyDescent="0.3">
      <c r="A899" s="23">
        <v>44789</v>
      </c>
      <c r="B899">
        <v>479.01</v>
      </c>
      <c r="C899" s="28">
        <f t="shared" si="26"/>
        <v>1.0782865583456454E-2</v>
      </c>
      <c r="I899" s="26" t="s">
        <v>515</v>
      </c>
      <c r="J899" s="14">
        <v>43436.480000000003</v>
      </c>
      <c r="K899" s="28">
        <f t="shared" si="27"/>
        <v>-4.2487910866625123E-3</v>
      </c>
    </row>
    <row r="900" spans="1:11" x14ac:dyDescent="0.3">
      <c r="A900" s="23">
        <v>44790</v>
      </c>
      <c r="B900">
        <v>504</v>
      </c>
      <c r="C900" s="28">
        <f t="shared" si="26"/>
        <v>5.2170100832968018E-2</v>
      </c>
      <c r="I900" s="26" t="s">
        <v>514</v>
      </c>
      <c r="J900" s="14">
        <v>43676.56</v>
      </c>
      <c r="K900" s="28">
        <f t="shared" si="27"/>
        <v>5.5271513713817154E-3</v>
      </c>
    </row>
    <row r="901" spans="1:11" x14ac:dyDescent="0.3">
      <c r="A901" s="23">
        <v>44791</v>
      </c>
      <c r="B901">
        <v>498.5</v>
      </c>
      <c r="C901" s="28">
        <f t="shared" si="26"/>
        <v>-1.0912698412698412E-2</v>
      </c>
      <c r="I901" s="26" t="s">
        <v>513</v>
      </c>
      <c r="J901" s="14">
        <v>43481.5</v>
      </c>
      <c r="K901" s="28">
        <f t="shared" si="27"/>
        <v>-4.4660110594789901E-3</v>
      </c>
    </row>
    <row r="902" spans="1:11" x14ac:dyDescent="0.3">
      <c r="A902" s="23">
        <v>44792</v>
      </c>
      <c r="B902">
        <v>492.89</v>
      </c>
      <c r="C902" s="28">
        <f t="shared" ref="C902:C965" si="28">(B902-B901)/B901</f>
        <v>-1.1253761283851582E-2</v>
      </c>
      <c r="I902" s="26" t="s">
        <v>512</v>
      </c>
      <c r="J902" s="14">
        <v>43270.65</v>
      </c>
      <c r="K902" s="28">
        <f t="shared" ref="K902:K965" si="29">(J902-J901)/J901</f>
        <v>-4.8491887354391765E-3</v>
      </c>
    </row>
    <row r="903" spans="1:11" x14ac:dyDescent="0.3">
      <c r="A903" s="23">
        <v>44795</v>
      </c>
      <c r="B903">
        <v>490</v>
      </c>
      <c r="C903" s="28">
        <f t="shared" si="28"/>
        <v>-5.8633772241270593E-3</v>
      </c>
      <c r="I903" s="26" t="s">
        <v>511</v>
      </c>
      <c r="J903" s="14">
        <v>42826.66</v>
      </c>
      <c r="K903" s="28">
        <f t="shared" si="29"/>
        <v>-1.0260765669108229E-2</v>
      </c>
    </row>
    <row r="904" spans="1:11" x14ac:dyDescent="0.3">
      <c r="A904" s="23">
        <v>44796</v>
      </c>
      <c r="B904">
        <v>518</v>
      </c>
      <c r="C904" s="28">
        <f t="shared" si="28"/>
        <v>5.7142857142857141E-2</v>
      </c>
      <c r="I904" s="26" t="s">
        <v>510</v>
      </c>
      <c r="J904" s="14">
        <v>43366.78</v>
      </c>
      <c r="K904" s="28">
        <f t="shared" si="29"/>
        <v>1.2611770331844588E-2</v>
      </c>
    </row>
    <row r="905" spans="1:11" x14ac:dyDescent="0.3">
      <c r="A905" s="23">
        <v>44797</v>
      </c>
      <c r="B905">
        <v>508</v>
      </c>
      <c r="C905" s="28">
        <f t="shared" si="28"/>
        <v>-1.9305019305019305E-2</v>
      </c>
      <c r="I905" s="26" t="s">
        <v>509</v>
      </c>
      <c r="J905" s="14">
        <v>43337.97</v>
      </c>
      <c r="K905" s="28">
        <f t="shared" si="29"/>
        <v>-6.6433339067363713E-4</v>
      </c>
    </row>
    <row r="906" spans="1:11" x14ac:dyDescent="0.3">
      <c r="A906" s="23">
        <v>44798</v>
      </c>
      <c r="B906">
        <v>518</v>
      </c>
      <c r="C906" s="28">
        <f t="shared" si="28"/>
        <v>1.968503937007874E-2</v>
      </c>
      <c r="I906" s="26" t="s">
        <v>508</v>
      </c>
      <c r="J906" s="14">
        <v>43032.57</v>
      </c>
      <c r="K906" s="28">
        <f t="shared" si="29"/>
        <v>-7.0469382852958147E-3</v>
      </c>
    </row>
    <row r="907" spans="1:11" x14ac:dyDescent="0.3">
      <c r="A907" s="23">
        <v>44799</v>
      </c>
      <c r="B907">
        <v>518.78</v>
      </c>
      <c r="C907" s="28">
        <f t="shared" si="28"/>
        <v>1.505791505791453E-3</v>
      </c>
      <c r="I907" s="26" t="s">
        <v>507</v>
      </c>
      <c r="J907" s="14">
        <v>42591.51</v>
      </c>
      <c r="K907" s="28">
        <f t="shared" si="29"/>
        <v>-1.0249445942921783E-2</v>
      </c>
    </row>
    <row r="908" spans="1:11" x14ac:dyDescent="0.3">
      <c r="A908" s="23">
        <v>44802</v>
      </c>
      <c r="B908">
        <v>512</v>
      </c>
      <c r="C908" s="28">
        <f t="shared" si="28"/>
        <v>-1.306912371332737E-2</v>
      </c>
      <c r="I908" s="26" t="s">
        <v>506</v>
      </c>
      <c r="J908" s="14">
        <v>42504.34</v>
      </c>
      <c r="K908" s="28">
        <f t="shared" si="29"/>
        <v>-2.0466520205554002E-3</v>
      </c>
    </row>
    <row r="909" spans="1:11" x14ac:dyDescent="0.3">
      <c r="A909" s="23">
        <v>44803</v>
      </c>
      <c r="B909">
        <v>509</v>
      </c>
      <c r="C909" s="28">
        <f t="shared" si="28"/>
        <v>-5.859375E-3</v>
      </c>
      <c r="I909" s="26" t="s">
        <v>505</v>
      </c>
      <c r="J909" s="14">
        <v>42195.25</v>
      </c>
      <c r="K909" s="28">
        <f t="shared" si="29"/>
        <v>-7.2719632865725367E-3</v>
      </c>
    </row>
    <row r="910" spans="1:11" x14ac:dyDescent="0.3">
      <c r="A910" s="23">
        <v>44804</v>
      </c>
      <c r="B910">
        <v>518.5</v>
      </c>
      <c r="C910" s="28">
        <f t="shared" si="28"/>
        <v>1.8664047151277015E-2</v>
      </c>
      <c r="I910" s="26" t="s">
        <v>504</v>
      </c>
      <c r="J910" s="14">
        <v>42351.15</v>
      </c>
      <c r="K910" s="28">
        <f t="shared" si="29"/>
        <v>3.694728672066203E-3</v>
      </c>
    </row>
    <row r="911" spans="1:11" x14ac:dyDescent="0.3">
      <c r="A911" s="23">
        <v>44805</v>
      </c>
      <c r="B911">
        <v>523.25</v>
      </c>
      <c r="C911" s="28">
        <f t="shared" si="28"/>
        <v>9.1610414657666353E-3</v>
      </c>
      <c r="I911" s="27">
        <v>44570</v>
      </c>
      <c r="J911" s="14">
        <v>42460.08</v>
      </c>
      <c r="K911" s="28">
        <f t="shared" si="29"/>
        <v>2.5720671103382146E-3</v>
      </c>
    </row>
    <row r="912" spans="1:11" x14ac:dyDescent="0.3">
      <c r="A912" s="23">
        <v>44806</v>
      </c>
      <c r="B912">
        <v>520.74</v>
      </c>
      <c r="C912" s="28">
        <f t="shared" si="28"/>
        <v>-4.7969421882465184E-3</v>
      </c>
      <c r="I912" s="27">
        <v>44601</v>
      </c>
      <c r="J912" s="14">
        <v>42309.11</v>
      </c>
      <c r="K912" s="28">
        <f t="shared" si="29"/>
        <v>-3.5555750248233435E-3</v>
      </c>
    </row>
    <row r="913" spans="1:11" x14ac:dyDescent="0.3">
      <c r="A913" s="23">
        <v>44809</v>
      </c>
      <c r="B913">
        <v>513.6</v>
      </c>
      <c r="C913" s="28">
        <f t="shared" si="28"/>
        <v>-1.3711257057264635E-2</v>
      </c>
      <c r="I913" s="27">
        <v>44690</v>
      </c>
      <c r="J913" s="14">
        <v>41859.300000000003</v>
      </c>
      <c r="K913" s="28">
        <f t="shared" si="29"/>
        <v>-1.0631516474820616E-2</v>
      </c>
    </row>
    <row r="914" spans="1:11" x14ac:dyDescent="0.3">
      <c r="A914" s="23">
        <v>44810</v>
      </c>
      <c r="B914">
        <v>511.99</v>
      </c>
      <c r="C914" s="28">
        <f t="shared" si="28"/>
        <v>-3.1347352024922383E-3</v>
      </c>
      <c r="I914" s="27">
        <v>44721</v>
      </c>
      <c r="J914" s="14">
        <v>41860.36</v>
      </c>
      <c r="K914" s="28">
        <f t="shared" si="29"/>
        <v>2.5322927043635981E-5</v>
      </c>
    </row>
    <row r="915" spans="1:11" x14ac:dyDescent="0.3">
      <c r="A915" s="23">
        <v>44811</v>
      </c>
      <c r="B915">
        <v>507.99</v>
      </c>
      <c r="C915" s="28">
        <f t="shared" si="28"/>
        <v>-7.8126525908709145E-3</v>
      </c>
      <c r="I915" s="27">
        <v>44751</v>
      </c>
      <c r="J915" s="14">
        <v>41766.050000000003</v>
      </c>
      <c r="K915" s="28">
        <f t="shared" si="29"/>
        <v>-2.2529667685609409E-3</v>
      </c>
    </row>
    <row r="916" spans="1:11" x14ac:dyDescent="0.3">
      <c r="A916" s="23">
        <v>44812</v>
      </c>
      <c r="B916">
        <v>514</v>
      </c>
      <c r="C916" s="28">
        <f t="shared" si="28"/>
        <v>1.1830941553967579E-2</v>
      </c>
      <c r="I916" s="27">
        <v>44782</v>
      </c>
      <c r="J916" s="14">
        <v>41824.79</v>
      </c>
      <c r="K916" s="28">
        <f t="shared" si="29"/>
        <v>1.406405441740312E-3</v>
      </c>
    </row>
    <row r="917" spans="1:11" x14ac:dyDescent="0.3">
      <c r="A917" s="23">
        <v>44813</v>
      </c>
      <c r="B917">
        <v>514.54</v>
      </c>
      <c r="C917" s="28">
        <f t="shared" si="28"/>
        <v>1.0505836575874779E-3</v>
      </c>
      <c r="I917" s="27">
        <v>44813</v>
      </c>
      <c r="J917" s="14">
        <v>41948.160000000003</v>
      </c>
      <c r="K917" s="28">
        <f t="shared" si="29"/>
        <v>2.9496860593921123E-3</v>
      </c>
    </row>
    <row r="918" spans="1:11" x14ac:dyDescent="0.3">
      <c r="A918" s="23">
        <v>44816</v>
      </c>
      <c r="B918">
        <v>513</v>
      </c>
      <c r="C918" s="28">
        <f t="shared" si="28"/>
        <v>-2.9929645897305629E-3</v>
      </c>
      <c r="I918" s="27">
        <v>44904</v>
      </c>
      <c r="J918" s="14">
        <v>41862.29</v>
      </c>
      <c r="K918" s="28">
        <f t="shared" si="29"/>
        <v>-2.0470504546564764E-3</v>
      </c>
    </row>
    <row r="919" spans="1:11" x14ac:dyDescent="0.3">
      <c r="A919" s="23">
        <v>44817</v>
      </c>
      <c r="B919">
        <v>513</v>
      </c>
      <c r="C919" s="28">
        <f t="shared" si="28"/>
        <v>0</v>
      </c>
      <c r="I919" s="26" t="s">
        <v>503</v>
      </c>
      <c r="J919" s="14">
        <v>42001.34</v>
      </c>
      <c r="K919" s="28">
        <f t="shared" si="29"/>
        <v>3.3216051964666919E-3</v>
      </c>
    </row>
    <row r="920" spans="1:11" x14ac:dyDescent="0.3">
      <c r="A920" s="23">
        <v>44818</v>
      </c>
      <c r="B920">
        <v>512.80999999999995</v>
      </c>
      <c r="C920" s="28">
        <f t="shared" si="28"/>
        <v>-3.7037037037047677E-4</v>
      </c>
      <c r="I920" s="26" t="s">
        <v>502</v>
      </c>
      <c r="J920" s="14">
        <v>41937.620000000003</v>
      </c>
      <c r="K920" s="28">
        <f t="shared" si="29"/>
        <v>-1.5170944546053506E-3</v>
      </c>
    </row>
    <row r="921" spans="1:11" x14ac:dyDescent="0.3">
      <c r="A921" s="23">
        <v>44819</v>
      </c>
      <c r="B921">
        <v>510</v>
      </c>
      <c r="C921" s="28">
        <f t="shared" si="28"/>
        <v>-5.4796123320527013E-3</v>
      </c>
      <c r="I921" s="26" t="s">
        <v>501</v>
      </c>
      <c r="J921" s="14">
        <v>41772.089999999997</v>
      </c>
      <c r="K921" s="28">
        <f t="shared" si="29"/>
        <v>-3.9470527893572908E-3</v>
      </c>
    </row>
    <row r="922" spans="1:11" x14ac:dyDescent="0.3">
      <c r="A922" s="23">
        <v>44820</v>
      </c>
      <c r="B922">
        <v>508.17</v>
      </c>
      <c r="C922" s="28">
        <f t="shared" si="28"/>
        <v>-3.5882352941176161E-3</v>
      </c>
      <c r="I922" s="26" t="s">
        <v>500</v>
      </c>
      <c r="J922" s="14">
        <v>41679.49</v>
      </c>
      <c r="K922" s="28">
        <f t="shared" si="29"/>
        <v>-2.2167911636692956E-3</v>
      </c>
    </row>
    <row r="923" spans="1:11" x14ac:dyDescent="0.3">
      <c r="A923" s="23">
        <v>44823</v>
      </c>
      <c r="B923">
        <v>501.75</v>
      </c>
      <c r="C923" s="28">
        <f t="shared" si="28"/>
        <v>-1.2633567506936685E-2</v>
      </c>
      <c r="I923" s="26" t="s">
        <v>499</v>
      </c>
      <c r="J923" s="14">
        <v>41520.589999999997</v>
      </c>
      <c r="K923" s="28">
        <f t="shared" si="29"/>
        <v>-3.8124266875626707E-3</v>
      </c>
    </row>
    <row r="924" spans="1:11" x14ac:dyDescent="0.3">
      <c r="A924" s="23">
        <v>44824</v>
      </c>
      <c r="B924">
        <v>492</v>
      </c>
      <c r="C924" s="28">
        <f t="shared" si="28"/>
        <v>-1.9431988041853511E-2</v>
      </c>
      <c r="I924" s="26" t="s">
        <v>498</v>
      </c>
      <c r="J924" s="14">
        <v>41220.910000000003</v>
      </c>
      <c r="K924" s="28">
        <f t="shared" si="29"/>
        <v>-7.2176238343432267E-3</v>
      </c>
    </row>
    <row r="925" spans="1:11" x14ac:dyDescent="0.3">
      <c r="A925" s="23">
        <v>44825</v>
      </c>
      <c r="B925">
        <v>481</v>
      </c>
      <c r="C925" s="28">
        <f t="shared" si="28"/>
        <v>-2.2357723577235773E-2</v>
      </c>
      <c r="I925" s="26" t="s">
        <v>497</v>
      </c>
      <c r="J925" s="14">
        <v>40965.58</v>
      </c>
      <c r="K925" s="28">
        <f t="shared" si="29"/>
        <v>-6.1941863971465387E-3</v>
      </c>
    </row>
    <row r="926" spans="1:11" x14ac:dyDescent="0.3">
      <c r="A926" s="23">
        <v>44826</v>
      </c>
      <c r="B926">
        <v>487.25</v>
      </c>
      <c r="C926" s="28">
        <f t="shared" si="28"/>
        <v>1.2993762993762994E-2</v>
      </c>
      <c r="I926" s="26" t="s">
        <v>496</v>
      </c>
      <c r="J926" s="14">
        <v>40927.949999999997</v>
      </c>
      <c r="K926" s="28">
        <f t="shared" si="29"/>
        <v>-9.1857603383144225E-4</v>
      </c>
    </row>
    <row r="927" spans="1:11" x14ac:dyDescent="0.3">
      <c r="A927" s="23">
        <v>44827</v>
      </c>
      <c r="B927">
        <v>479.65</v>
      </c>
      <c r="C927" s="28">
        <f t="shared" si="28"/>
        <v>-1.5597742432016466E-2</v>
      </c>
      <c r="I927" s="26" t="s">
        <v>495</v>
      </c>
      <c r="J927" s="14">
        <v>40620.21</v>
      </c>
      <c r="K927" s="28">
        <f t="shared" si="29"/>
        <v>-7.5190670434262643E-3</v>
      </c>
    </row>
    <row r="928" spans="1:11" x14ac:dyDescent="0.3">
      <c r="A928" s="23">
        <v>44830</v>
      </c>
      <c r="B928">
        <v>488</v>
      </c>
      <c r="C928" s="28">
        <f t="shared" si="28"/>
        <v>1.7408527050974718E-2</v>
      </c>
      <c r="I928" s="26" t="s">
        <v>494</v>
      </c>
      <c r="J928" s="14">
        <v>41151.54</v>
      </c>
      <c r="K928" s="28">
        <f t="shared" si="29"/>
        <v>1.3080434591549422E-2</v>
      </c>
    </row>
    <row r="929" spans="1:11" x14ac:dyDescent="0.3">
      <c r="A929" s="23">
        <v>44831</v>
      </c>
      <c r="B929">
        <v>494</v>
      </c>
      <c r="C929" s="28">
        <f t="shared" si="28"/>
        <v>1.2295081967213115E-2</v>
      </c>
      <c r="I929" s="26" t="s">
        <v>493</v>
      </c>
      <c r="J929" s="14">
        <v>41518.230000000003</v>
      </c>
      <c r="K929" s="28">
        <f t="shared" si="29"/>
        <v>8.9107236327000718E-3</v>
      </c>
    </row>
    <row r="930" spans="1:11" x14ac:dyDescent="0.3">
      <c r="A930" s="23">
        <v>44832</v>
      </c>
      <c r="B930">
        <v>497</v>
      </c>
      <c r="C930" s="28">
        <f t="shared" si="28"/>
        <v>6.0728744939271256E-3</v>
      </c>
      <c r="I930" s="26" t="s">
        <v>492</v>
      </c>
      <c r="J930" s="14">
        <v>41435.129999999997</v>
      </c>
      <c r="K930" s="28">
        <f t="shared" si="29"/>
        <v>-2.001530412062504E-3</v>
      </c>
    </row>
    <row r="931" spans="1:11" x14ac:dyDescent="0.3">
      <c r="A931" s="23">
        <v>44833</v>
      </c>
      <c r="B931">
        <v>503.5</v>
      </c>
      <c r="C931" s="28">
        <f t="shared" si="28"/>
        <v>1.3078470824949699E-2</v>
      </c>
      <c r="I931" s="26" t="s">
        <v>491</v>
      </c>
      <c r="J931" s="14">
        <v>41013.86</v>
      </c>
      <c r="K931" s="28">
        <f t="shared" si="29"/>
        <v>-1.0166976669314102E-2</v>
      </c>
    </row>
    <row r="932" spans="1:11" x14ac:dyDescent="0.3">
      <c r="A932" s="23">
        <v>44834</v>
      </c>
      <c r="B932">
        <v>496.56</v>
      </c>
      <c r="C932" s="28">
        <f t="shared" si="28"/>
        <v>-1.3783515392254217E-2</v>
      </c>
      <c r="I932" s="26" t="s">
        <v>490</v>
      </c>
      <c r="J932" s="14">
        <v>41128.67</v>
      </c>
      <c r="K932" s="28">
        <f t="shared" si="29"/>
        <v>2.7992976032979503E-3</v>
      </c>
    </row>
    <row r="933" spans="1:11" x14ac:dyDescent="0.3">
      <c r="A933" s="23">
        <v>44837</v>
      </c>
      <c r="B933">
        <v>493</v>
      </c>
      <c r="C933" s="28">
        <f t="shared" si="28"/>
        <v>-7.1693249556951874E-3</v>
      </c>
      <c r="I933" s="27">
        <v>44630</v>
      </c>
      <c r="J933" s="14">
        <v>41211.699999999997</v>
      </c>
      <c r="K933" s="28">
        <f t="shared" si="29"/>
        <v>2.018786408604967E-3</v>
      </c>
    </row>
    <row r="934" spans="1:11" x14ac:dyDescent="0.3">
      <c r="A934" s="23">
        <v>44838</v>
      </c>
      <c r="B934">
        <v>506.65</v>
      </c>
      <c r="C934" s="28">
        <f t="shared" si="28"/>
        <v>2.7687626774847825E-2</v>
      </c>
      <c r="I934" s="27">
        <v>44661</v>
      </c>
      <c r="J934" s="14">
        <v>41350.43</v>
      </c>
      <c r="K934" s="28">
        <f t="shared" si="29"/>
        <v>3.3662770523905398E-3</v>
      </c>
    </row>
    <row r="935" spans="1:11" x14ac:dyDescent="0.3">
      <c r="A935" s="23">
        <v>44839</v>
      </c>
      <c r="B935">
        <v>517.36</v>
      </c>
      <c r="C935" s="28">
        <f t="shared" si="28"/>
        <v>2.1138853251751775E-2</v>
      </c>
      <c r="I935" s="27">
        <v>44691</v>
      </c>
      <c r="J935" s="14">
        <v>41611.42</v>
      </c>
      <c r="K935" s="28">
        <f t="shared" si="29"/>
        <v>6.3116635062802967E-3</v>
      </c>
    </row>
    <row r="936" spans="1:11" x14ac:dyDescent="0.3">
      <c r="A936" s="23">
        <v>44840</v>
      </c>
      <c r="B936">
        <v>512.51</v>
      </c>
      <c r="C936" s="28">
        <f t="shared" si="28"/>
        <v>-9.3745167774857401E-3</v>
      </c>
      <c r="I936" s="27">
        <v>44722</v>
      </c>
      <c r="J936" s="14">
        <v>42160.57</v>
      </c>
      <c r="K936" s="28">
        <f t="shared" si="29"/>
        <v>1.3197098296573428E-2</v>
      </c>
    </row>
    <row r="937" spans="1:11" x14ac:dyDescent="0.3">
      <c r="A937" s="23">
        <v>44841</v>
      </c>
      <c r="B937">
        <v>511.86</v>
      </c>
      <c r="C937" s="28">
        <f t="shared" si="28"/>
        <v>-1.2682679362353462E-3</v>
      </c>
      <c r="I937" s="27">
        <v>44752</v>
      </c>
      <c r="J937" s="14">
        <v>42085.25</v>
      </c>
      <c r="K937" s="28">
        <f t="shared" si="29"/>
        <v>-1.7865033608416515E-3</v>
      </c>
    </row>
    <row r="938" spans="1:11" x14ac:dyDescent="0.3">
      <c r="A938" s="23">
        <v>44844</v>
      </c>
      <c r="B938">
        <v>516</v>
      </c>
      <c r="C938" s="28">
        <f t="shared" si="28"/>
        <v>8.0881491032703985E-3</v>
      </c>
      <c r="I938" s="27">
        <v>44844</v>
      </c>
      <c r="J938" s="14">
        <v>42211.64</v>
      </c>
      <c r="K938" s="28">
        <f t="shared" si="29"/>
        <v>3.0031899537248659E-3</v>
      </c>
    </row>
    <row r="939" spans="1:11" x14ac:dyDescent="0.3">
      <c r="A939" s="23">
        <v>44845</v>
      </c>
      <c r="B939">
        <v>514</v>
      </c>
      <c r="C939" s="28">
        <f t="shared" si="28"/>
        <v>-3.875968992248062E-3</v>
      </c>
      <c r="I939" s="27">
        <v>44875</v>
      </c>
      <c r="J939" s="14">
        <v>42155.48</v>
      </c>
      <c r="K939" s="28">
        <f t="shared" si="29"/>
        <v>-1.3304387131131655E-3</v>
      </c>
    </row>
    <row r="940" spans="1:11" x14ac:dyDescent="0.3">
      <c r="A940" s="23">
        <v>44846</v>
      </c>
      <c r="B940">
        <v>513.04</v>
      </c>
      <c r="C940" s="28">
        <f t="shared" si="28"/>
        <v>-1.8677042801557128E-3</v>
      </c>
      <c r="I940" s="27">
        <v>44905</v>
      </c>
      <c r="J940" s="14">
        <v>42007.14</v>
      </c>
      <c r="K940" s="28">
        <f t="shared" si="29"/>
        <v>-3.5188782099030485E-3</v>
      </c>
    </row>
    <row r="941" spans="1:11" x14ac:dyDescent="0.3">
      <c r="A941" s="23">
        <v>44847</v>
      </c>
      <c r="B941">
        <v>513.02</v>
      </c>
      <c r="C941" s="28">
        <f t="shared" si="28"/>
        <v>-3.898331514108415E-5</v>
      </c>
      <c r="I941" s="26" t="s">
        <v>489</v>
      </c>
      <c r="J941" s="14">
        <v>42085.72</v>
      </c>
      <c r="K941" s="28">
        <f t="shared" si="29"/>
        <v>1.8706343731089939E-3</v>
      </c>
    </row>
    <row r="942" spans="1:11" x14ac:dyDescent="0.3">
      <c r="A942" s="23">
        <v>44848</v>
      </c>
      <c r="B942">
        <v>512</v>
      </c>
      <c r="C942" s="28">
        <f t="shared" si="28"/>
        <v>-1.9882265798603989E-3</v>
      </c>
      <c r="I942" s="26" t="s">
        <v>488</v>
      </c>
      <c r="J942" s="14">
        <v>41948.5</v>
      </c>
      <c r="K942" s="28">
        <f t="shared" si="29"/>
        <v>-3.260488355670312E-3</v>
      </c>
    </row>
    <row r="943" spans="1:11" x14ac:dyDescent="0.3">
      <c r="A943" s="23">
        <v>44851</v>
      </c>
      <c r="B943">
        <v>510.5</v>
      </c>
      <c r="C943" s="28">
        <f t="shared" si="28"/>
        <v>-2.9296875E-3</v>
      </c>
      <c r="I943" s="26" t="s">
        <v>487</v>
      </c>
      <c r="J943" s="14">
        <v>41755.449999999997</v>
      </c>
      <c r="K943" s="28">
        <f t="shared" si="29"/>
        <v>-4.6020715877803237E-3</v>
      </c>
    </row>
    <row r="944" spans="1:11" x14ac:dyDescent="0.3">
      <c r="A944" s="23">
        <v>44852</v>
      </c>
      <c r="B944">
        <v>509.5</v>
      </c>
      <c r="C944" s="28">
        <f t="shared" si="28"/>
        <v>-1.9588638589618022E-3</v>
      </c>
      <c r="I944" s="26" t="s">
        <v>486</v>
      </c>
      <c r="J944" s="14">
        <v>41839.26</v>
      </c>
      <c r="K944" s="28">
        <f t="shared" si="29"/>
        <v>2.0071631367882506E-3</v>
      </c>
    </row>
    <row r="945" spans="1:11" x14ac:dyDescent="0.3">
      <c r="A945" s="23">
        <v>44853</v>
      </c>
      <c r="B945">
        <v>514</v>
      </c>
      <c r="C945" s="28">
        <f t="shared" si="28"/>
        <v>8.832188420019628E-3</v>
      </c>
      <c r="I945" s="26" t="s">
        <v>485</v>
      </c>
      <c r="J945" s="14">
        <v>42226.05</v>
      </c>
      <c r="K945" s="28">
        <f t="shared" si="29"/>
        <v>9.2446663731624527E-3</v>
      </c>
    </row>
    <row r="946" spans="1:11" x14ac:dyDescent="0.3">
      <c r="A946" s="23">
        <v>44854</v>
      </c>
      <c r="B946">
        <v>512</v>
      </c>
      <c r="C946" s="28">
        <f t="shared" si="28"/>
        <v>-3.8910505836575876E-3</v>
      </c>
      <c r="I946" s="26" t="s">
        <v>484</v>
      </c>
      <c r="J946" s="14">
        <v>42137.04</v>
      </c>
      <c r="K946" s="28">
        <f t="shared" si="29"/>
        <v>-2.1079404775014958E-3</v>
      </c>
    </row>
    <row r="947" spans="1:11" x14ac:dyDescent="0.3">
      <c r="A947" s="23">
        <v>44855</v>
      </c>
      <c r="B947">
        <v>512.9</v>
      </c>
      <c r="C947" s="28">
        <f t="shared" si="28"/>
        <v>1.7578124999999556E-3</v>
      </c>
      <c r="I947" s="26" t="s">
        <v>483</v>
      </c>
      <c r="J947" s="14">
        <v>42213.48</v>
      </c>
      <c r="K947" s="28">
        <f t="shared" si="29"/>
        <v>1.8140809131349123E-3</v>
      </c>
    </row>
    <row r="948" spans="1:11" x14ac:dyDescent="0.3">
      <c r="A948" s="23">
        <v>44858</v>
      </c>
      <c r="B948">
        <v>511.49</v>
      </c>
      <c r="C948" s="28">
        <f t="shared" si="28"/>
        <v>-2.7490738935464385E-3</v>
      </c>
      <c r="I948" s="26" t="s">
        <v>482</v>
      </c>
      <c r="J948" s="14">
        <v>42347.23</v>
      </c>
      <c r="K948" s="28">
        <f t="shared" si="29"/>
        <v>3.1684191874254385E-3</v>
      </c>
    </row>
    <row r="949" spans="1:11" x14ac:dyDescent="0.3">
      <c r="A949" s="23">
        <v>44859</v>
      </c>
      <c r="B949">
        <v>506</v>
      </c>
      <c r="C949" s="28">
        <f t="shared" si="28"/>
        <v>-1.0733347670531211E-2</v>
      </c>
      <c r="I949" s="26" t="s">
        <v>481</v>
      </c>
      <c r="J949" s="14">
        <v>42190.02</v>
      </c>
      <c r="K949" s="28">
        <f t="shared" si="29"/>
        <v>-3.7124033850621727E-3</v>
      </c>
    </row>
    <row r="950" spans="1:11" x14ac:dyDescent="0.3">
      <c r="A950" s="23">
        <v>44860</v>
      </c>
      <c r="B950">
        <v>497.5</v>
      </c>
      <c r="C950" s="28">
        <f t="shared" si="28"/>
        <v>-1.6798418972332016E-2</v>
      </c>
      <c r="I950" s="26" t="s">
        <v>480</v>
      </c>
      <c r="J950" s="14">
        <v>41540.03</v>
      </c>
      <c r="K950" s="28">
        <f t="shared" si="29"/>
        <v>-1.5406250103697462E-2</v>
      </c>
    </row>
    <row r="951" spans="1:11" x14ac:dyDescent="0.3">
      <c r="A951" s="23">
        <v>44861</v>
      </c>
      <c r="B951">
        <v>492.5</v>
      </c>
      <c r="C951" s="28">
        <f t="shared" si="28"/>
        <v>-1.0050251256281407E-2</v>
      </c>
      <c r="I951" s="26" t="s">
        <v>479</v>
      </c>
      <c r="J951" s="14">
        <v>41602.85</v>
      </c>
      <c r="K951" s="28">
        <f t="shared" si="29"/>
        <v>1.512276230903052E-3</v>
      </c>
    </row>
    <row r="952" spans="1:11" x14ac:dyDescent="0.3">
      <c r="A952" s="23">
        <v>44862</v>
      </c>
      <c r="B952">
        <v>480.65</v>
      </c>
      <c r="C952" s="28">
        <f t="shared" si="28"/>
        <v>-2.4060913705583803E-2</v>
      </c>
      <c r="I952" s="26" t="s">
        <v>478</v>
      </c>
      <c r="J952" s="14">
        <v>41140.33</v>
      </c>
      <c r="K952" s="28">
        <f t="shared" si="29"/>
        <v>-1.1117507574601183E-2</v>
      </c>
    </row>
    <row r="953" spans="1:11" x14ac:dyDescent="0.3">
      <c r="A953" s="23">
        <v>44865</v>
      </c>
      <c r="B953">
        <v>485.99</v>
      </c>
      <c r="C953" s="28">
        <f t="shared" si="28"/>
        <v>1.1109955268906756E-2</v>
      </c>
      <c r="I953" s="26" t="s">
        <v>477</v>
      </c>
      <c r="J953" s="14">
        <v>41264.660000000003</v>
      </c>
      <c r="K953" s="28">
        <f t="shared" si="29"/>
        <v>3.0220953502317978E-3</v>
      </c>
    </row>
    <row r="954" spans="1:11" x14ac:dyDescent="0.3">
      <c r="A954" s="23">
        <v>44866</v>
      </c>
      <c r="B954">
        <v>492</v>
      </c>
      <c r="C954" s="28">
        <f t="shared" si="28"/>
        <v>1.2366509598962922E-2</v>
      </c>
      <c r="I954" s="27">
        <v>44572</v>
      </c>
      <c r="J954" s="14">
        <v>41808.69</v>
      </c>
      <c r="K954" s="28">
        <f t="shared" si="29"/>
        <v>1.3183920575136177E-2</v>
      </c>
    </row>
    <row r="955" spans="1:11" x14ac:dyDescent="0.3">
      <c r="A955" s="23">
        <v>44867</v>
      </c>
      <c r="B955">
        <v>489.75</v>
      </c>
      <c r="C955" s="28">
        <f t="shared" si="28"/>
        <v>-4.5731707317073168E-3</v>
      </c>
      <c r="I955" s="27">
        <v>44603</v>
      </c>
      <c r="J955" s="14">
        <v>41944.59</v>
      </c>
      <c r="K955" s="28">
        <f t="shared" si="29"/>
        <v>3.2505204061642249E-3</v>
      </c>
    </row>
    <row r="956" spans="1:11" x14ac:dyDescent="0.3">
      <c r="A956" s="23">
        <v>44868</v>
      </c>
      <c r="B956">
        <v>489.91</v>
      </c>
      <c r="C956" s="28">
        <f t="shared" si="28"/>
        <v>3.266972945380807E-4</v>
      </c>
      <c r="I956" s="27">
        <v>44631</v>
      </c>
      <c r="J956" s="14">
        <v>42090.71</v>
      </c>
      <c r="K956" s="28">
        <f t="shared" si="29"/>
        <v>3.4836435402039365E-3</v>
      </c>
    </row>
    <row r="957" spans="1:11" x14ac:dyDescent="0.3">
      <c r="A957" s="23">
        <v>44869</v>
      </c>
      <c r="B957">
        <v>483.7</v>
      </c>
      <c r="C957" s="28">
        <f t="shared" si="28"/>
        <v>-1.2675797595476794E-2</v>
      </c>
      <c r="I957" s="27">
        <v>44662</v>
      </c>
      <c r="J957" s="14">
        <v>41856.31</v>
      </c>
      <c r="K957" s="28">
        <f t="shared" si="29"/>
        <v>-5.5689248292557069E-3</v>
      </c>
    </row>
    <row r="958" spans="1:11" x14ac:dyDescent="0.3">
      <c r="A958" s="23">
        <v>44872</v>
      </c>
      <c r="B958">
        <v>483.15</v>
      </c>
      <c r="C958" s="28">
        <f t="shared" si="28"/>
        <v>-1.137068430845589E-3</v>
      </c>
      <c r="I958" s="27">
        <v>44753</v>
      </c>
      <c r="J958" s="14">
        <v>42047.360000000001</v>
      </c>
      <c r="K958" s="28">
        <f t="shared" si="29"/>
        <v>4.5644252921483745E-3</v>
      </c>
    </row>
    <row r="959" spans="1:11" x14ac:dyDescent="0.3">
      <c r="A959" s="23">
        <v>44873</v>
      </c>
      <c r="B959">
        <v>488</v>
      </c>
      <c r="C959" s="28">
        <f t="shared" si="28"/>
        <v>1.0038290386008534E-2</v>
      </c>
      <c r="I959" s="27">
        <v>44784</v>
      </c>
      <c r="J959" s="14">
        <v>42265.36</v>
      </c>
      <c r="K959" s="28">
        <f t="shared" si="29"/>
        <v>5.1846299030426646E-3</v>
      </c>
    </row>
    <row r="960" spans="1:11" x14ac:dyDescent="0.3">
      <c r="A960" s="23">
        <v>44875</v>
      </c>
      <c r="B960">
        <v>490.06</v>
      </c>
      <c r="C960" s="28">
        <f t="shared" si="28"/>
        <v>4.221311475409841E-3</v>
      </c>
      <c r="I960" s="27">
        <v>44845</v>
      </c>
      <c r="J960" s="14">
        <v>42901.27</v>
      </c>
      <c r="K960" s="28">
        <f t="shared" si="29"/>
        <v>1.5045654408243446E-2</v>
      </c>
    </row>
    <row r="961" spans="1:11" x14ac:dyDescent="0.3">
      <c r="A961" s="23">
        <v>44876</v>
      </c>
      <c r="B961">
        <v>490.6</v>
      </c>
      <c r="C961" s="28">
        <f t="shared" si="28"/>
        <v>1.1019058890748489E-3</v>
      </c>
      <c r="I961" s="27">
        <v>44876</v>
      </c>
      <c r="J961" s="14">
        <v>43092.95</v>
      </c>
      <c r="K961" s="28">
        <f t="shared" si="29"/>
        <v>4.4679330005848381E-3</v>
      </c>
    </row>
    <row r="962" spans="1:11" x14ac:dyDescent="0.3">
      <c r="A962" s="23">
        <v>44879</v>
      </c>
      <c r="B962">
        <v>489</v>
      </c>
      <c r="C962" s="28">
        <f t="shared" si="28"/>
        <v>-3.2613126783530835E-3</v>
      </c>
      <c r="I962" s="26" t="s">
        <v>476</v>
      </c>
      <c r="J962" s="14">
        <v>42850.83</v>
      </c>
      <c r="K962" s="28">
        <f t="shared" si="29"/>
        <v>-5.6185524546357437E-3</v>
      </c>
    </row>
    <row r="963" spans="1:11" x14ac:dyDescent="0.3">
      <c r="A963" s="23">
        <v>44880</v>
      </c>
      <c r="B963">
        <v>486</v>
      </c>
      <c r="C963" s="28">
        <f t="shared" si="28"/>
        <v>-6.1349693251533744E-3</v>
      </c>
      <c r="I963" s="26" t="s">
        <v>475</v>
      </c>
      <c r="J963" s="14">
        <v>42796.85</v>
      </c>
      <c r="K963" s="28">
        <f t="shared" si="29"/>
        <v>-1.259718889925894E-3</v>
      </c>
    </row>
    <row r="964" spans="1:11" x14ac:dyDescent="0.3">
      <c r="A964" s="23">
        <v>44881</v>
      </c>
      <c r="B964">
        <v>486.12</v>
      </c>
      <c r="C964" s="28">
        <f t="shared" si="28"/>
        <v>2.4691358024692291E-4</v>
      </c>
      <c r="I964" s="26" t="s">
        <v>474</v>
      </c>
      <c r="J964" s="14">
        <v>42983.75</v>
      </c>
      <c r="K964" s="28">
        <f t="shared" si="29"/>
        <v>4.3671438435305748E-3</v>
      </c>
    </row>
    <row r="965" spans="1:11" x14ac:dyDescent="0.3">
      <c r="A965" s="23">
        <v>44882</v>
      </c>
      <c r="B965">
        <v>487.02</v>
      </c>
      <c r="C965" s="28">
        <f t="shared" si="28"/>
        <v>1.8513947173536931E-3</v>
      </c>
      <c r="I965" s="26" t="s">
        <v>473</v>
      </c>
      <c r="J965" s="14">
        <v>42819.72</v>
      </c>
      <c r="K965" s="28">
        <f t="shared" si="29"/>
        <v>-3.8160932910692724E-3</v>
      </c>
    </row>
    <row r="966" spans="1:11" x14ac:dyDescent="0.3">
      <c r="A966" s="23">
        <v>44883</v>
      </c>
      <c r="B966">
        <v>488</v>
      </c>
      <c r="C966" s="28">
        <f t="shared" ref="C966:C1029" si="30">(B966-B965)/B965</f>
        <v>2.0122376904439616E-3</v>
      </c>
      <c r="I966" s="26" t="s">
        <v>472</v>
      </c>
      <c r="J966" s="14">
        <v>42730.239999999998</v>
      </c>
      <c r="K966" s="28">
        <f t="shared" ref="K966:K1029" si="31">(J966-J965)/J965</f>
        <v>-2.0896913851842841E-3</v>
      </c>
    </row>
    <row r="967" spans="1:11" x14ac:dyDescent="0.3">
      <c r="A967" s="23">
        <v>44886</v>
      </c>
      <c r="B967">
        <v>484.11</v>
      </c>
      <c r="C967" s="28">
        <f t="shared" si="30"/>
        <v>-7.9713114754098088E-3</v>
      </c>
      <c r="I967" s="26" t="s">
        <v>471</v>
      </c>
      <c r="J967" s="14">
        <v>42761.19</v>
      </c>
      <c r="K967" s="28">
        <f t="shared" si="31"/>
        <v>7.2431140101259363E-4</v>
      </c>
    </row>
    <row r="968" spans="1:11" x14ac:dyDescent="0.3">
      <c r="A968" s="23">
        <v>44887</v>
      </c>
      <c r="B968">
        <v>486.5</v>
      </c>
      <c r="C968" s="28">
        <f t="shared" si="30"/>
        <v>4.9368945074466262E-3</v>
      </c>
      <c r="I968" s="26" t="s">
        <v>470</v>
      </c>
      <c r="J968" s="14">
        <v>42928.62</v>
      </c>
      <c r="K968" s="28">
        <f t="shared" si="31"/>
        <v>3.9154663375832221E-3</v>
      </c>
    </row>
    <row r="969" spans="1:11" x14ac:dyDescent="0.3">
      <c r="A969" s="23">
        <v>44888</v>
      </c>
      <c r="B969">
        <v>487</v>
      </c>
      <c r="C969" s="28">
        <f t="shared" si="30"/>
        <v>1.0277492291880781E-3</v>
      </c>
      <c r="I969" s="26" t="s">
        <v>469</v>
      </c>
      <c r="J969" s="14">
        <v>42880.31</v>
      </c>
      <c r="K969" s="28">
        <f t="shared" si="31"/>
        <v>-1.1253564638230846E-3</v>
      </c>
    </row>
    <row r="970" spans="1:11" x14ac:dyDescent="0.3">
      <c r="A970" s="23">
        <v>44889</v>
      </c>
      <c r="B970">
        <v>486.01</v>
      </c>
      <c r="C970" s="28">
        <f t="shared" si="30"/>
        <v>-2.0328542094456038E-3</v>
      </c>
      <c r="I970" s="26" t="s">
        <v>468</v>
      </c>
      <c r="J970" s="14">
        <v>42903.65</v>
      </c>
      <c r="K970" s="28">
        <f t="shared" si="31"/>
        <v>5.4430576644627301E-4</v>
      </c>
    </row>
    <row r="971" spans="1:11" x14ac:dyDescent="0.3">
      <c r="A971" s="23">
        <v>44890</v>
      </c>
      <c r="B971">
        <v>483.75</v>
      </c>
      <c r="C971" s="28">
        <f t="shared" si="30"/>
        <v>-4.650110080039487E-3</v>
      </c>
      <c r="I971" s="26" t="s">
        <v>467</v>
      </c>
      <c r="J971" s="14">
        <v>42936.73</v>
      </c>
      <c r="K971" s="28">
        <f t="shared" si="31"/>
        <v>7.7102997064356401E-4</v>
      </c>
    </row>
    <row r="972" spans="1:11" x14ac:dyDescent="0.3">
      <c r="A972" s="23">
        <v>44893</v>
      </c>
      <c r="B972">
        <v>460</v>
      </c>
      <c r="C972" s="28">
        <f t="shared" si="30"/>
        <v>-4.909560723514212E-2</v>
      </c>
      <c r="I972" s="26" t="s">
        <v>466</v>
      </c>
      <c r="J972" s="14">
        <v>42071.34</v>
      </c>
      <c r="K972" s="28">
        <f t="shared" si="31"/>
        <v>-2.0155004817553796E-2</v>
      </c>
    </row>
    <row r="973" spans="1:11" x14ac:dyDescent="0.3">
      <c r="A973" s="23">
        <v>44894</v>
      </c>
      <c r="B973">
        <v>467</v>
      </c>
      <c r="C973" s="28">
        <f t="shared" si="30"/>
        <v>1.5217391304347827E-2</v>
      </c>
      <c r="I973" s="26" t="s">
        <v>465</v>
      </c>
      <c r="J973" s="14">
        <v>42373.59</v>
      </c>
      <c r="K973" s="28">
        <f t="shared" si="31"/>
        <v>7.1842256510013715E-3</v>
      </c>
    </row>
    <row r="974" spans="1:11" x14ac:dyDescent="0.3">
      <c r="A974" s="23">
        <v>44895</v>
      </c>
      <c r="B974">
        <v>473</v>
      </c>
      <c r="C974" s="28">
        <f t="shared" si="30"/>
        <v>1.284796573875803E-2</v>
      </c>
      <c r="I974" s="26" t="s">
        <v>464</v>
      </c>
      <c r="J974" s="14">
        <v>42348.63</v>
      </c>
      <c r="K974" s="28">
        <f t="shared" si="31"/>
        <v>-5.8904614879218709E-4</v>
      </c>
    </row>
    <row r="975" spans="1:11" x14ac:dyDescent="0.3">
      <c r="A975" s="23">
        <v>44896</v>
      </c>
      <c r="B975">
        <v>468.11</v>
      </c>
      <c r="C975" s="28">
        <f t="shared" si="30"/>
        <v>-1.0338266384777984E-2</v>
      </c>
      <c r="I975" s="27">
        <v>44573</v>
      </c>
      <c r="J975" s="14">
        <v>42393.52</v>
      </c>
      <c r="K975" s="28">
        <f t="shared" si="31"/>
        <v>1.0600106780313653E-3</v>
      </c>
    </row>
    <row r="976" spans="1:11" x14ac:dyDescent="0.3">
      <c r="A976" s="23">
        <v>44897</v>
      </c>
      <c r="B976">
        <v>457.84</v>
      </c>
      <c r="C976" s="28">
        <f t="shared" si="30"/>
        <v>-2.193928777424118E-2</v>
      </c>
      <c r="I976" s="27">
        <v>44604</v>
      </c>
      <c r="J976" s="14">
        <v>42150.1</v>
      </c>
      <c r="K976" s="28">
        <f t="shared" si="31"/>
        <v>-5.7419152738436979E-3</v>
      </c>
    </row>
    <row r="977" spans="1:11" x14ac:dyDescent="0.3">
      <c r="A977" s="23">
        <v>44900</v>
      </c>
      <c r="B977">
        <v>442</v>
      </c>
      <c r="C977" s="28">
        <f t="shared" si="30"/>
        <v>-3.4597239210204384E-2</v>
      </c>
      <c r="I977" s="27">
        <v>44693</v>
      </c>
      <c r="J977" s="14">
        <v>41612.67</v>
      </c>
      <c r="K977" s="28">
        <f t="shared" si="31"/>
        <v>-1.2750384933843581E-2</v>
      </c>
    </row>
    <row r="978" spans="1:11" x14ac:dyDescent="0.3">
      <c r="A978" s="23">
        <v>44901</v>
      </c>
      <c r="B978">
        <v>442</v>
      </c>
      <c r="C978" s="28">
        <f t="shared" si="30"/>
        <v>0</v>
      </c>
      <c r="I978" s="27">
        <v>44724</v>
      </c>
      <c r="J978" s="14">
        <v>41539.94</v>
      </c>
      <c r="K978" s="28">
        <f t="shared" si="31"/>
        <v>-1.7477849895235257E-3</v>
      </c>
    </row>
    <row r="979" spans="1:11" x14ac:dyDescent="0.3">
      <c r="A979" s="23">
        <v>44902</v>
      </c>
      <c r="B979">
        <v>452.25</v>
      </c>
      <c r="C979" s="28">
        <f t="shared" si="30"/>
        <v>2.3190045248868779E-2</v>
      </c>
      <c r="I979" s="27">
        <v>44754</v>
      </c>
      <c r="J979" s="14">
        <v>41819.29</v>
      </c>
      <c r="K979" s="28">
        <f t="shared" si="31"/>
        <v>6.7248532376310254E-3</v>
      </c>
    </row>
    <row r="980" spans="1:11" x14ac:dyDescent="0.3">
      <c r="A980" s="23">
        <v>44903</v>
      </c>
      <c r="B980">
        <v>452</v>
      </c>
      <c r="C980" s="28">
        <f t="shared" si="30"/>
        <v>-5.5279159756771695E-4</v>
      </c>
      <c r="I980" s="27">
        <v>44785</v>
      </c>
      <c r="J980" s="14">
        <v>41651.61</v>
      </c>
      <c r="K980" s="28">
        <f t="shared" si="31"/>
        <v>-4.0096328751635978E-3</v>
      </c>
    </row>
    <row r="981" spans="1:11" x14ac:dyDescent="0.3">
      <c r="A981" s="23">
        <v>44904</v>
      </c>
      <c r="B981">
        <v>452.8</v>
      </c>
      <c r="C981" s="28">
        <f t="shared" si="30"/>
        <v>1.7699115044248039E-3</v>
      </c>
      <c r="I981" s="27">
        <v>44816</v>
      </c>
      <c r="J981" s="14">
        <v>41698.28</v>
      </c>
      <c r="K981" s="28">
        <f t="shared" si="31"/>
        <v>1.1204848984228521E-3</v>
      </c>
    </row>
    <row r="982" spans="1:11" x14ac:dyDescent="0.3">
      <c r="A982" s="23">
        <v>44907</v>
      </c>
      <c r="B982">
        <v>452</v>
      </c>
      <c r="C982" s="28">
        <f t="shared" si="30"/>
        <v>-1.7667844522968449E-3</v>
      </c>
      <c r="I982" s="27">
        <v>44907</v>
      </c>
      <c r="J982" s="14">
        <v>41540.550000000003</v>
      </c>
      <c r="K982" s="28">
        <f t="shared" si="31"/>
        <v>-3.7826500277708319E-3</v>
      </c>
    </row>
    <row r="983" spans="1:11" x14ac:dyDescent="0.3">
      <c r="A983" s="23">
        <v>44908</v>
      </c>
      <c r="B983">
        <v>453.15</v>
      </c>
      <c r="C983" s="28">
        <f t="shared" si="30"/>
        <v>2.5442477876105691E-3</v>
      </c>
      <c r="I983" s="26" t="s">
        <v>463</v>
      </c>
      <c r="J983" s="14">
        <v>41714.300000000003</v>
      </c>
      <c r="K983" s="28">
        <f t="shared" si="31"/>
        <v>4.1826600755165734E-3</v>
      </c>
    </row>
    <row r="984" spans="1:11" x14ac:dyDescent="0.3">
      <c r="A984" s="23">
        <v>44909</v>
      </c>
      <c r="B984">
        <v>453</v>
      </c>
      <c r="C984" s="28">
        <f t="shared" si="30"/>
        <v>-3.3101621979471981E-4</v>
      </c>
      <c r="I984" s="26" t="s">
        <v>462</v>
      </c>
      <c r="J984" s="14">
        <v>41737.620000000003</v>
      </c>
      <c r="K984" s="28">
        <f t="shared" si="31"/>
        <v>5.5904090443803945E-4</v>
      </c>
    </row>
    <row r="985" spans="1:11" x14ac:dyDescent="0.3">
      <c r="A985" s="23">
        <v>44910</v>
      </c>
      <c r="B985">
        <v>450.95</v>
      </c>
      <c r="C985" s="28">
        <f t="shared" si="30"/>
        <v>-4.525386313465809E-3</v>
      </c>
      <c r="I985" s="26" t="s">
        <v>461</v>
      </c>
      <c r="J985" s="14">
        <v>41179.760000000002</v>
      </c>
      <c r="K985" s="28">
        <f t="shared" si="31"/>
        <v>-1.3365879511098154E-2</v>
      </c>
    </row>
    <row r="986" spans="1:11" x14ac:dyDescent="0.3">
      <c r="A986" s="23">
        <v>44911</v>
      </c>
      <c r="B986">
        <v>450.52</v>
      </c>
      <c r="C986" s="28">
        <f t="shared" si="30"/>
        <v>-9.5354252134384487E-4</v>
      </c>
      <c r="I986" s="26" t="s">
        <v>460</v>
      </c>
      <c r="J986" s="14">
        <v>41301.480000000003</v>
      </c>
      <c r="K986" s="28">
        <f t="shared" si="31"/>
        <v>2.9558210149840882E-3</v>
      </c>
    </row>
    <row r="987" spans="1:11" x14ac:dyDescent="0.3">
      <c r="A987" s="23">
        <v>44914</v>
      </c>
      <c r="B987">
        <v>442</v>
      </c>
      <c r="C987" s="28">
        <f t="shared" si="30"/>
        <v>-1.8911480067477542E-2</v>
      </c>
      <c r="I987" s="26" t="s">
        <v>459</v>
      </c>
      <c r="J987" s="14">
        <v>40970.82</v>
      </c>
      <c r="K987" s="28">
        <f t="shared" si="31"/>
        <v>-8.0060085013903496E-3</v>
      </c>
    </row>
    <row r="988" spans="1:11" x14ac:dyDescent="0.3">
      <c r="A988" s="23">
        <v>44915</v>
      </c>
      <c r="B988">
        <v>424</v>
      </c>
      <c r="C988" s="28">
        <f t="shared" si="30"/>
        <v>-4.072398190045249E-2</v>
      </c>
      <c r="I988" s="26" t="s">
        <v>458</v>
      </c>
      <c r="J988" s="14">
        <v>39832.449999999997</v>
      </c>
      <c r="K988" s="28">
        <f t="shared" si="31"/>
        <v>-2.7784896665480521E-2</v>
      </c>
    </row>
    <row r="989" spans="1:11" x14ac:dyDescent="0.3">
      <c r="A989" s="23">
        <v>44916</v>
      </c>
      <c r="B989">
        <v>429.11</v>
      </c>
      <c r="C989" s="28">
        <f t="shared" si="30"/>
        <v>1.2051886792452862E-2</v>
      </c>
      <c r="I989" s="26" t="s">
        <v>457</v>
      </c>
      <c r="J989" s="14">
        <v>39342.89</v>
      </c>
      <c r="K989" s="28">
        <f t="shared" si="31"/>
        <v>-1.2290481755453097E-2</v>
      </c>
    </row>
    <row r="990" spans="1:11" x14ac:dyDescent="0.3">
      <c r="A990" s="23">
        <v>44917</v>
      </c>
      <c r="B990">
        <v>437</v>
      </c>
      <c r="C990" s="28">
        <f t="shared" si="30"/>
        <v>1.8386893803453628E-2</v>
      </c>
      <c r="I990" s="26" t="s">
        <v>456</v>
      </c>
      <c r="J990" s="14">
        <v>39838.33</v>
      </c>
      <c r="K990" s="28">
        <f t="shared" si="31"/>
        <v>1.2592872562234302E-2</v>
      </c>
    </row>
    <row r="991" spans="1:11" x14ac:dyDescent="0.3">
      <c r="A991" s="23">
        <v>44918</v>
      </c>
      <c r="B991">
        <v>429.93</v>
      </c>
      <c r="C991" s="28">
        <f t="shared" si="30"/>
        <v>-1.6178489702517146E-2</v>
      </c>
      <c r="I991" s="26" t="s">
        <v>455</v>
      </c>
      <c r="J991" s="14">
        <v>39669.199999999997</v>
      </c>
      <c r="K991" s="28">
        <f t="shared" si="31"/>
        <v>-4.245408881346298E-3</v>
      </c>
    </row>
    <row r="992" spans="1:11" x14ac:dyDescent="0.3">
      <c r="A992" s="23">
        <v>44921</v>
      </c>
      <c r="B992">
        <v>434.01</v>
      </c>
      <c r="C992" s="28">
        <f t="shared" si="30"/>
        <v>9.4899169632265343E-3</v>
      </c>
      <c r="I992" s="26" t="s">
        <v>454</v>
      </c>
      <c r="J992" s="14">
        <v>40155.160000000003</v>
      </c>
      <c r="K992" s="28">
        <f t="shared" si="31"/>
        <v>1.2250310064231355E-2</v>
      </c>
    </row>
    <row r="993" spans="1:11" x14ac:dyDescent="0.3">
      <c r="A993" s="23">
        <v>44922</v>
      </c>
      <c r="B993">
        <v>434</v>
      </c>
      <c r="C993" s="28">
        <f t="shared" si="30"/>
        <v>-2.3040943757035333E-5</v>
      </c>
      <c r="I993" s="26" t="s">
        <v>453</v>
      </c>
      <c r="J993" s="14">
        <v>39802.910000000003</v>
      </c>
      <c r="K993" s="28">
        <f t="shared" si="31"/>
        <v>-8.7722225487334628E-3</v>
      </c>
    </row>
    <row r="994" spans="1:11" x14ac:dyDescent="0.3">
      <c r="A994" s="23">
        <v>44923</v>
      </c>
      <c r="B994">
        <v>431.9</v>
      </c>
      <c r="C994" s="28">
        <f t="shared" si="30"/>
        <v>-4.8387096774194071E-3</v>
      </c>
      <c r="I994" s="26" t="s">
        <v>452</v>
      </c>
      <c r="J994" s="14">
        <v>39279.43</v>
      </c>
      <c r="K994" s="28">
        <f t="shared" si="31"/>
        <v>-1.3151802217476138E-2</v>
      </c>
    </row>
    <row r="995" spans="1:11" x14ac:dyDescent="0.3">
      <c r="A995" s="23">
        <v>44924</v>
      </c>
      <c r="B995">
        <v>448.05</v>
      </c>
      <c r="C995" s="28">
        <f t="shared" si="30"/>
        <v>3.7392915026626616E-2</v>
      </c>
      <c r="I995" s="26" t="s">
        <v>451</v>
      </c>
      <c r="J995" s="14">
        <v>39747.35</v>
      </c>
      <c r="K995" s="28">
        <f t="shared" si="31"/>
        <v>1.1912596491344152E-2</v>
      </c>
    </row>
    <row r="996" spans="1:11" x14ac:dyDescent="0.3">
      <c r="A996" s="23">
        <v>44925</v>
      </c>
      <c r="B996">
        <v>446</v>
      </c>
      <c r="C996" s="28">
        <f t="shared" si="30"/>
        <v>-4.5753822118067434E-3</v>
      </c>
      <c r="I996" s="26" t="s">
        <v>450</v>
      </c>
      <c r="J996" s="14">
        <v>40420.449999999997</v>
      </c>
      <c r="K996" s="28">
        <f t="shared" si="31"/>
        <v>1.6934462297486463E-2</v>
      </c>
    </row>
    <row r="997" spans="1:11" x14ac:dyDescent="0.3">
      <c r="A997" s="23">
        <v>44928</v>
      </c>
      <c r="B997">
        <v>440</v>
      </c>
      <c r="C997" s="28">
        <f t="shared" si="30"/>
        <v>-1.3452914798206279E-2</v>
      </c>
      <c r="I997" s="27">
        <v>44958</v>
      </c>
      <c r="J997" s="14">
        <v>40815.9</v>
      </c>
      <c r="K997" s="28">
        <f t="shared" si="31"/>
        <v>9.783414088660675E-3</v>
      </c>
    </row>
    <row r="998" spans="1:11" x14ac:dyDescent="0.3">
      <c r="A998" s="23">
        <v>44929</v>
      </c>
      <c r="B998">
        <v>432.5</v>
      </c>
      <c r="C998" s="28">
        <f t="shared" si="30"/>
        <v>-1.7045454545454544E-2</v>
      </c>
      <c r="I998" s="27">
        <v>44986</v>
      </c>
      <c r="J998" s="14">
        <v>40630.639999999999</v>
      </c>
      <c r="K998" s="28">
        <f t="shared" si="31"/>
        <v>-4.5389174316872111E-3</v>
      </c>
    </row>
    <row r="999" spans="1:11" x14ac:dyDescent="0.3">
      <c r="A999" s="23">
        <v>44930</v>
      </c>
      <c r="B999">
        <v>433</v>
      </c>
      <c r="C999" s="28">
        <f t="shared" si="30"/>
        <v>1.1560693641618498E-3</v>
      </c>
      <c r="I999" s="27">
        <v>45017</v>
      </c>
      <c r="J999" s="14">
        <v>40539.300000000003</v>
      </c>
      <c r="K999" s="28">
        <f t="shared" si="31"/>
        <v>-2.248057131268336E-3</v>
      </c>
    </row>
    <row r="1000" spans="1:11" x14ac:dyDescent="0.3">
      <c r="A1000" s="23">
        <v>44931</v>
      </c>
      <c r="B1000">
        <v>429.98</v>
      </c>
      <c r="C1000" s="28">
        <f t="shared" si="30"/>
        <v>-6.9745958429560783E-3</v>
      </c>
      <c r="I1000" s="27">
        <v>45047</v>
      </c>
      <c r="J1000" s="14">
        <v>40716.74</v>
      </c>
      <c r="K1000" s="28">
        <f t="shared" si="31"/>
        <v>4.3769872691436472E-3</v>
      </c>
    </row>
    <row r="1001" spans="1:11" x14ac:dyDescent="0.3">
      <c r="A1001" s="23">
        <v>44932</v>
      </c>
      <c r="B1001">
        <v>433.11</v>
      </c>
      <c r="C1001" s="28">
        <f t="shared" si="30"/>
        <v>7.279408344574155E-3</v>
      </c>
      <c r="I1001" s="27">
        <v>45078</v>
      </c>
      <c r="J1001" s="14">
        <v>41007.519999999997</v>
      </c>
      <c r="K1001" s="28">
        <f t="shared" si="31"/>
        <v>7.1415344155744999E-3</v>
      </c>
    </row>
    <row r="1002" spans="1:11" x14ac:dyDescent="0.3">
      <c r="A1002" s="23">
        <v>44935</v>
      </c>
      <c r="B1002">
        <v>424.95</v>
      </c>
      <c r="C1002" s="28">
        <f t="shared" si="30"/>
        <v>-1.8840479323959328E-2</v>
      </c>
      <c r="I1002" s="27">
        <v>45170</v>
      </c>
      <c r="J1002" s="14">
        <v>40504.76</v>
      </c>
      <c r="K1002" s="28">
        <f t="shared" si="31"/>
        <v>-1.2260190326066896E-2</v>
      </c>
    </row>
    <row r="1003" spans="1:11" x14ac:dyDescent="0.3">
      <c r="A1003" s="23">
        <v>44936</v>
      </c>
      <c r="B1003">
        <v>436.65</v>
      </c>
      <c r="C1003" s="28">
        <f t="shared" si="30"/>
        <v>2.7532650900105867E-2</v>
      </c>
      <c r="I1003" s="27">
        <v>45200</v>
      </c>
      <c r="J1003" s="14">
        <v>40801.5</v>
      </c>
      <c r="K1003" s="28">
        <f t="shared" si="31"/>
        <v>7.3260525429603325E-3</v>
      </c>
    </row>
    <row r="1004" spans="1:11" x14ac:dyDescent="0.3">
      <c r="A1004" s="23">
        <v>44937</v>
      </c>
      <c r="B1004">
        <v>433.68</v>
      </c>
      <c r="C1004" s="28">
        <f t="shared" si="30"/>
        <v>-6.8017863277223646E-3</v>
      </c>
      <c r="I1004" s="27">
        <v>45231</v>
      </c>
      <c r="J1004" s="14">
        <v>40758.199999999997</v>
      </c>
      <c r="K1004" s="28">
        <f t="shared" si="31"/>
        <v>-1.0612354937931917E-3</v>
      </c>
    </row>
    <row r="1005" spans="1:11" x14ac:dyDescent="0.3">
      <c r="A1005" s="23">
        <v>44938</v>
      </c>
      <c r="B1005">
        <v>436</v>
      </c>
      <c r="C1005" s="28">
        <f t="shared" si="30"/>
        <v>5.3495665006456214E-3</v>
      </c>
      <c r="I1005" s="27">
        <v>45261</v>
      </c>
      <c r="J1005" s="14">
        <v>40803.89</v>
      </c>
      <c r="K1005" s="28">
        <f t="shared" si="31"/>
        <v>1.1210014181196012E-3</v>
      </c>
    </row>
    <row r="1006" spans="1:11" x14ac:dyDescent="0.3">
      <c r="A1006" s="23">
        <v>44939</v>
      </c>
      <c r="B1006">
        <v>428.18</v>
      </c>
      <c r="C1006" s="28">
        <f t="shared" si="30"/>
        <v>-1.7935779816513744E-2</v>
      </c>
      <c r="I1006" s="26" t="s">
        <v>449</v>
      </c>
      <c r="J1006" s="14">
        <v>40323.449999999997</v>
      </c>
      <c r="K1006" s="28">
        <f t="shared" si="31"/>
        <v>-1.1774367590933177E-2</v>
      </c>
    </row>
    <row r="1007" spans="1:11" x14ac:dyDescent="0.3">
      <c r="A1007" s="23">
        <v>44942</v>
      </c>
      <c r="B1007">
        <v>420.75</v>
      </c>
      <c r="C1007" s="28">
        <f t="shared" si="30"/>
        <v>-1.7352515297304888E-2</v>
      </c>
      <c r="I1007" s="26" t="s">
        <v>448</v>
      </c>
      <c r="J1007" s="14">
        <v>39720.75</v>
      </c>
      <c r="K1007" s="28">
        <f t="shared" si="31"/>
        <v>-1.4946637750490028E-2</v>
      </c>
    </row>
    <row r="1008" spans="1:11" x14ac:dyDescent="0.3">
      <c r="A1008" s="23">
        <v>44943</v>
      </c>
      <c r="B1008">
        <v>390</v>
      </c>
      <c r="C1008" s="28">
        <f t="shared" si="30"/>
        <v>-7.3083778966131913E-2</v>
      </c>
      <c r="I1008" s="26" t="s">
        <v>447</v>
      </c>
      <c r="J1008" s="14">
        <v>38342.21</v>
      </c>
      <c r="K1008" s="28">
        <f t="shared" si="31"/>
        <v>-3.4705789795006409E-2</v>
      </c>
    </row>
    <row r="1009" spans="1:11" x14ac:dyDescent="0.3">
      <c r="A1009" s="23">
        <v>44944</v>
      </c>
      <c r="B1009">
        <v>400</v>
      </c>
      <c r="C1009" s="28">
        <f t="shared" si="30"/>
        <v>2.564102564102564E-2</v>
      </c>
      <c r="I1009" s="26" t="s">
        <v>446</v>
      </c>
      <c r="J1009" s="14">
        <v>38791.089999999997</v>
      </c>
      <c r="K1009" s="28">
        <f t="shared" si="31"/>
        <v>1.1707202062687503E-2</v>
      </c>
    </row>
    <row r="1010" spans="1:11" x14ac:dyDescent="0.3">
      <c r="A1010" s="23">
        <v>44945</v>
      </c>
      <c r="B1010">
        <v>392</v>
      </c>
      <c r="C1010" s="28">
        <f t="shared" si="30"/>
        <v>-0.02</v>
      </c>
      <c r="I1010" s="26" t="s">
        <v>445</v>
      </c>
      <c r="J1010" s="14">
        <v>38831.58</v>
      </c>
      <c r="K1010" s="28">
        <f t="shared" si="31"/>
        <v>1.0437963975749389E-3</v>
      </c>
    </row>
    <row r="1011" spans="1:11" x14ac:dyDescent="0.3">
      <c r="A1011" s="23">
        <v>44946</v>
      </c>
      <c r="B1011">
        <v>385.5</v>
      </c>
      <c r="C1011" s="28">
        <f t="shared" si="30"/>
        <v>-1.6581632653061226E-2</v>
      </c>
      <c r="I1011" s="26" t="s">
        <v>444</v>
      </c>
      <c r="J1011" s="14">
        <v>38407.980000000003</v>
      </c>
      <c r="K1011" s="28">
        <f t="shared" si="31"/>
        <v>-1.0908647034192235E-2</v>
      </c>
    </row>
    <row r="1012" spans="1:11" x14ac:dyDescent="0.3">
      <c r="A1012" s="23">
        <v>44949</v>
      </c>
      <c r="B1012">
        <v>391.98</v>
      </c>
      <c r="C1012" s="28">
        <f t="shared" si="30"/>
        <v>1.6809338521400825E-2</v>
      </c>
      <c r="I1012" s="26" t="s">
        <v>443</v>
      </c>
      <c r="J1012" s="14">
        <v>38443.589999999997</v>
      </c>
      <c r="K1012" s="28">
        <f t="shared" si="31"/>
        <v>9.2715107641675777E-4</v>
      </c>
    </row>
    <row r="1013" spans="1:11" x14ac:dyDescent="0.3">
      <c r="A1013" s="23">
        <v>44950</v>
      </c>
      <c r="B1013">
        <v>394.03</v>
      </c>
      <c r="C1013" s="28">
        <f t="shared" si="30"/>
        <v>5.2298586662583666E-3</v>
      </c>
      <c r="I1013" s="26" t="s">
        <v>442</v>
      </c>
      <c r="J1013" s="14">
        <v>39055.65</v>
      </c>
      <c r="K1013" s="28">
        <f t="shared" si="31"/>
        <v>1.5920989689048422E-2</v>
      </c>
    </row>
    <row r="1014" spans="1:11" x14ac:dyDescent="0.3">
      <c r="A1014" s="23">
        <v>44951</v>
      </c>
      <c r="B1014">
        <v>397.5</v>
      </c>
      <c r="C1014" s="28">
        <f t="shared" si="30"/>
        <v>8.8064360581682297E-3</v>
      </c>
      <c r="I1014" s="26" t="s">
        <v>441</v>
      </c>
      <c r="J1014" s="14">
        <v>39784.9</v>
      </c>
      <c r="K1014" s="28">
        <f t="shared" si="31"/>
        <v>1.8672074334955376E-2</v>
      </c>
    </row>
    <row r="1015" spans="1:11" x14ac:dyDescent="0.3">
      <c r="A1015" s="23">
        <v>44952</v>
      </c>
      <c r="B1015">
        <v>403</v>
      </c>
      <c r="C1015" s="28">
        <f t="shared" si="30"/>
        <v>1.3836477987421384E-2</v>
      </c>
      <c r="I1015" s="26" t="s">
        <v>440</v>
      </c>
      <c r="J1015" s="14">
        <v>40846.53</v>
      </c>
      <c r="K1015" s="28">
        <f t="shared" si="31"/>
        <v>2.668424452493276E-2</v>
      </c>
    </row>
    <row r="1016" spans="1:11" x14ac:dyDescent="0.3">
      <c r="A1016" s="23">
        <v>44953</v>
      </c>
      <c r="B1016">
        <v>397.93</v>
      </c>
      <c r="C1016" s="28">
        <f t="shared" si="30"/>
        <v>-1.2580645161290305E-2</v>
      </c>
      <c r="I1016" s="26" t="s">
        <v>439</v>
      </c>
      <c r="J1016" s="14">
        <v>40450.53</v>
      </c>
      <c r="K1016" s="28">
        <f t="shared" si="31"/>
        <v>-9.6948259742014806E-3</v>
      </c>
    </row>
    <row r="1017" spans="1:11" x14ac:dyDescent="0.3">
      <c r="A1017" s="23">
        <v>44956</v>
      </c>
      <c r="B1017">
        <v>396</v>
      </c>
      <c r="C1017" s="28">
        <f t="shared" si="30"/>
        <v>-4.850099263689611E-3</v>
      </c>
      <c r="I1017" s="26" t="s">
        <v>438</v>
      </c>
      <c r="J1017" s="14">
        <v>39871.269999999997</v>
      </c>
      <c r="K1017" s="28">
        <f t="shared" si="31"/>
        <v>-1.4320207918165771E-2</v>
      </c>
    </row>
    <row r="1018" spans="1:11" x14ac:dyDescent="0.3">
      <c r="A1018" s="23">
        <v>44957</v>
      </c>
      <c r="B1018">
        <v>409</v>
      </c>
      <c r="C1018" s="28">
        <f t="shared" si="30"/>
        <v>3.2828282828282832E-2</v>
      </c>
      <c r="I1018" s="26" t="s">
        <v>437</v>
      </c>
      <c r="J1018" s="14">
        <v>40673.06</v>
      </c>
      <c r="K1018" s="28">
        <f t="shared" si="31"/>
        <v>2.0109467293116093E-2</v>
      </c>
    </row>
    <row r="1019" spans="1:11" x14ac:dyDescent="0.3">
      <c r="A1019" s="23">
        <v>44958</v>
      </c>
      <c r="B1019">
        <v>405.55</v>
      </c>
      <c r="C1019" s="28">
        <f t="shared" si="30"/>
        <v>-8.4352078239608528E-3</v>
      </c>
      <c r="I1019" s="27">
        <v>44928</v>
      </c>
      <c r="J1019" s="14">
        <v>40619.94</v>
      </c>
      <c r="K1019" s="28">
        <f t="shared" si="31"/>
        <v>-1.3060241840666855E-3</v>
      </c>
    </row>
    <row r="1020" spans="1:11" x14ac:dyDescent="0.3">
      <c r="A1020" s="23">
        <v>44959</v>
      </c>
      <c r="B1020">
        <v>417</v>
      </c>
      <c r="C1020" s="28">
        <f t="shared" si="30"/>
        <v>2.8233263469362564E-2</v>
      </c>
      <c r="I1020" s="27">
        <v>44959</v>
      </c>
      <c r="J1020" s="14">
        <v>40733.51</v>
      </c>
      <c r="K1020" s="28">
        <f t="shared" si="31"/>
        <v>2.7959174730440199E-3</v>
      </c>
    </row>
    <row r="1021" spans="1:11" x14ac:dyDescent="0.3">
      <c r="A1021" s="23">
        <v>44960</v>
      </c>
      <c r="B1021">
        <v>413</v>
      </c>
      <c r="C1021" s="28">
        <f t="shared" si="30"/>
        <v>-9.5923261390887284E-3</v>
      </c>
      <c r="I1021" s="27">
        <v>44987</v>
      </c>
      <c r="J1021" s="14">
        <v>40471.160000000003</v>
      </c>
      <c r="K1021" s="28">
        <f t="shared" si="31"/>
        <v>-6.4406430970470885E-3</v>
      </c>
    </row>
    <row r="1022" spans="1:11" x14ac:dyDescent="0.3">
      <c r="A1022" s="23">
        <v>44963</v>
      </c>
      <c r="B1022">
        <v>424</v>
      </c>
      <c r="C1022" s="28">
        <f t="shared" si="30"/>
        <v>2.6634382566585957E-2</v>
      </c>
      <c r="I1022" s="27">
        <v>45079</v>
      </c>
      <c r="J1022" s="14">
        <v>41190.769999999997</v>
      </c>
      <c r="K1022" s="28">
        <f t="shared" si="31"/>
        <v>1.7780809840884058E-2</v>
      </c>
    </row>
    <row r="1023" spans="1:11" x14ac:dyDescent="0.3">
      <c r="A1023" s="23">
        <v>44964</v>
      </c>
      <c r="B1023">
        <v>418.26</v>
      </c>
      <c r="C1023" s="28">
        <f t="shared" si="30"/>
        <v>-1.3537735849056626E-2</v>
      </c>
      <c r="I1023" s="27">
        <v>45109</v>
      </c>
      <c r="J1023" s="14">
        <v>41522.76</v>
      </c>
      <c r="K1023" s="28">
        <f t="shared" si="31"/>
        <v>8.0598153421265317E-3</v>
      </c>
    </row>
    <row r="1024" spans="1:11" x14ac:dyDescent="0.3">
      <c r="A1024" s="23">
        <v>44965</v>
      </c>
      <c r="B1024">
        <v>422</v>
      </c>
      <c r="C1024" s="28">
        <f t="shared" si="30"/>
        <v>8.9418065318223328E-3</v>
      </c>
      <c r="I1024" s="27">
        <v>45140</v>
      </c>
      <c r="J1024" s="14">
        <v>41723.32</v>
      </c>
      <c r="K1024" s="28">
        <f t="shared" si="31"/>
        <v>4.8301220824434037E-3</v>
      </c>
    </row>
    <row r="1025" spans="1:11" x14ac:dyDescent="0.3">
      <c r="A1025" s="23">
        <v>44966</v>
      </c>
      <c r="B1025">
        <v>431.5</v>
      </c>
      <c r="C1025" s="28">
        <f t="shared" si="30"/>
        <v>2.2511848341232227E-2</v>
      </c>
      <c r="I1025" s="27">
        <v>45171</v>
      </c>
      <c r="J1025" s="14">
        <v>42466.59</v>
      </c>
      <c r="K1025" s="28">
        <f t="shared" si="31"/>
        <v>1.7814258309261987E-2</v>
      </c>
    </row>
    <row r="1026" spans="1:11" x14ac:dyDescent="0.3">
      <c r="A1026" s="23">
        <v>44967</v>
      </c>
      <c r="B1026">
        <v>414.21</v>
      </c>
      <c r="C1026" s="28">
        <f t="shared" si="30"/>
        <v>-4.0069524913093908E-2</v>
      </c>
      <c r="I1026" s="27">
        <v>45201</v>
      </c>
      <c r="J1026" s="14">
        <v>41741.78</v>
      </c>
      <c r="K1026" s="28">
        <f t="shared" si="31"/>
        <v>-1.7067770216539584E-2</v>
      </c>
    </row>
    <row r="1027" spans="1:11" x14ac:dyDescent="0.3">
      <c r="A1027" s="23">
        <v>44970</v>
      </c>
      <c r="B1027">
        <v>416</v>
      </c>
      <c r="C1027" s="28">
        <f t="shared" si="30"/>
        <v>4.3214794427947675E-3</v>
      </c>
      <c r="I1027" s="26" t="s">
        <v>436</v>
      </c>
      <c r="J1027" s="14">
        <v>41716.949999999997</v>
      </c>
      <c r="K1027" s="28">
        <f t="shared" si="31"/>
        <v>-5.9484765623319725E-4</v>
      </c>
    </row>
    <row r="1028" spans="1:11" x14ac:dyDescent="0.3">
      <c r="A1028" s="23">
        <v>44971</v>
      </c>
      <c r="B1028">
        <v>412.49</v>
      </c>
      <c r="C1028" s="28">
        <f t="shared" si="30"/>
        <v>-8.437499999999978E-3</v>
      </c>
      <c r="I1028" s="26" t="s">
        <v>435</v>
      </c>
      <c r="J1028" s="14">
        <v>41150.160000000003</v>
      </c>
      <c r="K1028" s="28">
        <f t="shared" si="31"/>
        <v>-1.3586563734884588E-2</v>
      </c>
    </row>
    <row r="1029" spans="1:11" x14ac:dyDescent="0.3">
      <c r="A1029" s="23">
        <v>44972</v>
      </c>
      <c r="B1029">
        <v>415</v>
      </c>
      <c r="C1029" s="28">
        <f t="shared" si="30"/>
        <v>6.084995999903006E-3</v>
      </c>
      <c r="I1029" s="26" t="s">
        <v>434</v>
      </c>
      <c r="J1029" s="14">
        <v>41326.85</v>
      </c>
      <c r="K1029" s="28">
        <f t="shared" si="31"/>
        <v>4.2937864640136278E-3</v>
      </c>
    </row>
    <row r="1030" spans="1:11" x14ac:dyDescent="0.3">
      <c r="A1030" s="23">
        <v>44973</v>
      </c>
      <c r="B1030">
        <v>410.5</v>
      </c>
      <c r="C1030" s="28">
        <f t="shared" ref="C1030:C1093" si="32">(B1030-B1029)/B1029</f>
        <v>-1.0843373493975903E-2</v>
      </c>
      <c r="I1030" s="26" t="s">
        <v>433</v>
      </c>
      <c r="J1030" s="14">
        <v>41078.65</v>
      </c>
      <c r="K1030" s="28">
        <f t="shared" ref="K1030:K1093" si="33">(J1030-J1029)/J1029</f>
        <v>-6.005780745447502E-3</v>
      </c>
    </row>
    <row r="1031" spans="1:11" x14ac:dyDescent="0.3">
      <c r="A1031" s="23">
        <v>44974</v>
      </c>
      <c r="B1031">
        <v>411.5</v>
      </c>
      <c r="C1031" s="28">
        <f t="shared" si="32"/>
        <v>2.4360535931790498E-3</v>
      </c>
      <c r="I1031" s="26" t="s">
        <v>432</v>
      </c>
      <c r="J1031" s="14">
        <v>41118.61</v>
      </c>
      <c r="K1031" s="28">
        <f t="shared" si="33"/>
        <v>9.7276809242755361E-4</v>
      </c>
    </row>
    <row r="1032" spans="1:11" x14ac:dyDescent="0.3">
      <c r="A1032" s="23">
        <v>44977</v>
      </c>
      <c r="B1032">
        <v>410</v>
      </c>
      <c r="C1032" s="28">
        <f t="shared" si="32"/>
        <v>-3.6452004860267314E-3</v>
      </c>
      <c r="I1032" s="26" t="s">
        <v>431</v>
      </c>
      <c r="J1032" s="14">
        <v>40673.64</v>
      </c>
      <c r="K1032" s="28">
        <f t="shared" si="33"/>
        <v>-1.0821620672488715E-2</v>
      </c>
    </row>
    <row r="1033" spans="1:11" x14ac:dyDescent="0.3">
      <c r="A1033" s="23">
        <v>44978</v>
      </c>
      <c r="B1033">
        <v>414.2</v>
      </c>
      <c r="C1033" s="28">
        <f t="shared" si="32"/>
        <v>1.0243902439024363E-2</v>
      </c>
      <c r="I1033" s="26" t="s">
        <v>430</v>
      </c>
      <c r="J1033" s="14">
        <v>40949.839999999997</v>
      </c>
      <c r="K1033" s="28">
        <f t="shared" si="33"/>
        <v>6.7906388511084102E-3</v>
      </c>
    </row>
    <row r="1034" spans="1:11" x14ac:dyDescent="0.3">
      <c r="A1034" s="23">
        <v>44979</v>
      </c>
      <c r="B1034">
        <v>414.25</v>
      </c>
      <c r="C1034" s="28">
        <f t="shared" si="32"/>
        <v>1.2071463061325778E-4</v>
      </c>
      <c r="I1034" s="26" t="s">
        <v>429</v>
      </c>
      <c r="J1034" s="14">
        <v>41167.599999999999</v>
      </c>
      <c r="K1034" s="28">
        <f t="shared" si="33"/>
        <v>5.3177252951416183E-3</v>
      </c>
    </row>
    <row r="1035" spans="1:11" x14ac:dyDescent="0.3">
      <c r="A1035" s="23">
        <v>44980</v>
      </c>
      <c r="B1035">
        <v>414.02</v>
      </c>
      <c r="C1035" s="28">
        <f t="shared" si="32"/>
        <v>-5.5522027761018271E-4</v>
      </c>
      <c r="I1035" s="26" t="s">
        <v>428</v>
      </c>
      <c r="J1035" s="14">
        <v>40838.51</v>
      </c>
      <c r="K1035" s="28">
        <f t="shared" si="33"/>
        <v>-7.993907830429671E-3</v>
      </c>
    </row>
    <row r="1036" spans="1:11" x14ac:dyDescent="0.3">
      <c r="A1036" s="23">
        <v>44981</v>
      </c>
      <c r="B1036">
        <v>415.76</v>
      </c>
      <c r="C1036" s="28">
        <f t="shared" si="32"/>
        <v>4.2026955219554834E-3</v>
      </c>
      <c r="I1036" s="26" t="s">
        <v>427</v>
      </c>
      <c r="J1036" s="14">
        <v>40707.760000000002</v>
      </c>
      <c r="K1036" s="28">
        <f t="shared" si="33"/>
        <v>-3.201634927425119E-3</v>
      </c>
    </row>
    <row r="1037" spans="1:11" x14ac:dyDescent="0.3">
      <c r="A1037" s="23">
        <v>44984</v>
      </c>
      <c r="B1037">
        <v>410.21</v>
      </c>
      <c r="C1037" s="28">
        <f t="shared" si="32"/>
        <v>-1.3349047527419692E-2</v>
      </c>
      <c r="I1037" s="26" t="s">
        <v>426</v>
      </c>
      <c r="J1037" s="14">
        <v>40784.129999999997</v>
      </c>
      <c r="K1037" s="28">
        <f t="shared" si="33"/>
        <v>1.8760550813897729E-3</v>
      </c>
    </row>
    <row r="1038" spans="1:11" x14ac:dyDescent="0.3">
      <c r="A1038" s="23">
        <v>44985</v>
      </c>
      <c r="B1038">
        <v>413.5</v>
      </c>
      <c r="C1038" s="28">
        <f t="shared" si="32"/>
        <v>8.0202822944346087E-3</v>
      </c>
      <c r="I1038" s="26" t="s">
        <v>425</v>
      </c>
      <c r="J1038" s="14">
        <v>40510.370000000003</v>
      </c>
      <c r="K1038" s="28">
        <f t="shared" si="33"/>
        <v>-6.7124148535225537E-3</v>
      </c>
    </row>
    <row r="1039" spans="1:11" x14ac:dyDescent="0.3">
      <c r="A1039" s="23">
        <v>44986</v>
      </c>
      <c r="B1039">
        <v>407</v>
      </c>
      <c r="C1039" s="28">
        <f t="shared" si="32"/>
        <v>-1.5719467956469165E-2</v>
      </c>
      <c r="I1039" s="27">
        <v>44929</v>
      </c>
      <c r="J1039" s="14">
        <v>40412.769999999997</v>
      </c>
      <c r="K1039" s="28">
        <f t="shared" si="33"/>
        <v>-2.4092596537628715E-3</v>
      </c>
    </row>
    <row r="1040" spans="1:11" x14ac:dyDescent="0.3">
      <c r="A1040" s="23">
        <v>44987</v>
      </c>
      <c r="B1040">
        <v>395.52</v>
      </c>
      <c r="C1040" s="28">
        <f t="shared" si="32"/>
        <v>-2.8206388206388253E-2</v>
      </c>
      <c r="I1040" s="27">
        <v>44960</v>
      </c>
      <c r="J1040" s="14">
        <v>40670.879999999997</v>
      </c>
      <c r="K1040" s="28">
        <f t="shared" si="33"/>
        <v>6.3868425747604183E-3</v>
      </c>
    </row>
    <row r="1041" spans="1:11" x14ac:dyDescent="0.3">
      <c r="A1041" s="23">
        <v>44988</v>
      </c>
      <c r="B1041">
        <v>404.74</v>
      </c>
      <c r="C1041" s="28">
        <f t="shared" si="32"/>
        <v>2.3311084142394894E-2</v>
      </c>
      <c r="I1041" s="27">
        <v>44988</v>
      </c>
      <c r="J1041" s="14">
        <v>41337</v>
      </c>
      <c r="K1041" s="28">
        <f t="shared" si="33"/>
        <v>1.6378303100400154E-2</v>
      </c>
    </row>
    <row r="1042" spans="1:11" x14ac:dyDescent="0.3">
      <c r="A1042" s="23">
        <v>44991</v>
      </c>
      <c r="B1042">
        <v>410.05</v>
      </c>
      <c r="C1042" s="28">
        <f t="shared" si="32"/>
        <v>1.3119533527696799E-2</v>
      </c>
      <c r="I1042" s="27">
        <v>45080</v>
      </c>
      <c r="J1042" s="14">
        <v>41434.33</v>
      </c>
      <c r="K1042" s="28">
        <f t="shared" si="33"/>
        <v>2.3545491932167729E-3</v>
      </c>
    </row>
    <row r="1043" spans="1:11" x14ac:dyDescent="0.3">
      <c r="A1043" s="23">
        <v>44992</v>
      </c>
      <c r="B1043">
        <v>413.55</v>
      </c>
      <c r="C1043" s="28">
        <f t="shared" si="32"/>
        <v>8.5355444457992924E-3</v>
      </c>
      <c r="I1043" s="27">
        <v>45110</v>
      </c>
      <c r="J1043" s="14">
        <v>41334.69</v>
      </c>
      <c r="K1043" s="28">
        <f t="shared" si="33"/>
        <v>-2.4047691853590829E-3</v>
      </c>
    </row>
    <row r="1044" spans="1:11" x14ac:dyDescent="0.3">
      <c r="A1044" s="23">
        <v>44993</v>
      </c>
      <c r="B1044">
        <v>416</v>
      </c>
      <c r="C1044" s="28">
        <f t="shared" si="32"/>
        <v>5.9243138677305971E-3</v>
      </c>
      <c r="I1044" s="27">
        <v>45141</v>
      </c>
      <c r="J1044" s="14">
        <v>41358.93</v>
      </c>
      <c r="K1044" s="28">
        <f t="shared" si="33"/>
        <v>5.8643236467959383E-4</v>
      </c>
    </row>
    <row r="1045" spans="1:11" x14ac:dyDescent="0.3">
      <c r="A1045" s="23">
        <v>44994</v>
      </c>
      <c r="B1045">
        <v>420.97</v>
      </c>
      <c r="C1045" s="28">
        <f t="shared" si="32"/>
        <v>1.194711538461545E-2</v>
      </c>
      <c r="I1045" s="27">
        <v>45172</v>
      </c>
      <c r="J1045" s="14">
        <v>41585.54</v>
      </c>
      <c r="K1045" s="28">
        <f t="shared" si="33"/>
        <v>5.4791069304742793E-3</v>
      </c>
    </row>
    <row r="1046" spans="1:11" x14ac:dyDescent="0.3">
      <c r="A1046" s="23">
        <v>44995</v>
      </c>
      <c r="B1046">
        <v>420.22</v>
      </c>
      <c r="C1046" s="28">
        <f t="shared" si="32"/>
        <v>-1.7815996389291397E-3</v>
      </c>
      <c r="I1046" s="27">
        <v>45202</v>
      </c>
      <c r="J1046" s="14">
        <v>41793.870000000003</v>
      </c>
      <c r="K1046" s="28">
        <f t="shared" si="33"/>
        <v>5.009674035734578E-3</v>
      </c>
    </row>
    <row r="1047" spans="1:11" x14ac:dyDescent="0.3">
      <c r="A1047" s="23">
        <v>44998</v>
      </c>
      <c r="B1047">
        <v>422.95</v>
      </c>
      <c r="C1047" s="28">
        <f t="shared" si="32"/>
        <v>6.4965970206081608E-3</v>
      </c>
      <c r="I1047" s="26" t="s">
        <v>424</v>
      </c>
      <c r="J1047" s="14">
        <v>41856.85</v>
      </c>
      <c r="K1047" s="28">
        <f t="shared" si="33"/>
        <v>1.5069195554275284E-3</v>
      </c>
    </row>
    <row r="1048" spans="1:11" x14ac:dyDescent="0.3">
      <c r="A1048" s="23">
        <v>44999</v>
      </c>
      <c r="B1048">
        <v>414.6</v>
      </c>
      <c r="C1048" s="28">
        <f t="shared" si="32"/>
        <v>-1.9742286322260234E-2</v>
      </c>
      <c r="I1048" s="26" t="s">
        <v>423</v>
      </c>
      <c r="J1048" s="14">
        <v>41816.43</v>
      </c>
      <c r="K1048" s="28">
        <f t="shared" si="33"/>
        <v>-9.6567228542038534E-4</v>
      </c>
    </row>
    <row r="1049" spans="1:11" x14ac:dyDescent="0.3">
      <c r="A1049" s="23">
        <v>45000</v>
      </c>
      <c r="B1049">
        <v>424.5</v>
      </c>
      <c r="C1049" s="28">
        <f t="shared" si="32"/>
        <v>2.3878437047756818E-2</v>
      </c>
      <c r="I1049" s="26" t="s">
        <v>422</v>
      </c>
      <c r="J1049" s="14">
        <v>41874.04</v>
      </c>
      <c r="K1049" s="28">
        <f t="shared" si="33"/>
        <v>1.3776881479361242E-3</v>
      </c>
    </row>
    <row r="1050" spans="1:11" x14ac:dyDescent="0.3">
      <c r="A1050" s="23">
        <v>45001</v>
      </c>
      <c r="B1050">
        <v>424.14</v>
      </c>
      <c r="C1050" s="28">
        <f t="shared" si="32"/>
        <v>-8.4805653710250562E-4</v>
      </c>
      <c r="I1050" s="26" t="s">
        <v>421</v>
      </c>
      <c r="J1050" s="14">
        <v>41694.089999999997</v>
      </c>
      <c r="K1050" s="28">
        <f t="shared" si="33"/>
        <v>-4.2974119526084506E-3</v>
      </c>
    </row>
    <row r="1051" spans="1:11" x14ac:dyDescent="0.3">
      <c r="A1051" s="23">
        <v>45002</v>
      </c>
      <c r="B1051">
        <v>420.02</v>
      </c>
      <c r="C1051" s="28">
        <f t="shared" si="32"/>
        <v>-9.7137737539491793E-3</v>
      </c>
      <c r="I1051" s="26" t="s">
        <v>420</v>
      </c>
      <c r="J1051" s="14">
        <v>41329.949999999997</v>
      </c>
      <c r="K1051" s="28">
        <f t="shared" si="33"/>
        <v>-8.7336118860010959E-3</v>
      </c>
    </row>
    <row r="1052" spans="1:11" x14ac:dyDescent="0.3">
      <c r="A1052" s="23">
        <v>45005</v>
      </c>
      <c r="B1052">
        <v>416</v>
      </c>
      <c r="C1052" s="28">
        <f t="shared" si="32"/>
        <v>-9.5709728108184892E-3</v>
      </c>
      <c r="I1052" s="26" t="s">
        <v>419</v>
      </c>
      <c r="J1052" s="14">
        <v>40918.449999999997</v>
      </c>
      <c r="K1052" s="28">
        <f t="shared" si="33"/>
        <v>-9.9564601457296717E-3</v>
      </c>
    </row>
    <row r="1053" spans="1:11" x14ac:dyDescent="0.3">
      <c r="A1053" s="23">
        <v>45006</v>
      </c>
      <c r="B1053">
        <v>413.99</v>
      </c>
      <c r="C1053" s="28">
        <f t="shared" si="32"/>
        <v>-4.831730769230747E-3</v>
      </c>
      <c r="I1053" s="26" t="s">
        <v>418</v>
      </c>
      <c r="J1053" s="14">
        <v>40877.980000000003</v>
      </c>
      <c r="K1053" s="28">
        <f t="shared" si="33"/>
        <v>-9.8904039620254175E-4</v>
      </c>
    </row>
    <row r="1054" spans="1:11" x14ac:dyDescent="0.3">
      <c r="A1054" s="23">
        <v>45007</v>
      </c>
      <c r="B1054">
        <v>405.1</v>
      </c>
      <c r="C1054" s="28">
        <f t="shared" si="32"/>
        <v>-2.1473948646102529E-2</v>
      </c>
      <c r="I1054" s="26" t="s">
        <v>417</v>
      </c>
      <c r="J1054" s="14">
        <v>40376.1</v>
      </c>
      <c r="K1054" s="28">
        <f t="shared" si="33"/>
        <v>-1.2277514691283782E-2</v>
      </c>
    </row>
    <row r="1055" spans="1:11" x14ac:dyDescent="0.3">
      <c r="A1055" s="23">
        <v>45009</v>
      </c>
      <c r="B1055">
        <v>401.53</v>
      </c>
      <c r="C1055" s="28">
        <f t="shared" si="32"/>
        <v>-8.8126388546039252E-3</v>
      </c>
      <c r="I1055" s="26" t="s">
        <v>416</v>
      </c>
      <c r="J1055" s="14">
        <v>39942.050000000003</v>
      </c>
      <c r="K1055" s="28">
        <f t="shared" si="33"/>
        <v>-1.0750171512354974E-2</v>
      </c>
    </row>
    <row r="1056" spans="1:11" x14ac:dyDescent="0.3">
      <c r="A1056" s="23">
        <v>45012</v>
      </c>
      <c r="B1056">
        <v>403.12</v>
      </c>
      <c r="C1056" s="28">
        <f t="shared" si="32"/>
        <v>3.9598535601325724E-3</v>
      </c>
      <c r="I1056" s="26" t="s">
        <v>415</v>
      </c>
      <c r="J1056" s="14">
        <v>40000.370000000003</v>
      </c>
      <c r="K1056" s="28">
        <f t="shared" si="33"/>
        <v>1.4601153421018628E-3</v>
      </c>
    </row>
    <row r="1057" spans="1:11" x14ac:dyDescent="0.3">
      <c r="A1057" s="23">
        <v>45013</v>
      </c>
      <c r="B1057">
        <v>400.5</v>
      </c>
      <c r="C1057" s="28">
        <f t="shared" si="32"/>
        <v>-6.4993054177416264E-3</v>
      </c>
      <c r="I1057" s="26" t="s">
        <v>414</v>
      </c>
      <c r="J1057" s="14">
        <v>40082.370000000003</v>
      </c>
      <c r="K1057" s="28">
        <f t="shared" si="33"/>
        <v>2.0499810376754012E-3</v>
      </c>
    </row>
    <row r="1058" spans="1:11" x14ac:dyDescent="0.3">
      <c r="A1058" s="23">
        <v>45014</v>
      </c>
      <c r="B1058">
        <v>395.91</v>
      </c>
      <c r="C1058" s="28">
        <f t="shared" si="32"/>
        <v>-1.1460674157303308E-2</v>
      </c>
      <c r="I1058" s="26" t="s">
        <v>413</v>
      </c>
      <c r="J1058" s="14">
        <v>39879.89</v>
      </c>
      <c r="K1058" s="28">
        <f t="shared" si="33"/>
        <v>-5.0515974978526269E-3</v>
      </c>
    </row>
    <row r="1059" spans="1:11" x14ac:dyDescent="0.3">
      <c r="A1059" s="23">
        <v>45015</v>
      </c>
      <c r="B1059">
        <v>398.5</v>
      </c>
      <c r="C1059" s="28">
        <f t="shared" si="32"/>
        <v>6.5418908337752891E-3</v>
      </c>
      <c r="I1059" s="26" t="s">
        <v>412</v>
      </c>
      <c r="J1059" s="14">
        <v>39848.35</v>
      </c>
      <c r="K1059" s="28">
        <f t="shared" si="33"/>
        <v>-7.9087479930363077E-4</v>
      </c>
    </row>
    <row r="1060" spans="1:11" x14ac:dyDescent="0.3">
      <c r="A1060" s="23">
        <v>45016</v>
      </c>
      <c r="B1060">
        <v>405</v>
      </c>
      <c r="C1060" s="28">
        <f t="shared" si="32"/>
        <v>1.631116687578419E-2</v>
      </c>
      <c r="I1060" s="26" t="s">
        <v>411</v>
      </c>
      <c r="J1060" s="14">
        <v>40000.83</v>
      </c>
      <c r="K1060" s="28">
        <f t="shared" si="33"/>
        <v>3.8265072455949422E-3</v>
      </c>
    </row>
    <row r="1061" spans="1:11" x14ac:dyDescent="0.3">
      <c r="A1061" s="23">
        <v>45019</v>
      </c>
      <c r="B1061">
        <v>400</v>
      </c>
      <c r="C1061" s="28">
        <f t="shared" si="32"/>
        <v>-1.2345679012345678E-2</v>
      </c>
      <c r="I1061" s="27">
        <v>44989</v>
      </c>
      <c r="J1061" s="14">
        <v>39889.9</v>
      </c>
      <c r="K1061" s="28">
        <f t="shared" si="33"/>
        <v>-2.7731924562565398E-3</v>
      </c>
    </row>
    <row r="1062" spans="1:11" x14ac:dyDescent="0.3">
      <c r="A1062" s="23">
        <v>45020</v>
      </c>
      <c r="B1062">
        <v>404.68</v>
      </c>
      <c r="C1062" s="28">
        <f t="shared" si="32"/>
        <v>1.1700000000000018E-2</v>
      </c>
      <c r="I1062" s="27">
        <v>45020</v>
      </c>
      <c r="J1062" s="14">
        <v>39687.26</v>
      </c>
      <c r="K1062" s="28">
        <f t="shared" si="33"/>
        <v>-5.0799826522503044E-3</v>
      </c>
    </row>
    <row r="1063" spans="1:11" x14ac:dyDescent="0.3">
      <c r="A1063" s="23">
        <v>45021</v>
      </c>
      <c r="B1063">
        <v>402.55</v>
      </c>
      <c r="C1063" s="28">
        <f t="shared" si="32"/>
        <v>-5.2634180092912802E-3</v>
      </c>
      <c r="I1063" s="27">
        <v>45050</v>
      </c>
      <c r="J1063" s="14">
        <v>39717.15</v>
      </c>
      <c r="K1063" s="28">
        <f t="shared" si="33"/>
        <v>7.5313841267952021E-4</v>
      </c>
    </row>
    <row r="1064" spans="1:11" x14ac:dyDescent="0.3">
      <c r="A1064" s="23">
        <v>45022</v>
      </c>
      <c r="B1064">
        <v>409.2</v>
      </c>
      <c r="C1064" s="28">
        <f t="shared" si="32"/>
        <v>1.651968699540424E-2</v>
      </c>
      <c r="I1064" s="27">
        <v>45081</v>
      </c>
      <c r="J1064" s="14">
        <v>40350.89</v>
      </c>
      <c r="K1064" s="28">
        <f t="shared" si="33"/>
        <v>1.5956331207047786E-2</v>
      </c>
    </row>
    <row r="1065" spans="1:11" x14ac:dyDescent="0.3">
      <c r="A1065" s="23">
        <v>45023</v>
      </c>
      <c r="B1065">
        <v>404</v>
      </c>
      <c r="C1065" s="28">
        <f t="shared" si="32"/>
        <v>-1.2707722385141713E-2</v>
      </c>
      <c r="I1065" s="27">
        <v>45111</v>
      </c>
      <c r="J1065" s="14">
        <v>40049.65</v>
      </c>
      <c r="K1065" s="28">
        <f t="shared" si="33"/>
        <v>-7.4655106739900398E-3</v>
      </c>
    </row>
    <row r="1066" spans="1:11" x14ac:dyDescent="0.3">
      <c r="A1066" s="23">
        <v>45026</v>
      </c>
      <c r="B1066">
        <v>399.01</v>
      </c>
      <c r="C1066" s="28">
        <f t="shared" si="32"/>
        <v>-1.2351485148514875E-2</v>
      </c>
      <c r="I1066" s="27">
        <v>45203</v>
      </c>
      <c r="J1066" s="14">
        <v>39835.9</v>
      </c>
      <c r="K1066" s="28">
        <f t="shared" si="33"/>
        <v>-5.337125293229778E-3</v>
      </c>
    </row>
    <row r="1067" spans="1:11" x14ac:dyDescent="0.3">
      <c r="A1067" s="23">
        <v>45027</v>
      </c>
      <c r="B1067">
        <v>398.9</v>
      </c>
      <c r="C1067" s="28">
        <f t="shared" si="32"/>
        <v>-2.756823137265072E-4</v>
      </c>
      <c r="I1067" s="27">
        <v>45234</v>
      </c>
      <c r="J1067" s="14">
        <v>39804.71</v>
      </c>
      <c r="K1067" s="28">
        <f t="shared" si="33"/>
        <v>-7.8296210202361005E-4</v>
      </c>
    </row>
    <row r="1068" spans="1:11" x14ac:dyDescent="0.3">
      <c r="A1068" s="23">
        <v>45028</v>
      </c>
      <c r="B1068">
        <v>400.05</v>
      </c>
      <c r="C1068" s="28">
        <f t="shared" si="32"/>
        <v>2.88292805214348E-3</v>
      </c>
      <c r="I1068" s="27">
        <v>45264</v>
      </c>
      <c r="J1068" s="14">
        <v>40126.050000000003</v>
      </c>
      <c r="K1068" s="28">
        <f t="shared" si="33"/>
        <v>8.0729139842999429E-3</v>
      </c>
    </row>
    <row r="1069" spans="1:11" x14ac:dyDescent="0.3">
      <c r="A1069" s="23">
        <v>45029</v>
      </c>
      <c r="B1069">
        <v>402.11</v>
      </c>
      <c r="C1069" s="28">
        <f t="shared" si="32"/>
        <v>5.1493563304586985E-3</v>
      </c>
      <c r="I1069" s="26" t="s">
        <v>410</v>
      </c>
      <c r="J1069" s="14">
        <v>40205.54</v>
      </c>
      <c r="K1069" s="28">
        <f t="shared" si="33"/>
        <v>1.9810073505864135E-3</v>
      </c>
    </row>
    <row r="1070" spans="1:11" x14ac:dyDescent="0.3">
      <c r="A1070" s="23">
        <v>45033</v>
      </c>
      <c r="B1070">
        <v>396.35</v>
      </c>
      <c r="C1070" s="28">
        <f t="shared" si="32"/>
        <v>-1.432443858645642E-2</v>
      </c>
      <c r="I1070" s="26" t="s">
        <v>409</v>
      </c>
      <c r="J1070" s="14">
        <v>40246.660000000003</v>
      </c>
      <c r="K1070" s="28">
        <f t="shared" si="33"/>
        <v>1.0227446267355846E-3</v>
      </c>
    </row>
    <row r="1071" spans="1:11" x14ac:dyDescent="0.3">
      <c r="A1071" s="23">
        <v>45034</v>
      </c>
      <c r="B1071">
        <v>392.5</v>
      </c>
      <c r="C1071" s="28">
        <f t="shared" si="32"/>
        <v>-9.7136369370506431E-3</v>
      </c>
      <c r="I1071" s="26" t="s">
        <v>408</v>
      </c>
      <c r="J1071" s="14">
        <v>40448.050000000003</v>
      </c>
      <c r="K1071" s="28">
        <f t="shared" si="33"/>
        <v>5.0038934907890341E-3</v>
      </c>
    </row>
    <row r="1072" spans="1:11" x14ac:dyDescent="0.3">
      <c r="A1072" s="23">
        <v>45035</v>
      </c>
      <c r="B1072">
        <v>395</v>
      </c>
      <c r="C1072" s="28">
        <f t="shared" si="32"/>
        <v>6.369426751592357E-3</v>
      </c>
      <c r="I1072" s="26" t="s">
        <v>407</v>
      </c>
      <c r="J1072" s="14">
        <v>40499.339999999997</v>
      </c>
      <c r="K1072" s="28">
        <f t="shared" si="33"/>
        <v>1.2680462964220424E-3</v>
      </c>
    </row>
    <row r="1073" spans="1:11" x14ac:dyDescent="0.3">
      <c r="A1073" s="23">
        <v>45036</v>
      </c>
      <c r="B1073">
        <v>401.1</v>
      </c>
      <c r="C1073" s="28">
        <f t="shared" si="32"/>
        <v>1.5443037974683603E-2</v>
      </c>
      <c r="I1073" s="26" t="s">
        <v>406</v>
      </c>
      <c r="J1073" s="14">
        <v>41007.82</v>
      </c>
      <c r="K1073" s="28">
        <f t="shared" si="33"/>
        <v>1.255526633273538E-2</v>
      </c>
    </row>
    <row r="1074" spans="1:11" x14ac:dyDescent="0.3">
      <c r="A1074" s="23">
        <v>45042</v>
      </c>
      <c r="B1074">
        <v>395</v>
      </c>
      <c r="C1074" s="28">
        <f t="shared" si="32"/>
        <v>-1.5208177511842488E-2</v>
      </c>
      <c r="I1074" s="26" t="s">
        <v>405</v>
      </c>
      <c r="J1074" s="14">
        <v>41099.58</v>
      </c>
      <c r="K1074" s="28">
        <f t="shared" si="33"/>
        <v>2.2376219950244135E-3</v>
      </c>
    </row>
    <row r="1075" spans="1:11" x14ac:dyDescent="0.3">
      <c r="A1075" s="23">
        <v>45043</v>
      </c>
      <c r="B1075">
        <v>403</v>
      </c>
      <c r="C1075" s="28">
        <f t="shared" si="32"/>
        <v>2.0253164556962026E-2</v>
      </c>
      <c r="I1075" s="26" t="s">
        <v>404</v>
      </c>
      <c r="J1075" s="14">
        <v>41463.910000000003</v>
      </c>
      <c r="K1075" s="28">
        <f t="shared" si="33"/>
        <v>8.8645674724656971E-3</v>
      </c>
    </row>
    <row r="1076" spans="1:11" x14ac:dyDescent="0.3">
      <c r="A1076" s="23">
        <v>45044</v>
      </c>
      <c r="B1076">
        <v>401.99</v>
      </c>
      <c r="C1076" s="28">
        <f t="shared" si="32"/>
        <v>-2.5062034739453867E-3</v>
      </c>
      <c r="I1076" s="26" t="s">
        <v>403</v>
      </c>
      <c r="J1076" s="14">
        <v>41580.85</v>
      </c>
      <c r="K1076" s="28">
        <f t="shared" si="33"/>
        <v>2.8202839529604187E-3</v>
      </c>
    </row>
    <row r="1077" spans="1:11" x14ac:dyDescent="0.3">
      <c r="A1077" s="23">
        <v>45048</v>
      </c>
      <c r="B1077">
        <v>431.25</v>
      </c>
      <c r="C1077" s="28">
        <f t="shared" si="32"/>
        <v>7.2787880295529711E-2</v>
      </c>
      <c r="I1077" s="27">
        <v>44962</v>
      </c>
      <c r="J1077" s="14">
        <v>41927.64</v>
      </c>
      <c r="K1077" s="28">
        <f t="shared" si="33"/>
        <v>8.3401373468796544E-3</v>
      </c>
    </row>
    <row r="1078" spans="1:11" x14ac:dyDescent="0.3">
      <c r="A1078" s="23">
        <v>45049</v>
      </c>
      <c r="B1078">
        <v>460.1</v>
      </c>
      <c r="C1078" s="28">
        <f t="shared" si="32"/>
        <v>6.689855072463774E-2</v>
      </c>
      <c r="I1078" s="27">
        <v>44990</v>
      </c>
      <c r="J1078" s="14">
        <v>42087.93</v>
      </c>
      <c r="K1078" s="28">
        <f t="shared" si="33"/>
        <v>3.8230150802668807E-3</v>
      </c>
    </row>
    <row r="1079" spans="1:11" x14ac:dyDescent="0.3">
      <c r="A1079" s="23">
        <v>45050</v>
      </c>
      <c r="B1079">
        <v>456.75</v>
      </c>
      <c r="C1079" s="28">
        <f t="shared" si="32"/>
        <v>-7.28102586394267E-3</v>
      </c>
      <c r="I1079" s="27">
        <v>45021</v>
      </c>
      <c r="J1079" s="14">
        <v>42093.8</v>
      </c>
      <c r="K1079" s="28">
        <f t="shared" si="33"/>
        <v>1.3946991453375396E-4</v>
      </c>
    </row>
    <row r="1080" spans="1:11" x14ac:dyDescent="0.3">
      <c r="A1080" s="23">
        <v>45051</v>
      </c>
      <c r="B1080">
        <v>455.23</v>
      </c>
      <c r="C1080" s="28">
        <f t="shared" si="32"/>
        <v>-3.3278598795839776E-3</v>
      </c>
      <c r="I1080" s="27">
        <v>45051</v>
      </c>
      <c r="J1080" s="14">
        <v>42241.98</v>
      </c>
      <c r="K1080" s="28">
        <f t="shared" si="33"/>
        <v>3.520233383538675E-3</v>
      </c>
    </row>
    <row r="1081" spans="1:11" x14ac:dyDescent="0.3">
      <c r="A1081" s="23">
        <v>45054</v>
      </c>
      <c r="B1081">
        <v>446.03</v>
      </c>
      <c r="C1081" s="28">
        <f t="shared" si="32"/>
        <v>-2.0209564396019692E-2</v>
      </c>
      <c r="I1081" s="27">
        <v>45143</v>
      </c>
      <c r="J1081" s="14">
        <v>41829.49</v>
      </c>
      <c r="K1081" s="28">
        <f t="shared" si="33"/>
        <v>-9.7649305264574538E-3</v>
      </c>
    </row>
    <row r="1082" spans="1:11" x14ac:dyDescent="0.3">
      <c r="A1082" s="23">
        <v>45055</v>
      </c>
      <c r="B1082">
        <v>442.5</v>
      </c>
      <c r="C1082" s="28">
        <f t="shared" si="32"/>
        <v>-7.914265856556673E-3</v>
      </c>
      <c r="I1082" s="27">
        <v>45174</v>
      </c>
      <c r="J1082" s="14">
        <v>41373.81</v>
      </c>
      <c r="K1082" s="28">
        <f t="shared" si="33"/>
        <v>-1.0893749840124761E-2</v>
      </c>
    </row>
    <row r="1083" spans="1:11" x14ac:dyDescent="0.3">
      <c r="A1083" s="23">
        <v>45056</v>
      </c>
      <c r="B1083">
        <v>444</v>
      </c>
      <c r="C1083" s="28">
        <f t="shared" si="32"/>
        <v>3.3898305084745762E-3</v>
      </c>
      <c r="I1083" s="27">
        <v>45204</v>
      </c>
      <c r="J1083" s="14">
        <v>41074.949999999997</v>
      </c>
      <c r="K1083" s="28">
        <f t="shared" si="33"/>
        <v>-7.2234101717971004E-3</v>
      </c>
    </row>
    <row r="1084" spans="1:11" x14ac:dyDescent="0.3">
      <c r="A1084" s="23">
        <v>45057</v>
      </c>
      <c r="B1084">
        <v>459</v>
      </c>
      <c r="C1084" s="28">
        <f t="shared" si="32"/>
        <v>3.3783783783783786E-2</v>
      </c>
      <c r="I1084" s="27">
        <v>45235</v>
      </c>
      <c r="J1084" s="14">
        <v>41325.629999999997</v>
      </c>
      <c r="K1084" s="28">
        <f t="shared" si="33"/>
        <v>6.102989778441612E-3</v>
      </c>
    </row>
    <row r="1085" spans="1:11" x14ac:dyDescent="0.3">
      <c r="A1085" s="23">
        <v>45058</v>
      </c>
      <c r="B1085">
        <v>464.9</v>
      </c>
      <c r="C1085" s="28">
        <f t="shared" si="32"/>
        <v>1.2854030501089275E-2</v>
      </c>
      <c r="I1085" s="27">
        <v>45265</v>
      </c>
      <c r="J1085" s="14">
        <v>41487.58</v>
      </c>
      <c r="K1085" s="28">
        <f t="shared" si="33"/>
        <v>3.9188755259146535E-3</v>
      </c>
    </row>
    <row r="1086" spans="1:11" x14ac:dyDescent="0.3">
      <c r="A1086" s="23">
        <v>45061</v>
      </c>
      <c r="B1086">
        <v>467.88</v>
      </c>
      <c r="C1086" s="28">
        <f t="shared" si="32"/>
        <v>6.4099806409981036E-3</v>
      </c>
      <c r="I1086" s="26" t="s">
        <v>402</v>
      </c>
      <c r="J1086" s="14">
        <v>41716.26</v>
      </c>
      <c r="K1086" s="28">
        <f t="shared" si="33"/>
        <v>5.5120110645161821E-3</v>
      </c>
    </row>
    <row r="1087" spans="1:11" x14ac:dyDescent="0.3">
      <c r="A1087" s="23">
        <v>45062</v>
      </c>
      <c r="B1087">
        <v>465</v>
      </c>
      <c r="C1087" s="28">
        <f t="shared" si="32"/>
        <v>-6.1554244678122495E-3</v>
      </c>
      <c r="I1087" s="26" t="s">
        <v>401</v>
      </c>
      <c r="J1087" s="14">
        <v>41980.13</v>
      </c>
      <c r="K1087" s="28">
        <f t="shared" si="33"/>
        <v>6.3253513138520883E-3</v>
      </c>
    </row>
    <row r="1088" spans="1:11" x14ac:dyDescent="0.3">
      <c r="A1088" s="23">
        <v>45063</v>
      </c>
      <c r="B1088">
        <v>466.2</v>
      </c>
      <c r="C1088" s="28">
        <f t="shared" si="32"/>
        <v>2.5806451612902983E-3</v>
      </c>
      <c r="I1088" s="26" t="s">
        <v>400</v>
      </c>
      <c r="J1088" s="14">
        <v>41835.57</v>
      </c>
      <c r="K1088" s="28">
        <f t="shared" si="33"/>
        <v>-3.44353388138621E-3</v>
      </c>
    </row>
    <row r="1089" spans="1:11" x14ac:dyDescent="0.3">
      <c r="A1089" s="23">
        <v>45064</v>
      </c>
      <c r="B1089">
        <v>469.5</v>
      </c>
      <c r="C1089" s="28">
        <f t="shared" si="32"/>
        <v>7.0785070785071031E-3</v>
      </c>
      <c r="I1089" s="26" t="s">
        <v>399</v>
      </c>
      <c r="J1089" s="14">
        <v>41472.199999999997</v>
      </c>
      <c r="K1089" s="28">
        <f t="shared" si="33"/>
        <v>-8.685671068901479E-3</v>
      </c>
    </row>
    <row r="1090" spans="1:11" x14ac:dyDescent="0.3">
      <c r="A1090" s="23">
        <v>45065</v>
      </c>
      <c r="B1090">
        <v>473.32</v>
      </c>
      <c r="C1090" s="28">
        <f t="shared" si="32"/>
        <v>8.136315228966972E-3</v>
      </c>
      <c r="I1090" s="26" t="s">
        <v>398</v>
      </c>
      <c r="J1090" s="14">
        <v>41614.870000000003</v>
      </c>
      <c r="K1090" s="28">
        <f t="shared" si="33"/>
        <v>3.440135801814361E-3</v>
      </c>
    </row>
    <row r="1091" spans="1:11" x14ac:dyDescent="0.3">
      <c r="A1091" s="23">
        <v>45068</v>
      </c>
      <c r="B1091">
        <v>472.7</v>
      </c>
      <c r="C1091" s="28">
        <f t="shared" si="32"/>
        <v>-1.3098960534099649E-3</v>
      </c>
      <c r="I1091" s="26" t="s">
        <v>397</v>
      </c>
      <c r="J1091" s="14">
        <v>41203.5</v>
      </c>
      <c r="K1091" s="28">
        <f t="shared" si="33"/>
        <v>-9.8851684506043782E-3</v>
      </c>
    </row>
    <row r="1092" spans="1:11" x14ac:dyDescent="0.3">
      <c r="A1092" s="23">
        <v>45069</v>
      </c>
      <c r="B1092">
        <v>469.55</v>
      </c>
      <c r="C1092" s="28">
        <f t="shared" si="32"/>
        <v>-6.6638459911148237E-3</v>
      </c>
      <c r="I1092" s="26" t="s">
        <v>396</v>
      </c>
      <c r="J1092" s="14">
        <v>41116.629999999997</v>
      </c>
      <c r="K1092" s="28">
        <f t="shared" si="33"/>
        <v>-2.1083160411130759E-3</v>
      </c>
    </row>
    <row r="1093" spans="1:11" x14ac:dyDescent="0.3">
      <c r="A1093" s="23">
        <v>45070</v>
      </c>
      <c r="B1093">
        <v>468.5</v>
      </c>
      <c r="C1093" s="28">
        <f t="shared" si="32"/>
        <v>-2.2361835800234508E-3</v>
      </c>
      <c r="I1093" s="26" t="s">
        <v>395</v>
      </c>
      <c r="J1093" s="14">
        <v>41098.480000000003</v>
      </c>
      <c r="K1093" s="28">
        <f t="shared" si="33"/>
        <v>-4.4142722786362065E-4</v>
      </c>
    </row>
    <row r="1094" spans="1:11" x14ac:dyDescent="0.3">
      <c r="A1094" s="23">
        <v>45071</v>
      </c>
      <c r="B1094">
        <v>481.49</v>
      </c>
      <c r="C1094" s="28">
        <f t="shared" ref="C1094:C1157" si="34">(B1094-B1093)/B1093</f>
        <v>2.7726787620064055E-2</v>
      </c>
      <c r="I1094" s="26" t="s">
        <v>394</v>
      </c>
      <c r="J1094" s="14">
        <v>41070.300000000003</v>
      </c>
      <c r="K1094" s="28">
        <f t="shared" ref="K1094:K1157" si="35">(J1094-J1093)/J1093</f>
        <v>-6.8567012697307267E-4</v>
      </c>
    </row>
    <row r="1095" spans="1:11" x14ac:dyDescent="0.3">
      <c r="A1095" s="23">
        <v>45072</v>
      </c>
      <c r="B1095">
        <v>512.98</v>
      </c>
      <c r="C1095" s="28">
        <f t="shared" si="34"/>
        <v>6.5401150595027949E-2</v>
      </c>
      <c r="I1095" s="26" t="s">
        <v>393</v>
      </c>
      <c r="J1095" s="14">
        <v>41002.6</v>
      </c>
      <c r="K1095" s="28">
        <f t="shared" si="35"/>
        <v>-1.648393121063259E-3</v>
      </c>
    </row>
    <row r="1096" spans="1:11" x14ac:dyDescent="0.3">
      <c r="A1096" s="23">
        <v>45075</v>
      </c>
      <c r="B1096">
        <v>512.42999999999995</v>
      </c>
      <c r="C1096" s="28">
        <f t="shared" si="34"/>
        <v>-1.0721665562011544E-3</v>
      </c>
      <c r="I1096" s="26" t="s">
        <v>392</v>
      </c>
      <c r="J1096" s="14">
        <v>41350.25</v>
      </c>
      <c r="K1096" s="28">
        <f t="shared" si="35"/>
        <v>8.4787306170828556E-3</v>
      </c>
    </row>
    <row r="1097" spans="1:11" x14ac:dyDescent="0.3">
      <c r="A1097" s="23">
        <v>45076</v>
      </c>
      <c r="B1097">
        <v>537.02</v>
      </c>
      <c r="C1097" s="28">
        <f t="shared" si="34"/>
        <v>4.7987042132584028E-2</v>
      </c>
      <c r="I1097" s="26" t="s">
        <v>391</v>
      </c>
      <c r="J1097" s="14">
        <v>41665.85</v>
      </c>
      <c r="K1097" s="28">
        <f t="shared" si="35"/>
        <v>7.6323601429253403E-3</v>
      </c>
    </row>
    <row r="1098" spans="1:11" x14ac:dyDescent="0.3">
      <c r="A1098" s="23">
        <v>45077</v>
      </c>
      <c r="B1098">
        <v>516</v>
      </c>
      <c r="C1098" s="28">
        <f t="shared" si="34"/>
        <v>-3.9141931399202974E-2</v>
      </c>
      <c r="I1098" s="26" t="s">
        <v>390</v>
      </c>
      <c r="J1098" s="14">
        <v>41337.82</v>
      </c>
      <c r="K1098" s="28">
        <f t="shared" si="35"/>
        <v>-7.8728743083364156E-3</v>
      </c>
    </row>
    <row r="1099" spans="1:11" x14ac:dyDescent="0.3">
      <c r="A1099" s="23">
        <v>45078</v>
      </c>
      <c r="B1099">
        <v>516</v>
      </c>
      <c r="C1099" s="28">
        <f t="shared" si="34"/>
        <v>0</v>
      </c>
      <c r="I1099" s="27">
        <v>44932</v>
      </c>
      <c r="J1099" s="14">
        <v>41273.72</v>
      </c>
      <c r="K1099" s="28">
        <f t="shared" si="35"/>
        <v>-1.5506381323446314E-3</v>
      </c>
    </row>
    <row r="1100" spans="1:11" x14ac:dyDescent="0.3">
      <c r="A1100" s="23">
        <v>45079</v>
      </c>
      <c r="B1100">
        <v>515.02</v>
      </c>
      <c r="C1100" s="28">
        <f t="shared" si="34"/>
        <v>-1.8992248062015857E-3</v>
      </c>
      <c r="I1100" s="27">
        <v>44963</v>
      </c>
      <c r="J1100" s="14">
        <v>41356.239999999998</v>
      </c>
      <c r="K1100" s="28">
        <f t="shared" si="35"/>
        <v>1.9993351701760053E-3</v>
      </c>
    </row>
    <row r="1101" spans="1:11" x14ac:dyDescent="0.3">
      <c r="A1101" s="23">
        <v>45082</v>
      </c>
      <c r="B1101">
        <v>510.98</v>
      </c>
      <c r="C1101" s="28">
        <f t="shared" si="34"/>
        <v>-7.8443555590073464E-3</v>
      </c>
      <c r="I1101" s="27">
        <v>45052</v>
      </c>
      <c r="J1101" s="14">
        <v>41638.53</v>
      </c>
      <c r="K1101" s="28">
        <f t="shared" si="35"/>
        <v>6.8258139521388036E-3</v>
      </c>
    </row>
    <row r="1102" spans="1:11" x14ac:dyDescent="0.3">
      <c r="A1102" s="23">
        <v>45083</v>
      </c>
      <c r="B1102">
        <v>515.49</v>
      </c>
      <c r="C1102" s="28">
        <f t="shared" si="34"/>
        <v>8.8261771497905803E-3</v>
      </c>
      <c r="I1102" s="27">
        <v>45083</v>
      </c>
      <c r="J1102" s="14">
        <v>41912.879999999997</v>
      </c>
      <c r="K1102" s="28">
        <f t="shared" si="35"/>
        <v>6.5888493181675374E-3</v>
      </c>
    </row>
    <row r="1103" spans="1:11" x14ac:dyDescent="0.3">
      <c r="A1103" s="23">
        <v>45084</v>
      </c>
      <c r="B1103">
        <v>513.5</v>
      </c>
      <c r="C1103" s="28">
        <f t="shared" si="34"/>
        <v>-3.8604046635240434E-3</v>
      </c>
      <c r="I1103" s="27">
        <v>45113</v>
      </c>
      <c r="J1103" s="14">
        <v>42119.22</v>
      </c>
      <c r="K1103" s="28">
        <f t="shared" si="35"/>
        <v>4.9230689945430565E-3</v>
      </c>
    </row>
    <row r="1104" spans="1:11" x14ac:dyDescent="0.3">
      <c r="A1104" s="23">
        <v>45085</v>
      </c>
      <c r="B1104">
        <v>506.51</v>
      </c>
      <c r="C1104" s="28">
        <f t="shared" si="34"/>
        <v>-1.3612463485881226E-2</v>
      </c>
      <c r="I1104" s="27">
        <v>45144</v>
      </c>
      <c r="J1104" s="14">
        <v>41668.07</v>
      </c>
      <c r="K1104" s="28">
        <f t="shared" si="35"/>
        <v>-1.0711261984433744E-2</v>
      </c>
    </row>
    <row r="1105" spans="1:11" x14ac:dyDescent="0.3">
      <c r="A1105" s="23">
        <v>45086</v>
      </c>
      <c r="B1105">
        <v>511</v>
      </c>
      <c r="C1105" s="28">
        <f t="shared" si="34"/>
        <v>8.8645831276776554E-3</v>
      </c>
      <c r="I1105" s="27">
        <v>45175</v>
      </c>
      <c r="J1105" s="14">
        <v>41904.86</v>
      </c>
      <c r="K1105" s="28">
        <f t="shared" si="35"/>
        <v>5.6827686043534262E-3</v>
      </c>
    </row>
    <row r="1106" spans="1:11" x14ac:dyDescent="0.3">
      <c r="A1106" s="23">
        <v>45089</v>
      </c>
      <c r="B1106">
        <v>532</v>
      </c>
      <c r="C1106" s="28">
        <f t="shared" si="34"/>
        <v>4.1095890410958902E-2</v>
      </c>
      <c r="I1106" s="27">
        <v>45266</v>
      </c>
      <c r="J1106" s="14">
        <v>41772.33</v>
      </c>
      <c r="K1106" s="28">
        <f t="shared" si="35"/>
        <v>-3.162640323819214E-3</v>
      </c>
    </row>
    <row r="1107" spans="1:11" x14ac:dyDescent="0.3">
      <c r="A1107" s="23">
        <v>45090</v>
      </c>
      <c r="B1107">
        <v>510.6</v>
      </c>
      <c r="C1107" s="28">
        <f t="shared" si="34"/>
        <v>-4.0225563909774394E-2</v>
      </c>
      <c r="I1107" s="26" t="s">
        <v>389</v>
      </c>
      <c r="J1107" s="14">
        <v>41536.160000000003</v>
      </c>
      <c r="K1107" s="28">
        <f t="shared" si="35"/>
        <v>-5.6537425611642503E-3</v>
      </c>
    </row>
    <row r="1108" spans="1:11" x14ac:dyDescent="0.3">
      <c r="A1108" s="23">
        <v>45091</v>
      </c>
      <c r="B1108">
        <v>511.75</v>
      </c>
      <c r="C1108" s="28">
        <f t="shared" si="34"/>
        <v>2.2522522522522076E-3</v>
      </c>
      <c r="I1108" s="26" t="s">
        <v>388</v>
      </c>
      <c r="J1108" s="14">
        <v>41536.870000000003</v>
      </c>
      <c r="K1108" s="28">
        <f t="shared" si="35"/>
        <v>1.7093539701289834E-5</v>
      </c>
    </row>
    <row r="1109" spans="1:11" x14ac:dyDescent="0.3">
      <c r="A1109" s="23">
        <v>45092</v>
      </c>
      <c r="B1109">
        <v>505</v>
      </c>
      <c r="C1109" s="28">
        <f t="shared" si="34"/>
        <v>-1.3190034196384953E-2</v>
      </c>
      <c r="I1109" s="26" t="s">
        <v>387</v>
      </c>
      <c r="J1109" s="14">
        <v>41404.5</v>
      </c>
      <c r="K1109" s="28">
        <f t="shared" si="35"/>
        <v>-3.1868072871163045E-3</v>
      </c>
    </row>
    <row r="1110" spans="1:11" x14ac:dyDescent="0.3">
      <c r="A1110" s="23">
        <v>45093</v>
      </c>
      <c r="B1110">
        <v>510.25</v>
      </c>
      <c r="C1110" s="28">
        <f t="shared" si="34"/>
        <v>1.0396039603960397E-2</v>
      </c>
      <c r="I1110" s="26" t="s">
        <v>386</v>
      </c>
      <c r="J1110" s="14">
        <v>41335.53</v>
      </c>
      <c r="K1110" s="28">
        <f t="shared" si="35"/>
        <v>-1.6657609680107515E-3</v>
      </c>
    </row>
    <row r="1111" spans="1:11" x14ac:dyDescent="0.3">
      <c r="A1111" s="23">
        <v>45096</v>
      </c>
      <c r="B1111">
        <v>513</v>
      </c>
      <c r="C1111" s="28">
        <f t="shared" si="34"/>
        <v>5.3895149436550714E-3</v>
      </c>
      <c r="I1111" s="26" t="s">
        <v>385</v>
      </c>
      <c r="J1111" s="14">
        <v>40650.449999999997</v>
      </c>
      <c r="K1111" s="28">
        <f t="shared" si="35"/>
        <v>-1.6573635320510025E-2</v>
      </c>
    </row>
    <row r="1112" spans="1:11" x14ac:dyDescent="0.3">
      <c r="A1112" s="23">
        <v>45097</v>
      </c>
      <c r="B1112">
        <v>512</v>
      </c>
      <c r="C1112" s="28">
        <f t="shared" si="34"/>
        <v>-1.9493177387914229E-3</v>
      </c>
      <c r="I1112" s="26" t="s">
        <v>384</v>
      </c>
      <c r="J1112" s="14">
        <v>40647.480000000003</v>
      </c>
      <c r="K1112" s="28">
        <f t="shared" si="35"/>
        <v>-7.3061921823593299E-5</v>
      </c>
    </row>
    <row r="1113" spans="1:11" x14ac:dyDescent="0.3">
      <c r="A1113" s="23">
        <v>45098</v>
      </c>
      <c r="B1113">
        <v>512</v>
      </c>
      <c r="C1113" s="28">
        <f t="shared" si="34"/>
        <v>0</v>
      </c>
      <c r="I1113" s="26" t="s">
        <v>383</v>
      </c>
      <c r="J1113" s="14">
        <v>40229.760000000002</v>
      </c>
      <c r="K1113" s="28">
        <f t="shared" si="35"/>
        <v>-1.0276651836719056E-2</v>
      </c>
    </row>
    <row r="1114" spans="1:11" x14ac:dyDescent="0.3">
      <c r="A1114" s="23">
        <v>45099</v>
      </c>
      <c r="B1114">
        <v>513.15</v>
      </c>
      <c r="C1114" s="28">
        <f t="shared" si="34"/>
        <v>2.2460937499999556E-3</v>
      </c>
      <c r="I1114" s="26" t="s">
        <v>382</v>
      </c>
      <c r="J1114" s="14">
        <v>40181.839999999997</v>
      </c>
      <c r="K1114" s="28">
        <f t="shared" si="35"/>
        <v>-1.1911579885141132E-3</v>
      </c>
    </row>
    <row r="1115" spans="1:11" x14ac:dyDescent="0.3">
      <c r="A1115" s="23">
        <v>45100</v>
      </c>
      <c r="B1115">
        <v>514</v>
      </c>
      <c r="C1115" s="28">
        <f t="shared" si="34"/>
        <v>1.6564357400370706E-3</v>
      </c>
      <c r="I1115" s="26" t="s">
        <v>381</v>
      </c>
      <c r="J1115" s="14">
        <v>40090.36</v>
      </c>
      <c r="K1115" s="28">
        <f t="shared" si="35"/>
        <v>-2.276650347520072E-3</v>
      </c>
    </row>
    <row r="1116" spans="1:11" x14ac:dyDescent="0.3">
      <c r="A1116" s="23">
        <v>45103</v>
      </c>
      <c r="B1116">
        <v>527.84</v>
      </c>
      <c r="C1116" s="28">
        <f t="shared" si="34"/>
        <v>2.6926070038910569E-2</v>
      </c>
      <c r="I1116" s="26" t="s">
        <v>380</v>
      </c>
      <c r="J1116" s="14">
        <v>41386.57</v>
      </c>
      <c r="K1116" s="28">
        <f t="shared" si="35"/>
        <v>3.2332211534144346E-2</v>
      </c>
    </row>
    <row r="1117" spans="1:11" x14ac:dyDescent="0.3">
      <c r="A1117" s="23">
        <v>45104</v>
      </c>
      <c r="B1117">
        <v>521.5</v>
      </c>
      <c r="C1117" s="28">
        <f t="shared" si="34"/>
        <v>-1.2011215519854561E-2</v>
      </c>
      <c r="I1117" s="26" t="s">
        <v>379</v>
      </c>
      <c r="J1117" s="14">
        <v>41452.68</v>
      </c>
      <c r="K1117" s="28">
        <f t="shared" si="35"/>
        <v>1.597378086659527E-3</v>
      </c>
    </row>
    <row r="1118" spans="1:11" x14ac:dyDescent="0.3">
      <c r="A1118" s="23">
        <v>45110</v>
      </c>
      <c r="B1118">
        <v>561.25</v>
      </c>
      <c r="C1118" s="28">
        <f t="shared" si="34"/>
        <v>7.6222435282837966E-2</v>
      </c>
      <c r="I1118" s="27">
        <v>44992</v>
      </c>
      <c r="J1118" s="14">
        <v>43903.29</v>
      </c>
      <c r="K1118" s="28">
        <f t="shared" si="35"/>
        <v>5.9118252426622372E-2</v>
      </c>
    </row>
    <row r="1119" spans="1:11" x14ac:dyDescent="0.3">
      <c r="A1119" s="23">
        <v>45111</v>
      </c>
      <c r="B1119">
        <v>546.5</v>
      </c>
      <c r="C1119" s="28">
        <f t="shared" si="34"/>
        <v>-2.6280623608017816E-2</v>
      </c>
      <c r="I1119" s="27">
        <v>45023</v>
      </c>
      <c r="J1119" s="14">
        <v>43502.89</v>
      </c>
      <c r="K1119" s="28">
        <f t="shared" si="35"/>
        <v>-9.1200454453413734E-3</v>
      </c>
    </row>
    <row r="1120" spans="1:11" x14ac:dyDescent="0.3">
      <c r="A1120" s="23">
        <v>45112</v>
      </c>
      <c r="B1120">
        <v>543</v>
      </c>
      <c r="C1120" s="28">
        <f t="shared" si="34"/>
        <v>-6.4043915827996338E-3</v>
      </c>
      <c r="I1120" s="27">
        <v>45053</v>
      </c>
      <c r="J1120" s="14">
        <v>43553.81</v>
      </c>
      <c r="K1120" s="28">
        <f t="shared" si="35"/>
        <v>1.17049694859349E-3</v>
      </c>
    </row>
    <row r="1121" spans="1:11" x14ac:dyDescent="0.3">
      <c r="A1121" s="23">
        <v>45113</v>
      </c>
      <c r="B1121">
        <v>559.99</v>
      </c>
      <c r="C1121" s="28">
        <f t="shared" si="34"/>
        <v>3.1289134438305728E-2</v>
      </c>
      <c r="I1121" s="27">
        <v>45084</v>
      </c>
      <c r="J1121" s="14">
        <v>44211.72</v>
      </c>
      <c r="K1121" s="28">
        <f t="shared" si="35"/>
        <v>1.5105681913935968E-2</v>
      </c>
    </row>
    <row r="1122" spans="1:11" x14ac:dyDescent="0.3">
      <c r="A1122" s="23">
        <v>45114</v>
      </c>
      <c r="B1122">
        <v>556</v>
      </c>
      <c r="C1122" s="28">
        <f t="shared" si="34"/>
        <v>-7.1251272344149165E-3</v>
      </c>
      <c r="I1122" s="27">
        <v>45114</v>
      </c>
      <c r="J1122" s="14">
        <v>44284.92</v>
      </c>
      <c r="K1122" s="28">
        <f t="shared" si="35"/>
        <v>1.6556695826354887E-3</v>
      </c>
    </row>
    <row r="1123" spans="1:11" x14ac:dyDescent="0.3">
      <c r="A1123" s="23">
        <v>45117</v>
      </c>
      <c r="B1123">
        <v>557.1</v>
      </c>
      <c r="C1123" s="28">
        <f t="shared" si="34"/>
        <v>1.9784172661870911E-3</v>
      </c>
      <c r="I1123" s="27">
        <v>45206</v>
      </c>
      <c r="J1123" s="14">
        <v>44561.82</v>
      </c>
      <c r="K1123" s="28">
        <f t="shared" si="35"/>
        <v>6.2526927902320124E-3</v>
      </c>
    </row>
    <row r="1124" spans="1:11" x14ac:dyDescent="0.3">
      <c r="A1124" s="23">
        <v>45118</v>
      </c>
      <c r="B1124">
        <v>569</v>
      </c>
      <c r="C1124" s="28">
        <f t="shared" si="34"/>
        <v>2.1360617483396117E-2</v>
      </c>
      <c r="I1124" s="27">
        <v>45237</v>
      </c>
      <c r="J1124" s="14">
        <v>45179.23</v>
      </c>
      <c r="K1124" s="28">
        <f t="shared" si="35"/>
        <v>1.3855134283115085E-2</v>
      </c>
    </row>
    <row r="1125" spans="1:11" x14ac:dyDescent="0.3">
      <c r="A1125" s="23">
        <v>45119</v>
      </c>
      <c r="B1125">
        <v>580.4</v>
      </c>
      <c r="C1125" s="28">
        <f t="shared" si="34"/>
        <v>2.0035149384885726E-2</v>
      </c>
      <c r="I1125" s="27">
        <v>45267</v>
      </c>
      <c r="J1125" s="14">
        <v>45581.13</v>
      </c>
      <c r="K1125" s="28">
        <f t="shared" si="35"/>
        <v>8.895680603675498E-3</v>
      </c>
    </row>
    <row r="1126" spans="1:11" x14ac:dyDescent="0.3">
      <c r="A1126" s="23">
        <v>45120</v>
      </c>
      <c r="B1126">
        <v>581.5</v>
      </c>
      <c r="C1126" s="28">
        <f t="shared" si="34"/>
        <v>1.8952446588560007E-3</v>
      </c>
      <c r="I1126" s="26" t="s">
        <v>378</v>
      </c>
      <c r="J1126" s="14">
        <v>45296.52</v>
      </c>
      <c r="K1126" s="28">
        <f t="shared" si="35"/>
        <v>-6.2440312471410998E-3</v>
      </c>
    </row>
    <row r="1127" spans="1:11" x14ac:dyDescent="0.3">
      <c r="A1127" s="23">
        <v>45121</v>
      </c>
      <c r="B1127">
        <v>580</v>
      </c>
      <c r="C1127" s="28">
        <f t="shared" si="34"/>
        <v>-2.5795356835769563E-3</v>
      </c>
      <c r="I1127" s="26" t="s">
        <v>377</v>
      </c>
      <c r="J1127" s="14">
        <v>45071.94</v>
      </c>
      <c r="K1127" s="28">
        <f t="shared" si="35"/>
        <v>-4.9579967732619303E-3</v>
      </c>
    </row>
    <row r="1128" spans="1:11" x14ac:dyDescent="0.3">
      <c r="A1128" s="23">
        <v>45124</v>
      </c>
      <c r="B1128">
        <v>580.1</v>
      </c>
      <c r="C1128" s="28">
        <f t="shared" si="34"/>
        <v>1.7241379310348748E-4</v>
      </c>
      <c r="I1128" s="26" t="s">
        <v>376</v>
      </c>
      <c r="J1128" s="14">
        <v>45047.35</v>
      </c>
      <c r="K1128" s="28">
        <f t="shared" si="35"/>
        <v>-5.455722562641808E-4</v>
      </c>
    </row>
    <row r="1129" spans="1:11" x14ac:dyDescent="0.3">
      <c r="A1129" s="23">
        <v>45125</v>
      </c>
      <c r="B1129">
        <v>581.1</v>
      </c>
      <c r="C1129" s="28">
        <f t="shared" si="34"/>
        <v>1.7238407171177382E-3</v>
      </c>
      <c r="I1129" s="26" t="s">
        <v>375</v>
      </c>
      <c r="J1129" s="14">
        <v>45019.59</v>
      </c>
      <c r="K1129" s="28">
        <f t="shared" si="35"/>
        <v>-6.1624046697535009E-4</v>
      </c>
    </row>
    <row r="1130" spans="1:11" x14ac:dyDescent="0.3">
      <c r="A1130" s="23">
        <v>45126</v>
      </c>
      <c r="B1130">
        <v>582</v>
      </c>
      <c r="C1130" s="28">
        <f t="shared" si="34"/>
        <v>1.5487867836860734E-3</v>
      </c>
      <c r="I1130" s="26" t="s">
        <v>374</v>
      </c>
      <c r="J1130" s="14">
        <v>45086.33</v>
      </c>
      <c r="K1130" s="28">
        <f t="shared" si="35"/>
        <v>1.482465744357184E-3</v>
      </c>
    </row>
    <row r="1131" spans="1:11" x14ac:dyDescent="0.3">
      <c r="A1131" s="23">
        <v>45127</v>
      </c>
      <c r="B1131">
        <v>583.88</v>
      </c>
      <c r="C1131" s="28">
        <f t="shared" si="34"/>
        <v>3.2302405498281709E-3</v>
      </c>
      <c r="I1131" s="26" t="s">
        <v>373</v>
      </c>
      <c r="J1131" s="14">
        <v>45426.58</v>
      </c>
      <c r="K1131" s="28">
        <f t="shared" si="35"/>
        <v>7.5466333143549271E-3</v>
      </c>
    </row>
    <row r="1132" spans="1:11" x14ac:dyDescent="0.3">
      <c r="A1132" s="23">
        <v>45128</v>
      </c>
      <c r="B1132">
        <v>584</v>
      </c>
      <c r="C1132" s="28">
        <f t="shared" si="34"/>
        <v>2.0552168253751551E-4</v>
      </c>
      <c r="I1132" s="26" t="s">
        <v>372</v>
      </c>
      <c r="J1132" s="14">
        <v>45888.26</v>
      </c>
      <c r="K1132" s="28">
        <f t="shared" si="35"/>
        <v>1.0163212815052339E-2</v>
      </c>
    </row>
    <row r="1133" spans="1:11" x14ac:dyDescent="0.3">
      <c r="A1133" s="23">
        <v>45131</v>
      </c>
      <c r="B1133">
        <v>583.5</v>
      </c>
      <c r="C1133" s="28">
        <f t="shared" si="34"/>
        <v>-8.5616438356164379E-4</v>
      </c>
      <c r="I1133" s="26" t="s">
        <v>371</v>
      </c>
      <c r="J1133" s="14">
        <v>46065.55</v>
      </c>
      <c r="K1133" s="28">
        <f t="shared" si="35"/>
        <v>3.863515417668939E-3</v>
      </c>
    </row>
    <row r="1134" spans="1:11" x14ac:dyDescent="0.3">
      <c r="A1134" s="23">
        <v>45132</v>
      </c>
      <c r="B1134">
        <v>583.99</v>
      </c>
      <c r="C1134" s="28">
        <f t="shared" si="34"/>
        <v>8.3976006855185793E-4</v>
      </c>
      <c r="I1134" s="26" t="s">
        <v>370</v>
      </c>
      <c r="J1134" s="14">
        <v>46399.22</v>
      </c>
      <c r="K1134" s="28">
        <f t="shared" si="35"/>
        <v>7.2433738444455395E-3</v>
      </c>
    </row>
    <row r="1135" spans="1:11" x14ac:dyDescent="0.3">
      <c r="A1135" s="23">
        <v>45133</v>
      </c>
      <c r="B1135">
        <v>584.70000000000005</v>
      </c>
      <c r="C1135" s="28">
        <f t="shared" si="34"/>
        <v>1.2157742427096978E-3</v>
      </c>
      <c r="I1135" s="26" t="s">
        <v>369</v>
      </c>
      <c r="J1135" s="14">
        <v>46724.58</v>
      </c>
      <c r="K1135" s="28">
        <f t="shared" si="35"/>
        <v>7.012186842796077E-3</v>
      </c>
    </row>
    <row r="1136" spans="1:11" x14ac:dyDescent="0.3">
      <c r="A1136" s="23">
        <v>45134</v>
      </c>
      <c r="B1136">
        <v>588</v>
      </c>
      <c r="C1136" s="28">
        <f t="shared" si="34"/>
        <v>5.6439199589532309E-3</v>
      </c>
      <c r="I1136" s="26" t="s">
        <v>368</v>
      </c>
      <c r="J1136" s="14">
        <v>47139.06</v>
      </c>
      <c r="K1136" s="28">
        <f t="shared" si="35"/>
        <v>8.8707057398909935E-3</v>
      </c>
    </row>
    <row r="1137" spans="1:11" x14ac:dyDescent="0.3">
      <c r="A1137" s="23">
        <v>45138</v>
      </c>
      <c r="B1137">
        <v>589.5</v>
      </c>
      <c r="C1137" s="28">
        <f t="shared" si="34"/>
        <v>2.5510204081632651E-3</v>
      </c>
      <c r="I1137" s="26" t="s">
        <v>367</v>
      </c>
      <c r="J1137" s="14">
        <v>48034.59</v>
      </c>
      <c r="K1137" s="28">
        <f t="shared" si="35"/>
        <v>1.8997621081116148E-2</v>
      </c>
    </row>
    <row r="1138" spans="1:11" x14ac:dyDescent="0.3">
      <c r="A1138" s="23">
        <v>45139</v>
      </c>
      <c r="B1138">
        <v>592</v>
      </c>
      <c r="C1138" s="28">
        <f t="shared" si="34"/>
        <v>4.2408821034775231E-3</v>
      </c>
      <c r="I1138" s="27">
        <v>44934</v>
      </c>
      <c r="J1138" s="14">
        <v>48230.5</v>
      </c>
      <c r="K1138" s="28">
        <f t="shared" si="35"/>
        <v>4.0785192503985882E-3</v>
      </c>
    </row>
    <row r="1139" spans="1:11" x14ac:dyDescent="0.3">
      <c r="A1139" s="23">
        <v>45140</v>
      </c>
      <c r="B1139">
        <v>593.1</v>
      </c>
      <c r="C1139" s="28">
        <f t="shared" si="34"/>
        <v>1.8581081081081466E-3</v>
      </c>
      <c r="I1139" s="27">
        <v>44965</v>
      </c>
      <c r="J1139" s="14">
        <v>48764.55</v>
      </c>
      <c r="K1139" s="28">
        <f t="shared" si="35"/>
        <v>1.1072868827816483E-2</v>
      </c>
    </row>
    <row r="1140" spans="1:11" x14ac:dyDescent="0.3">
      <c r="A1140" s="23">
        <v>45141</v>
      </c>
      <c r="B1140">
        <v>598</v>
      </c>
      <c r="C1140" s="28">
        <f t="shared" si="34"/>
        <v>8.2616759399763567E-3</v>
      </c>
      <c r="I1140" s="27">
        <v>44993</v>
      </c>
      <c r="J1140" s="14">
        <v>48611.18</v>
      </c>
      <c r="K1140" s="28">
        <f t="shared" si="35"/>
        <v>-3.1451125869100117E-3</v>
      </c>
    </row>
    <row r="1141" spans="1:11" x14ac:dyDescent="0.3">
      <c r="A1141" s="23">
        <v>45142</v>
      </c>
      <c r="B1141">
        <v>603.12</v>
      </c>
      <c r="C1141" s="28">
        <f t="shared" si="34"/>
        <v>8.5618729096990035E-3</v>
      </c>
      <c r="I1141" s="27">
        <v>45024</v>
      </c>
      <c r="J1141" s="14">
        <v>48585.71</v>
      </c>
      <c r="K1141" s="28">
        <f t="shared" si="35"/>
        <v>-5.2395354319728844E-4</v>
      </c>
    </row>
    <row r="1142" spans="1:11" x14ac:dyDescent="0.3">
      <c r="A1142" s="23">
        <v>45145</v>
      </c>
      <c r="B1142">
        <v>606.11</v>
      </c>
      <c r="C1142" s="28">
        <f t="shared" si="34"/>
        <v>4.9575540522615886E-3</v>
      </c>
      <c r="I1142" s="27">
        <v>45115</v>
      </c>
      <c r="J1142" s="14">
        <v>48386.25</v>
      </c>
      <c r="K1142" s="28">
        <f t="shared" si="35"/>
        <v>-4.1053223262559942E-3</v>
      </c>
    </row>
    <row r="1143" spans="1:11" x14ac:dyDescent="0.3">
      <c r="A1143" s="23">
        <v>45146</v>
      </c>
      <c r="B1143">
        <v>602.01</v>
      </c>
      <c r="C1143" s="28">
        <f t="shared" si="34"/>
        <v>-6.7644486974311963E-3</v>
      </c>
      <c r="I1143" s="27">
        <v>45146</v>
      </c>
      <c r="J1143" s="14">
        <v>47429.82</v>
      </c>
      <c r="K1143" s="28">
        <f t="shared" si="35"/>
        <v>-1.9766565914903517E-2</v>
      </c>
    </row>
    <row r="1144" spans="1:11" x14ac:dyDescent="0.3">
      <c r="A1144" s="23">
        <v>45147</v>
      </c>
      <c r="B1144">
        <v>607.99</v>
      </c>
      <c r="C1144" s="28">
        <f t="shared" si="34"/>
        <v>9.9333898108005161E-3</v>
      </c>
      <c r="I1144" s="27">
        <v>45177</v>
      </c>
      <c r="J1144" s="14">
        <v>48227.6</v>
      </c>
      <c r="K1144" s="28">
        <f t="shared" si="35"/>
        <v>1.6820219853248417E-2</v>
      </c>
    </row>
    <row r="1145" spans="1:11" x14ac:dyDescent="0.3">
      <c r="A1145" s="23">
        <v>45148</v>
      </c>
      <c r="B1145">
        <v>610.5</v>
      </c>
      <c r="C1145" s="28">
        <f t="shared" si="34"/>
        <v>4.1283573742989044E-3</v>
      </c>
      <c r="I1145" s="27">
        <v>45207</v>
      </c>
      <c r="J1145" s="14">
        <v>47808.34</v>
      </c>
      <c r="K1145" s="28">
        <f t="shared" si="35"/>
        <v>-8.6933623070607289E-3</v>
      </c>
    </row>
    <row r="1146" spans="1:11" x14ac:dyDescent="0.3">
      <c r="A1146" s="23">
        <v>45149</v>
      </c>
      <c r="B1146">
        <v>616</v>
      </c>
      <c r="C1146" s="28">
        <f t="shared" si="34"/>
        <v>9.0090090090090089E-3</v>
      </c>
      <c r="I1146" s="27">
        <v>45238</v>
      </c>
      <c r="J1146" s="14">
        <v>48424.4</v>
      </c>
      <c r="K1146" s="28">
        <f t="shared" si="35"/>
        <v>1.288603620205188E-2</v>
      </c>
    </row>
    <row r="1147" spans="1:11" x14ac:dyDescent="0.3">
      <c r="A1147" s="23">
        <v>45153</v>
      </c>
      <c r="B1147">
        <v>621</v>
      </c>
      <c r="C1147" s="28">
        <f t="shared" si="34"/>
        <v>8.1168831168831161E-3</v>
      </c>
      <c r="I1147" s="26" t="s">
        <v>366</v>
      </c>
      <c r="J1147" s="14">
        <v>48565.75</v>
      </c>
      <c r="K1147" s="28">
        <f t="shared" si="35"/>
        <v>2.9189829920453023E-3</v>
      </c>
    </row>
    <row r="1148" spans="1:11" x14ac:dyDescent="0.3">
      <c r="A1148" s="23">
        <v>45154</v>
      </c>
      <c r="B1148">
        <v>627.5</v>
      </c>
      <c r="C1148" s="28">
        <f t="shared" si="34"/>
        <v>1.0466988727858293E-2</v>
      </c>
      <c r="I1148" s="26" t="s">
        <v>365</v>
      </c>
      <c r="J1148" s="14">
        <v>48146.43</v>
      </c>
      <c r="K1148" s="28">
        <f t="shared" si="35"/>
        <v>-8.6340682476848344E-3</v>
      </c>
    </row>
    <row r="1149" spans="1:11" x14ac:dyDescent="0.3">
      <c r="A1149" s="23">
        <v>45155</v>
      </c>
      <c r="B1149">
        <v>623.02</v>
      </c>
      <c r="C1149" s="28">
        <f t="shared" si="34"/>
        <v>-7.1394422310757264E-3</v>
      </c>
      <c r="I1149" s="26" t="s">
        <v>364</v>
      </c>
      <c r="J1149" s="14">
        <v>48325.84</v>
      </c>
      <c r="K1149" s="28">
        <f t="shared" si="35"/>
        <v>3.7263406653410486E-3</v>
      </c>
    </row>
    <row r="1150" spans="1:11" x14ac:dyDescent="0.3">
      <c r="A1150" s="23">
        <v>45156</v>
      </c>
      <c r="B1150">
        <v>613.51</v>
      </c>
      <c r="C1150" s="28">
        <f t="shared" si="34"/>
        <v>-1.5264357484510917E-2</v>
      </c>
      <c r="I1150" s="26" t="s">
        <v>363</v>
      </c>
      <c r="J1150" s="14">
        <v>48218.49</v>
      </c>
      <c r="K1150" s="28">
        <f t="shared" si="35"/>
        <v>-2.2213788730831899E-3</v>
      </c>
    </row>
    <row r="1151" spans="1:11" x14ac:dyDescent="0.3">
      <c r="A1151" s="23">
        <v>45159</v>
      </c>
      <c r="B1151">
        <v>605.53</v>
      </c>
      <c r="C1151" s="28">
        <f t="shared" si="34"/>
        <v>-1.3007122948281231E-2</v>
      </c>
      <c r="I1151" s="26" t="s">
        <v>362</v>
      </c>
      <c r="J1151" s="14">
        <v>47447.95</v>
      </c>
      <c r="K1151" s="28">
        <f t="shared" si="35"/>
        <v>-1.5980176898944803E-2</v>
      </c>
    </row>
    <row r="1152" spans="1:11" x14ac:dyDescent="0.3">
      <c r="A1152" s="23">
        <v>45160</v>
      </c>
      <c r="B1152">
        <v>603</v>
      </c>
      <c r="C1152" s="28">
        <f t="shared" si="34"/>
        <v>-4.1781579773090896E-3</v>
      </c>
      <c r="I1152" s="26" t="s">
        <v>361</v>
      </c>
      <c r="J1152" s="14">
        <v>47417.9</v>
      </c>
      <c r="K1152" s="28">
        <f t="shared" si="35"/>
        <v>-6.3332557044078056E-4</v>
      </c>
    </row>
    <row r="1153" spans="1:11" x14ac:dyDescent="0.3">
      <c r="A1153" s="23">
        <v>45161</v>
      </c>
      <c r="B1153">
        <v>601.01</v>
      </c>
      <c r="C1153" s="28">
        <f t="shared" si="34"/>
        <v>-3.3001658374792854E-3</v>
      </c>
      <c r="I1153" s="26" t="s">
        <v>360</v>
      </c>
      <c r="J1153" s="14">
        <v>47418.63</v>
      </c>
      <c r="K1153" s="28">
        <f t="shared" si="35"/>
        <v>1.5395030146757352E-5</v>
      </c>
    </row>
    <row r="1154" spans="1:11" x14ac:dyDescent="0.3">
      <c r="A1154" s="23">
        <v>45162</v>
      </c>
      <c r="B1154">
        <v>602.9</v>
      </c>
      <c r="C1154" s="28">
        <f t="shared" si="34"/>
        <v>3.1447064108750043E-3</v>
      </c>
      <c r="I1154" s="26" t="s">
        <v>359</v>
      </c>
      <c r="J1154" s="14">
        <v>47750.76</v>
      </c>
      <c r="K1154" s="28">
        <f t="shared" si="35"/>
        <v>7.0042091051556038E-3</v>
      </c>
    </row>
    <row r="1155" spans="1:11" x14ac:dyDescent="0.3">
      <c r="A1155" s="23">
        <v>45163</v>
      </c>
      <c r="B1155">
        <v>600.75</v>
      </c>
      <c r="C1155" s="28">
        <f t="shared" si="34"/>
        <v>-3.5660971968817009E-3</v>
      </c>
      <c r="I1155" s="26" t="s">
        <v>358</v>
      </c>
      <c r="J1155" s="14">
        <v>47671.21</v>
      </c>
      <c r="K1155" s="28">
        <f t="shared" si="35"/>
        <v>-1.6659420708697182E-3</v>
      </c>
    </row>
    <row r="1156" spans="1:11" x14ac:dyDescent="0.3">
      <c r="A1156" s="23">
        <v>45166</v>
      </c>
      <c r="B1156">
        <v>588.53</v>
      </c>
      <c r="C1156" s="28">
        <f t="shared" si="34"/>
        <v>-2.034124011652106E-2</v>
      </c>
      <c r="I1156" s="26" t="s">
        <v>357</v>
      </c>
      <c r="J1156" s="14">
        <v>47478.61</v>
      </c>
      <c r="K1156" s="28">
        <f t="shared" si="35"/>
        <v>-4.0401743526123747E-3</v>
      </c>
    </row>
    <row r="1157" spans="1:11" x14ac:dyDescent="0.3">
      <c r="A1157" s="23">
        <v>45167</v>
      </c>
      <c r="B1157">
        <v>585.01</v>
      </c>
      <c r="C1157" s="28">
        <f t="shared" si="34"/>
        <v>-5.9810035172378328E-3</v>
      </c>
      <c r="I1157" s="26" t="s">
        <v>356</v>
      </c>
      <c r="J1157" s="14">
        <v>46770.41</v>
      </c>
      <c r="K1157" s="28">
        <f t="shared" si="35"/>
        <v>-1.4916190680392646E-2</v>
      </c>
    </row>
    <row r="1158" spans="1:11" x14ac:dyDescent="0.3">
      <c r="A1158" s="23">
        <v>45168</v>
      </c>
      <c r="B1158">
        <v>581.02</v>
      </c>
      <c r="C1158" s="28">
        <f t="shared" ref="C1158:C1221" si="36">(B1158-B1157)/B1157</f>
        <v>-6.8203962325430493E-3</v>
      </c>
      <c r="I1158" s="26" t="s">
        <v>355</v>
      </c>
      <c r="J1158" s="14">
        <v>46244.55</v>
      </c>
      <c r="K1158" s="28">
        <f t="shared" ref="K1158:K1221" si="37">(J1158-J1157)/J1157</f>
        <v>-1.1243433615399149E-2</v>
      </c>
    </row>
    <row r="1159" spans="1:11" x14ac:dyDescent="0.3">
      <c r="A1159" s="23">
        <v>45169</v>
      </c>
      <c r="B1159">
        <v>556.01</v>
      </c>
      <c r="C1159" s="28">
        <f t="shared" si="36"/>
        <v>-4.3044989845444206E-2</v>
      </c>
      <c r="I1159" s="26" t="s">
        <v>354</v>
      </c>
      <c r="J1159" s="14">
        <v>45002.41</v>
      </c>
      <c r="K1159" s="28">
        <f t="shared" si="37"/>
        <v>-2.6860246234421122E-2</v>
      </c>
    </row>
    <row r="1160" spans="1:11" x14ac:dyDescent="0.3">
      <c r="A1160" s="23">
        <v>45170</v>
      </c>
      <c r="B1160">
        <v>556</v>
      </c>
      <c r="C1160" s="28">
        <f t="shared" si="36"/>
        <v>-1.7985288034371512E-5</v>
      </c>
      <c r="I1160" s="27">
        <v>44935</v>
      </c>
      <c r="J1160" s="14">
        <v>45312.65</v>
      </c>
      <c r="K1160" s="28">
        <f t="shared" si="37"/>
        <v>6.8938530180938738E-3</v>
      </c>
    </row>
    <row r="1161" spans="1:11" x14ac:dyDescent="0.3">
      <c r="A1161" s="23">
        <v>45173</v>
      </c>
      <c r="B1161">
        <v>560</v>
      </c>
      <c r="C1161" s="28">
        <f t="shared" si="36"/>
        <v>7.1942446043165471E-3</v>
      </c>
      <c r="I1161" s="27">
        <v>45025</v>
      </c>
      <c r="J1161" s="14">
        <v>45707.42</v>
      </c>
      <c r="K1161" s="28">
        <f t="shared" si="37"/>
        <v>8.7121366770647225E-3</v>
      </c>
    </row>
    <row r="1162" spans="1:11" x14ac:dyDescent="0.3">
      <c r="A1162" s="23">
        <v>45174</v>
      </c>
      <c r="B1162">
        <v>556.5</v>
      </c>
      <c r="C1162" s="28">
        <f t="shared" si="36"/>
        <v>-6.2500000000000003E-3</v>
      </c>
      <c r="I1162" s="27">
        <v>45055</v>
      </c>
      <c r="J1162" s="14">
        <v>45491.48</v>
      </c>
      <c r="K1162" s="28">
        <f t="shared" si="37"/>
        <v>-4.724397045381145E-3</v>
      </c>
    </row>
    <row r="1163" spans="1:11" x14ac:dyDescent="0.3">
      <c r="A1163" s="23">
        <v>45175</v>
      </c>
      <c r="B1163">
        <v>554</v>
      </c>
      <c r="C1163" s="28">
        <f t="shared" si="36"/>
        <v>-4.4923629829290209E-3</v>
      </c>
      <c r="I1163" s="27">
        <v>45086</v>
      </c>
      <c r="J1163" s="14">
        <v>45807.57</v>
      </c>
      <c r="K1163" s="28">
        <f t="shared" si="37"/>
        <v>6.9483340616747682E-3</v>
      </c>
    </row>
    <row r="1164" spans="1:11" x14ac:dyDescent="0.3">
      <c r="A1164" s="23">
        <v>45176</v>
      </c>
      <c r="B1164">
        <v>538.4</v>
      </c>
      <c r="C1164" s="28">
        <f t="shared" si="36"/>
        <v>-2.8158844765343E-2</v>
      </c>
      <c r="I1164" s="27">
        <v>45116</v>
      </c>
      <c r="J1164" s="14">
        <v>45757.23</v>
      </c>
      <c r="K1164" s="28">
        <f t="shared" si="37"/>
        <v>-1.0989449997019381E-3</v>
      </c>
    </row>
    <row r="1165" spans="1:11" x14ac:dyDescent="0.3">
      <c r="A1165" s="23">
        <v>45177</v>
      </c>
      <c r="B1165">
        <v>542.99</v>
      </c>
      <c r="C1165" s="28">
        <f t="shared" si="36"/>
        <v>8.5252600297177419E-3</v>
      </c>
      <c r="I1165" s="27">
        <v>45147</v>
      </c>
      <c r="J1165" s="14">
        <v>46013.48</v>
      </c>
      <c r="K1165" s="28">
        <f t="shared" si="37"/>
        <v>5.6002078797164944E-3</v>
      </c>
    </row>
    <row r="1166" spans="1:11" x14ac:dyDescent="0.3">
      <c r="A1166" s="23">
        <v>45180</v>
      </c>
      <c r="B1166">
        <v>542</v>
      </c>
      <c r="C1166" s="28">
        <f t="shared" si="36"/>
        <v>-1.8232379970165363E-3</v>
      </c>
      <c r="I1166" s="27">
        <v>45239</v>
      </c>
      <c r="J1166" s="14">
        <v>45865.73</v>
      </c>
      <c r="K1166" s="28">
        <f t="shared" si="37"/>
        <v>-3.2110155545722685E-3</v>
      </c>
    </row>
    <row r="1167" spans="1:11" x14ac:dyDescent="0.3">
      <c r="A1167" s="23">
        <v>45181</v>
      </c>
      <c r="B1167">
        <v>530.5</v>
      </c>
      <c r="C1167" s="28">
        <f t="shared" si="36"/>
        <v>-2.1217712177121772E-2</v>
      </c>
      <c r="I1167" s="27">
        <v>45269</v>
      </c>
      <c r="J1167" s="14">
        <v>45508.39</v>
      </c>
      <c r="K1167" s="28">
        <f t="shared" si="37"/>
        <v>-7.7910021272964312E-3</v>
      </c>
    </row>
    <row r="1168" spans="1:11" x14ac:dyDescent="0.3">
      <c r="A1168" s="23">
        <v>45182</v>
      </c>
      <c r="B1168">
        <v>545</v>
      </c>
      <c r="C1168" s="28">
        <f t="shared" si="36"/>
        <v>2.7332704995287466E-2</v>
      </c>
      <c r="I1168" s="26" t="s">
        <v>353</v>
      </c>
      <c r="J1168" s="14">
        <v>45590.92</v>
      </c>
      <c r="K1168" s="28">
        <f t="shared" si="37"/>
        <v>1.8135117502508622E-3</v>
      </c>
    </row>
    <row r="1169" spans="1:11" x14ac:dyDescent="0.3">
      <c r="A1169" s="23">
        <v>45183</v>
      </c>
      <c r="B1169">
        <v>526</v>
      </c>
      <c r="C1169" s="28">
        <f t="shared" si="36"/>
        <v>-3.4862385321100919E-2</v>
      </c>
      <c r="I1169" s="26" t="s">
        <v>352</v>
      </c>
      <c r="J1169" s="14">
        <v>45650.05</v>
      </c>
      <c r="K1169" s="28">
        <f t="shared" si="37"/>
        <v>1.2969687823804533E-3</v>
      </c>
    </row>
    <row r="1170" spans="1:11" x14ac:dyDescent="0.3">
      <c r="A1170" s="23">
        <v>45184</v>
      </c>
      <c r="B1170">
        <v>543.45000000000005</v>
      </c>
      <c r="C1170" s="28">
        <f t="shared" si="36"/>
        <v>3.3174904942965863E-2</v>
      </c>
      <c r="I1170" s="26" t="s">
        <v>351</v>
      </c>
      <c r="J1170" s="14">
        <v>45753.51</v>
      </c>
      <c r="K1170" s="28">
        <f t="shared" si="37"/>
        <v>2.2663721069308604E-3</v>
      </c>
    </row>
    <row r="1171" spans="1:11" x14ac:dyDescent="0.3">
      <c r="A1171" s="23">
        <v>45187</v>
      </c>
      <c r="B1171">
        <v>539.01</v>
      </c>
      <c r="C1171" s="28">
        <f t="shared" si="36"/>
        <v>-8.1700248412918466E-3</v>
      </c>
      <c r="I1171" s="26" t="s">
        <v>350</v>
      </c>
      <c r="J1171" s="14">
        <v>45837.42</v>
      </c>
      <c r="K1171" s="28">
        <f t="shared" si="37"/>
        <v>1.833957657019018E-3</v>
      </c>
    </row>
    <row r="1172" spans="1:11" x14ac:dyDescent="0.3">
      <c r="A1172" s="23">
        <v>45188</v>
      </c>
      <c r="B1172">
        <v>536.96</v>
      </c>
      <c r="C1172" s="28">
        <f t="shared" si="36"/>
        <v>-3.8032689560489686E-3</v>
      </c>
      <c r="I1172" s="26" t="s">
        <v>349</v>
      </c>
      <c r="J1172" s="14">
        <v>45914.18</v>
      </c>
      <c r="K1172" s="28">
        <f t="shared" si="37"/>
        <v>1.674614321661255E-3</v>
      </c>
    </row>
    <row r="1173" spans="1:11" x14ac:dyDescent="0.3">
      <c r="A1173" s="23">
        <v>45189</v>
      </c>
      <c r="B1173">
        <v>536</v>
      </c>
      <c r="C1173" s="28">
        <f t="shared" si="36"/>
        <v>-1.7878426698451212E-3</v>
      </c>
      <c r="I1173" s="26" t="s">
        <v>348</v>
      </c>
      <c r="J1173" s="14">
        <v>45932.52</v>
      </c>
      <c r="K1173" s="28">
        <f t="shared" si="37"/>
        <v>3.9944086990111787E-4</v>
      </c>
    </row>
    <row r="1174" spans="1:11" x14ac:dyDescent="0.3">
      <c r="A1174" s="23">
        <v>45190</v>
      </c>
      <c r="B1174">
        <v>558.4</v>
      </c>
      <c r="C1174" s="28">
        <f t="shared" si="36"/>
        <v>4.1791044776119363E-2</v>
      </c>
      <c r="I1174" s="26" t="s">
        <v>347</v>
      </c>
      <c r="J1174" s="14">
        <v>46304.73</v>
      </c>
      <c r="K1174" s="28">
        <f t="shared" si="37"/>
        <v>8.103409087940449E-3</v>
      </c>
    </row>
    <row r="1175" spans="1:11" x14ac:dyDescent="0.3">
      <c r="A1175" s="23">
        <v>45191</v>
      </c>
      <c r="B1175">
        <v>550</v>
      </c>
      <c r="C1175" s="28">
        <f t="shared" si="36"/>
        <v>-1.5042979942693369E-2</v>
      </c>
      <c r="I1175" s="26" t="s">
        <v>346</v>
      </c>
      <c r="J1175" s="14">
        <v>46436.41</v>
      </c>
      <c r="K1175" s="28">
        <f t="shared" si="37"/>
        <v>2.8437699561146405E-3</v>
      </c>
    </row>
    <row r="1176" spans="1:11" x14ac:dyDescent="0.3">
      <c r="A1176" s="23">
        <v>45194</v>
      </c>
      <c r="B1176">
        <v>555</v>
      </c>
      <c r="C1176" s="28">
        <f t="shared" si="36"/>
        <v>9.0909090909090905E-3</v>
      </c>
      <c r="I1176" s="26" t="s">
        <v>345</v>
      </c>
      <c r="J1176" s="14">
        <v>46394.32</v>
      </c>
      <c r="K1176" s="28">
        <f t="shared" si="37"/>
        <v>-9.0640081780662594E-4</v>
      </c>
    </row>
    <row r="1177" spans="1:11" x14ac:dyDescent="0.3">
      <c r="A1177" s="23">
        <v>45195</v>
      </c>
      <c r="B1177">
        <v>559</v>
      </c>
      <c r="C1177" s="28">
        <f t="shared" si="36"/>
        <v>7.2072072072072073E-3</v>
      </c>
      <c r="I1177" s="26" t="s">
        <v>344</v>
      </c>
      <c r="J1177" s="14">
        <v>46308.54</v>
      </c>
      <c r="K1177" s="28">
        <f t="shared" si="37"/>
        <v>-1.8489332314817598E-3</v>
      </c>
    </row>
    <row r="1178" spans="1:11" x14ac:dyDescent="0.3">
      <c r="A1178" s="23">
        <v>45196</v>
      </c>
      <c r="B1178">
        <v>560.25</v>
      </c>
      <c r="C1178" s="28">
        <f t="shared" si="36"/>
        <v>2.2361359570661895E-3</v>
      </c>
      <c r="I1178" s="26" t="s">
        <v>343</v>
      </c>
      <c r="J1178" s="14">
        <v>46408.02</v>
      </c>
      <c r="K1178" s="28">
        <f t="shared" si="37"/>
        <v>2.1481998784672529E-3</v>
      </c>
    </row>
    <row r="1179" spans="1:11" x14ac:dyDescent="0.3">
      <c r="A1179" s="23">
        <v>45197</v>
      </c>
      <c r="B1179">
        <v>563.1</v>
      </c>
      <c r="C1179" s="28">
        <f t="shared" si="36"/>
        <v>5.0870147255689833E-3</v>
      </c>
      <c r="I1179" s="26" t="s">
        <v>342</v>
      </c>
      <c r="J1179" s="14">
        <v>46232.59</v>
      </c>
      <c r="K1179" s="28">
        <f t="shared" si="37"/>
        <v>-3.7801655834487293E-3</v>
      </c>
    </row>
    <row r="1180" spans="1:11" x14ac:dyDescent="0.3">
      <c r="A1180" s="23">
        <v>45201</v>
      </c>
      <c r="B1180">
        <v>566.5</v>
      </c>
      <c r="C1180" s="28">
        <f t="shared" si="36"/>
        <v>6.0380039069436635E-3</v>
      </c>
      <c r="I1180" s="27">
        <v>44967</v>
      </c>
      <c r="J1180" s="14">
        <v>46627.08</v>
      </c>
      <c r="K1180" s="28">
        <f t="shared" si="37"/>
        <v>8.532725508131932E-3</v>
      </c>
    </row>
    <row r="1181" spans="1:11" x14ac:dyDescent="0.3">
      <c r="A1181" s="23">
        <v>45202</v>
      </c>
      <c r="B1181">
        <v>569</v>
      </c>
      <c r="C1181" s="28">
        <f t="shared" si="36"/>
        <v>4.4130626654898496E-3</v>
      </c>
      <c r="I1181" s="27">
        <v>44995</v>
      </c>
      <c r="J1181" s="14">
        <v>46756.800000000003</v>
      </c>
      <c r="K1181" s="28">
        <f t="shared" si="37"/>
        <v>2.7820742795817617E-3</v>
      </c>
    </row>
    <row r="1182" spans="1:11" x14ac:dyDescent="0.3">
      <c r="A1182" s="23">
        <v>45203</v>
      </c>
      <c r="B1182">
        <v>570</v>
      </c>
      <c r="C1182" s="28">
        <f t="shared" si="36"/>
        <v>1.7574692442882249E-3</v>
      </c>
      <c r="I1182" s="27">
        <v>45026</v>
      </c>
      <c r="J1182" s="14">
        <v>47079.83</v>
      </c>
      <c r="K1182" s="28">
        <f t="shared" si="37"/>
        <v>6.9087277144714524E-3</v>
      </c>
    </row>
    <row r="1183" spans="1:11" x14ac:dyDescent="0.3">
      <c r="A1183" s="23">
        <v>45204</v>
      </c>
      <c r="B1183">
        <v>582</v>
      </c>
      <c r="C1183" s="28">
        <f t="shared" si="36"/>
        <v>2.1052631578947368E-2</v>
      </c>
      <c r="I1183" s="27">
        <v>45056</v>
      </c>
      <c r="J1183" s="14">
        <v>47484.56</v>
      </c>
      <c r="K1183" s="28">
        <f t="shared" si="37"/>
        <v>8.5966750517152656E-3</v>
      </c>
    </row>
    <row r="1184" spans="1:11" x14ac:dyDescent="0.3">
      <c r="A1184" s="23">
        <v>45205</v>
      </c>
      <c r="B1184">
        <v>581</v>
      </c>
      <c r="C1184" s="28">
        <f t="shared" si="36"/>
        <v>-1.718213058419244E-3</v>
      </c>
      <c r="I1184" s="27">
        <v>45087</v>
      </c>
      <c r="J1184" s="14">
        <v>47508.67</v>
      </c>
      <c r="K1184" s="28">
        <f t="shared" si="37"/>
        <v>5.0774399088884012E-4</v>
      </c>
    </row>
    <row r="1185" spans="1:11" x14ac:dyDescent="0.3">
      <c r="A1185" s="23">
        <v>45208</v>
      </c>
      <c r="B1185">
        <v>580</v>
      </c>
      <c r="C1185" s="28">
        <f t="shared" si="36"/>
        <v>-1.7211703958691911E-3</v>
      </c>
      <c r="I1185" s="27">
        <v>45179</v>
      </c>
      <c r="J1185" s="14">
        <v>47736.61</v>
      </c>
      <c r="K1185" s="28">
        <f t="shared" si="37"/>
        <v>4.7978611061939291E-3</v>
      </c>
    </row>
    <row r="1186" spans="1:11" x14ac:dyDescent="0.3">
      <c r="A1186" s="23">
        <v>45209</v>
      </c>
      <c r="B1186">
        <v>582.1</v>
      </c>
      <c r="C1186" s="28">
        <f t="shared" si="36"/>
        <v>3.620689655172453E-3</v>
      </c>
      <c r="I1186" s="27">
        <v>45209</v>
      </c>
      <c r="J1186" s="14">
        <v>48143.5</v>
      </c>
      <c r="K1186" s="28">
        <f t="shared" si="37"/>
        <v>8.5236467357024184E-3</v>
      </c>
    </row>
    <row r="1187" spans="1:11" x14ac:dyDescent="0.3">
      <c r="A1187" s="23">
        <v>45210</v>
      </c>
      <c r="B1187">
        <v>580.25</v>
      </c>
      <c r="C1187" s="28">
        <f t="shared" si="36"/>
        <v>-3.1781480845215989E-3</v>
      </c>
      <c r="I1187" s="27">
        <v>45240</v>
      </c>
      <c r="J1187" s="14">
        <v>48501.8</v>
      </c>
      <c r="K1187" s="28">
        <f t="shared" si="37"/>
        <v>7.4423338560761663E-3</v>
      </c>
    </row>
    <row r="1188" spans="1:11" x14ac:dyDescent="0.3">
      <c r="A1188" s="23">
        <v>45211</v>
      </c>
      <c r="B1188">
        <v>585.5</v>
      </c>
      <c r="C1188" s="28">
        <f t="shared" si="36"/>
        <v>9.0478242137009904E-3</v>
      </c>
      <c r="I1188" s="27">
        <v>45270</v>
      </c>
      <c r="J1188" s="14">
        <v>48771.71</v>
      </c>
      <c r="K1188" s="28">
        <f t="shared" si="37"/>
        <v>5.5649481050187048E-3</v>
      </c>
    </row>
    <row r="1189" spans="1:11" x14ac:dyDescent="0.3">
      <c r="A1189" s="23">
        <v>45212</v>
      </c>
      <c r="B1189">
        <v>592</v>
      </c>
      <c r="C1189" s="28">
        <f t="shared" si="36"/>
        <v>1.1101622544833475E-2</v>
      </c>
      <c r="I1189" s="26" t="s">
        <v>341</v>
      </c>
      <c r="J1189" s="14">
        <v>49493.47</v>
      </c>
      <c r="K1189" s="28">
        <f t="shared" si="37"/>
        <v>1.4798742959801943E-2</v>
      </c>
    </row>
    <row r="1190" spans="1:11" x14ac:dyDescent="0.3">
      <c r="A1190" s="23">
        <v>45215</v>
      </c>
      <c r="B1190">
        <v>585.26</v>
      </c>
      <c r="C1190" s="28">
        <f t="shared" si="36"/>
        <v>-1.1385135135135151E-2</v>
      </c>
      <c r="I1190" s="26" t="s">
        <v>340</v>
      </c>
      <c r="J1190" s="14">
        <v>49719.87</v>
      </c>
      <c r="K1190" s="28">
        <f t="shared" si="37"/>
        <v>4.5743408170815557E-3</v>
      </c>
    </row>
    <row r="1191" spans="1:11" x14ac:dyDescent="0.3">
      <c r="A1191" s="23">
        <v>45216</v>
      </c>
      <c r="B1191">
        <v>592.12</v>
      </c>
      <c r="C1191" s="28">
        <f t="shared" si="36"/>
        <v>1.1721286265933113E-2</v>
      </c>
      <c r="I1191" s="26" t="s">
        <v>339</v>
      </c>
      <c r="J1191" s="14">
        <v>49527.88</v>
      </c>
      <c r="K1191" s="28">
        <f t="shared" si="37"/>
        <v>-3.8614340705236203E-3</v>
      </c>
    </row>
    <row r="1192" spans="1:11" x14ac:dyDescent="0.3">
      <c r="A1192" s="23">
        <v>45217</v>
      </c>
      <c r="B1192">
        <v>596</v>
      </c>
      <c r="C1192" s="28">
        <f t="shared" si="36"/>
        <v>6.5527257988245548E-3</v>
      </c>
      <c r="I1192" s="26" t="s">
        <v>338</v>
      </c>
      <c r="J1192" s="14">
        <v>49406.19</v>
      </c>
      <c r="K1192" s="28">
        <f t="shared" si="37"/>
        <v>-2.4569999765787485E-3</v>
      </c>
    </row>
    <row r="1193" spans="1:11" x14ac:dyDescent="0.3">
      <c r="A1193" s="23">
        <v>45218</v>
      </c>
      <c r="B1193">
        <v>598.70000000000005</v>
      </c>
      <c r="C1193" s="28">
        <f t="shared" si="36"/>
        <v>4.5302013422819556E-3</v>
      </c>
      <c r="I1193" s="26" t="s">
        <v>337</v>
      </c>
      <c r="J1193" s="14">
        <v>50323.97</v>
      </c>
      <c r="K1193" s="28">
        <f t="shared" si="37"/>
        <v>1.8576214842715027E-2</v>
      </c>
    </row>
    <row r="1194" spans="1:11" x14ac:dyDescent="0.3">
      <c r="A1194" s="23">
        <v>45219</v>
      </c>
      <c r="B1194">
        <v>605.26</v>
      </c>
      <c r="C1194" s="28">
        <f t="shared" si="36"/>
        <v>1.0957073659595699E-2</v>
      </c>
      <c r="I1194" s="26" t="s">
        <v>336</v>
      </c>
      <c r="J1194" s="14">
        <v>50674.52</v>
      </c>
      <c r="K1194" s="28">
        <f t="shared" si="37"/>
        <v>6.965865371909164E-3</v>
      </c>
    </row>
    <row r="1195" spans="1:11" x14ac:dyDescent="0.3">
      <c r="A1195" s="23">
        <v>45222</v>
      </c>
      <c r="B1195">
        <v>608</v>
      </c>
      <c r="C1195" s="28">
        <f t="shared" si="36"/>
        <v>4.5269801407659665E-3</v>
      </c>
      <c r="I1195" s="26" t="s">
        <v>335</v>
      </c>
      <c r="J1195" s="14">
        <v>51072.73</v>
      </c>
      <c r="K1195" s="28">
        <f t="shared" si="37"/>
        <v>7.858189875306296E-3</v>
      </c>
    </row>
    <row r="1196" spans="1:11" x14ac:dyDescent="0.3">
      <c r="A1196" s="23">
        <v>45223</v>
      </c>
      <c r="B1196">
        <v>609.95000000000005</v>
      </c>
      <c r="C1196" s="28">
        <f t="shared" si="36"/>
        <v>3.2072368421053377E-3</v>
      </c>
      <c r="I1196" s="26" t="s">
        <v>334</v>
      </c>
      <c r="J1196" s="14">
        <v>51068.15</v>
      </c>
      <c r="K1196" s="28">
        <f t="shared" si="37"/>
        <v>-8.9676036507187803E-5</v>
      </c>
    </row>
    <row r="1197" spans="1:11" x14ac:dyDescent="0.3">
      <c r="A1197" s="23">
        <v>45224</v>
      </c>
      <c r="B1197">
        <v>606.25</v>
      </c>
      <c r="C1197" s="28">
        <f t="shared" si="36"/>
        <v>-6.0660709894254372E-3</v>
      </c>
      <c r="I1197" s="26" t="s">
        <v>333</v>
      </c>
      <c r="J1197" s="14">
        <v>51125.32</v>
      </c>
      <c r="K1197" s="28">
        <f t="shared" si="37"/>
        <v>1.1194844536173379E-3</v>
      </c>
    </row>
    <row r="1198" spans="1:11" x14ac:dyDescent="0.3">
      <c r="A1198" s="23">
        <v>45225</v>
      </c>
      <c r="B1198">
        <v>609.98</v>
      </c>
      <c r="C1198" s="28">
        <f t="shared" si="36"/>
        <v>6.1525773195876586E-3</v>
      </c>
      <c r="I1198" s="26" t="s">
        <v>332</v>
      </c>
      <c r="J1198" s="14">
        <v>51158.400000000001</v>
      </c>
      <c r="K1198" s="28">
        <f t="shared" si="37"/>
        <v>6.4703751487524665E-4</v>
      </c>
    </row>
    <row r="1199" spans="1:11" x14ac:dyDescent="0.3">
      <c r="A1199" s="23">
        <v>45226</v>
      </c>
      <c r="B1199">
        <v>612</v>
      </c>
      <c r="C1199" s="28">
        <f t="shared" si="36"/>
        <v>3.3115839863601788E-3</v>
      </c>
      <c r="I1199" s="26" t="s">
        <v>331</v>
      </c>
      <c r="J1199" s="14">
        <v>50958.45</v>
      </c>
      <c r="K1199" s="28">
        <f t="shared" si="37"/>
        <v>-3.9084490523551233E-3</v>
      </c>
    </row>
    <row r="1200" spans="1:11" x14ac:dyDescent="0.3">
      <c r="A1200" s="23">
        <v>45229</v>
      </c>
      <c r="B1200">
        <v>632.5</v>
      </c>
      <c r="C1200" s="28">
        <f t="shared" si="36"/>
        <v>3.349673202614379E-2</v>
      </c>
      <c r="I1200" s="26" t="s">
        <v>330</v>
      </c>
      <c r="J1200" s="14">
        <v>51482.93</v>
      </c>
      <c r="K1200" s="28">
        <f t="shared" si="37"/>
        <v>1.0292306771497233E-2</v>
      </c>
    </row>
    <row r="1201" spans="1:11" x14ac:dyDescent="0.3">
      <c r="A1201" s="23">
        <v>45230</v>
      </c>
      <c r="B1201">
        <v>635</v>
      </c>
      <c r="C1201" s="28">
        <f t="shared" si="36"/>
        <v>3.952569169960474E-3</v>
      </c>
      <c r="I1201" s="26" t="s">
        <v>329</v>
      </c>
      <c r="J1201" s="14">
        <v>51976.31</v>
      </c>
      <c r="K1201" s="28">
        <f t="shared" si="37"/>
        <v>9.583370643434579E-3</v>
      </c>
    </row>
    <row r="1202" spans="1:11" x14ac:dyDescent="0.3">
      <c r="A1202" s="23">
        <v>45231</v>
      </c>
      <c r="B1202">
        <v>637.99</v>
      </c>
      <c r="C1202" s="28">
        <f t="shared" si="36"/>
        <v>4.7086614173228493E-3</v>
      </c>
      <c r="I1202" s="27">
        <v>44937</v>
      </c>
      <c r="J1202" s="14">
        <v>52357.05</v>
      </c>
      <c r="K1202" s="28">
        <f t="shared" si="37"/>
        <v>7.3252602964697811E-3</v>
      </c>
    </row>
    <row r="1203" spans="1:11" x14ac:dyDescent="0.3">
      <c r="A1203" s="23">
        <v>45232</v>
      </c>
      <c r="B1203">
        <v>658</v>
      </c>
      <c r="C1203" s="28">
        <f t="shared" si="36"/>
        <v>3.1364127964388144E-2</v>
      </c>
      <c r="I1203" s="27">
        <v>44968</v>
      </c>
      <c r="J1203" s="14">
        <v>52701.43</v>
      </c>
      <c r="K1203" s="28">
        <f t="shared" si="37"/>
        <v>6.577528718672984E-3</v>
      </c>
    </row>
    <row r="1204" spans="1:11" x14ac:dyDescent="0.3">
      <c r="A1204" s="23">
        <v>45233</v>
      </c>
      <c r="B1204">
        <v>665.5</v>
      </c>
      <c r="C1204" s="28">
        <f t="shared" si="36"/>
        <v>1.1398176291793313E-2</v>
      </c>
      <c r="I1204" s="27">
        <v>44996</v>
      </c>
      <c r="J1204" s="14">
        <v>53175.72</v>
      </c>
      <c r="K1204" s="28">
        <f t="shared" si="37"/>
        <v>8.9995660459308378E-3</v>
      </c>
    </row>
    <row r="1205" spans="1:11" x14ac:dyDescent="0.3">
      <c r="A1205" s="23">
        <v>45236</v>
      </c>
      <c r="B1205">
        <v>695</v>
      </c>
      <c r="C1205" s="28">
        <f t="shared" si="36"/>
        <v>4.4327573253193087E-2</v>
      </c>
      <c r="I1205" s="27">
        <v>45088</v>
      </c>
      <c r="J1205" s="14">
        <v>53941.04</v>
      </c>
      <c r="K1205" s="28">
        <f t="shared" si="37"/>
        <v>1.4392282793726154E-2</v>
      </c>
    </row>
    <row r="1206" spans="1:11" x14ac:dyDescent="0.3">
      <c r="A1206" s="23">
        <v>45237</v>
      </c>
      <c r="B1206">
        <v>718</v>
      </c>
      <c r="C1206" s="28">
        <f t="shared" si="36"/>
        <v>3.3093525179856115E-2</v>
      </c>
      <c r="I1206" s="27">
        <v>45118</v>
      </c>
      <c r="J1206" s="14">
        <v>53810.82</v>
      </c>
      <c r="K1206" s="28">
        <f t="shared" si="37"/>
        <v>-2.4141173399697367E-3</v>
      </c>
    </row>
    <row r="1207" spans="1:11" x14ac:dyDescent="0.3">
      <c r="A1207" s="23">
        <v>45238</v>
      </c>
      <c r="B1207">
        <v>719</v>
      </c>
      <c r="C1207" s="28">
        <f t="shared" si="36"/>
        <v>1.3927576601671309E-3</v>
      </c>
      <c r="I1207" s="27">
        <v>45149</v>
      </c>
      <c r="J1207" s="14">
        <v>54307.37</v>
      </c>
      <c r="K1207" s="28">
        <f t="shared" si="37"/>
        <v>9.2276980726181627E-3</v>
      </c>
    </row>
    <row r="1208" spans="1:11" x14ac:dyDescent="0.3">
      <c r="A1208" s="23">
        <v>45240</v>
      </c>
      <c r="B1208">
        <v>720</v>
      </c>
      <c r="C1208" s="28">
        <f t="shared" si="36"/>
        <v>1.3908205841446453E-3</v>
      </c>
      <c r="I1208" s="27">
        <v>45210</v>
      </c>
      <c r="J1208" s="14">
        <v>55399.66</v>
      </c>
      <c r="K1208" s="28">
        <f t="shared" si="37"/>
        <v>2.0113108036717682E-2</v>
      </c>
    </row>
    <row r="1209" spans="1:11" x14ac:dyDescent="0.3">
      <c r="A1209" s="23">
        <v>45243</v>
      </c>
      <c r="B1209">
        <v>741.5</v>
      </c>
      <c r="C1209" s="28">
        <f t="shared" si="36"/>
        <v>2.9861111111111113E-2</v>
      </c>
      <c r="I1209" s="26" t="s">
        <v>328</v>
      </c>
      <c r="J1209" s="14">
        <v>56526.71</v>
      </c>
      <c r="K1209" s="28">
        <f t="shared" si="37"/>
        <v>2.0343987670682375E-2</v>
      </c>
    </row>
    <row r="1210" spans="1:11" x14ac:dyDescent="0.3">
      <c r="A1210" s="23">
        <v>45244</v>
      </c>
      <c r="B1210">
        <v>730</v>
      </c>
      <c r="C1210" s="28">
        <f t="shared" si="36"/>
        <v>-1.5509103169251517E-2</v>
      </c>
      <c r="I1210" s="26" t="s">
        <v>327</v>
      </c>
      <c r="J1210" s="14">
        <v>56644.58</v>
      </c>
      <c r="K1210" s="28">
        <f t="shared" si="37"/>
        <v>2.0852089215877348E-3</v>
      </c>
    </row>
    <row r="1211" spans="1:11" x14ac:dyDescent="0.3">
      <c r="A1211" s="23">
        <v>45245</v>
      </c>
      <c r="B1211">
        <v>720</v>
      </c>
      <c r="C1211" s="28">
        <f t="shared" si="36"/>
        <v>-1.3698630136986301E-2</v>
      </c>
      <c r="I1211" s="26" t="s">
        <v>326</v>
      </c>
      <c r="J1211" s="14">
        <v>56765.279999999999</v>
      </c>
      <c r="K1211" s="28">
        <f t="shared" si="37"/>
        <v>2.1308305225318483E-3</v>
      </c>
    </row>
    <row r="1212" spans="1:11" x14ac:dyDescent="0.3">
      <c r="A1212" s="23">
        <v>45246</v>
      </c>
      <c r="B1212">
        <v>717</v>
      </c>
      <c r="C1212" s="28">
        <f t="shared" si="36"/>
        <v>-4.1666666666666666E-3</v>
      </c>
      <c r="I1212" s="26" t="s">
        <v>325</v>
      </c>
      <c r="J1212" s="14">
        <v>57344.160000000003</v>
      </c>
      <c r="K1212" s="28">
        <f t="shared" si="37"/>
        <v>1.0197782870092506E-2</v>
      </c>
    </row>
    <row r="1213" spans="1:11" x14ac:dyDescent="0.3">
      <c r="A1213" s="23">
        <v>45247</v>
      </c>
      <c r="B1213">
        <v>698</v>
      </c>
      <c r="C1213" s="28">
        <f t="shared" si="36"/>
        <v>-2.6499302649930265E-2</v>
      </c>
      <c r="I1213" s="26" t="s">
        <v>324</v>
      </c>
      <c r="J1213" s="14">
        <v>57016.959999999999</v>
      </c>
      <c r="K1213" s="28">
        <f t="shared" si="37"/>
        <v>-5.705899258093664E-3</v>
      </c>
    </row>
    <row r="1214" spans="1:11" x14ac:dyDescent="0.3">
      <c r="A1214" s="23">
        <v>45250</v>
      </c>
      <c r="B1214">
        <v>678.9</v>
      </c>
      <c r="C1214" s="28">
        <f t="shared" si="36"/>
        <v>-2.7363896848137569E-2</v>
      </c>
      <c r="I1214" s="26" t="s">
        <v>323</v>
      </c>
      <c r="J1214" s="14">
        <v>57065.99</v>
      </c>
      <c r="K1214" s="28">
        <f t="shared" si="37"/>
        <v>8.599195748071949E-4</v>
      </c>
    </row>
    <row r="1215" spans="1:11" x14ac:dyDescent="0.3">
      <c r="A1215" s="23">
        <v>45251</v>
      </c>
      <c r="B1215">
        <v>689</v>
      </c>
      <c r="C1215" s="28">
        <f t="shared" si="36"/>
        <v>1.4877006922963652E-2</v>
      </c>
      <c r="I1215" s="26" t="s">
        <v>322</v>
      </c>
      <c r="J1215" s="14">
        <v>57408.18</v>
      </c>
      <c r="K1215" s="28">
        <f t="shared" si="37"/>
        <v>5.9963911955264832E-3</v>
      </c>
    </row>
    <row r="1216" spans="1:11" x14ac:dyDescent="0.3">
      <c r="A1216" s="23">
        <v>45252</v>
      </c>
      <c r="B1216">
        <v>717</v>
      </c>
      <c r="C1216" s="28">
        <f t="shared" si="36"/>
        <v>4.0638606676342524E-2</v>
      </c>
      <c r="I1216" s="26" t="s">
        <v>321</v>
      </c>
      <c r="J1216" s="14">
        <v>58178.27</v>
      </c>
      <c r="K1216" s="28">
        <f t="shared" si="37"/>
        <v>1.341429043735573E-2</v>
      </c>
    </row>
    <row r="1217" spans="1:11" x14ac:dyDescent="0.3">
      <c r="A1217" s="23">
        <v>45253</v>
      </c>
      <c r="B1217">
        <v>727.85</v>
      </c>
      <c r="C1217" s="28">
        <f t="shared" si="36"/>
        <v>1.5132496513249683E-2</v>
      </c>
      <c r="I1217" s="26" t="s">
        <v>320</v>
      </c>
      <c r="J1217" s="14">
        <v>58910.8</v>
      </c>
      <c r="K1217" s="28">
        <f t="shared" si="37"/>
        <v>1.25911272370252E-2</v>
      </c>
    </row>
    <row r="1218" spans="1:11" x14ac:dyDescent="0.3">
      <c r="A1218" s="23">
        <v>45254</v>
      </c>
      <c r="B1218">
        <v>718.5</v>
      </c>
      <c r="C1218" s="28">
        <f t="shared" si="36"/>
        <v>-1.2846053445078E-2</v>
      </c>
      <c r="I1218" s="26" t="s">
        <v>319</v>
      </c>
      <c r="J1218" s="14">
        <v>59173.34</v>
      </c>
      <c r="K1218" s="28">
        <f t="shared" si="37"/>
        <v>4.4565682353659023E-3</v>
      </c>
    </row>
    <row r="1219" spans="1:11" x14ac:dyDescent="0.3">
      <c r="A1219" s="23">
        <v>45257</v>
      </c>
      <c r="B1219">
        <v>731.5</v>
      </c>
      <c r="C1219" s="28">
        <f t="shared" si="36"/>
        <v>1.8093249826026444E-2</v>
      </c>
      <c r="I1219" s="26" t="s">
        <v>318</v>
      </c>
      <c r="J1219" s="14">
        <v>59774.06</v>
      </c>
      <c r="K1219" s="28">
        <f t="shared" si="37"/>
        <v>1.0151869068063443E-2</v>
      </c>
    </row>
    <row r="1220" spans="1:11" x14ac:dyDescent="0.3">
      <c r="A1220" s="23">
        <v>45258</v>
      </c>
      <c r="B1220">
        <v>772</v>
      </c>
      <c r="C1220" s="28">
        <f t="shared" si="36"/>
        <v>5.5365686944634313E-2</v>
      </c>
      <c r="I1220" s="26" t="s">
        <v>317</v>
      </c>
      <c r="J1220" s="14">
        <v>60845.53</v>
      </c>
      <c r="K1220" s="28">
        <f t="shared" si="37"/>
        <v>1.7925334166693733E-2</v>
      </c>
    </row>
    <row r="1221" spans="1:11" x14ac:dyDescent="0.3">
      <c r="A1221" s="23">
        <v>45259</v>
      </c>
      <c r="B1221">
        <v>758</v>
      </c>
      <c r="C1221" s="28">
        <f t="shared" si="36"/>
        <v>-1.8134715025906734E-2</v>
      </c>
      <c r="I1221" s="26" t="s">
        <v>316</v>
      </c>
      <c r="J1221" s="14">
        <v>60498.96</v>
      </c>
      <c r="K1221" s="28">
        <f t="shared" si="37"/>
        <v>-5.6958991071324339E-3</v>
      </c>
    </row>
    <row r="1222" spans="1:11" x14ac:dyDescent="0.3">
      <c r="A1222" s="23">
        <v>45260</v>
      </c>
      <c r="B1222">
        <v>789</v>
      </c>
      <c r="C1222" s="28">
        <f t="shared" ref="C1222:C1285" si="38">(B1222-B1221)/B1221</f>
        <v>4.0897097625329816E-2</v>
      </c>
      <c r="I1222" s="26" t="s">
        <v>315</v>
      </c>
      <c r="J1222" s="14">
        <v>60526.77</v>
      </c>
      <c r="K1222" s="28">
        <f t="shared" ref="K1222:K1285" si="39">(J1222-J1221)/J1221</f>
        <v>4.5967732337874357E-4</v>
      </c>
    </row>
    <row r="1223" spans="1:11" x14ac:dyDescent="0.3">
      <c r="A1223" s="23">
        <v>45261</v>
      </c>
      <c r="B1223">
        <v>821</v>
      </c>
      <c r="C1223" s="28">
        <f t="shared" si="38"/>
        <v>4.0557667934093787E-2</v>
      </c>
      <c r="I1223" s="27">
        <v>44938</v>
      </c>
      <c r="J1223" s="14">
        <v>61691.25</v>
      </c>
      <c r="K1223" s="28">
        <f t="shared" si="39"/>
        <v>1.9239090405782488E-2</v>
      </c>
    </row>
    <row r="1224" spans="1:11" x14ac:dyDescent="0.3">
      <c r="A1224" s="23">
        <v>45264</v>
      </c>
      <c r="B1224">
        <v>815</v>
      </c>
      <c r="C1224" s="28">
        <f t="shared" si="38"/>
        <v>-7.3081607795371494E-3</v>
      </c>
      <c r="I1224" s="27">
        <v>45028</v>
      </c>
      <c r="J1224" s="14">
        <v>62575.35</v>
      </c>
      <c r="K1224" s="28">
        <f t="shared" si="39"/>
        <v>1.433104370554979E-2</v>
      </c>
    </row>
    <row r="1225" spans="1:11" x14ac:dyDescent="0.3">
      <c r="A1225" s="23">
        <v>45265</v>
      </c>
      <c r="B1225">
        <v>804</v>
      </c>
      <c r="C1225" s="28">
        <f t="shared" si="38"/>
        <v>-1.3496932515337423E-2</v>
      </c>
      <c r="I1225" s="27">
        <v>45058</v>
      </c>
      <c r="J1225" s="14">
        <v>63028.13</v>
      </c>
      <c r="K1225" s="28">
        <f t="shared" si="39"/>
        <v>7.2357565718769263E-3</v>
      </c>
    </row>
    <row r="1226" spans="1:11" x14ac:dyDescent="0.3">
      <c r="A1226" s="23">
        <v>45266</v>
      </c>
      <c r="B1226">
        <v>808.11</v>
      </c>
      <c r="C1226" s="28">
        <f t="shared" si="38"/>
        <v>5.1119402985074797E-3</v>
      </c>
      <c r="I1226" s="27">
        <v>45089</v>
      </c>
      <c r="J1226" s="14">
        <v>63778.75</v>
      </c>
      <c r="K1226" s="28">
        <f t="shared" si="39"/>
        <v>1.190928558407179E-2</v>
      </c>
    </row>
    <row r="1227" spans="1:11" x14ac:dyDescent="0.3">
      <c r="A1227" s="23">
        <v>45267</v>
      </c>
      <c r="B1227">
        <v>802</v>
      </c>
      <c r="C1227" s="28">
        <f t="shared" si="38"/>
        <v>-7.5608518642264217E-3</v>
      </c>
      <c r="I1227" s="27">
        <v>45119</v>
      </c>
      <c r="J1227" s="14">
        <v>64718.080000000002</v>
      </c>
      <c r="K1227" s="28">
        <f t="shared" si="39"/>
        <v>1.4727946220332034E-2</v>
      </c>
    </row>
    <row r="1228" spans="1:11" x14ac:dyDescent="0.3">
      <c r="A1228" s="23">
        <v>45268</v>
      </c>
      <c r="B1228">
        <v>795.1</v>
      </c>
      <c r="C1228" s="28">
        <f t="shared" si="38"/>
        <v>-8.6034912718204199E-3</v>
      </c>
      <c r="I1228" s="27">
        <v>45150</v>
      </c>
      <c r="J1228" s="14">
        <v>66223.63</v>
      </c>
      <c r="K1228" s="28">
        <f t="shared" si="39"/>
        <v>2.3263205583354804E-2</v>
      </c>
    </row>
    <row r="1229" spans="1:11" x14ac:dyDescent="0.3">
      <c r="A1229" s="23">
        <v>45271</v>
      </c>
      <c r="B1229">
        <v>789</v>
      </c>
      <c r="C1229" s="28">
        <f t="shared" si="38"/>
        <v>-7.6719909445353068E-3</v>
      </c>
      <c r="I1229" s="27">
        <v>45242</v>
      </c>
      <c r="J1229" s="14">
        <v>66012.33</v>
      </c>
      <c r="K1229" s="28">
        <f t="shared" si="39"/>
        <v>-3.190703982853294E-3</v>
      </c>
    </row>
    <row r="1230" spans="1:11" x14ac:dyDescent="0.3">
      <c r="A1230" s="23">
        <v>45272</v>
      </c>
      <c r="B1230">
        <v>810</v>
      </c>
      <c r="C1230" s="28">
        <f t="shared" si="38"/>
        <v>2.6615969581749048E-2</v>
      </c>
      <c r="I1230" s="27">
        <v>45272</v>
      </c>
      <c r="J1230" s="14">
        <v>66426.78</v>
      </c>
      <c r="K1230" s="28">
        <f t="shared" si="39"/>
        <v>6.2783725404026349E-3</v>
      </c>
    </row>
    <row r="1231" spans="1:11" x14ac:dyDescent="0.3">
      <c r="A1231" s="23">
        <v>45273</v>
      </c>
      <c r="B1231">
        <v>806.1</v>
      </c>
      <c r="C1231" s="28">
        <f t="shared" si="38"/>
        <v>-4.8148148148147865E-3</v>
      </c>
      <c r="I1231" s="26" t="s">
        <v>314</v>
      </c>
      <c r="J1231" s="14">
        <v>65280.160000000003</v>
      </c>
      <c r="K1231" s="28">
        <f t="shared" si="39"/>
        <v>-1.726141173785626E-2</v>
      </c>
    </row>
    <row r="1232" spans="1:11" x14ac:dyDescent="0.3">
      <c r="A1232" s="23">
        <v>45274</v>
      </c>
      <c r="B1232">
        <v>813.15</v>
      </c>
      <c r="C1232" s="28">
        <f t="shared" si="38"/>
        <v>8.745813174544044E-3</v>
      </c>
      <c r="I1232" s="26" t="s">
        <v>313</v>
      </c>
      <c r="J1232" s="14">
        <v>65450.19</v>
      </c>
      <c r="K1232" s="28">
        <f t="shared" si="39"/>
        <v>2.6046198416180173E-3</v>
      </c>
    </row>
    <row r="1233" spans="1:11" x14ac:dyDescent="0.3">
      <c r="A1233" s="23">
        <v>45275</v>
      </c>
      <c r="B1233">
        <v>810.5</v>
      </c>
      <c r="C1233" s="28">
        <f t="shared" si="38"/>
        <v>-3.2589313164852456E-3</v>
      </c>
      <c r="I1233" s="26" t="s">
        <v>312</v>
      </c>
      <c r="J1233" s="14">
        <v>66130.02</v>
      </c>
      <c r="K1233" s="28">
        <f t="shared" si="39"/>
        <v>1.0386982833816094E-2</v>
      </c>
    </row>
    <row r="1234" spans="1:11" x14ac:dyDescent="0.3">
      <c r="A1234" s="23">
        <v>45278</v>
      </c>
      <c r="B1234">
        <v>796.03</v>
      </c>
      <c r="C1234" s="28">
        <f t="shared" si="38"/>
        <v>-1.7853177051202995E-2</v>
      </c>
      <c r="I1234" s="26" t="s">
        <v>311</v>
      </c>
      <c r="J1234" s="14">
        <v>65204.68</v>
      </c>
      <c r="K1234" s="28">
        <f t="shared" si="39"/>
        <v>-1.3992737337747724E-2</v>
      </c>
    </row>
    <row r="1235" spans="1:11" x14ac:dyDescent="0.3">
      <c r="A1235" s="23">
        <v>45279</v>
      </c>
      <c r="B1235">
        <v>780.31</v>
      </c>
      <c r="C1235" s="28">
        <f t="shared" si="38"/>
        <v>-1.974799944725705E-2</v>
      </c>
      <c r="I1235" s="26" t="s">
        <v>310</v>
      </c>
      <c r="J1235" s="14">
        <v>62833.03</v>
      </c>
      <c r="K1235" s="28">
        <f t="shared" si="39"/>
        <v>-3.6372389221141818E-2</v>
      </c>
    </row>
    <row r="1236" spans="1:11" x14ac:dyDescent="0.3">
      <c r="A1236" s="23">
        <v>45280</v>
      </c>
      <c r="B1236">
        <v>772</v>
      </c>
      <c r="C1236" s="28">
        <f t="shared" si="38"/>
        <v>-1.0649613615101621E-2</v>
      </c>
      <c r="I1236" s="26" t="s">
        <v>309</v>
      </c>
      <c r="J1236" s="14">
        <v>62448.01</v>
      </c>
      <c r="K1236" s="28">
        <f t="shared" si="39"/>
        <v>-6.1276688391439472E-3</v>
      </c>
    </row>
    <row r="1237" spans="1:11" x14ac:dyDescent="0.3">
      <c r="A1237" s="23">
        <v>45281</v>
      </c>
      <c r="B1237">
        <v>773</v>
      </c>
      <c r="C1237" s="28">
        <f t="shared" si="38"/>
        <v>1.2953367875647669E-3</v>
      </c>
      <c r="I1237" s="26" t="s">
        <v>308</v>
      </c>
      <c r="J1237" s="14">
        <v>62693.57</v>
      </c>
      <c r="K1237" s="28">
        <f t="shared" si="39"/>
        <v>3.932230987024209E-3</v>
      </c>
    </row>
    <row r="1238" spans="1:11" x14ac:dyDescent="0.3">
      <c r="A1238" s="23">
        <v>45282</v>
      </c>
      <c r="B1238">
        <v>765</v>
      </c>
      <c r="C1238" s="28">
        <f t="shared" si="38"/>
        <v>-1.034928848641656E-2</v>
      </c>
      <c r="I1238" s="26" t="s">
        <v>307</v>
      </c>
      <c r="J1238" s="14">
        <v>61705.09</v>
      </c>
      <c r="K1238" s="28">
        <f t="shared" si="39"/>
        <v>-1.5766848179167389E-2</v>
      </c>
    </row>
    <row r="1239" spans="1:11" x14ac:dyDescent="0.3">
      <c r="A1239" s="23">
        <v>45286</v>
      </c>
      <c r="B1239">
        <v>740</v>
      </c>
      <c r="C1239" s="28">
        <f t="shared" si="38"/>
        <v>-3.2679738562091505E-2</v>
      </c>
      <c r="I1239" s="26" t="s">
        <v>306</v>
      </c>
      <c r="J1239" s="14">
        <v>59170.98</v>
      </c>
      <c r="K1239" s="28">
        <f t="shared" si="39"/>
        <v>-4.1068086927674739E-2</v>
      </c>
    </row>
    <row r="1240" spans="1:11" x14ac:dyDescent="0.3">
      <c r="A1240" s="23">
        <v>45287</v>
      </c>
      <c r="B1240">
        <v>762.99</v>
      </c>
      <c r="C1240" s="28">
        <f t="shared" si="38"/>
        <v>3.1067567567567581E-2</v>
      </c>
      <c r="I1240" s="26" t="s">
        <v>305</v>
      </c>
      <c r="J1240" s="14">
        <v>60863.62</v>
      </c>
      <c r="K1240" s="28">
        <f t="shared" si="39"/>
        <v>2.8605914588536462E-2</v>
      </c>
    </row>
    <row r="1241" spans="1:11" x14ac:dyDescent="0.3">
      <c r="A1241" s="23">
        <v>45288</v>
      </c>
      <c r="B1241">
        <v>783</v>
      </c>
      <c r="C1241" s="28">
        <f t="shared" si="38"/>
        <v>2.6225769669327239E-2</v>
      </c>
      <c r="I1241" s="26" t="s">
        <v>304</v>
      </c>
      <c r="J1241" s="14">
        <v>62052.24</v>
      </c>
      <c r="K1241" s="28">
        <f t="shared" si="39"/>
        <v>1.9529236019809458E-2</v>
      </c>
    </row>
    <row r="1242" spans="1:11" x14ac:dyDescent="0.3">
      <c r="A1242" s="23">
        <v>45289</v>
      </c>
      <c r="B1242">
        <v>790</v>
      </c>
      <c r="C1242" s="28">
        <f t="shared" si="38"/>
        <v>8.9399744572158362E-3</v>
      </c>
      <c r="I1242" s="26" t="s">
        <v>303</v>
      </c>
      <c r="J1242" s="14">
        <v>62451.040000000001</v>
      </c>
      <c r="K1242" s="28">
        <f t="shared" si="39"/>
        <v>6.426842931052979E-3</v>
      </c>
    </row>
    <row r="1243" spans="1:11" x14ac:dyDescent="0.3">
      <c r="A1243" s="23">
        <v>45292</v>
      </c>
      <c r="B1243">
        <v>812</v>
      </c>
      <c r="C1243" s="28">
        <f t="shared" si="38"/>
        <v>2.7848101265822784E-2</v>
      </c>
      <c r="I1243" s="27">
        <v>45292</v>
      </c>
      <c r="J1243" s="14">
        <v>64661.78</v>
      </c>
      <c r="K1243" s="28">
        <f t="shared" si="39"/>
        <v>3.5399570607631159E-2</v>
      </c>
    </row>
    <row r="1244" spans="1:11" x14ac:dyDescent="0.3">
      <c r="A1244" s="23">
        <v>45293</v>
      </c>
      <c r="B1244">
        <v>802</v>
      </c>
      <c r="C1244" s="28">
        <f t="shared" si="38"/>
        <v>-1.2315270935960592E-2</v>
      </c>
      <c r="I1244" s="27">
        <v>45323</v>
      </c>
      <c r="J1244" s="14">
        <v>64349.599999999999</v>
      </c>
      <c r="K1244" s="28">
        <f t="shared" si="39"/>
        <v>-4.8278906024548087E-3</v>
      </c>
    </row>
    <row r="1245" spans="1:11" x14ac:dyDescent="0.3">
      <c r="A1245" s="23">
        <v>45294</v>
      </c>
      <c r="B1245">
        <v>801.01</v>
      </c>
      <c r="C1245" s="28">
        <f t="shared" si="38"/>
        <v>-1.2344139650872932E-3</v>
      </c>
      <c r="I1245" s="27">
        <v>45352</v>
      </c>
      <c r="J1245" s="14">
        <v>64646.85</v>
      </c>
      <c r="K1245" s="28">
        <f t="shared" si="39"/>
        <v>4.6192983328567699E-3</v>
      </c>
    </row>
    <row r="1246" spans="1:11" x14ac:dyDescent="0.3">
      <c r="A1246" s="23">
        <v>45295</v>
      </c>
      <c r="B1246">
        <v>793</v>
      </c>
      <c r="C1246" s="28">
        <f t="shared" si="38"/>
        <v>-9.9998751576135022E-3</v>
      </c>
      <c r="I1246" s="27">
        <v>45383</v>
      </c>
      <c r="J1246" s="14">
        <v>64639.16</v>
      </c>
      <c r="K1246" s="28">
        <f t="shared" si="39"/>
        <v>-1.1895397842269272E-4</v>
      </c>
    </row>
    <row r="1247" spans="1:11" x14ac:dyDescent="0.3">
      <c r="A1247" s="23">
        <v>45296</v>
      </c>
      <c r="B1247">
        <v>791</v>
      </c>
      <c r="C1247" s="28">
        <f t="shared" si="38"/>
        <v>-2.5220680958385876E-3</v>
      </c>
      <c r="I1247" s="27">
        <v>45413</v>
      </c>
      <c r="J1247" s="14">
        <v>64514.9</v>
      </c>
      <c r="K1247" s="28">
        <f t="shared" si="39"/>
        <v>-1.9223640901274402E-3</v>
      </c>
    </row>
    <row r="1248" spans="1:11" x14ac:dyDescent="0.3">
      <c r="A1248" s="23">
        <v>45299</v>
      </c>
      <c r="B1248">
        <v>785</v>
      </c>
      <c r="C1248" s="28">
        <f t="shared" si="38"/>
        <v>-7.5853350189633373E-3</v>
      </c>
      <c r="I1248" s="27">
        <v>45505</v>
      </c>
      <c r="J1248" s="14">
        <v>64237.03</v>
      </c>
      <c r="K1248" s="28">
        <f t="shared" si="39"/>
        <v>-4.3070670496273356E-3</v>
      </c>
    </row>
    <row r="1249" spans="1:11" x14ac:dyDescent="0.3">
      <c r="A1249" s="23">
        <v>45300</v>
      </c>
      <c r="B1249">
        <v>782.25</v>
      </c>
      <c r="C1249" s="28">
        <f t="shared" si="38"/>
        <v>-3.5031847133757963E-3</v>
      </c>
      <c r="I1249" s="27">
        <v>45536</v>
      </c>
      <c r="J1249" s="14">
        <v>64170.58</v>
      </c>
      <c r="K1249" s="28">
        <f t="shared" si="39"/>
        <v>-1.034450067196399E-3</v>
      </c>
    </row>
    <row r="1250" spans="1:11" x14ac:dyDescent="0.3">
      <c r="A1250" s="23">
        <v>45301</v>
      </c>
      <c r="B1250">
        <v>779.05</v>
      </c>
      <c r="C1250" s="28">
        <f t="shared" si="38"/>
        <v>-4.0907638223075049E-3</v>
      </c>
      <c r="I1250" s="27">
        <v>45566</v>
      </c>
      <c r="J1250" s="14">
        <v>63919.85</v>
      </c>
      <c r="K1250" s="28">
        <f t="shared" si="39"/>
        <v>-3.9072422284480391E-3</v>
      </c>
    </row>
    <row r="1251" spans="1:11" x14ac:dyDescent="0.3">
      <c r="A1251" s="23">
        <v>45302</v>
      </c>
      <c r="B1251">
        <v>789</v>
      </c>
      <c r="C1251" s="28">
        <f t="shared" si="38"/>
        <v>1.2771965855850134E-2</v>
      </c>
      <c r="I1251" s="27">
        <v>45597</v>
      </c>
      <c r="J1251" s="14">
        <v>64617.57</v>
      </c>
      <c r="K1251" s="28">
        <f t="shared" si="39"/>
        <v>1.0915545014576868E-2</v>
      </c>
    </row>
    <row r="1252" spans="1:11" x14ac:dyDescent="0.3">
      <c r="A1252" s="23">
        <v>45303</v>
      </c>
      <c r="B1252">
        <v>789</v>
      </c>
      <c r="C1252" s="28">
        <f t="shared" si="38"/>
        <v>0</v>
      </c>
      <c r="I1252" s="27">
        <v>45627</v>
      </c>
      <c r="J1252" s="14">
        <v>64637.64</v>
      </c>
      <c r="K1252" s="28">
        <f t="shared" si="39"/>
        <v>3.1059663803513054E-4</v>
      </c>
    </row>
    <row r="1253" spans="1:11" x14ac:dyDescent="0.3">
      <c r="A1253" s="23">
        <v>45306</v>
      </c>
      <c r="B1253">
        <v>777.3</v>
      </c>
      <c r="C1253" s="28">
        <f t="shared" si="38"/>
        <v>-1.48288973384031E-2</v>
      </c>
      <c r="I1253" s="26" t="s">
        <v>302</v>
      </c>
      <c r="J1253" s="14">
        <v>64269.38</v>
      </c>
      <c r="K1253" s="28">
        <f t="shared" si="39"/>
        <v>-5.6972995920024621E-3</v>
      </c>
    </row>
    <row r="1254" spans="1:11" x14ac:dyDescent="0.3">
      <c r="A1254" s="23">
        <v>45307</v>
      </c>
      <c r="B1254">
        <v>773</v>
      </c>
      <c r="C1254" s="28">
        <f t="shared" si="38"/>
        <v>-5.5319696384921587E-3</v>
      </c>
      <c r="I1254" s="26" t="s">
        <v>301</v>
      </c>
      <c r="J1254" s="14">
        <v>63737.46</v>
      </c>
      <c r="K1254" s="28">
        <f t="shared" si="39"/>
        <v>-8.2764140559625481E-3</v>
      </c>
    </row>
    <row r="1255" spans="1:11" x14ac:dyDescent="0.3">
      <c r="A1255" s="23">
        <v>45308</v>
      </c>
      <c r="B1255">
        <v>767.99</v>
      </c>
      <c r="C1255" s="28">
        <f t="shared" si="38"/>
        <v>-6.481241914618358E-3</v>
      </c>
      <c r="I1255" s="26" t="s">
        <v>300</v>
      </c>
      <c r="J1255" s="14">
        <v>63567.34</v>
      </c>
      <c r="K1255" s="28">
        <f t="shared" si="39"/>
        <v>-2.6690740421724153E-3</v>
      </c>
    </row>
    <row r="1256" spans="1:11" x14ac:dyDescent="0.3">
      <c r="A1256" s="23">
        <v>45309</v>
      </c>
      <c r="B1256">
        <v>751.29</v>
      </c>
      <c r="C1256" s="28">
        <f t="shared" si="38"/>
        <v>-2.1745074805661593E-2</v>
      </c>
      <c r="I1256" s="26" t="s">
        <v>299</v>
      </c>
      <c r="J1256" s="14">
        <v>63202.400000000001</v>
      </c>
      <c r="K1256" s="28">
        <f t="shared" si="39"/>
        <v>-5.7409984435402685E-3</v>
      </c>
    </row>
    <row r="1257" spans="1:11" x14ac:dyDescent="0.3">
      <c r="A1257" s="23">
        <v>45310</v>
      </c>
      <c r="B1257">
        <v>752.9</v>
      </c>
      <c r="C1257" s="28">
        <f t="shared" si="38"/>
        <v>2.1429807397942389E-3</v>
      </c>
      <c r="I1257" s="26" t="s">
        <v>298</v>
      </c>
      <c r="J1257" s="14">
        <v>63282.23</v>
      </c>
      <c r="K1257" s="28">
        <f t="shared" si="39"/>
        <v>1.2630849461413133E-3</v>
      </c>
    </row>
    <row r="1258" spans="1:11" x14ac:dyDescent="0.3">
      <c r="A1258" s="23">
        <v>45313</v>
      </c>
      <c r="B1258">
        <v>753</v>
      </c>
      <c r="C1258" s="28">
        <f t="shared" si="38"/>
        <v>1.3281976358085103E-4</v>
      </c>
      <c r="I1258" s="26" t="s">
        <v>297</v>
      </c>
      <c r="J1258" s="14">
        <v>63939.41</v>
      </c>
      <c r="K1258" s="28">
        <f t="shared" si="39"/>
        <v>1.038490584165571E-2</v>
      </c>
    </row>
    <row r="1259" spans="1:11" x14ac:dyDescent="0.3">
      <c r="A1259" s="23">
        <v>45314</v>
      </c>
      <c r="B1259">
        <v>740.16</v>
      </c>
      <c r="C1259" s="28">
        <f t="shared" si="38"/>
        <v>-1.7051792828685301E-2</v>
      </c>
      <c r="I1259" s="26" t="s">
        <v>296</v>
      </c>
      <c r="J1259" s="14">
        <v>64454.22</v>
      </c>
      <c r="K1259" s="28">
        <f t="shared" si="39"/>
        <v>8.0515287832652448E-3</v>
      </c>
    </row>
    <row r="1260" spans="1:11" x14ac:dyDescent="0.3">
      <c r="A1260" s="23">
        <v>45315</v>
      </c>
      <c r="B1260">
        <v>750.01</v>
      </c>
      <c r="C1260" s="28">
        <f t="shared" si="38"/>
        <v>1.3307933419801155E-2</v>
      </c>
      <c r="I1260" s="26" t="s">
        <v>295</v>
      </c>
      <c r="J1260" s="14">
        <v>64822.43</v>
      </c>
      <c r="K1260" s="28">
        <f t="shared" si="39"/>
        <v>5.7127368851876432E-3</v>
      </c>
    </row>
    <row r="1261" spans="1:11" x14ac:dyDescent="0.3">
      <c r="A1261" s="23">
        <v>45316</v>
      </c>
      <c r="B1261">
        <v>750</v>
      </c>
      <c r="C1261" s="28">
        <f t="shared" si="38"/>
        <v>-1.3333155557913768E-5</v>
      </c>
      <c r="I1261" s="26" t="s">
        <v>294</v>
      </c>
      <c r="J1261" s="14">
        <v>64298.01</v>
      </c>
      <c r="K1261" s="28">
        <f t="shared" si="39"/>
        <v>-8.0901009110580738E-3</v>
      </c>
    </row>
    <row r="1262" spans="1:11" x14ac:dyDescent="0.3">
      <c r="A1262" s="23">
        <v>45317</v>
      </c>
      <c r="B1262">
        <v>744</v>
      </c>
      <c r="C1262" s="28">
        <f t="shared" si="38"/>
        <v>-8.0000000000000002E-3</v>
      </c>
      <c r="I1262" s="26" t="s">
        <v>293</v>
      </c>
      <c r="J1262" s="14">
        <v>63813.06</v>
      </c>
      <c r="K1262" s="28">
        <f t="shared" si="39"/>
        <v>-7.5422240906056716E-3</v>
      </c>
    </row>
    <row r="1263" spans="1:11" x14ac:dyDescent="0.3">
      <c r="A1263" s="23">
        <v>45320</v>
      </c>
      <c r="B1263">
        <v>740.9</v>
      </c>
      <c r="C1263" s="28">
        <f t="shared" si="38"/>
        <v>-4.166666666666697E-3</v>
      </c>
      <c r="I1263" s="26" t="s">
        <v>292</v>
      </c>
      <c r="J1263" s="14">
        <v>62773.72</v>
      </c>
      <c r="K1263" s="28">
        <f t="shared" si="39"/>
        <v>-1.6287261573101126E-2</v>
      </c>
    </row>
    <row r="1264" spans="1:11" x14ac:dyDescent="0.3">
      <c r="A1264" s="23">
        <v>45321</v>
      </c>
      <c r="B1264">
        <v>733</v>
      </c>
      <c r="C1264" s="28">
        <f t="shared" si="38"/>
        <v>-1.0662707517883625E-2</v>
      </c>
      <c r="I1264" s="26" t="s">
        <v>291</v>
      </c>
      <c r="J1264" s="14">
        <v>61841.74</v>
      </c>
      <c r="K1264" s="28">
        <f t="shared" si="39"/>
        <v>-1.4846658761022976E-2</v>
      </c>
    </row>
    <row r="1265" spans="1:11" x14ac:dyDescent="0.3">
      <c r="A1265" s="23">
        <v>45322</v>
      </c>
      <c r="B1265">
        <v>736.95</v>
      </c>
      <c r="C1265" s="28">
        <f t="shared" si="38"/>
        <v>5.3888130968622718E-3</v>
      </c>
      <c r="I1265" s="26" t="s">
        <v>290</v>
      </c>
      <c r="J1265" s="14">
        <v>61979.18</v>
      </c>
      <c r="K1265" s="28">
        <f t="shared" si="39"/>
        <v>2.2224471691773603E-3</v>
      </c>
    </row>
    <row r="1266" spans="1:11" x14ac:dyDescent="0.3">
      <c r="A1266" s="23">
        <v>45323</v>
      </c>
      <c r="B1266">
        <v>725.01</v>
      </c>
      <c r="C1266" s="28">
        <f t="shared" si="38"/>
        <v>-1.6201913291268136E-2</v>
      </c>
      <c r="I1266" s="27">
        <v>45293</v>
      </c>
      <c r="J1266" s="14">
        <v>62393.74</v>
      </c>
      <c r="K1266" s="28">
        <f t="shared" si="39"/>
        <v>6.6886977207507052E-3</v>
      </c>
    </row>
    <row r="1267" spans="1:11" x14ac:dyDescent="0.3">
      <c r="A1267" s="23">
        <v>45324</v>
      </c>
      <c r="B1267">
        <v>740.98</v>
      </c>
      <c r="C1267" s="28">
        <f t="shared" si="38"/>
        <v>2.2027282382312007E-2</v>
      </c>
      <c r="I1267" s="27">
        <v>45324</v>
      </c>
      <c r="J1267" s="14">
        <v>63002.92</v>
      </c>
      <c r="K1267" s="28">
        <f t="shared" si="39"/>
        <v>9.7634794772680777E-3</v>
      </c>
    </row>
    <row r="1268" spans="1:11" x14ac:dyDescent="0.3">
      <c r="A1268" s="23">
        <v>45328</v>
      </c>
      <c r="B1268">
        <v>751</v>
      </c>
      <c r="C1268" s="28">
        <f t="shared" si="38"/>
        <v>1.3522632189802668E-2</v>
      </c>
      <c r="I1268" s="27">
        <v>45445</v>
      </c>
      <c r="J1268" s="14">
        <v>63799.02</v>
      </c>
      <c r="K1268" s="28">
        <f t="shared" si="39"/>
        <v>1.2635922271539137E-2</v>
      </c>
    </row>
    <row r="1269" spans="1:11" x14ac:dyDescent="0.3">
      <c r="A1269" s="23">
        <v>45329</v>
      </c>
      <c r="B1269">
        <v>757.98</v>
      </c>
      <c r="C1269" s="28">
        <f t="shared" si="38"/>
        <v>9.2942743009321142E-3</v>
      </c>
      <c r="I1269" s="27">
        <v>45475</v>
      </c>
      <c r="J1269" s="14">
        <v>64143.87</v>
      </c>
      <c r="K1269" s="28">
        <f t="shared" si="39"/>
        <v>5.4052554412278722E-3</v>
      </c>
    </row>
    <row r="1270" spans="1:11" x14ac:dyDescent="0.3">
      <c r="A1270" s="23">
        <v>45331</v>
      </c>
      <c r="B1270">
        <v>749.99</v>
      </c>
      <c r="C1270" s="28">
        <f t="shared" si="38"/>
        <v>-1.0541175228897871E-2</v>
      </c>
      <c r="I1270" s="27">
        <v>45537</v>
      </c>
      <c r="J1270" s="14">
        <v>62943.75</v>
      </c>
      <c r="K1270" s="28">
        <f t="shared" si="39"/>
        <v>-1.8709815918497005E-2</v>
      </c>
    </row>
    <row r="1271" spans="1:11" x14ac:dyDescent="0.3">
      <c r="A1271" s="23">
        <v>45334</v>
      </c>
      <c r="B1271">
        <v>724</v>
      </c>
      <c r="C1271" s="28">
        <f t="shared" si="38"/>
        <v>-3.4653795383938465E-2</v>
      </c>
      <c r="I1271" s="27">
        <v>45628</v>
      </c>
      <c r="J1271" s="14">
        <v>61065.32</v>
      </c>
      <c r="K1271" s="28">
        <f t="shared" si="39"/>
        <v>-2.9842994737364716E-2</v>
      </c>
    </row>
    <row r="1272" spans="1:11" x14ac:dyDescent="0.3">
      <c r="A1272" s="23">
        <v>45335</v>
      </c>
      <c r="B1272">
        <v>725.99</v>
      </c>
      <c r="C1272" s="28">
        <f t="shared" si="38"/>
        <v>2.7486187845303994E-3</v>
      </c>
      <c r="I1272" s="26" t="s">
        <v>289</v>
      </c>
      <c r="J1272" s="14">
        <v>61226.93</v>
      </c>
      <c r="K1272" s="28">
        <f t="shared" si="39"/>
        <v>2.6465103269744691E-3</v>
      </c>
    </row>
    <row r="1273" spans="1:11" x14ac:dyDescent="0.3">
      <c r="A1273" s="23">
        <v>45336</v>
      </c>
      <c r="B1273">
        <v>733.97</v>
      </c>
      <c r="C1273" s="28">
        <f t="shared" si="38"/>
        <v>1.0991886940591493E-2</v>
      </c>
      <c r="I1273" s="26" t="s">
        <v>288</v>
      </c>
      <c r="J1273" s="14">
        <v>62153.84</v>
      </c>
      <c r="K1273" s="28">
        <f t="shared" si="39"/>
        <v>1.5138926612848238E-2</v>
      </c>
    </row>
    <row r="1274" spans="1:11" x14ac:dyDescent="0.3">
      <c r="A1274" s="23">
        <v>45337</v>
      </c>
      <c r="B1274">
        <v>721.15</v>
      </c>
      <c r="C1274" s="28">
        <f t="shared" si="38"/>
        <v>-1.7466653950434008E-2</v>
      </c>
      <c r="I1274" s="26" t="s">
        <v>287</v>
      </c>
      <c r="J1274" s="14">
        <v>61020.06</v>
      </c>
      <c r="K1274" s="28">
        <f t="shared" si="39"/>
        <v>-1.8241511707080351E-2</v>
      </c>
    </row>
    <row r="1275" spans="1:11" x14ac:dyDescent="0.3">
      <c r="A1275" s="23">
        <v>45338</v>
      </c>
      <c r="B1275">
        <v>702.95</v>
      </c>
      <c r="C1275" s="28">
        <f t="shared" si="38"/>
        <v>-2.5237467933162217E-2</v>
      </c>
      <c r="I1275" s="26" t="s">
        <v>286</v>
      </c>
      <c r="J1275" s="14">
        <v>59872.959999999999</v>
      </c>
      <c r="K1275" s="28">
        <f t="shared" si="39"/>
        <v>-1.8798736022219556E-2</v>
      </c>
    </row>
    <row r="1276" spans="1:11" x14ac:dyDescent="0.3">
      <c r="A1276" s="23">
        <v>45341</v>
      </c>
      <c r="B1276">
        <v>712.5</v>
      </c>
      <c r="C1276" s="28">
        <f t="shared" si="38"/>
        <v>1.3585603527989123E-2</v>
      </c>
      <c r="I1276" s="26" t="s">
        <v>285</v>
      </c>
      <c r="J1276" s="14">
        <v>60459.75</v>
      </c>
      <c r="K1276" s="28">
        <f t="shared" si="39"/>
        <v>9.8005844374489063E-3</v>
      </c>
    </row>
    <row r="1277" spans="1:11" x14ac:dyDescent="0.3">
      <c r="A1277" s="23">
        <v>45342</v>
      </c>
      <c r="B1277">
        <v>698</v>
      </c>
      <c r="C1277" s="28">
        <f t="shared" si="38"/>
        <v>-2.0350877192982456E-2</v>
      </c>
      <c r="I1277" s="26" t="s">
        <v>284</v>
      </c>
      <c r="J1277" s="14">
        <v>60464.24</v>
      </c>
      <c r="K1277" s="28">
        <f t="shared" si="39"/>
        <v>7.4264283262798192E-5</v>
      </c>
    </row>
    <row r="1278" spans="1:11" x14ac:dyDescent="0.3">
      <c r="A1278" s="23">
        <v>45343</v>
      </c>
      <c r="B1278">
        <v>728</v>
      </c>
      <c r="C1278" s="28">
        <f t="shared" si="38"/>
        <v>4.2979942693409739E-2</v>
      </c>
      <c r="I1278" s="26" t="s">
        <v>283</v>
      </c>
      <c r="J1278" s="14">
        <v>61559.16</v>
      </c>
      <c r="K1278" s="28">
        <f t="shared" si="39"/>
        <v>1.8108554742439591E-2</v>
      </c>
    </row>
    <row r="1279" spans="1:11" x14ac:dyDescent="0.3">
      <c r="A1279" s="23">
        <v>45344</v>
      </c>
      <c r="B1279">
        <v>715</v>
      </c>
      <c r="C1279" s="28">
        <f t="shared" si="38"/>
        <v>-1.7857142857142856E-2</v>
      </c>
      <c r="I1279" s="26" t="s">
        <v>282</v>
      </c>
      <c r="J1279" s="14">
        <v>61914.34</v>
      </c>
      <c r="K1279" s="28">
        <f t="shared" si="39"/>
        <v>5.769734349851314E-3</v>
      </c>
    </row>
    <row r="1280" spans="1:11" x14ac:dyDescent="0.3">
      <c r="A1280" s="23">
        <v>45345</v>
      </c>
      <c r="B1280">
        <v>741</v>
      </c>
      <c r="C1280" s="28">
        <f t="shared" si="38"/>
        <v>3.6363636363636362E-2</v>
      </c>
      <c r="I1280" s="26" t="s">
        <v>281</v>
      </c>
      <c r="J1280" s="14">
        <v>62815.82</v>
      </c>
      <c r="K1280" s="28">
        <f t="shared" si="39"/>
        <v>1.4560116444752592E-2</v>
      </c>
    </row>
    <row r="1281" spans="1:11" x14ac:dyDescent="0.3">
      <c r="A1281" s="23">
        <v>45348</v>
      </c>
      <c r="B1281">
        <v>735.78</v>
      </c>
      <c r="C1281" s="28">
        <f t="shared" si="38"/>
        <v>-7.0445344129555021E-3</v>
      </c>
      <c r="I1281" s="26" t="s">
        <v>280</v>
      </c>
      <c r="J1281" s="14">
        <v>63305.93</v>
      </c>
      <c r="K1281" s="28">
        <f t="shared" si="39"/>
        <v>7.8023338706714419E-3</v>
      </c>
    </row>
    <row r="1282" spans="1:11" x14ac:dyDescent="0.3">
      <c r="A1282" s="23">
        <v>45349</v>
      </c>
      <c r="B1282">
        <v>736</v>
      </c>
      <c r="C1282" s="28">
        <f t="shared" si="38"/>
        <v>2.9900241920142881E-4</v>
      </c>
      <c r="I1282" s="26" t="s">
        <v>279</v>
      </c>
      <c r="J1282" s="14">
        <v>63219.1</v>
      </c>
      <c r="K1282" s="28">
        <f t="shared" si="39"/>
        <v>-1.3715934668363887E-3</v>
      </c>
    </row>
    <row r="1283" spans="1:11" x14ac:dyDescent="0.3">
      <c r="A1283" s="23">
        <v>45350</v>
      </c>
      <c r="B1283">
        <v>762.2</v>
      </c>
      <c r="C1283" s="28">
        <f t="shared" si="38"/>
        <v>3.5597826086956587E-2</v>
      </c>
      <c r="I1283" s="26" t="s">
        <v>278</v>
      </c>
      <c r="J1283" s="14">
        <v>63703.45</v>
      </c>
      <c r="K1283" s="28">
        <f t="shared" si="39"/>
        <v>7.6614504160925825E-3</v>
      </c>
    </row>
    <row r="1284" spans="1:11" x14ac:dyDescent="0.3">
      <c r="A1284" s="23">
        <v>45351</v>
      </c>
      <c r="B1284">
        <v>749.15</v>
      </c>
      <c r="C1284" s="28">
        <f t="shared" si="38"/>
        <v>-1.7121490422461385E-2</v>
      </c>
      <c r="I1284" s="26" t="s">
        <v>277</v>
      </c>
      <c r="J1284" s="14">
        <v>64578.52</v>
      </c>
      <c r="K1284" s="28">
        <f t="shared" si="39"/>
        <v>1.3736618660370823E-2</v>
      </c>
    </row>
    <row r="1285" spans="1:11" x14ac:dyDescent="0.3">
      <c r="A1285" s="23">
        <v>45352</v>
      </c>
      <c r="B1285">
        <v>752</v>
      </c>
      <c r="C1285" s="28">
        <f t="shared" si="38"/>
        <v>3.8043115530935366E-3</v>
      </c>
      <c r="I1285" s="27">
        <v>45294</v>
      </c>
      <c r="J1285" s="14">
        <v>65325.69</v>
      </c>
      <c r="K1285" s="28">
        <f t="shared" si="39"/>
        <v>1.1569946167858997E-2</v>
      </c>
    </row>
    <row r="1286" spans="1:11" x14ac:dyDescent="0.3">
      <c r="A1286" s="23">
        <v>45355</v>
      </c>
      <c r="B1286">
        <v>763.93</v>
      </c>
      <c r="C1286" s="28">
        <f t="shared" ref="C1286:C1349" si="40">(B1286-B1285)/B1285</f>
        <v>1.5864361702127593E-2</v>
      </c>
      <c r="I1286" s="27">
        <v>45385</v>
      </c>
      <c r="J1286" s="14">
        <v>65951.73</v>
      </c>
      <c r="K1286" s="28">
        <f t="shared" ref="K1286:K1349" si="41">(J1286-J1285)/J1285</f>
        <v>9.5833660539979531E-3</v>
      </c>
    </row>
    <row r="1287" spans="1:11" x14ac:dyDescent="0.3">
      <c r="A1287" s="23">
        <v>45356</v>
      </c>
      <c r="B1287">
        <v>764</v>
      </c>
      <c r="C1287" s="28">
        <f t="shared" si="40"/>
        <v>9.1631432199350762E-5</v>
      </c>
      <c r="I1287" s="27">
        <v>45415</v>
      </c>
      <c r="J1287" s="14">
        <v>65726.039999999994</v>
      </c>
      <c r="K1287" s="28">
        <f t="shared" si="41"/>
        <v>-3.4220482161726818E-3</v>
      </c>
    </row>
    <row r="1288" spans="1:11" x14ac:dyDescent="0.3">
      <c r="A1288" s="23">
        <v>45357</v>
      </c>
      <c r="B1288">
        <v>759</v>
      </c>
      <c r="C1288" s="28">
        <f t="shared" si="40"/>
        <v>-6.5445026178010471E-3</v>
      </c>
      <c r="I1288" s="27">
        <v>45446</v>
      </c>
      <c r="J1288" s="14">
        <v>65656.62</v>
      </c>
      <c r="K1288" s="28">
        <f t="shared" si="41"/>
        <v>-1.05620238188697E-3</v>
      </c>
    </row>
    <row r="1289" spans="1:11" x14ac:dyDescent="0.3">
      <c r="A1289" s="23">
        <v>45358</v>
      </c>
      <c r="B1289">
        <v>751.1</v>
      </c>
      <c r="C1289" s="28">
        <f t="shared" si="40"/>
        <v>-1.0408432147562553E-2</v>
      </c>
      <c r="I1289" s="27">
        <v>45476</v>
      </c>
      <c r="J1289" s="14">
        <v>65603.09</v>
      </c>
      <c r="K1289" s="28">
        <f t="shared" si="41"/>
        <v>-8.1530240210353261E-4</v>
      </c>
    </row>
    <row r="1290" spans="1:11" x14ac:dyDescent="0.3">
      <c r="A1290" s="23">
        <v>45359</v>
      </c>
      <c r="B1290">
        <v>759.75</v>
      </c>
      <c r="C1290" s="28">
        <f t="shared" si="40"/>
        <v>1.1516442550925279E-2</v>
      </c>
      <c r="I1290" s="27">
        <v>45507</v>
      </c>
      <c r="J1290" s="14">
        <v>65793.759999999995</v>
      </c>
      <c r="K1290" s="28">
        <f t="shared" si="41"/>
        <v>2.9064179751288888E-3</v>
      </c>
    </row>
    <row r="1291" spans="1:11" x14ac:dyDescent="0.3">
      <c r="A1291" s="23">
        <v>45362</v>
      </c>
      <c r="B1291">
        <v>762.15</v>
      </c>
      <c r="C1291" s="28">
        <f t="shared" si="40"/>
        <v>3.1589338598222798E-3</v>
      </c>
      <c r="I1291" s="27">
        <v>45599</v>
      </c>
      <c r="J1291" s="14">
        <v>65755.31</v>
      </c>
      <c r="K1291" s="28">
        <f t="shared" si="41"/>
        <v>-5.8440192504573523E-4</v>
      </c>
    </row>
    <row r="1292" spans="1:11" x14ac:dyDescent="0.3">
      <c r="A1292" s="23">
        <v>45363</v>
      </c>
      <c r="B1292">
        <v>756.03</v>
      </c>
      <c r="C1292" s="28">
        <f t="shared" si="40"/>
        <v>-8.0299153709899682E-3</v>
      </c>
      <c r="I1292" s="27">
        <v>45629</v>
      </c>
      <c r="J1292" s="14">
        <v>64801.7</v>
      </c>
      <c r="K1292" s="28">
        <f t="shared" si="41"/>
        <v>-1.4502402923809509E-2</v>
      </c>
    </row>
    <row r="1293" spans="1:11" x14ac:dyDescent="0.3">
      <c r="A1293" s="23">
        <v>45364</v>
      </c>
      <c r="B1293">
        <v>756</v>
      </c>
      <c r="C1293" s="28">
        <f t="shared" si="40"/>
        <v>-3.9680965041033711E-5</v>
      </c>
      <c r="I1293" s="26" t="s">
        <v>276</v>
      </c>
      <c r="J1293" s="14">
        <v>64048.44</v>
      </c>
      <c r="K1293" s="28">
        <f t="shared" si="41"/>
        <v>-1.162407776339193E-2</v>
      </c>
    </row>
    <row r="1294" spans="1:11" x14ac:dyDescent="0.3">
      <c r="A1294" s="23">
        <v>45365</v>
      </c>
      <c r="B1294">
        <v>767.7</v>
      </c>
      <c r="C1294" s="28">
        <f t="shared" si="40"/>
        <v>1.5476190476190536E-2</v>
      </c>
      <c r="I1294" s="26" t="s">
        <v>275</v>
      </c>
      <c r="J1294" s="14">
        <v>65064.27</v>
      </c>
      <c r="K1294" s="28">
        <f t="shared" si="41"/>
        <v>1.5860339455574475E-2</v>
      </c>
    </row>
    <row r="1295" spans="1:11" x14ac:dyDescent="0.3">
      <c r="A1295" s="23">
        <v>45366</v>
      </c>
      <c r="B1295">
        <v>773.67</v>
      </c>
      <c r="C1295" s="28">
        <f t="shared" si="40"/>
        <v>7.7764751856192697E-3</v>
      </c>
      <c r="I1295" s="26" t="s">
        <v>274</v>
      </c>
      <c r="J1295" s="14">
        <v>64816.47</v>
      </c>
      <c r="K1295" s="28">
        <f t="shared" si="41"/>
        <v>-3.8085419232398313E-3</v>
      </c>
    </row>
    <row r="1296" spans="1:11" x14ac:dyDescent="0.3">
      <c r="A1296" s="23">
        <v>45369</v>
      </c>
      <c r="B1296">
        <v>760.2</v>
      </c>
      <c r="C1296" s="28">
        <f t="shared" si="40"/>
        <v>-1.7410523866764789E-2</v>
      </c>
      <c r="I1296" s="26" t="s">
        <v>273</v>
      </c>
      <c r="J1296" s="14">
        <v>64890.51</v>
      </c>
      <c r="K1296" s="28">
        <f t="shared" si="41"/>
        <v>1.1423022574355078E-3</v>
      </c>
    </row>
    <row r="1297" spans="1:11" x14ac:dyDescent="0.3">
      <c r="A1297" s="23">
        <v>45370</v>
      </c>
      <c r="B1297">
        <v>761</v>
      </c>
      <c r="C1297" s="28">
        <f t="shared" si="40"/>
        <v>1.0523546435148047E-3</v>
      </c>
      <c r="I1297" s="26" t="s">
        <v>272</v>
      </c>
      <c r="J1297" s="14">
        <v>65502.6</v>
      </c>
      <c r="K1297" s="28">
        <f t="shared" si="41"/>
        <v>9.4326581806799866E-3</v>
      </c>
    </row>
    <row r="1298" spans="1:11" x14ac:dyDescent="0.3">
      <c r="A1298" s="23">
        <v>45371</v>
      </c>
      <c r="B1298">
        <v>760.01</v>
      </c>
      <c r="C1298" s="28">
        <f t="shared" si="40"/>
        <v>-1.3009198423127584E-3</v>
      </c>
      <c r="I1298" s="26" t="s">
        <v>271</v>
      </c>
      <c r="J1298" s="14">
        <v>65731.789999999994</v>
      </c>
      <c r="K1298" s="28">
        <f t="shared" si="41"/>
        <v>3.4989450800425488E-3</v>
      </c>
    </row>
    <row r="1299" spans="1:11" x14ac:dyDescent="0.3">
      <c r="A1299" s="23">
        <v>45372</v>
      </c>
      <c r="B1299">
        <v>749.99</v>
      </c>
      <c r="C1299" s="28">
        <f t="shared" si="40"/>
        <v>-1.3184037052144028E-2</v>
      </c>
      <c r="I1299" s="26" t="s">
        <v>270</v>
      </c>
      <c r="J1299" s="14">
        <v>65417.4</v>
      </c>
      <c r="K1299" s="28">
        <f t="shared" si="41"/>
        <v>-4.7829216274194297E-3</v>
      </c>
    </row>
    <row r="1300" spans="1:11" x14ac:dyDescent="0.3">
      <c r="A1300" s="23">
        <v>45373</v>
      </c>
      <c r="B1300">
        <v>745.04</v>
      </c>
      <c r="C1300" s="28">
        <f t="shared" si="40"/>
        <v>-6.6000880011734099E-3</v>
      </c>
      <c r="I1300" s="26" t="s">
        <v>269</v>
      </c>
      <c r="J1300" s="14">
        <v>65151.83</v>
      </c>
      <c r="K1300" s="28">
        <f t="shared" si="41"/>
        <v>-4.0596232806562127E-3</v>
      </c>
    </row>
    <row r="1301" spans="1:11" x14ac:dyDescent="0.3">
      <c r="A1301" s="23">
        <v>45376</v>
      </c>
      <c r="B1301">
        <v>744.98</v>
      </c>
      <c r="C1301" s="28">
        <f t="shared" si="40"/>
        <v>-8.0532588854216467E-5</v>
      </c>
      <c r="I1301" s="26" t="s">
        <v>268</v>
      </c>
      <c r="J1301" s="14">
        <v>65525.65</v>
      </c>
      <c r="K1301" s="28">
        <f t="shared" si="41"/>
        <v>5.7376745979353105E-3</v>
      </c>
    </row>
    <row r="1302" spans="1:11" x14ac:dyDescent="0.3">
      <c r="A1302" s="23">
        <v>45377</v>
      </c>
      <c r="B1302">
        <v>750.51</v>
      </c>
      <c r="C1302" s="28">
        <f t="shared" si="40"/>
        <v>7.423018067599093E-3</v>
      </c>
      <c r="I1302" s="26" t="s">
        <v>267</v>
      </c>
      <c r="J1302" s="14">
        <v>65906.28</v>
      </c>
      <c r="K1302" s="28">
        <f t="shared" si="41"/>
        <v>5.8088702668343982E-3</v>
      </c>
    </row>
    <row r="1303" spans="1:11" x14ac:dyDescent="0.3">
      <c r="A1303" s="23">
        <v>45378</v>
      </c>
      <c r="B1303">
        <v>761.5</v>
      </c>
      <c r="C1303" s="28">
        <f t="shared" si="40"/>
        <v>1.4643375837763666E-2</v>
      </c>
      <c r="I1303" s="26" t="s">
        <v>266</v>
      </c>
      <c r="J1303" s="14">
        <v>66547.789999999994</v>
      </c>
      <c r="K1303" s="28">
        <f t="shared" si="41"/>
        <v>9.7336702966696765E-3</v>
      </c>
    </row>
    <row r="1304" spans="1:11" x14ac:dyDescent="0.3">
      <c r="A1304" s="23">
        <v>45379</v>
      </c>
      <c r="B1304">
        <v>770</v>
      </c>
      <c r="C1304" s="28">
        <f t="shared" si="40"/>
        <v>1.1162179908076166E-2</v>
      </c>
      <c r="I1304" s="26" t="s">
        <v>265</v>
      </c>
      <c r="J1304" s="14">
        <v>67142.12</v>
      </c>
      <c r="K1304" s="28">
        <f t="shared" si="41"/>
        <v>8.9308750899166119E-3</v>
      </c>
    </row>
    <row r="1305" spans="1:11" x14ac:dyDescent="0.3">
      <c r="A1305" s="23">
        <v>45380</v>
      </c>
      <c r="B1305">
        <v>765</v>
      </c>
      <c r="C1305" s="28">
        <f t="shared" si="40"/>
        <v>-6.4935064935064939E-3</v>
      </c>
      <c r="I1305" s="26" t="s">
        <v>264</v>
      </c>
      <c r="J1305" s="14">
        <v>67005.11</v>
      </c>
      <c r="K1305" s="28">
        <f t="shared" si="41"/>
        <v>-2.0405968712336573E-3</v>
      </c>
    </row>
    <row r="1306" spans="1:11" x14ac:dyDescent="0.3">
      <c r="A1306" s="23">
        <v>45383</v>
      </c>
      <c r="B1306">
        <v>756</v>
      </c>
      <c r="C1306" s="28">
        <f t="shared" si="40"/>
        <v>-1.1764705882352941E-2</v>
      </c>
      <c r="I1306" s="27">
        <v>45295</v>
      </c>
      <c r="J1306" s="14">
        <v>66796.320000000007</v>
      </c>
      <c r="K1306" s="28">
        <f t="shared" si="41"/>
        <v>-3.1160310012175729E-3</v>
      </c>
    </row>
    <row r="1307" spans="1:11" x14ac:dyDescent="0.3">
      <c r="A1307" s="23">
        <v>45384</v>
      </c>
      <c r="B1307">
        <v>761</v>
      </c>
      <c r="C1307" s="28">
        <f t="shared" si="40"/>
        <v>6.6137566137566134E-3</v>
      </c>
      <c r="I1307" s="27">
        <v>45326</v>
      </c>
      <c r="J1307" s="14">
        <v>66886.259999999995</v>
      </c>
      <c r="K1307" s="28">
        <f t="shared" si="41"/>
        <v>1.3464813630449666E-3</v>
      </c>
    </row>
    <row r="1308" spans="1:11" x14ac:dyDescent="0.3">
      <c r="A1308" s="23">
        <v>45385</v>
      </c>
      <c r="B1308">
        <v>799</v>
      </c>
      <c r="C1308" s="28">
        <f t="shared" si="40"/>
        <v>4.9934296977660969E-2</v>
      </c>
      <c r="I1308" s="27">
        <v>45355</v>
      </c>
      <c r="J1308" s="14">
        <v>67756.039999999994</v>
      </c>
      <c r="K1308" s="28">
        <f t="shared" si="41"/>
        <v>1.3003866563925071E-2</v>
      </c>
    </row>
    <row r="1309" spans="1:11" x14ac:dyDescent="0.3">
      <c r="A1309" s="23">
        <v>45386</v>
      </c>
      <c r="B1309">
        <v>791</v>
      </c>
      <c r="C1309" s="28">
        <f t="shared" si="40"/>
        <v>-1.0012515644555695E-2</v>
      </c>
      <c r="I1309" s="27">
        <v>45386</v>
      </c>
      <c r="J1309" s="14">
        <v>68416.78</v>
      </c>
      <c r="K1309" s="28">
        <f t="shared" si="41"/>
        <v>9.7517505450437376E-3</v>
      </c>
    </row>
    <row r="1310" spans="1:11" x14ac:dyDescent="0.3">
      <c r="A1310" s="23">
        <v>45390</v>
      </c>
      <c r="B1310">
        <v>799.7</v>
      </c>
      <c r="C1310" s="28">
        <f t="shared" si="40"/>
        <v>1.0998735777496898E-2</v>
      </c>
      <c r="I1310" s="27">
        <v>45508</v>
      </c>
      <c r="J1310" s="14">
        <v>69619.990000000005</v>
      </c>
      <c r="K1310" s="28">
        <f t="shared" si="41"/>
        <v>1.7586475130808646E-2</v>
      </c>
    </row>
    <row r="1311" spans="1:11" x14ac:dyDescent="0.3">
      <c r="A1311" s="23">
        <v>45391</v>
      </c>
      <c r="B1311">
        <v>798.01</v>
      </c>
      <c r="C1311" s="28">
        <f t="shared" si="40"/>
        <v>-2.1132924846818239E-3</v>
      </c>
      <c r="I1311" s="27">
        <v>45539</v>
      </c>
      <c r="J1311" s="14">
        <v>70314.720000000001</v>
      </c>
      <c r="K1311" s="28">
        <f t="shared" si="41"/>
        <v>9.9788868111011769E-3</v>
      </c>
    </row>
    <row r="1312" spans="1:11" x14ac:dyDescent="0.3">
      <c r="A1312" s="23">
        <v>45397</v>
      </c>
      <c r="B1312">
        <v>798.02</v>
      </c>
      <c r="C1312" s="28">
        <f t="shared" si="40"/>
        <v>1.2531171288568947E-5</v>
      </c>
      <c r="I1312" s="26" t="s">
        <v>263</v>
      </c>
      <c r="J1312" s="14">
        <v>70544.58</v>
      </c>
      <c r="K1312" s="28">
        <f t="shared" si="41"/>
        <v>3.2690167862433439E-3</v>
      </c>
    </row>
    <row r="1313" spans="1:11" x14ac:dyDescent="0.3">
      <c r="A1313" s="23">
        <v>45398</v>
      </c>
      <c r="B1313">
        <v>800</v>
      </c>
      <c r="C1313" s="28">
        <f t="shared" si="40"/>
        <v>2.4811408235382798E-3</v>
      </c>
      <c r="I1313" s="26" t="s">
        <v>262</v>
      </c>
      <c r="J1313" s="14">
        <v>70483.66</v>
      </c>
      <c r="K1313" s="28">
        <f t="shared" si="41"/>
        <v>-8.6356740659591783E-4</v>
      </c>
    </row>
    <row r="1314" spans="1:11" x14ac:dyDescent="0.3">
      <c r="A1314" s="23">
        <v>45399</v>
      </c>
      <c r="B1314">
        <v>801</v>
      </c>
      <c r="C1314" s="28">
        <f t="shared" si="40"/>
        <v>1.25E-3</v>
      </c>
      <c r="I1314" s="26" t="s">
        <v>261</v>
      </c>
      <c r="J1314" s="14">
        <v>70333.320000000007</v>
      </c>
      <c r="K1314" s="28">
        <f t="shared" si="41"/>
        <v>-2.1329766360032453E-3</v>
      </c>
    </row>
    <row r="1315" spans="1:11" x14ac:dyDescent="0.3">
      <c r="A1315" s="23">
        <v>45400</v>
      </c>
      <c r="B1315">
        <v>792</v>
      </c>
      <c r="C1315" s="28">
        <f t="shared" si="40"/>
        <v>-1.1235955056179775E-2</v>
      </c>
      <c r="I1315" s="26" t="s">
        <v>260</v>
      </c>
      <c r="J1315" s="14">
        <v>70290.12</v>
      </c>
      <c r="K1315" s="28">
        <f t="shared" si="41"/>
        <v>-6.1421812591829362E-4</v>
      </c>
    </row>
    <row r="1316" spans="1:11" x14ac:dyDescent="0.3">
      <c r="A1316" s="23">
        <v>45401</v>
      </c>
      <c r="B1316">
        <v>787</v>
      </c>
      <c r="C1316" s="28">
        <f t="shared" si="40"/>
        <v>-6.313131313131313E-3</v>
      </c>
      <c r="I1316" s="26" t="s">
        <v>259</v>
      </c>
      <c r="J1316" s="14">
        <v>70909.899999999994</v>
      </c>
      <c r="K1316" s="28">
        <f t="shared" si="41"/>
        <v>8.8174554261679864E-3</v>
      </c>
    </row>
    <row r="1317" spans="1:11" x14ac:dyDescent="0.3">
      <c r="A1317" s="23">
        <v>45404</v>
      </c>
      <c r="B1317">
        <v>807</v>
      </c>
      <c r="C1317" s="28">
        <f t="shared" si="40"/>
        <v>2.5412960609911054E-2</v>
      </c>
      <c r="I1317" s="26" t="s">
        <v>258</v>
      </c>
      <c r="J1317" s="14">
        <v>71433.460000000006</v>
      </c>
      <c r="K1317" s="28">
        <f t="shared" si="41"/>
        <v>7.3834542144328545E-3</v>
      </c>
    </row>
    <row r="1318" spans="1:11" x14ac:dyDescent="0.3">
      <c r="A1318" s="23">
        <v>45405</v>
      </c>
      <c r="B1318">
        <v>826.5</v>
      </c>
      <c r="C1318" s="28">
        <f t="shared" si="40"/>
        <v>2.4163568773234202E-2</v>
      </c>
      <c r="I1318" s="26" t="s">
        <v>257</v>
      </c>
      <c r="J1318" s="14">
        <v>71359.41</v>
      </c>
      <c r="K1318" s="28">
        <f t="shared" si="41"/>
        <v>-1.036629053107646E-3</v>
      </c>
    </row>
    <row r="1319" spans="1:11" x14ac:dyDescent="0.3">
      <c r="A1319" s="23">
        <v>45406</v>
      </c>
      <c r="B1319">
        <v>862</v>
      </c>
      <c r="C1319" s="28">
        <f t="shared" si="40"/>
        <v>4.2952208106473079E-2</v>
      </c>
      <c r="I1319" s="26" t="s">
        <v>256</v>
      </c>
      <c r="J1319" s="14">
        <v>72051.89</v>
      </c>
      <c r="K1319" s="28">
        <f t="shared" si="41"/>
        <v>9.7041161074621542E-3</v>
      </c>
    </row>
    <row r="1320" spans="1:11" x14ac:dyDescent="0.3">
      <c r="A1320" s="23">
        <v>45407</v>
      </c>
      <c r="B1320">
        <v>846.95</v>
      </c>
      <c r="C1320" s="28">
        <f t="shared" si="40"/>
        <v>-1.7459396751740085E-2</v>
      </c>
      <c r="I1320" s="26" t="s">
        <v>255</v>
      </c>
      <c r="J1320" s="14">
        <v>71971.399999999994</v>
      </c>
      <c r="K1320" s="28">
        <f t="shared" si="41"/>
        <v>-1.1171115705640093E-3</v>
      </c>
    </row>
    <row r="1321" spans="1:11" x14ac:dyDescent="0.3">
      <c r="A1321" s="23">
        <v>45408</v>
      </c>
      <c r="B1321">
        <v>860</v>
      </c>
      <c r="C1321" s="28">
        <f t="shared" si="40"/>
        <v>1.5408229529488109E-2</v>
      </c>
      <c r="I1321" s="26" t="s">
        <v>254</v>
      </c>
      <c r="J1321" s="14">
        <v>72742.75</v>
      </c>
      <c r="K1321" s="28">
        <f t="shared" si="41"/>
        <v>1.0717451654407248E-2</v>
      </c>
    </row>
    <row r="1322" spans="1:11" x14ac:dyDescent="0.3">
      <c r="A1322" s="23">
        <v>45411</v>
      </c>
      <c r="B1322">
        <v>848</v>
      </c>
      <c r="C1322" s="28">
        <f t="shared" si="40"/>
        <v>-1.3953488372093023E-2</v>
      </c>
      <c r="I1322" s="26" t="s">
        <v>253</v>
      </c>
      <c r="J1322" s="14">
        <v>71695.03</v>
      </c>
      <c r="K1322" s="28">
        <f t="shared" si="41"/>
        <v>-1.4403084843506758E-2</v>
      </c>
    </row>
    <row r="1323" spans="1:11" x14ac:dyDescent="0.3">
      <c r="A1323" s="23">
        <v>45412</v>
      </c>
      <c r="B1323">
        <v>836</v>
      </c>
      <c r="C1323" s="28">
        <f t="shared" si="40"/>
        <v>-1.4150943396226415E-2</v>
      </c>
      <c r="I1323" s="26" t="s">
        <v>252</v>
      </c>
      <c r="J1323" s="14">
        <v>71102.55</v>
      </c>
      <c r="K1323" s="28">
        <f t="shared" si="41"/>
        <v>-8.2638922112173736E-3</v>
      </c>
    </row>
    <row r="1324" spans="1:11" x14ac:dyDescent="0.3">
      <c r="A1324" s="23">
        <v>45414</v>
      </c>
      <c r="B1324">
        <v>832.05</v>
      </c>
      <c r="C1324" s="28">
        <f t="shared" si="40"/>
        <v>-4.7248803827751743E-3</v>
      </c>
      <c r="I1324" s="27">
        <v>45327</v>
      </c>
      <c r="J1324" s="14">
        <v>70657.64</v>
      </c>
      <c r="K1324" s="28">
        <f t="shared" si="41"/>
        <v>-6.2573001952813713E-3</v>
      </c>
    </row>
    <row r="1325" spans="1:11" x14ac:dyDescent="0.3">
      <c r="A1325" s="23">
        <v>45415</v>
      </c>
      <c r="B1325">
        <v>846</v>
      </c>
      <c r="C1325" s="28">
        <f t="shared" si="40"/>
        <v>1.6765819361817254E-2</v>
      </c>
      <c r="I1325" s="27">
        <v>45356</v>
      </c>
      <c r="J1325" s="14">
        <v>71902.09</v>
      </c>
      <c r="K1325" s="28">
        <f t="shared" si="41"/>
        <v>1.7612391243183288E-2</v>
      </c>
    </row>
    <row r="1326" spans="1:11" x14ac:dyDescent="0.3">
      <c r="A1326" s="23">
        <v>45418</v>
      </c>
      <c r="B1326">
        <v>858.1</v>
      </c>
      <c r="C1326" s="28">
        <f t="shared" si="40"/>
        <v>1.4302600472813266E-2</v>
      </c>
      <c r="I1326" s="27">
        <v>45448</v>
      </c>
      <c r="J1326" s="14">
        <v>72764.240000000005</v>
      </c>
      <c r="K1326" s="28">
        <f t="shared" si="41"/>
        <v>1.1990611121318015E-2</v>
      </c>
    </row>
    <row r="1327" spans="1:11" x14ac:dyDescent="0.3">
      <c r="A1327" s="23">
        <v>45419</v>
      </c>
      <c r="B1327">
        <v>850</v>
      </c>
      <c r="C1327" s="28">
        <f t="shared" si="40"/>
        <v>-9.4394592704813221E-3</v>
      </c>
      <c r="I1327" s="27">
        <v>45478</v>
      </c>
      <c r="J1327" s="14">
        <v>72761.2</v>
      </c>
      <c r="K1327" s="28">
        <f t="shared" si="41"/>
        <v>-4.177876385444483E-5</v>
      </c>
    </row>
    <row r="1328" spans="1:11" x14ac:dyDescent="0.3">
      <c r="A1328" s="23">
        <v>45420</v>
      </c>
      <c r="B1328">
        <v>846.89</v>
      </c>
      <c r="C1328" s="28">
        <f t="shared" si="40"/>
        <v>-3.6588235294117808E-3</v>
      </c>
      <c r="I1328" s="27">
        <v>45509</v>
      </c>
      <c r="J1328" s="14">
        <v>72601.820000000007</v>
      </c>
      <c r="K1328" s="28">
        <f t="shared" si="41"/>
        <v>-2.1904531536037081E-3</v>
      </c>
    </row>
    <row r="1329" spans="1:11" x14ac:dyDescent="0.3">
      <c r="A1329" s="23">
        <v>45421</v>
      </c>
      <c r="B1329">
        <v>840.01</v>
      </c>
      <c r="C1329" s="28">
        <f t="shared" si="40"/>
        <v>-8.1238413489355121E-3</v>
      </c>
      <c r="I1329" s="27">
        <v>45540</v>
      </c>
      <c r="J1329" s="14">
        <v>72658.05</v>
      </c>
      <c r="K1329" s="28">
        <f t="shared" si="41"/>
        <v>7.744984905336522E-4</v>
      </c>
    </row>
    <row r="1330" spans="1:11" x14ac:dyDescent="0.3">
      <c r="A1330" s="23">
        <v>45422</v>
      </c>
      <c r="B1330">
        <v>862.05</v>
      </c>
      <c r="C1330" s="28">
        <f t="shared" si="40"/>
        <v>2.6237782883537057E-2</v>
      </c>
      <c r="I1330" s="27">
        <v>45570</v>
      </c>
      <c r="J1330" s="14">
        <v>73085.5</v>
      </c>
      <c r="K1330" s="28">
        <f t="shared" si="41"/>
        <v>5.8830370482004001E-3</v>
      </c>
    </row>
    <row r="1331" spans="1:11" x14ac:dyDescent="0.3">
      <c r="A1331" s="23">
        <v>45425</v>
      </c>
      <c r="B1331">
        <v>865.25</v>
      </c>
      <c r="C1331" s="28">
        <f t="shared" si="40"/>
        <v>3.7120816657967006E-3</v>
      </c>
      <c r="I1331" s="26" t="s">
        <v>251</v>
      </c>
      <c r="J1331" s="14">
        <v>73799.11</v>
      </c>
      <c r="K1331" s="28">
        <f t="shared" si="41"/>
        <v>9.764043483317492E-3</v>
      </c>
    </row>
    <row r="1332" spans="1:11" x14ac:dyDescent="0.3">
      <c r="A1332" s="23">
        <v>45426</v>
      </c>
      <c r="B1332">
        <v>880</v>
      </c>
      <c r="C1332" s="28">
        <f t="shared" si="40"/>
        <v>1.7047096214966771E-2</v>
      </c>
      <c r="I1332" s="26" t="s">
        <v>250</v>
      </c>
      <c r="J1332" s="14">
        <v>74531.19</v>
      </c>
      <c r="K1332" s="28">
        <f t="shared" si="41"/>
        <v>9.9199028280964607E-3</v>
      </c>
    </row>
    <row r="1333" spans="1:11" x14ac:dyDescent="0.3">
      <c r="A1333" s="23">
        <v>45427</v>
      </c>
      <c r="B1333">
        <v>894</v>
      </c>
      <c r="C1333" s="28">
        <f t="shared" si="40"/>
        <v>1.5909090909090907E-2</v>
      </c>
      <c r="I1333" s="26" t="s">
        <v>249</v>
      </c>
      <c r="J1333" s="14">
        <v>74663.98</v>
      </c>
      <c r="K1333" s="28">
        <f t="shared" si="41"/>
        <v>1.7816701974031756E-3</v>
      </c>
    </row>
    <row r="1334" spans="1:11" x14ac:dyDescent="0.3">
      <c r="A1334" s="23">
        <v>45428</v>
      </c>
      <c r="B1334">
        <v>894.99</v>
      </c>
      <c r="C1334" s="28">
        <f t="shared" si="40"/>
        <v>1.1073825503355806E-3</v>
      </c>
      <c r="I1334" s="26" t="s">
        <v>248</v>
      </c>
      <c r="J1334" s="14">
        <v>74930.7</v>
      </c>
      <c r="K1334" s="28">
        <f t="shared" si="41"/>
        <v>3.5722713951225368E-3</v>
      </c>
    </row>
    <row r="1335" spans="1:11" x14ac:dyDescent="0.3">
      <c r="A1335" s="23">
        <v>45429</v>
      </c>
      <c r="B1335">
        <v>884</v>
      </c>
      <c r="C1335" s="28">
        <f t="shared" si="40"/>
        <v>-1.2279466809685034E-2</v>
      </c>
      <c r="I1335" s="26" t="s">
        <v>247</v>
      </c>
      <c r="J1335" s="14">
        <v>75342.350000000006</v>
      </c>
      <c r="K1335" s="28">
        <f t="shared" si="41"/>
        <v>5.4937428850926088E-3</v>
      </c>
    </row>
    <row r="1336" spans="1:11" x14ac:dyDescent="0.3">
      <c r="A1336" s="23">
        <v>45432</v>
      </c>
      <c r="B1336">
        <v>881.11</v>
      </c>
      <c r="C1336" s="28">
        <f t="shared" si="40"/>
        <v>-3.2692307692307539E-3</v>
      </c>
      <c r="I1336" s="26" t="s">
        <v>246</v>
      </c>
      <c r="J1336" s="14">
        <v>75084</v>
      </c>
      <c r="K1336" s="28">
        <f t="shared" si="41"/>
        <v>-3.429014359122138E-3</v>
      </c>
    </row>
    <row r="1337" spans="1:11" x14ac:dyDescent="0.3">
      <c r="A1337" s="23">
        <v>45433</v>
      </c>
      <c r="B1337">
        <v>881</v>
      </c>
      <c r="C1337" s="28">
        <f t="shared" si="40"/>
        <v>-1.2484252817470423E-4</v>
      </c>
      <c r="I1337" s="26" t="s">
        <v>245</v>
      </c>
      <c r="J1337" s="14">
        <v>75206.77</v>
      </c>
      <c r="K1337" s="28">
        <f t="shared" si="41"/>
        <v>1.635102019072027E-3</v>
      </c>
    </row>
    <row r="1338" spans="1:11" x14ac:dyDescent="0.3">
      <c r="A1338" s="23">
        <v>45434</v>
      </c>
      <c r="B1338">
        <v>877</v>
      </c>
      <c r="C1338" s="28">
        <f t="shared" si="40"/>
        <v>-4.5402951191827468E-3</v>
      </c>
      <c r="I1338" s="26" t="s">
        <v>244</v>
      </c>
      <c r="J1338" s="14">
        <v>74956.67</v>
      </c>
      <c r="K1338" s="28">
        <f t="shared" si="41"/>
        <v>-3.3254984890323811E-3</v>
      </c>
    </row>
    <row r="1339" spans="1:11" x14ac:dyDescent="0.3">
      <c r="A1339" s="23">
        <v>45435</v>
      </c>
      <c r="B1339">
        <v>871</v>
      </c>
      <c r="C1339" s="28">
        <f t="shared" si="40"/>
        <v>-6.8415051311288486E-3</v>
      </c>
      <c r="I1339" s="26" t="s">
        <v>243</v>
      </c>
      <c r="J1339" s="14">
        <v>75114.47</v>
      </c>
      <c r="K1339" s="28">
        <f t="shared" si="41"/>
        <v>2.1052162536036208E-3</v>
      </c>
    </row>
    <row r="1340" spans="1:11" x14ac:dyDescent="0.3">
      <c r="A1340" s="23">
        <v>45436</v>
      </c>
      <c r="B1340">
        <v>890</v>
      </c>
      <c r="C1340" s="28">
        <f t="shared" si="40"/>
        <v>2.1814006888633754E-2</v>
      </c>
      <c r="I1340" s="26" t="s">
        <v>242</v>
      </c>
      <c r="J1340" s="14">
        <v>75983.039999999994</v>
      </c>
      <c r="K1340" s="28">
        <f t="shared" si="41"/>
        <v>1.1563284677372981E-2</v>
      </c>
    </row>
    <row r="1341" spans="1:11" x14ac:dyDescent="0.3">
      <c r="A1341" s="23">
        <v>45439</v>
      </c>
      <c r="B1341">
        <v>889</v>
      </c>
      <c r="C1341" s="28">
        <f t="shared" si="40"/>
        <v>-1.1235955056179776E-3</v>
      </c>
      <c r="I1341" s="26" t="s">
        <v>241</v>
      </c>
      <c r="J1341" s="14">
        <v>75517.490000000005</v>
      </c>
      <c r="K1341" s="28">
        <f t="shared" si="41"/>
        <v>-6.1270251887788167E-3</v>
      </c>
    </row>
    <row r="1342" spans="1:11" x14ac:dyDescent="0.3">
      <c r="A1342" s="23">
        <v>45441</v>
      </c>
      <c r="B1342">
        <v>884.03</v>
      </c>
      <c r="C1342" s="28">
        <f t="shared" si="40"/>
        <v>-5.5905511811023927E-3</v>
      </c>
      <c r="I1342" s="26" t="s">
        <v>240</v>
      </c>
      <c r="J1342" s="14">
        <v>74836.3</v>
      </c>
      <c r="K1342" s="28">
        <f t="shared" si="41"/>
        <v>-9.0202945039619606E-3</v>
      </c>
    </row>
    <row r="1343" spans="1:11" x14ac:dyDescent="0.3">
      <c r="A1343" s="23">
        <v>45442</v>
      </c>
      <c r="B1343">
        <v>898.7</v>
      </c>
      <c r="C1343" s="28">
        <f t="shared" si="40"/>
        <v>1.6594459464045419E-2</v>
      </c>
      <c r="I1343" s="26" t="s">
        <v>239</v>
      </c>
      <c r="J1343" s="14">
        <v>74878.12</v>
      </c>
      <c r="K1343" s="28">
        <f t="shared" si="41"/>
        <v>5.5881971716924045E-4</v>
      </c>
    </row>
    <row r="1344" spans="1:11" x14ac:dyDescent="0.3">
      <c r="A1344" s="23">
        <v>45443</v>
      </c>
      <c r="B1344">
        <v>897.5</v>
      </c>
      <c r="C1344" s="28">
        <f t="shared" si="40"/>
        <v>-1.3352620451764165E-3</v>
      </c>
      <c r="I1344" s="26" t="s">
        <v>238</v>
      </c>
      <c r="J1344" s="14">
        <v>75878.48</v>
      </c>
      <c r="K1344" s="28">
        <f t="shared" si="41"/>
        <v>1.3359843970441574E-2</v>
      </c>
    </row>
    <row r="1345" spans="1:11" x14ac:dyDescent="0.3">
      <c r="A1345" s="23">
        <v>45446</v>
      </c>
      <c r="B1345">
        <v>901</v>
      </c>
      <c r="C1345" s="28">
        <f t="shared" si="40"/>
        <v>3.8997214484679664E-3</v>
      </c>
      <c r="I1345" s="27">
        <v>45357</v>
      </c>
      <c r="J1345" s="14">
        <v>75575.259999999995</v>
      </c>
      <c r="K1345" s="28">
        <f t="shared" si="41"/>
        <v>-3.996126437957128E-3</v>
      </c>
    </row>
    <row r="1346" spans="1:11" x14ac:dyDescent="0.3">
      <c r="A1346" s="23">
        <v>45447</v>
      </c>
      <c r="B1346">
        <v>905.51</v>
      </c>
      <c r="C1346" s="28">
        <f t="shared" si="40"/>
        <v>5.0055493895671379E-3</v>
      </c>
      <c r="I1346" s="27">
        <v>45388</v>
      </c>
      <c r="J1346" s="14">
        <v>74666.66</v>
      </c>
      <c r="K1346" s="28">
        <f t="shared" si="41"/>
        <v>-1.2022452850310953E-2</v>
      </c>
    </row>
    <row r="1347" spans="1:11" x14ac:dyDescent="0.3">
      <c r="A1347" s="23">
        <v>45448</v>
      </c>
      <c r="B1347">
        <v>909</v>
      </c>
      <c r="C1347" s="28">
        <f t="shared" si="40"/>
        <v>3.8541816214067311E-3</v>
      </c>
      <c r="I1347" s="27">
        <v>45418</v>
      </c>
      <c r="J1347" s="14">
        <v>74219.44</v>
      </c>
      <c r="K1347" s="28">
        <f t="shared" si="41"/>
        <v>-5.9895541062102032E-3</v>
      </c>
    </row>
    <row r="1348" spans="1:11" x14ac:dyDescent="0.3">
      <c r="A1348" s="23">
        <v>45449</v>
      </c>
      <c r="B1348">
        <v>915.1</v>
      </c>
      <c r="C1348" s="28">
        <f t="shared" si="40"/>
        <v>6.7106710671067356E-3</v>
      </c>
      <c r="I1348" s="27">
        <v>45449</v>
      </c>
      <c r="J1348" s="14">
        <v>73862.929999999993</v>
      </c>
      <c r="K1348" s="28">
        <f t="shared" si="41"/>
        <v>-4.8034585008996204E-3</v>
      </c>
    </row>
    <row r="1349" spans="1:11" x14ac:dyDescent="0.3">
      <c r="A1349" s="23">
        <v>45450</v>
      </c>
      <c r="B1349">
        <v>916.02</v>
      </c>
      <c r="C1349" s="28">
        <f t="shared" si="40"/>
        <v>1.0053546060539383E-3</v>
      </c>
      <c r="I1349" s="27">
        <v>45479</v>
      </c>
      <c r="J1349" s="14">
        <v>73754.02</v>
      </c>
      <c r="K1349" s="28">
        <f t="shared" si="41"/>
        <v>-1.4744879467953539E-3</v>
      </c>
    </row>
    <row r="1350" spans="1:11" x14ac:dyDescent="0.3">
      <c r="A1350" s="23">
        <v>45453</v>
      </c>
      <c r="B1350">
        <v>901</v>
      </c>
      <c r="C1350" s="28">
        <f t="shared" ref="C1350:C1413" si="42">(B1350-B1349)/B1349</f>
        <v>-1.6397021899085155E-2</v>
      </c>
      <c r="I1350" s="27">
        <v>45571</v>
      </c>
      <c r="J1350" s="14">
        <v>73252.56</v>
      </c>
      <c r="K1350" s="28">
        <f t="shared" ref="K1350:K1413" si="43">(J1350-J1349)/J1349</f>
        <v>-6.7990870192567998E-3</v>
      </c>
    </row>
    <row r="1351" spans="1:11" x14ac:dyDescent="0.3">
      <c r="A1351" s="23">
        <v>45454</v>
      </c>
      <c r="B1351">
        <v>897.9</v>
      </c>
      <c r="C1351" s="28">
        <f t="shared" si="42"/>
        <v>-3.4406215316315457E-3</v>
      </c>
      <c r="I1351" s="27">
        <v>45602</v>
      </c>
      <c r="J1351" s="14">
        <v>72589.490000000005</v>
      </c>
      <c r="K1351" s="28">
        <f t="shared" si="43"/>
        <v>-9.0518338198691279E-3</v>
      </c>
    </row>
    <row r="1352" spans="1:11" x14ac:dyDescent="0.3">
      <c r="A1352" s="23">
        <v>45455</v>
      </c>
      <c r="B1352">
        <v>893</v>
      </c>
      <c r="C1352" s="28">
        <f t="shared" si="42"/>
        <v>-5.4571778594498018E-3</v>
      </c>
      <c r="I1352" s="27">
        <v>45632</v>
      </c>
      <c r="J1352" s="14">
        <v>72797.429999999993</v>
      </c>
      <c r="K1352" s="28">
        <f t="shared" si="43"/>
        <v>2.8646020243424737E-3</v>
      </c>
    </row>
    <row r="1353" spans="1:11" x14ac:dyDescent="0.3">
      <c r="A1353" s="23">
        <v>45456</v>
      </c>
      <c r="B1353">
        <v>960</v>
      </c>
      <c r="C1353" s="28">
        <f t="shared" si="42"/>
        <v>7.5027995520716692E-2</v>
      </c>
      <c r="I1353" s="26" t="s">
        <v>237</v>
      </c>
      <c r="J1353" s="14">
        <v>76208.160000000003</v>
      </c>
      <c r="K1353" s="28">
        <f t="shared" si="43"/>
        <v>4.6852340803789513E-2</v>
      </c>
    </row>
    <row r="1354" spans="1:11" x14ac:dyDescent="0.3">
      <c r="A1354" s="23">
        <v>45457</v>
      </c>
      <c r="B1354">
        <v>950</v>
      </c>
      <c r="C1354" s="28">
        <f t="shared" si="42"/>
        <v>-1.0416666666666666E-2</v>
      </c>
      <c r="I1354" s="26" t="s">
        <v>236</v>
      </c>
      <c r="J1354" s="14">
        <v>76706.77</v>
      </c>
      <c r="K1354" s="28">
        <f t="shared" si="43"/>
        <v>6.5427376805843439E-3</v>
      </c>
    </row>
    <row r="1355" spans="1:11" x14ac:dyDescent="0.3">
      <c r="A1355" s="23">
        <v>45463</v>
      </c>
      <c r="B1355">
        <v>950.2</v>
      </c>
      <c r="C1355" s="28">
        <f t="shared" si="42"/>
        <v>2.1052631578952156E-4</v>
      </c>
      <c r="I1355" s="26" t="s">
        <v>235</v>
      </c>
      <c r="J1355" s="14">
        <v>78801.53</v>
      </c>
      <c r="K1355" s="28">
        <f t="shared" si="43"/>
        <v>2.7308671711766701E-2</v>
      </c>
    </row>
    <row r="1356" spans="1:11" x14ac:dyDescent="0.3">
      <c r="A1356" s="23">
        <v>45464</v>
      </c>
      <c r="B1356">
        <v>918</v>
      </c>
      <c r="C1356" s="28">
        <f t="shared" si="42"/>
        <v>-3.3887602609976891E-2</v>
      </c>
      <c r="I1356" s="26" t="s">
        <v>234</v>
      </c>
      <c r="J1356" s="14">
        <v>78810.490000000005</v>
      </c>
      <c r="K1356" s="28">
        <f t="shared" si="43"/>
        <v>1.1370337606397239E-4</v>
      </c>
    </row>
    <row r="1357" spans="1:11" x14ac:dyDescent="0.3">
      <c r="A1357" s="23">
        <v>45467</v>
      </c>
      <c r="B1357">
        <v>897</v>
      </c>
      <c r="C1357" s="28">
        <f t="shared" si="42"/>
        <v>-2.2875816993464051E-2</v>
      </c>
      <c r="I1357" s="26" t="s">
        <v>233</v>
      </c>
      <c r="J1357" s="14">
        <v>78232.100000000006</v>
      </c>
      <c r="K1357" s="28">
        <f t="shared" si="43"/>
        <v>-7.3389976385123271E-3</v>
      </c>
    </row>
    <row r="1358" spans="1:11" x14ac:dyDescent="0.3">
      <c r="A1358" s="23">
        <v>45468</v>
      </c>
      <c r="B1358">
        <v>904.9</v>
      </c>
      <c r="C1358" s="28">
        <f t="shared" si="42"/>
        <v>8.8071348940913907E-3</v>
      </c>
      <c r="I1358" s="26" t="s">
        <v>232</v>
      </c>
      <c r="J1358" s="14">
        <v>77940.58</v>
      </c>
      <c r="K1358" s="28">
        <f t="shared" si="43"/>
        <v>-3.7263476245684834E-3</v>
      </c>
    </row>
    <row r="1359" spans="1:11" x14ac:dyDescent="0.3">
      <c r="A1359" s="23">
        <v>45469</v>
      </c>
      <c r="B1359">
        <v>901</v>
      </c>
      <c r="C1359" s="28">
        <f t="shared" si="42"/>
        <v>-4.309868493756191E-3</v>
      </c>
      <c r="I1359" s="26" t="s">
        <v>231</v>
      </c>
      <c r="J1359" s="14">
        <v>78275.649999999994</v>
      </c>
      <c r="K1359" s="28">
        <f t="shared" si="43"/>
        <v>4.2990442206100139E-3</v>
      </c>
    </row>
    <row r="1360" spans="1:11" x14ac:dyDescent="0.3">
      <c r="A1360" s="23">
        <v>45470</v>
      </c>
      <c r="B1360">
        <v>903</v>
      </c>
      <c r="C1360" s="28">
        <f t="shared" si="42"/>
        <v>2.2197558268590455E-3</v>
      </c>
      <c r="I1360" s="26" t="s">
        <v>230</v>
      </c>
      <c r="J1360" s="14">
        <v>78528.25</v>
      </c>
      <c r="K1360" s="28">
        <f t="shared" si="43"/>
        <v>3.2270572010581304E-3</v>
      </c>
    </row>
    <row r="1361" spans="1:11" x14ac:dyDescent="0.3">
      <c r="A1361" s="23">
        <v>45471</v>
      </c>
      <c r="B1361">
        <v>903.13</v>
      </c>
      <c r="C1361" s="28">
        <f t="shared" si="42"/>
        <v>1.439645625692087E-4</v>
      </c>
      <c r="I1361" s="26" t="s">
        <v>229</v>
      </c>
      <c r="J1361" s="14">
        <v>78444.960000000006</v>
      </c>
      <c r="K1361" s="28">
        <f t="shared" si="43"/>
        <v>-1.0606374139242069E-3</v>
      </c>
    </row>
    <row r="1362" spans="1:11" x14ac:dyDescent="0.3">
      <c r="A1362" s="23">
        <v>45474</v>
      </c>
      <c r="B1362">
        <v>899</v>
      </c>
      <c r="C1362" s="28">
        <f t="shared" si="42"/>
        <v>-4.5729850630584698E-3</v>
      </c>
      <c r="I1362" s="27">
        <v>45298</v>
      </c>
      <c r="J1362" s="14">
        <v>78824.33</v>
      </c>
      <c r="K1362" s="28">
        <f t="shared" si="43"/>
        <v>4.8361296888926363E-3</v>
      </c>
    </row>
    <row r="1363" spans="1:11" x14ac:dyDescent="0.3">
      <c r="A1363" s="23">
        <v>45475</v>
      </c>
      <c r="B1363">
        <v>901</v>
      </c>
      <c r="C1363" s="28">
        <f t="shared" si="42"/>
        <v>2.2246941045606229E-3</v>
      </c>
      <c r="I1363" s="27">
        <v>45329</v>
      </c>
      <c r="J1363" s="14">
        <v>79552.89</v>
      </c>
      <c r="K1363" s="28">
        <f t="shared" si="43"/>
        <v>9.2428314963158929E-3</v>
      </c>
    </row>
    <row r="1364" spans="1:11" x14ac:dyDescent="0.3">
      <c r="A1364" s="23">
        <v>45476</v>
      </c>
      <c r="B1364">
        <v>915</v>
      </c>
      <c r="C1364" s="28">
        <f t="shared" si="42"/>
        <v>1.5538290788013319E-2</v>
      </c>
      <c r="I1364" s="27">
        <v>45358</v>
      </c>
      <c r="J1364" s="14">
        <v>80233.67</v>
      </c>
      <c r="K1364" s="28">
        <f t="shared" si="43"/>
        <v>8.5575772294381614E-3</v>
      </c>
    </row>
    <row r="1365" spans="1:11" x14ac:dyDescent="0.3">
      <c r="A1365" s="23">
        <v>45477</v>
      </c>
      <c r="B1365">
        <v>924</v>
      </c>
      <c r="C1365" s="28">
        <f t="shared" si="42"/>
        <v>9.8360655737704927E-3</v>
      </c>
      <c r="I1365" s="27">
        <v>45389</v>
      </c>
      <c r="J1365" s="14">
        <v>80282.8</v>
      </c>
      <c r="K1365" s="28">
        <f t="shared" si="43"/>
        <v>6.123364417956284E-4</v>
      </c>
    </row>
    <row r="1366" spans="1:11" x14ac:dyDescent="0.3">
      <c r="A1366" s="23">
        <v>45478</v>
      </c>
      <c r="B1366">
        <v>921.99</v>
      </c>
      <c r="C1366" s="28">
        <f t="shared" si="42"/>
        <v>-2.1753246753246653E-3</v>
      </c>
      <c r="I1366" s="27">
        <v>45419</v>
      </c>
      <c r="J1366" s="14">
        <v>80212.789999999994</v>
      </c>
      <c r="K1366" s="28">
        <f t="shared" si="43"/>
        <v>-8.7204233036228566E-4</v>
      </c>
    </row>
    <row r="1367" spans="1:11" x14ac:dyDescent="0.3">
      <c r="A1367" s="23">
        <v>45481</v>
      </c>
      <c r="B1367">
        <v>931</v>
      </c>
      <c r="C1367" s="28">
        <f t="shared" si="42"/>
        <v>9.7723402639941764E-3</v>
      </c>
      <c r="I1367" s="27">
        <v>45511</v>
      </c>
      <c r="J1367" s="14">
        <v>80566.210000000006</v>
      </c>
      <c r="K1367" s="28">
        <f t="shared" si="43"/>
        <v>4.4060305095984425E-3</v>
      </c>
    </row>
    <row r="1368" spans="1:11" x14ac:dyDescent="0.3">
      <c r="A1368" s="23">
        <v>45482</v>
      </c>
      <c r="B1368">
        <v>925</v>
      </c>
      <c r="C1368" s="28">
        <f t="shared" si="42"/>
        <v>-6.44468313641246E-3</v>
      </c>
      <c r="I1368" s="27">
        <v>45542</v>
      </c>
      <c r="J1368" s="14">
        <v>80672.06</v>
      </c>
      <c r="K1368" s="28">
        <f t="shared" si="43"/>
        <v>1.3138262306243681E-3</v>
      </c>
    </row>
    <row r="1369" spans="1:11" x14ac:dyDescent="0.3">
      <c r="A1369" s="23">
        <v>45483</v>
      </c>
      <c r="B1369">
        <v>911</v>
      </c>
      <c r="C1369" s="28">
        <f t="shared" si="42"/>
        <v>-1.5135135135135135E-2</v>
      </c>
      <c r="I1369" s="27">
        <v>45572</v>
      </c>
      <c r="J1369" s="14">
        <v>79841.56</v>
      </c>
      <c r="K1369" s="28">
        <f t="shared" si="43"/>
        <v>-1.0294766242488415E-2</v>
      </c>
    </row>
    <row r="1370" spans="1:11" x14ac:dyDescent="0.3">
      <c r="A1370" s="23">
        <v>45484</v>
      </c>
      <c r="B1370">
        <v>906</v>
      </c>
      <c r="C1370" s="28">
        <f t="shared" si="42"/>
        <v>-5.4884742041712408E-3</v>
      </c>
      <c r="I1370" s="27">
        <v>45603</v>
      </c>
      <c r="J1370" s="14">
        <v>79992.350000000006</v>
      </c>
      <c r="K1370" s="28">
        <f t="shared" si="43"/>
        <v>1.888615402805358E-3</v>
      </c>
    </row>
    <row r="1371" spans="1:11" x14ac:dyDescent="0.3">
      <c r="A1371" s="23">
        <v>45485</v>
      </c>
      <c r="B1371">
        <v>901.1</v>
      </c>
      <c r="C1371" s="28">
        <f t="shared" si="42"/>
        <v>-5.4083885209712775E-3</v>
      </c>
      <c r="I1371" s="27">
        <v>45633</v>
      </c>
      <c r="J1371" s="14">
        <v>79944.100000000006</v>
      </c>
      <c r="K1371" s="28">
        <f t="shared" si="43"/>
        <v>-6.0318267934371221E-4</v>
      </c>
    </row>
    <row r="1372" spans="1:11" x14ac:dyDescent="0.3">
      <c r="A1372" s="23">
        <v>45488</v>
      </c>
      <c r="B1372">
        <v>930</v>
      </c>
      <c r="C1372" s="28">
        <f t="shared" si="42"/>
        <v>3.207191210742423E-2</v>
      </c>
      <c r="I1372" s="26" t="s">
        <v>228</v>
      </c>
      <c r="J1372" s="14">
        <v>81155.61</v>
      </c>
      <c r="K1372" s="28">
        <f t="shared" si="43"/>
        <v>1.5154464181846999E-2</v>
      </c>
    </row>
    <row r="1373" spans="1:11" x14ac:dyDescent="0.3">
      <c r="A1373" s="23">
        <v>45491</v>
      </c>
      <c r="B1373">
        <v>929</v>
      </c>
      <c r="C1373" s="28">
        <f t="shared" si="42"/>
        <v>-1.0752688172043011E-3</v>
      </c>
      <c r="I1373" s="26" t="s">
        <v>227</v>
      </c>
      <c r="J1373" s="14">
        <v>81839.86</v>
      </c>
      <c r="K1373" s="28">
        <f t="shared" si="43"/>
        <v>8.4313333360441743E-3</v>
      </c>
    </row>
    <row r="1374" spans="1:11" x14ac:dyDescent="0.3">
      <c r="A1374" s="23">
        <v>45492</v>
      </c>
      <c r="B1374">
        <v>920</v>
      </c>
      <c r="C1374" s="28">
        <f t="shared" si="42"/>
        <v>-9.6878363832077503E-3</v>
      </c>
      <c r="I1374" s="26" t="s">
        <v>226</v>
      </c>
      <c r="J1374" s="14">
        <v>80117.89</v>
      </c>
      <c r="K1374" s="28">
        <f t="shared" si="43"/>
        <v>-2.1040725142980464E-2</v>
      </c>
    </row>
    <row r="1375" spans="1:11" x14ac:dyDescent="0.3">
      <c r="A1375" s="23">
        <v>45495</v>
      </c>
      <c r="B1375">
        <v>905</v>
      </c>
      <c r="C1375" s="28">
        <f t="shared" si="42"/>
        <v>-1.6304347826086956E-2</v>
      </c>
      <c r="I1375" s="26" t="s">
        <v>225</v>
      </c>
      <c r="J1375" s="14">
        <v>78539.19</v>
      </c>
      <c r="K1375" s="28">
        <f t="shared" si="43"/>
        <v>-1.9704712642831673E-2</v>
      </c>
    </row>
    <row r="1376" spans="1:11" x14ac:dyDescent="0.3">
      <c r="A1376" s="23">
        <v>45496</v>
      </c>
      <c r="B1376">
        <v>900.2</v>
      </c>
      <c r="C1376" s="28">
        <f t="shared" si="42"/>
        <v>-5.3038674033148671E-3</v>
      </c>
      <c r="I1376" s="26" t="s">
        <v>224</v>
      </c>
      <c r="J1376" s="14">
        <v>78987.09</v>
      </c>
      <c r="K1376" s="28">
        <f t="shared" si="43"/>
        <v>5.7028854002695237E-3</v>
      </c>
    </row>
    <row r="1377" spans="1:11" x14ac:dyDescent="0.3">
      <c r="A1377" s="23">
        <v>45497</v>
      </c>
      <c r="B1377">
        <v>912.85</v>
      </c>
      <c r="C1377" s="28">
        <f t="shared" si="42"/>
        <v>1.4052432792712705E-2</v>
      </c>
      <c r="I1377" s="26" t="s">
        <v>223</v>
      </c>
      <c r="J1377" s="14">
        <v>79397.009999999995</v>
      </c>
      <c r="K1377" s="28">
        <f t="shared" si="43"/>
        <v>5.1897088498892453E-3</v>
      </c>
    </row>
    <row r="1378" spans="1:11" x14ac:dyDescent="0.3">
      <c r="A1378" s="23">
        <v>45498</v>
      </c>
      <c r="B1378">
        <v>904</v>
      </c>
      <c r="C1378" s="28">
        <f t="shared" si="42"/>
        <v>-9.6949115407789048E-3</v>
      </c>
      <c r="I1378" s="26" t="s">
        <v>222</v>
      </c>
      <c r="J1378" s="14">
        <v>78469.33</v>
      </c>
      <c r="K1378" s="28">
        <f t="shared" si="43"/>
        <v>-1.1684067195981222E-2</v>
      </c>
    </row>
    <row r="1379" spans="1:11" x14ac:dyDescent="0.3">
      <c r="A1379" s="23">
        <v>45499</v>
      </c>
      <c r="B1379">
        <v>901.8</v>
      </c>
      <c r="C1379" s="28">
        <f t="shared" si="42"/>
        <v>-2.4336283185841211E-3</v>
      </c>
      <c r="I1379" s="26" t="s">
        <v>221</v>
      </c>
      <c r="J1379" s="14">
        <v>78029.509999999995</v>
      </c>
      <c r="K1379" s="28">
        <f t="shared" si="43"/>
        <v>-5.6049924218800765E-3</v>
      </c>
    </row>
    <row r="1380" spans="1:11" x14ac:dyDescent="0.3">
      <c r="A1380" s="23">
        <v>45502</v>
      </c>
      <c r="B1380">
        <v>900.1</v>
      </c>
      <c r="C1380" s="28">
        <f t="shared" si="42"/>
        <v>-1.8851186515856419E-3</v>
      </c>
      <c r="I1380" s="26" t="s">
        <v>220</v>
      </c>
      <c r="J1380" s="14">
        <v>78827.740000000005</v>
      </c>
      <c r="K1380" s="28">
        <f t="shared" si="43"/>
        <v>1.0229847656354762E-2</v>
      </c>
    </row>
    <row r="1381" spans="1:11" x14ac:dyDescent="0.3">
      <c r="A1381" s="23">
        <v>45503</v>
      </c>
      <c r="B1381">
        <v>895</v>
      </c>
      <c r="C1381" s="28">
        <f t="shared" si="42"/>
        <v>-5.6660371069881376E-3</v>
      </c>
      <c r="I1381" s="26" t="s">
        <v>219</v>
      </c>
      <c r="J1381" s="14">
        <v>78628.81</v>
      </c>
      <c r="K1381" s="28">
        <f t="shared" si="43"/>
        <v>-2.5236040003177506E-3</v>
      </c>
    </row>
    <row r="1382" spans="1:11" x14ac:dyDescent="0.3">
      <c r="A1382" s="23">
        <v>45504</v>
      </c>
      <c r="B1382">
        <v>872</v>
      </c>
      <c r="C1382" s="28">
        <f t="shared" si="42"/>
        <v>-2.5698324022346369E-2</v>
      </c>
      <c r="I1382" s="26" t="s">
        <v>218</v>
      </c>
      <c r="J1382" s="14">
        <v>77886.990000000005</v>
      </c>
      <c r="K1382" s="28">
        <f t="shared" si="43"/>
        <v>-9.4344553860091791E-3</v>
      </c>
    </row>
    <row r="1383" spans="1:11" x14ac:dyDescent="0.3">
      <c r="A1383" s="23">
        <v>45505</v>
      </c>
      <c r="B1383">
        <v>880</v>
      </c>
      <c r="C1383" s="28">
        <f t="shared" si="42"/>
        <v>9.1743119266055051E-3</v>
      </c>
      <c r="I1383" s="27">
        <v>45299</v>
      </c>
      <c r="J1383" s="14">
        <v>77740.31</v>
      </c>
      <c r="K1383" s="28">
        <f t="shared" si="43"/>
        <v>-1.8832413474960011E-3</v>
      </c>
    </row>
    <row r="1384" spans="1:11" x14ac:dyDescent="0.3">
      <c r="A1384" s="23">
        <v>45506</v>
      </c>
      <c r="B1384">
        <v>885</v>
      </c>
      <c r="C1384" s="28">
        <f t="shared" si="42"/>
        <v>5.681818181818182E-3</v>
      </c>
      <c r="I1384" s="27">
        <v>45330</v>
      </c>
      <c r="J1384" s="14">
        <v>78225.98</v>
      </c>
      <c r="K1384" s="28">
        <f t="shared" si="43"/>
        <v>6.2473380926831691E-3</v>
      </c>
    </row>
    <row r="1385" spans="1:11" x14ac:dyDescent="0.3">
      <c r="A1385" s="23">
        <v>45509</v>
      </c>
      <c r="B1385">
        <v>873</v>
      </c>
      <c r="C1385" s="28">
        <f t="shared" si="42"/>
        <v>-1.3559322033898305E-2</v>
      </c>
      <c r="I1385" s="27">
        <v>45420</v>
      </c>
      <c r="J1385" s="14">
        <v>77084.490000000005</v>
      </c>
      <c r="K1385" s="28">
        <f t="shared" si="43"/>
        <v>-1.4592210925321623E-2</v>
      </c>
    </row>
    <row r="1386" spans="1:11" x14ac:dyDescent="0.3">
      <c r="A1386" s="23">
        <v>45510</v>
      </c>
      <c r="B1386">
        <v>856</v>
      </c>
      <c r="C1386" s="28">
        <f t="shared" si="42"/>
        <v>-1.9473081328751432E-2</v>
      </c>
      <c r="I1386" s="27">
        <v>45451</v>
      </c>
      <c r="J1386" s="14">
        <v>77191.34</v>
      </c>
      <c r="K1386" s="28">
        <f t="shared" si="43"/>
        <v>1.3861413625489546E-3</v>
      </c>
    </row>
    <row r="1387" spans="1:11" x14ac:dyDescent="0.3">
      <c r="A1387" s="23">
        <v>45511</v>
      </c>
      <c r="B1387">
        <v>859.95</v>
      </c>
      <c r="C1387" s="28">
        <f t="shared" si="42"/>
        <v>4.6144859813084639E-3</v>
      </c>
      <c r="I1387" s="27">
        <v>45481</v>
      </c>
      <c r="J1387" s="14">
        <v>77114.490000000005</v>
      </c>
      <c r="K1387" s="28">
        <f t="shared" si="43"/>
        <v>-9.9557800136636145E-4</v>
      </c>
    </row>
    <row r="1388" spans="1:11" x14ac:dyDescent="0.3">
      <c r="A1388" s="23">
        <v>45512</v>
      </c>
      <c r="B1388">
        <v>871.77</v>
      </c>
      <c r="C1388" s="28">
        <f t="shared" si="42"/>
        <v>1.3744985173556528E-2</v>
      </c>
      <c r="I1388" s="27">
        <v>45512</v>
      </c>
      <c r="J1388" s="14">
        <v>77874.22</v>
      </c>
      <c r="K1388" s="28">
        <f t="shared" si="43"/>
        <v>9.8519746418603803E-3</v>
      </c>
    </row>
    <row r="1389" spans="1:11" x14ac:dyDescent="0.3">
      <c r="A1389" s="23">
        <v>45513</v>
      </c>
      <c r="B1389">
        <v>880</v>
      </c>
      <c r="C1389" s="28">
        <f t="shared" si="42"/>
        <v>9.4405634513690748E-3</v>
      </c>
      <c r="I1389" s="27">
        <v>45543</v>
      </c>
      <c r="J1389" s="14">
        <v>78569.59</v>
      </c>
      <c r="K1389" s="28">
        <f t="shared" si="43"/>
        <v>8.9293992286535312E-3</v>
      </c>
    </row>
    <row r="1390" spans="1:11" x14ac:dyDescent="0.3">
      <c r="A1390" s="23">
        <v>45516</v>
      </c>
      <c r="B1390">
        <v>858.01</v>
      </c>
      <c r="C1390" s="28">
        <f t="shared" si="42"/>
        <v>-2.4988636363636373E-2</v>
      </c>
      <c r="I1390" s="27">
        <v>45634</v>
      </c>
      <c r="J1390" s="14">
        <v>77980.289999999994</v>
      </c>
      <c r="K1390" s="28">
        <f t="shared" si="43"/>
        <v>-7.5003573265432968E-3</v>
      </c>
    </row>
    <row r="1391" spans="1:11" x14ac:dyDescent="0.3">
      <c r="A1391" s="23">
        <v>45517</v>
      </c>
      <c r="B1391">
        <v>869.9</v>
      </c>
      <c r="C1391" s="28">
        <f t="shared" si="42"/>
        <v>1.3857647346767504E-2</v>
      </c>
      <c r="I1391" s="26" t="s">
        <v>217</v>
      </c>
      <c r="J1391" s="14">
        <v>77877.42</v>
      </c>
      <c r="K1391" s="28">
        <f t="shared" si="43"/>
        <v>-1.3191795003583001E-3</v>
      </c>
    </row>
    <row r="1392" spans="1:11" x14ac:dyDescent="0.3">
      <c r="A1392" s="23">
        <v>45519</v>
      </c>
      <c r="B1392">
        <v>846.06</v>
      </c>
      <c r="C1392" s="28">
        <f t="shared" si="42"/>
        <v>-2.74054489021727E-2</v>
      </c>
      <c r="I1392" s="26" t="s">
        <v>216</v>
      </c>
      <c r="J1392" s="14">
        <v>78105.98</v>
      </c>
      <c r="K1392" s="28">
        <f t="shared" si="43"/>
        <v>2.9348686692496706E-3</v>
      </c>
    </row>
    <row r="1393" spans="1:11" x14ac:dyDescent="0.3">
      <c r="A1393" s="23">
        <v>45520</v>
      </c>
      <c r="B1393">
        <v>863.5</v>
      </c>
      <c r="C1393" s="28">
        <f t="shared" si="42"/>
        <v>2.0613195281658576E-2</v>
      </c>
      <c r="I1393" s="26" t="s">
        <v>215</v>
      </c>
      <c r="J1393" s="14">
        <v>78045.31</v>
      </c>
      <c r="K1393" s="28">
        <f t="shared" si="43"/>
        <v>-7.7676510812614162E-4</v>
      </c>
    </row>
    <row r="1394" spans="1:11" x14ac:dyDescent="0.3">
      <c r="A1394" s="23">
        <v>45523</v>
      </c>
      <c r="B1394">
        <v>853</v>
      </c>
      <c r="C1394" s="28">
        <f t="shared" si="42"/>
        <v>-1.2159814707585408E-2</v>
      </c>
      <c r="I1394" s="26" t="s">
        <v>214</v>
      </c>
      <c r="J1394" s="14">
        <v>77830.34</v>
      </c>
      <c r="K1394" s="28">
        <f t="shared" si="43"/>
        <v>-2.7544256022559352E-3</v>
      </c>
    </row>
    <row r="1395" spans="1:11" x14ac:dyDescent="0.3">
      <c r="A1395" s="23">
        <v>45524</v>
      </c>
      <c r="B1395">
        <v>850</v>
      </c>
      <c r="C1395" s="28">
        <f t="shared" si="42"/>
        <v>-3.5169988276670576E-3</v>
      </c>
      <c r="I1395" s="26" t="s">
        <v>213</v>
      </c>
      <c r="J1395" s="14">
        <v>77745.52</v>
      </c>
      <c r="K1395" s="28">
        <f t="shared" si="43"/>
        <v>-1.0898063660006168E-3</v>
      </c>
    </row>
    <row r="1396" spans="1:11" x14ac:dyDescent="0.3">
      <c r="A1396" s="23">
        <v>45525</v>
      </c>
      <c r="B1396">
        <v>850</v>
      </c>
      <c r="C1396" s="28">
        <f t="shared" si="42"/>
        <v>0</v>
      </c>
      <c r="I1396" s="26" t="s">
        <v>212</v>
      </c>
      <c r="J1396" s="14">
        <v>78260.86</v>
      </c>
      <c r="K1396" s="28">
        <f t="shared" si="43"/>
        <v>6.6285491434104043E-3</v>
      </c>
    </row>
    <row r="1397" spans="1:11" x14ac:dyDescent="0.3">
      <c r="A1397" s="23">
        <v>45526</v>
      </c>
      <c r="B1397">
        <v>862</v>
      </c>
      <c r="C1397" s="28">
        <f t="shared" si="42"/>
        <v>1.411764705882353E-2</v>
      </c>
      <c r="I1397" s="26" t="s">
        <v>211</v>
      </c>
      <c r="J1397" s="14">
        <v>78793.41</v>
      </c>
      <c r="K1397" s="28">
        <f t="shared" si="43"/>
        <v>6.8048063872541515E-3</v>
      </c>
    </row>
    <row r="1398" spans="1:11" x14ac:dyDescent="0.3">
      <c r="A1398" s="23">
        <v>45527</v>
      </c>
      <c r="B1398">
        <v>853</v>
      </c>
      <c r="C1398" s="28">
        <f t="shared" si="42"/>
        <v>-1.0440835266821345E-2</v>
      </c>
      <c r="I1398" s="26" t="s">
        <v>210</v>
      </c>
      <c r="J1398" s="14">
        <v>78801.429999999993</v>
      </c>
      <c r="K1398" s="28">
        <f t="shared" si="43"/>
        <v>1.0178516198232216E-4</v>
      </c>
    </row>
    <row r="1399" spans="1:11" x14ac:dyDescent="0.3">
      <c r="A1399" s="23">
        <v>45530</v>
      </c>
      <c r="B1399">
        <v>843</v>
      </c>
      <c r="C1399" s="28">
        <f t="shared" si="42"/>
        <v>-1.1723329425556858E-2</v>
      </c>
      <c r="I1399" s="26" t="s">
        <v>209</v>
      </c>
      <c r="J1399" s="14">
        <v>78571.06</v>
      </c>
      <c r="K1399" s="28">
        <f t="shared" si="43"/>
        <v>-2.9234241053746786E-3</v>
      </c>
    </row>
    <row r="1400" spans="1:11" x14ac:dyDescent="0.3">
      <c r="A1400" s="23">
        <v>45531</v>
      </c>
      <c r="B1400">
        <v>834</v>
      </c>
      <c r="C1400" s="28">
        <f t="shared" si="42"/>
        <v>-1.0676156583629894E-2</v>
      </c>
      <c r="I1400" s="26" t="s">
        <v>208</v>
      </c>
      <c r="J1400" s="14">
        <v>78084.240000000005</v>
      </c>
      <c r="K1400" s="28">
        <f t="shared" si="43"/>
        <v>-6.1959199735881435E-3</v>
      </c>
    </row>
    <row r="1401" spans="1:11" x14ac:dyDescent="0.3">
      <c r="A1401" s="23">
        <v>45532</v>
      </c>
      <c r="B1401">
        <v>831</v>
      </c>
      <c r="C1401" s="28">
        <f t="shared" si="42"/>
        <v>-3.5971223021582736E-3</v>
      </c>
      <c r="I1401" s="26" t="s">
        <v>207</v>
      </c>
      <c r="J1401" s="14">
        <v>77992.789999999994</v>
      </c>
      <c r="K1401" s="28">
        <f t="shared" si="43"/>
        <v>-1.1711710327207082E-3</v>
      </c>
    </row>
    <row r="1402" spans="1:11" x14ac:dyDescent="0.3">
      <c r="A1402" s="23">
        <v>45533</v>
      </c>
      <c r="B1402">
        <v>829.5</v>
      </c>
      <c r="C1402" s="28">
        <f t="shared" si="42"/>
        <v>-1.8050541516245488E-3</v>
      </c>
      <c r="I1402" s="26" t="s">
        <v>206</v>
      </c>
      <c r="J1402" s="14">
        <v>78349.66</v>
      </c>
      <c r="K1402" s="28">
        <f t="shared" si="43"/>
        <v>4.5756793672852318E-3</v>
      </c>
    </row>
    <row r="1403" spans="1:11" x14ac:dyDescent="0.3">
      <c r="A1403" s="23">
        <v>45534</v>
      </c>
      <c r="B1403">
        <v>831</v>
      </c>
      <c r="C1403" s="28">
        <f t="shared" si="42"/>
        <v>1.8083182640144665E-3</v>
      </c>
      <c r="I1403" s="26" t="s">
        <v>205</v>
      </c>
      <c r="J1403" s="14">
        <v>78488.22</v>
      </c>
      <c r="K1403" s="28">
        <f t="shared" si="43"/>
        <v>1.7684824669309052E-3</v>
      </c>
    </row>
    <row r="1404" spans="1:11" x14ac:dyDescent="0.3">
      <c r="A1404" s="23">
        <v>45537</v>
      </c>
      <c r="B1404">
        <v>827</v>
      </c>
      <c r="C1404" s="28">
        <f t="shared" si="42"/>
        <v>-4.8134777376654635E-3</v>
      </c>
      <c r="I1404" s="27">
        <v>45331</v>
      </c>
      <c r="J1404" s="14">
        <v>78283.3</v>
      </c>
      <c r="K1404" s="28">
        <f t="shared" si="43"/>
        <v>-2.6108376518157532E-3</v>
      </c>
    </row>
    <row r="1405" spans="1:11" x14ac:dyDescent="0.3">
      <c r="A1405" s="23">
        <v>45538</v>
      </c>
      <c r="B1405">
        <v>825.8</v>
      </c>
      <c r="C1405" s="28">
        <f t="shared" si="42"/>
        <v>-1.4510278113664394E-3</v>
      </c>
      <c r="I1405" s="27">
        <v>45360</v>
      </c>
      <c r="J1405" s="14">
        <v>78356.320000000007</v>
      </c>
      <c r="K1405" s="28">
        <f t="shared" si="43"/>
        <v>9.3276599223594391E-4</v>
      </c>
    </row>
    <row r="1406" spans="1:11" x14ac:dyDescent="0.3">
      <c r="A1406" s="23">
        <v>45539</v>
      </c>
      <c r="B1406">
        <v>844.98</v>
      </c>
      <c r="C1406" s="28">
        <f t="shared" si="42"/>
        <v>2.3225962702833693E-2</v>
      </c>
      <c r="I1406" s="27">
        <v>45391</v>
      </c>
      <c r="J1406" s="14">
        <v>78848.009999999995</v>
      </c>
      <c r="K1406" s="28">
        <f t="shared" si="43"/>
        <v>6.2750522229730512E-3</v>
      </c>
    </row>
    <row r="1407" spans="1:11" x14ac:dyDescent="0.3">
      <c r="A1407" s="23">
        <v>45540</v>
      </c>
      <c r="B1407">
        <v>844</v>
      </c>
      <c r="C1407" s="28">
        <f t="shared" si="42"/>
        <v>-1.159790764278466E-3</v>
      </c>
      <c r="I1407" s="27">
        <v>45421</v>
      </c>
      <c r="J1407" s="14">
        <v>78863.34</v>
      </c>
      <c r="K1407" s="28">
        <f t="shared" si="43"/>
        <v>1.9442469125094909E-4</v>
      </c>
    </row>
    <row r="1408" spans="1:11" x14ac:dyDescent="0.3">
      <c r="A1408" s="23">
        <v>45541</v>
      </c>
      <c r="B1408">
        <v>848.5</v>
      </c>
      <c r="C1408" s="28">
        <f t="shared" si="42"/>
        <v>5.3317535545023701E-3</v>
      </c>
      <c r="I1408" s="27">
        <v>45452</v>
      </c>
      <c r="J1408" s="14">
        <v>78897.73</v>
      </c>
      <c r="K1408" s="28">
        <f t="shared" si="43"/>
        <v>4.3607080298652606E-4</v>
      </c>
    </row>
    <row r="1409" spans="1:11" x14ac:dyDescent="0.3">
      <c r="A1409" s="23">
        <v>45544</v>
      </c>
      <c r="B1409">
        <v>854.8</v>
      </c>
      <c r="C1409" s="28">
        <f t="shared" si="42"/>
        <v>7.424867413081856E-3</v>
      </c>
      <c r="I1409" s="27">
        <v>45544</v>
      </c>
      <c r="J1409" s="14">
        <v>78615</v>
      </c>
      <c r="K1409" s="28">
        <f t="shared" si="43"/>
        <v>-3.5834998041134507E-3</v>
      </c>
    </row>
    <row r="1410" spans="1:11" x14ac:dyDescent="0.3">
      <c r="A1410" s="23">
        <v>45545</v>
      </c>
      <c r="B1410">
        <v>879.7</v>
      </c>
      <c r="C1410" s="28">
        <f t="shared" si="42"/>
        <v>2.9129620963968289E-2</v>
      </c>
      <c r="I1410" s="27">
        <v>45574</v>
      </c>
      <c r="J1410" s="14">
        <v>79286.740000000005</v>
      </c>
      <c r="K1410" s="28">
        <f t="shared" si="43"/>
        <v>8.5446797684920854E-3</v>
      </c>
    </row>
    <row r="1411" spans="1:11" x14ac:dyDescent="0.3">
      <c r="A1411" s="23">
        <v>45546</v>
      </c>
      <c r="B1411">
        <v>878</v>
      </c>
      <c r="C1411" s="28">
        <f t="shared" si="42"/>
        <v>-1.9324769807889568E-3</v>
      </c>
      <c r="I1411" s="27">
        <v>45605</v>
      </c>
      <c r="J1411" s="14">
        <v>78651.8</v>
      </c>
      <c r="K1411" s="28">
        <f t="shared" si="43"/>
        <v>-8.0081486513381966E-3</v>
      </c>
    </row>
    <row r="1412" spans="1:11" x14ac:dyDescent="0.3">
      <c r="A1412" s="23">
        <v>45547</v>
      </c>
      <c r="B1412">
        <v>853.01</v>
      </c>
      <c r="C1412" s="28">
        <f t="shared" si="42"/>
        <v>-2.8462414578587711E-2</v>
      </c>
      <c r="I1412" s="27">
        <v>45635</v>
      </c>
      <c r="J1412" s="14">
        <v>79017.62</v>
      </c>
      <c r="K1412" s="28">
        <f t="shared" si="43"/>
        <v>4.6511332226343511E-3</v>
      </c>
    </row>
    <row r="1413" spans="1:11" x14ac:dyDescent="0.3">
      <c r="A1413" s="23">
        <v>45548</v>
      </c>
      <c r="B1413">
        <v>850.06</v>
      </c>
      <c r="C1413" s="28">
        <f t="shared" si="42"/>
        <v>-3.4583416372610466E-3</v>
      </c>
      <c r="I1413" s="26" t="s">
        <v>204</v>
      </c>
      <c r="J1413" s="14">
        <v>79333.06</v>
      </c>
      <c r="K1413" s="28">
        <f t="shared" si="43"/>
        <v>3.9920210201218713E-3</v>
      </c>
    </row>
    <row r="1414" spans="1:11" x14ac:dyDescent="0.3">
      <c r="A1414" s="23">
        <v>45551</v>
      </c>
      <c r="B1414">
        <v>849</v>
      </c>
      <c r="C1414" s="28">
        <f t="shared" ref="C1414:C1477" si="44">(B1414-B1413)/B1413</f>
        <v>-1.2469708020609669E-3</v>
      </c>
      <c r="I1414" s="26" t="s">
        <v>203</v>
      </c>
      <c r="J1414" s="14">
        <v>79491.14</v>
      </c>
      <c r="K1414" s="28">
        <f t="shared" ref="K1414:K1477" si="45">(J1414-J1413)/J1413</f>
        <v>1.9926119073183581E-3</v>
      </c>
    </row>
    <row r="1415" spans="1:11" x14ac:dyDescent="0.3">
      <c r="A1415" s="23">
        <v>45553</v>
      </c>
      <c r="B1415">
        <v>855</v>
      </c>
      <c r="C1415" s="28">
        <f t="shared" si="44"/>
        <v>7.0671378091872791E-3</v>
      </c>
      <c r="I1415" s="26" t="s">
        <v>202</v>
      </c>
      <c r="J1415" s="14">
        <v>80461.34</v>
      </c>
      <c r="K1415" s="28">
        <f t="shared" si="45"/>
        <v>1.2205133804849158E-2</v>
      </c>
    </row>
    <row r="1416" spans="1:11" x14ac:dyDescent="0.3">
      <c r="A1416" s="23">
        <v>45554</v>
      </c>
      <c r="B1416">
        <v>870</v>
      </c>
      <c r="C1416" s="28">
        <f t="shared" si="44"/>
        <v>1.7543859649122806E-2</v>
      </c>
      <c r="I1416" s="26" t="s">
        <v>201</v>
      </c>
      <c r="J1416" s="14">
        <v>81459.289999999994</v>
      </c>
      <c r="K1416" s="28">
        <f t="shared" si="45"/>
        <v>1.2402850859804188E-2</v>
      </c>
    </row>
    <row r="1417" spans="1:11" x14ac:dyDescent="0.3">
      <c r="A1417" s="23">
        <v>45555</v>
      </c>
      <c r="B1417">
        <v>892</v>
      </c>
      <c r="C1417" s="28">
        <f t="shared" si="44"/>
        <v>2.528735632183908E-2</v>
      </c>
      <c r="I1417" s="26" t="s">
        <v>200</v>
      </c>
      <c r="J1417" s="14">
        <v>82074.45</v>
      </c>
      <c r="K1417" s="28">
        <f t="shared" si="45"/>
        <v>7.5517476275573179E-3</v>
      </c>
    </row>
    <row r="1418" spans="1:11" x14ac:dyDescent="0.3">
      <c r="A1418" s="23">
        <v>45558</v>
      </c>
      <c r="B1418">
        <v>893.98</v>
      </c>
      <c r="C1418" s="28">
        <f t="shared" si="44"/>
        <v>2.2197309417040564E-3</v>
      </c>
      <c r="I1418" s="26" t="s">
        <v>199</v>
      </c>
      <c r="J1418" s="14">
        <v>81850.5</v>
      </c>
      <c r="K1418" s="28">
        <f t="shared" si="45"/>
        <v>-2.7286201735131589E-3</v>
      </c>
    </row>
    <row r="1419" spans="1:11" x14ac:dyDescent="0.3">
      <c r="A1419" s="23">
        <v>45559</v>
      </c>
      <c r="B1419">
        <v>885</v>
      </c>
      <c r="C1419" s="28">
        <f t="shared" si="44"/>
        <v>-1.0044967448936237E-2</v>
      </c>
      <c r="I1419" s="26" t="s">
        <v>198</v>
      </c>
      <c r="J1419" s="14">
        <v>81483.64</v>
      </c>
      <c r="K1419" s="28">
        <f t="shared" si="45"/>
        <v>-4.4820740252044956E-3</v>
      </c>
    </row>
    <row r="1420" spans="1:11" x14ac:dyDescent="0.3">
      <c r="A1420" s="23">
        <v>45560</v>
      </c>
      <c r="B1420">
        <v>895.02</v>
      </c>
      <c r="C1420" s="28">
        <f t="shared" si="44"/>
        <v>1.1322033898305064E-2</v>
      </c>
      <c r="I1420" s="26" t="s">
        <v>197</v>
      </c>
      <c r="J1420" s="14">
        <v>82247.92</v>
      </c>
      <c r="K1420" s="28">
        <f t="shared" si="45"/>
        <v>9.3795515271531665E-3</v>
      </c>
    </row>
    <row r="1421" spans="1:11" x14ac:dyDescent="0.3">
      <c r="A1421" s="23">
        <v>45561</v>
      </c>
      <c r="B1421">
        <v>892</v>
      </c>
      <c r="C1421" s="28">
        <f t="shared" si="44"/>
        <v>-3.3742262742731803E-3</v>
      </c>
      <c r="I1421" s="26" t="s">
        <v>196</v>
      </c>
      <c r="J1421" s="14">
        <v>81657.97</v>
      </c>
      <c r="K1421" s="28">
        <f t="shared" si="45"/>
        <v>-7.1728257687245717E-3</v>
      </c>
    </row>
    <row r="1422" spans="1:11" x14ac:dyDescent="0.3">
      <c r="A1422" s="23">
        <v>45562</v>
      </c>
      <c r="B1422">
        <v>896</v>
      </c>
      <c r="C1422" s="28">
        <f t="shared" si="44"/>
        <v>4.4843049327354259E-3</v>
      </c>
      <c r="I1422" s="26" t="s">
        <v>195</v>
      </c>
      <c r="J1422" s="14">
        <v>81292.13</v>
      </c>
      <c r="K1422" s="28">
        <f t="shared" si="45"/>
        <v>-4.4801505597064986E-3</v>
      </c>
    </row>
    <row r="1423" spans="1:11" x14ac:dyDescent="0.3">
      <c r="A1423" s="23">
        <v>45565</v>
      </c>
      <c r="B1423">
        <v>883</v>
      </c>
      <c r="C1423" s="28">
        <f t="shared" si="44"/>
        <v>-1.4508928571428572E-2</v>
      </c>
      <c r="I1423" s="26" t="s">
        <v>194</v>
      </c>
      <c r="J1423" s="14">
        <v>81114.2</v>
      </c>
      <c r="K1423" s="28">
        <f t="shared" si="45"/>
        <v>-2.1887727631199668E-3</v>
      </c>
    </row>
    <row r="1424" spans="1:11" x14ac:dyDescent="0.3">
      <c r="A1424" s="23">
        <v>45566</v>
      </c>
      <c r="B1424">
        <v>888.25</v>
      </c>
      <c r="C1424" s="28">
        <f t="shared" si="44"/>
        <v>5.9456398640996598E-3</v>
      </c>
      <c r="I1424" s="27">
        <v>45301</v>
      </c>
      <c r="J1424" s="14">
        <v>81804.59</v>
      </c>
      <c r="K1424" s="28">
        <f t="shared" si="45"/>
        <v>8.5113334040155669E-3</v>
      </c>
    </row>
    <row r="1425" spans="1:11" x14ac:dyDescent="0.3">
      <c r="A1425" s="23">
        <v>45567</v>
      </c>
      <c r="B1425">
        <v>893</v>
      </c>
      <c r="C1425" s="28">
        <f t="shared" si="44"/>
        <v>5.3475935828877002E-3</v>
      </c>
      <c r="I1425" s="27">
        <v>45332</v>
      </c>
      <c r="J1425" s="14">
        <v>81967.009999999995</v>
      </c>
      <c r="K1425" s="28">
        <f t="shared" si="45"/>
        <v>1.9854631628860712E-3</v>
      </c>
    </row>
    <row r="1426" spans="1:11" x14ac:dyDescent="0.3">
      <c r="A1426" s="23">
        <v>45568</v>
      </c>
      <c r="B1426">
        <v>903.8</v>
      </c>
      <c r="C1426" s="28">
        <f t="shared" si="44"/>
        <v>1.2094064949608012E-2</v>
      </c>
      <c r="I1426" s="27">
        <v>45361</v>
      </c>
      <c r="J1426" s="14">
        <v>82721.77</v>
      </c>
      <c r="K1426" s="28">
        <f t="shared" si="45"/>
        <v>9.2080948176590724E-3</v>
      </c>
    </row>
    <row r="1427" spans="1:11" x14ac:dyDescent="0.3">
      <c r="A1427" s="23">
        <v>45569</v>
      </c>
      <c r="B1427">
        <v>929.89</v>
      </c>
      <c r="C1427" s="28">
        <f t="shared" si="44"/>
        <v>2.8867005974773218E-2</v>
      </c>
      <c r="I1427" s="27">
        <v>45392</v>
      </c>
      <c r="J1427" s="14">
        <v>83531.960000000006</v>
      </c>
      <c r="K1427" s="28">
        <f t="shared" si="45"/>
        <v>9.7941569673860012E-3</v>
      </c>
    </row>
    <row r="1428" spans="1:11" x14ac:dyDescent="0.3">
      <c r="A1428" s="23">
        <v>45572</v>
      </c>
      <c r="B1428">
        <v>925</v>
      </c>
      <c r="C1428" s="28">
        <f t="shared" si="44"/>
        <v>-5.2586865113077742E-3</v>
      </c>
      <c r="I1428" s="27">
        <v>45483</v>
      </c>
      <c r="J1428" s="14">
        <v>84910.3</v>
      </c>
      <c r="K1428" s="28">
        <f t="shared" si="45"/>
        <v>1.6500750132045224E-2</v>
      </c>
    </row>
    <row r="1429" spans="1:11" x14ac:dyDescent="0.3">
      <c r="A1429" s="23">
        <v>45573</v>
      </c>
      <c r="B1429">
        <v>903</v>
      </c>
      <c r="C1429" s="28">
        <f t="shared" si="44"/>
        <v>-2.3783783783783784E-2</v>
      </c>
      <c r="I1429" s="27">
        <v>45514</v>
      </c>
      <c r="J1429" s="14">
        <v>85663.98</v>
      </c>
      <c r="K1429" s="28">
        <f t="shared" si="45"/>
        <v>8.8761905210556664E-3</v>
      </c>
    </row>
    <row r="1430" spans="1:11" x14ac:dyDescent="0.3">
      <c r="A1430" s="23">
        <v>45574</v>
      </c>
      <c r="B1430">
        <v>893</v>
      </c>
      <c r="C1430" s="28">
        <f t="shared" si="44"/>
        <v>-1.1074197120708749E-2</v>
      </c>
      <c r="I1430" s="27">
        <v>45545</v>
      </c>
      <c r="J1430" s="14">
        <v>85669.28</v>
      </c>
      <c r="K1430" s="28">
        <f t="shared" si="45"/>
        <v>6.1869644627799341E-5</v>
      </c>
    </row>
    <row r="1431" spans="1:11" x14ac:dyDescent="0.3">
      <c r="A1431" s="23">
        <v>45575</v>
      </c>
      <c r="B1431">
        <v>872</v>
      </c>
      <c r="C1431" s="28">
        <f t="shared" si="44"/>
        <v>-2.3516237402015677E-2</v>
      </c>
      <c r="I1431" s="27">
        <v>45575</v>
      </c>
      <c r="J1431" s="14">
        <v>85453.22</v>
      </c>
      <c r="K1431" s="28">
        <f t="shared" si="45"/>
        <v>-2.522024230856121E-3</v>
      </c>
    </row>
    <row r="1432" spans="1:11" x14ac:dyDescent="0.3">
      <c r="A1432" s="23">
        <v>45576</v>
      </c>
      <c r="B1432">
        <v>845</v>
      </c>
      <c r="C1432" s="28">
        <f t="shared" si="44"/>
        <v>-3.096330275229358E-2</v>
      </c>
      <c r="I1432" s="27">
        <v>45606</v>
      </c>
      <c r="J1432" s="14">
        <v>85483.4</v>
      </c>
      <c r="K1432" s="28">
        <f t="shared" si="45"/>
        <v>3.5317569074627046E-4</v>
      </c>
    </row>
    <row r="1433" spans="1:11" x14ac:dyDescent="0.3">
      <c r="A1433" s="23">
        <v>45579</v>
      </c>
      <c r="B1433">
        <v>843</v>
      </c>
      <c r="C1433" s="28">
        <f t="shared" si="44"/>
        <v>-2.3668639053254438E-3</v>
      </c>
      <c r="I1433" s="26" t="s">
        <v>193</v>
      </c>
      <c r="J1433" s="14">
        <v>85261.39</v>
      </c>
      <c r="K1433" s="28">
        <f t="shared" si="45"/>
        <v>-2.5971124218268668E-3</v>
      </c>
    </row>
    <row r="1434" spans="1:11" x14ac:dyDescent="0.3">
      <c r="A1434" s="23">
        <v>45580</v>
      </c>
      <c r="B1434">
        <v>845</v>
      </c>
      <c r="C1434" s="28">
        <f t="shared" si="44"/>
        <v>2.3724792408066431E-3</v>
      </c>
      <c r="I1434" s="26" t="s">
        <v>192</v>
      </c>
      <c r="J1434" s="14">
        <v>85840.34</v>
      </c>
      <c r="K1434" s="28">
        <f t="shared" si="45"/>
        <v>6.7902951148227477E-3</v>
      </c>
    </row>
    <row r="1435" spans="1:11" x14ac:dyDescent="0.3">
      <c r="A1435" s="23">
        <v>45581</v>
      </c>
      <c r="B1435">
        <v>843</v>
      </c>
      <c r="C1435" s="28">
        <f t="shared" si="44"/>
        <v>-2.3668639053254438E-3</v>
      </c>
      <c r="I1435" s="26" t="s">
        <v>191</v>
      </c>
      <c r="J1435" s="14">
        <v>86205.66</v>
      </c>
      <c r="K1435" s="28">
        <f t="shared" si="45"/>
        <v>4.2558079336592449E-3</v>
      </c>
    </row>
    <row r="1436" spans="1:11" x14ac:dyDescent="0.3">
      <c r="A1436" s="23">
        <v>45582</v>
      </c>
      <c r="B1436">
        <v>841</v>
      </c>
      <c r="C1436" s="28">
        <f t="shared" si="44"/>
        <v>-2.3724792408066431E-3</v>
      </c>
      <c r="I1436" s="26" t="s">
        <v>190</v>
      </c>
      <c r="J1436" s="14">
        <v>85585.43</v>
      </c>
      <c r="K1436" s="28">
        <f t="shared" si="45"/>
        <v>-7.1947712017982396E-3</v>
      </c>
    </row>
    <row r="1437" spans="1:11" x14ac:dyDescent="0.3">
      <c r="A1437" s="23">
        <v>45583</v>
      </c>
      <c r="B1437">
        <v>837.29</v>
      </c>
      <c r="C1437" s="28">
        <f t="shared" si="44"/>
        <v>-4.4114149821641337E-3</v>
      </c>
      <c r="I1437" s="26" t="s">
        <v>189</v>
      </c>
      <c r="J1437" s="14">
        <v>85250.09</v>
      </c>
      <c r="K1437" s="28">
        <f t="shared" si="45"/>
        <v>-3.9181902807521856E-3</v>
      </c>
    </row>
    <row r="1438" spans="1:11" x14ac:dyDescent="0.3">
      <c r="A1438" s="23">
        <v>45586</v>
      </c>
      <c r="B1438">
        <v>842.5</v>
      </c>
      <c r="C1438" s="28">
        <f t="shared" si="44"/>
        <v>6.2224557799568092E-3</v>
      </c>
      <c r="I1438" s="26" t="s">
        <v>188</v>
      </c>
      <c r="J1438" s="14">
        <v>86057.52</v>
      </c>
      <c r="K1438" s="28">
        <f t="shared" si="45"/>
        <v>9.4713096490573519E-3</v>
      </c>
    </row>
    <row r="1439" spans="1:11" x14ac:dyDescent="0.3">
      <c r="A1439" s="23">
        <v>45587</v>
      </c>
      <c r="B1439">
        <v>868</v>
      </c>
      <c r="C1439" s="28">
        <f t="shared" si="44"/>
        <v>3.0267062314540058E-2</v>
      </c>
      <c r="I1439" s="26" t="s">
        <v>187</v>
      </c>
      <c r="J1439" s="14">
        <v>86466.58</v>
      </c>
      <c r="K1439" s="28">
        <f t="shared" si="45"/>
        <v>4.7533324223147221E-3</v>
      </c>
    </row>
    <row r="1440" spans="1:11" x14ac:dyDescent="0.3">
      <c r="A1440" s="23">
        <v>45588</v>
      </c>
      <c r="B1440">
        <v>867.48</v>
      </c>
      <c r="C1440" s="28">
        <f t="shared" si="44"/>
        <v>-5.9907834101380396E-4</v>
      </c>
      <c r="I1440" s="26" t="s">
        <v>186</v>
      </c>
      <c r="J1440" s="14">
        <v>87194.54</v>
      </c>
      <c r="K1440" s="28">
        <f t="shared" si="45"/>
        <v>8.4189752850175395E-3</v>
      </c>
    </row>
    <row r="1441" spans="1:11" x14ac:dyDescent="0.3">
      <c r="A1441" s="23">
        <v>45589</v>
      </c>
      <c r="B1441">
        <v>890</v>
      </c>
      <c r="C1441" s="28">
        <f t="shared" si="44"/>
        <v>2.5960252685940866E-2</v>
      </c>
      <c r="I1441" s="26" t="s">
        <v>185</v>
      </c>
      <c r="J1441" s="14">
        <v>88945.99</v>
      </c>
      <c r="K1441" s="28">
        <f t="shared" si="45"/>
        <v>2.0086693501680401E-2</v>
      </c>
    </row>
    <row r="1442" spans="1:11" x14ac:dyDescent="0.3">
      <c r="A1442" s="23">
        <v>45590</v>
      </c>
      <c r="B1442">
        <v>910</v>
      </c>
      <c r="C1442" s="28">
        <f t="shared" si="44"/>
        <v>2.247191011235955E-2</v>
      </c>
      <c r="I1442" s="26" t="s">
        <v>184</v>
      </c>
      <c r="J1442" s="14">
        <v>89993.97</v>
      </c>
      <c r="K1442" s="28">
        <f t="shared" si="45"/>
        <v>1.1782206257977407E-2</v>
      </c>
    </row>
    <row r="1443" spans="1:11" x14ac:dyDescent="0.3">
      <c r="A1443" s="23">
        <v>45593</v>
      </c>
      <c r="B1443">
        <v>912</v>
      </c>
      <c r="C1443" s="28">
        <f t="shared" si="44"/>
        <v>2.1978021978021978E-3</v>
      </c>
      <c r="I1443" s="26" t="s">
        <v>183</v>
      </c>
      <c r="J1443" s="14">
        <v>90195.520000000004</v>
      </c>
      <c r="K1443" s="28">
        <f t="shared" si="45"/>
        <v>2.239594497275794E-3</v>
      </c>
    </row>
    <row r="1444" spans="1:11" x14ac:dyDescent="0.3">
      <c r="A1444" s="23">
        <v>45594</v>
      </c>
      <c r="B1444">
        <v>918.05</v>
      </c>
      <c r="C1444" s="28">
        <f t="shared" si="44"/>
        <v>6.6337719298245118E-3</v>
      </c>
      <c r="I1444" s="26" t="s">
        <v>182</v>
      </c>
      <c r="J1444" s="14">
        <v>90864.09</v>
      </c>
      <c r="K1444" s="28">
        <f t="shared" si="45"/>
        <v>7.4124524144879083E-3</v>
      </c>
    </row>
    <row r="1445" spans="1:11" x14ac:dyDescent="0.3">
      <c r="A1445" s="23">
        <v>45595</v>
      </c>
      <c r="B1445">
        <v>899.15</v>
      </c>
      <c r="C1445" s="28">
        <f t="shared" si="44"/>
        <v>-2.0587113991612633E-2</v>
      </c>
      <c r="I1445" s="26" t="s">
        <v>181</v>
      </c>
      <c r="J1445" s="14">
        <v>90286.57</v>
      </c>
      <c r="K1445" s="28">
        <f t="shared" si="45"/>
        <v>-6.3558662173361282E-3</v>
      </c>
    </row>
    <row r="1446" spans="1:11" x14ac:dyDescent="0.3">
      <c r="A1446" s="23">
        <v>45596</v>
      </c>
      <c r="B1446">
        <v>883</v>
      </c>
      <c r="C1446" s="28">
        <f t="shared" si="44"/>
        <v>-1.7961407996441057E-2</v>
      </c>
      <c r="I1446" s="26" t="s">
        <v>180</v>
      </c>
      <c r="J1446" s="14">
        <v>88966.77</v>
      </c>
      <c r="K1446" s="28">
        <f t="shared" si="45"/>
        <v>-1.4617899428453233E-2</v>
      </c>
    </row>
    <row r="1447" spans="1:11" x14ac:dyDescent="0.3">
      <c r="A1447" s="23">
        <v>45597</v>
      </c>
      <c r="B1447">
        <v>935</v>
      </c>
      <c r="C1447" s="28">
        <f t="shared" si="44"/>
        <v>5.8890147225368061E-2</v>
      </c>
      <c r="I1447" s="27">
        <v>45302</v>
      </c>
      <c r="J1447" s="14">
        <v>90859.85</v>
      </c>
      <c r="K1447" s="28">
        <f t="shared" si="45"/>
        <v>2.1278506570486955E-2</v>
      </c>
    </row>
    <row r="1448" spans="1:11" x14ac:dyDescent="0.3">
      <c r="A1448" s="23">
        <v>45600</v>
      </c>
      <c r="B1448">
        <v>969.9</v>
      </c>
      <c r="C1448" s="28">
        <f t="shared" si="44"/>
        <v>3.7326203208556126E-2</v>
      </c>
      <c r="I1448" s="27">
        <v>45393</v>
      </c>
      <c r="J1448" s="14">
        <v>91938.01</v>
      </c>
      <c r="K1448" s="28">
        <f t="shared" si="45"/>
        <v>1.1866187320361951E-2</v>
      </c>
    </row>
    <row r="1449" spans="1:11" x14ac:dyDescent="0.3">
      <c r="A1449" s="23">
        <v>45601</v>
      </c>
      <c r="B1449">
        <v>990</v>
      </c>
      <c r="C1449" s="28">
        <f t="shared" si="44"/>
        <v>2.0723785957315211E-2</v>
      </c>
      <c r="I1449" s="27">
        <v>45423</v>
      </c>
      <c r="J1449" s="14">
        <v>92304.320000000007</v>
      </c>
      <c r="K1449" s="28">
        <f t="shared" si="45"/>
        <v>3.9843150836091868E-3</v>
      </c>
    </row>
    <row r="1450" spans="1:11" x14ac:dyDescent="0.3">
      <c r="A1450" s="23">
        <v>45602</v>
      </c>
      <c r="B1450" s="24">
        <v>1010</v>
      </c>
      <c r="C1450" s="28">
        <f t="shared" si="44"/>
        <v>2.0202020202020204E-2</v>
      </c>
      <c r="I1450" s="27">
        <v>45454</v>
      </c>
      <c r="J1450" s="14">
        <v>92021.440000000002</v>
      </c>
      <c r="K1450" s="28">
        <f t="shared" si="45"/>
        <v>-3.0646452950414955E-3</v>
      </c>
    </row>
    <row r="1451" spans="1:11" x14ac:dyDescent="0.3">
      <c r="A1451" s="23">
        <v>45603</v>
      </c>
      <c r="B1451" s="24">
        <v>1014</v>
      </c>
      <c r="C1451" s="28">
        <f t="shared" si="44"/>
        <v>3.9603960396039604E-3</v>
      </c>
      <c r="I1451" s="27">
        <v>45484</v>
      </c>
      <c r="J1451" s="14">
        <v>92520.49</v>
      </c>
      <c r="K1451" s="28">
        <f t="shared" si="45"/>
        <v>5.423192682053257E-3</v>
      </c>
    </row>
    <row r="1452" spans="1:11" x14ac:dyDescent="0.3">
      <c r="A1452" s="23">
        <v>45604</v>
      </c>
      <c r="B1452" s="24">
        <v>1003.95</v>
      </c>
      <c r="C1452" s="28">
        <f t="shared" si="44"/>
        <v>-9.9112426035502504E-3</v>
      </c>
      <c r="I1452" s="27">
        <v>45515</v>
      </c>
      <c r="J1452" s="14">
        <v>93291.68</v>
      </c>
      <c r="K1452" s="28">
        <f t="shared" si="45"/>
        <v>8.3353427981195053E-3</v>
      </c>
    </row>
    <row r="1453" spans="1:11" x14ac:dyDescent="0.3">
      <c r="A1453" s="23">
        <v>45607</v>
      </c>
      <c r="B1453">
        <v>992</v>
      </c>
      <c r="C1453" s="28">
        <f t="shared" si="44"/>
        <v>-1.1902983216295676E-2</v>
      </c>
      <c r="I1453" s="27">
        <v>45607</v>
      </c>
      <c r="J1453" s="14">
        <v>93648.33</v>
      </c>
      <c r="K1453" s="28">
        <f t="shared" si="45"/>
        <v>3.8229561307075695E-3</v>
      </c>
    </row>
    <row r="1454" spans="1:11" x14ac:dyDescent="0.3">
      <c r="A1454" s="23">
        <v>45608</v>
      </c>
      <c r="B1454">
        <v>990</v>
      </c>
      <c r="C1454" s="28">
        <f t="shared" si="44"/>
        <v>-2.0161290322580645E-3</v>
      </c>
      <c r="I1454" s="27">
        <v>45637</v>
      </c>
      <c r="J1454" s="14">
        <v>93224.56</v>
      </c>
      <c r="K1454" s="28">
        <f t="shared" si="45"/>
        <v>-4.5251207362694461E-3</v>
      </c>
    </row>
    <row r="1455" spans="1:11" x14ac:dyDescent="0.3">
      <c r="A1455" s="23">
        <v>45609</v>
      </c>
      <c r="B1455" s="24">
        <v>1022</v>
      </c>
      <c r="C1455" s="28">
        <f t="shared" si="44"/>
        <v>3.2323232323232323E-2</v>
      </c>
      <c r="I1455" s="26" t="s">
        <v>179</v>
      </c>
      <c r="J1455" s="14">
        <v>93355.43</v>
      </c>
      <c r="K1455" s="28">
        <f t="shared" si="45"/>
        <v>1.4038146170922701E-3</v>
      </c>
    </row>
    <row r="1456" spans="1:11" x14ac:dyDescent="0.3">
      <c r="A1456" s="23">
        <v>45610</v>
      </c>
      <c r="B1456" s="24">
        <v>1045</v>
      </c>
      <c r="C1456" s="28">
        <f t="shared" si="44"/>
        <v>2.2504892367906065E-2</v>
      </c>
      <c r="I1456" s="26" t="s">
        <v>178</v>
      </c>
      <c r="J1456" s="14">
        <v>94191.89</v>
      </c>
      <c r="K1456" s="28">
        <f t="shared" si="45"/>
        <v>8.9599501603710302E-3</v>
      </c>
    </row>
    <row r="1457" spans="1:11" x14ac:dyDescent="0.3">
      <c r="A1457" s="23">
        <v>45611</v>
      </c>
      <c r="B1457" s="24">
        <v>1043.6099999999999</v>
      </c>
      <c r="C1457" s="28">
        <f t="shared" si="44"/>
        <v>-1.3301435406699522E-3</v>
      </c>
      <c r="I1457" s="26" t="s">
        <v>177</v>
      </c>
      <c r="J1457" s="14">
        <v>94763.64</v>
      </c>
      <c r="K1457" s="28">
        <f t="shared" si="45"/>
        <v>6.0700555005319462E-3</v>
      </c>
    </row>
    <row r="1458" spans="1:11" x14ac:dyDescent="0.3">
      <c r="A1458" s="23">
        <v>45614</v>
      </c>
      <c r="B1458" s="24">
        <v>1057</v>
      </c>
      <c r="C1458" s="28">
        <f t="shared" si="44"/>
        <v>1.2830463487318157E-2</v>
      </c>
      <c r="I1458" s="26" t="s">
        <v>176</v>
      </c>
      <c r="J1458" s="14">
        <v>94995.67</v>
      </c>
      <c r="K1458" s="28">
        <f t="shared" si="45"/>
        <v>2.4485129528582783E-3</v>
      </c>
    </row>
    <row r="1459" spans="1:11" x14ac:dyDescent="0.3">
      <c r="A1459" s="23">
        <v>45615</v>
      </c>
      <c r="B1459" s="24">
        <v>1048</v>
      </c>
      <c r="C1459" s="28">
        <f t="shared" si="44"/>
        <v>-8.5146641438032175E-3</v>
      </c>
      <c r="I1459" s="26" t="s">
        <v>175</v>
      </c>
      <c r="J1459" s="14">
        <v>95856.67</v>
      </c>
      <c r="K1459" s="28">
        <f t="shared" si="45"/>
        <v>9.0635710027625466E-3</v>
      </c>
    </row>
    <row r="1460" spans="1:11" x14ac:dyDescent="0.3">
      <c r="A1460" s="23">
        <v>45616</v>
      </c>
      <c r="B1460" s="24">
        <v>1024</v>
      </c>
      <c r="C1460" s="28">
        <f t="shared" si="44"/>
        <v>-2.2900763358778626E-2</v>
      </c>
      <c r="I1460" s="26" t="s">
        <v>174</v>
      </c>
      <c r="J1460" s="14">
        <v>95546.46</v>
      </c>
      <c r="K1460" s="28">
        <f t="shared" si="45"/>
        <v>-3.2361858595754667E-3</v>
      </c>
    </row>
    <row r="1461" spans="1:11" x14ac:dyDescent="0.3">
      <c r="A1461" s="23">
        <v>45617</v>
      </c>
      <c r="B1461" s="24">
        <v>1039</v>
      </c>
      <c r="C1461" s="28">
        <f t="shared" si="44"/>
        <v>1.46484375E-2</v>
      </c>
      <c r="I1461" s="26" t="s">
        <v>173</v>
      </c>
      <c r="J1461" s="14">
        <v>97328.4</v>
      </c>
      <c r="K1461" s="28">
        <f t="shared" si="45"/>
        <v>1.8649984520619473E-2</v>
      </c>
    </row>
    <row r="1462" spans="1:11" x14ac:dyDescent="0.3">
      <c r="A1462" s="23">
        <v>45618</v>
      </c>
      <c r="B1462" s="24">
        <v>1026</v>
      </c>
      <c r="C1462" s="28">
        <f t="shared" si="44"/>
        <v>-1.2512030798845043E-2</v>
      </c>
      <c r="I1462" s="26" t="s">
        <v>172</v>
      </c>
      <c r="J1462" s="14">
        <v>97798.23</v>
      </c>
      <c r="K1462" s="28">
        <f t="shared" si="45"/>
        <v>4.8272652175521411E-3</v>
      </c>
    </row>
    <row r="1463" spans="1:11" x14ac:dyDescent="0.3">
      <c r="A1463" s="23">
        <v>45621</v>
      </c>
      <c r="B1463">
        <v>991.01</v>
      </c>
      <c r="C1463" s="28">
        <f t="shared" si="44"/>
        <v>-3.4103313840155955E-2</v>
      </c>
      <c r="I1463" s="26" t="s">
        <v>171</v>
      </c>
      <c r="J1463" s="14">
        <v>98079.78</v>
      </c>
      <c r="K1463" s="28">
        <f t="shared" si="45"/>
        <v>2.8788864583745833E-3</v>
      </c>
    </row>
    <row r="1464" spans="1:11" x14ac:dyDescent="0.3">
      <c r="A1464" s="23">
        <v>45622</v>
      </c>
      <c r="B1464">
        <v>950</v>
      </c>
      <c r="C1464" s="28">
        <f t="shared" si="44"/>
        <v>-4.1382024399350147E-2</v>
      </c>
      <c r="I1464" s="26" t="s">
        <v>170</v>
      </c>
      <c r="J1464" s="14">
        <v>94574.16</v>
      </c>
      <c r="K1464" s="28">
        <f t="shared" si="45"/>
        <v>-3.5742535311559583E-2</v>
      </c>
    </row>
    <row r="1465" spans="1:11" x14ac:dyDescent="0.3">
      <c r="A1465" s="23">
        <v>45623</v>
      </c>
      <c r="B1465">
        <v>998</v>
      </c>
      <c r="C1465" s="28">
        <f t="shared" si="44"/>
        <v>5.0526315789473683E-2</v>
      </c>
      <c r="I1465" s="26" t="s">
        <v>169</v>
      </c>
      <c r="J1465" s="14">
        <v>99269.25</v>
      </c>
      <c r="K1465" s="28">
        <f t="shared" si="45"/>
        <v>4.9644532925272572E-2</v>
      </c>
    </row>
    <row r="1466" spans="1:11" x14ac:dyDescent="0.3">
      <c r="A1466" s="23">
        <v>45624</v>
      </c>
      <c r="B1466" s="24">
        <v>1020.02</v>
      </c>
      <c r="C1466" s="28">
        <f t="shared" si="44"/>
        <v>2.2064128256513008E-2</v>
      </c>
      <c r="I1466" s="26" t="s">
        <v>168</v>
      </c>
      <c r="J1466" s="14">
        <v>100082.77</v>
      </c>
      <c r="K1466" s="28">
        <f t="shared" si="45"/>
        <v>8.1950855879338678E-3</v>
      </c>
    </row>
    <row r="1467" spans="1:11" x14ac:dyDescent="0.3">
      <c r="A1467" s="23">
        <v>45625</v>
      </c>
      <c r="B1467" s="24">
        <v>1022</v>
      </c>
      <c r="C1467" s="28">
        <f t="shared" si="44"/>
        <v>1.9411384090508208E-3</v>
      </c>
      <c r="I1467" s="26" t="s">
        <v>167</v>
      </c>
      <c r="J1467" s="14">
        <v>101357.32</v>
      </c>
      <c r="K1467" s="28">
        <f t="shared" si="45"/>
        <v>1.2734959274208766E-2</v>
      </c>
    </row>
    <row r="1468" spans="1:11" x14ac:dyDescent="0.3">
      <c r="A1468" s="23">
        <v>45628</v>
      </c>
      <c r="B1468" s="24">
        <v>1039.99</v>
      </c>
      <c r="C1468" s="28">
        <f t="shared" si="44"/>
        <v>1.7602739726027408E-2</v>
      </c>
      <c r="I1468" s="27">
        <v>45334</v>
      </c>
      <c r="J1468" s="14">
        <v>103274.95</v>
      </c>
      <c r="K1468" s="28">
        <f t="shared" si="45"/>
        <v>1.8919501817924841E-2</v>
      </c>
    </row>
    <row r="1469" spans="1:11" x14ac:dyDescent="0.3">
      <c r="A1469" s="23">
        <v>45629</v>
      </c>
      <c r="B1469" s="24">
        <v>1056</v>
      </c>
      <c r="C1469" s="28">
        <f t="shared" si="44"/>
        <v>1.5394378792103761E-2</v>
      </c>
      <c r="I1469" s="27">
        <v>45363</v>
      </c>
      <c r="J1469" s="14">
        <v>104559.07</v>
      </c>
      <c r="K1469" s="28">
        <f t="shared" si="45"/>
        <v>1.2433992947951172E-2</v>
      </c>
    </row>
    <row r="1470" spans="1:11" x14ac:dyDescent="0.3">
      <c r="A1470" s="23">
        <v>45630</v>
      </c>
      <c r="B1470" s="24">
        <v>1068</v>
      </c>
      <c r="C1470" s="28">
        <f t="shared" si="44"/>
        <v>1.1363636363636364E-2</v>
      </c>
      <c r="I1470" s="27">
        <v>45394</v>
      </c>
      <c r="J1470" s="14">
        <v>105104.34</v>
      </c>
      <c r="K1470" s="28">
        <f t="shared" si="45"/>
        <v>5.2149469194780473E-3</v>
      </c>
    </row>
    <row r="1471" spans="1:11" x14ac:dyDescent="0.3">
      <c r="A1471" s="23">
        <v>45631</v>
      </c>
      <c r="B1471" s="24">
        <v>1118</v>
      </c>
      <c r="C1471" s="28">
        <f t="shared" si="44"/>
        <v>4.6816479400749067E-2</v>
      </c>
      <c r="I1471" s="27">
        <v>45424</v>
      </c>
      <c r="J1471" s="14">
        <v>108238.97</v>
      </c>
      <c r="K1471" s="28">
        <f t="shared" si="45"/>
        <v>2.9823982530122018E-2</v>
      </c>
    </row>
    <row r="1472" spans="1:11" x14ac:dyDescent="0.3">
      <c r="A1472" s="23">
        <v>45632</v>
      </c>
      <c r="B1472" s="24">
        <v>1110</v>
      </c>
      <c r="C1472" s="28">
        <f t="shared" si="44"/>
        <v>-7.1556350626118068E-3</v>
      </c>
      <c r="I1472" s="27">
        <v>45455</v>
      </c>
      <c r="J1472" s="14">
        <v>109053.95</v>
      </c>
      <c r="K1472" s="28">
        <f t="shared" si="45"/>
        <v>7.5294508068581576E-3</v>
      </c>
    </row>
    <row r="1473" spans="1:11" x14ac:dyDescent="0.3">
      <c r="A1473" s="23">
        <v>45635</v>
      </c>
      <c r="B1473" s="24">
        <v>1177</v>
      </c>
      <c r="C1473" s="28">
        <f t="shared" si="44"/>
        <v>6.0360360360360361E-2</v>
      </c>
      <c r="I1473" s="27">
        <v>45547</v>
      </c>
      <c r="J1473" s="14">
        <v>109970.39</v>
      </c>
      <c r="K1473" s="28">
        <f t="shared" si="45"/>
        <v>8.403547051711582E-3</v>
      </c>
    </row>
    <row r="1474" spans="1:11" x14ac:dyDescent="0.3">
      <c r="A1474" s="23">
        <v>45636</v>
      </c>
      <c r="B1474" s="24">
        <v>1201.01</v>
      </c>
      <c r="C1474" s="28">
        <f t="shared" si="44"/>
        <v>2.0399320305862355E-2</v>
      </c>
      <c r="I1474" s="27">
        <v>45577</v>
      </c>
      <c r="J1474" s="14">
        <v>108896.65</v>
      </c>
      <c r="K1474" s="28">
        <f t="shared" si="45"/>
        <v>-9.7639009918943209E-3</v>
      </c>
    </row>
    <row r="1475" spans="1:11" x14ac:dyDescent="0.3">
      <c r="A1475" s="23">
        <v>45637</v>
      </c>
      <c r="B1475" s="24">
        <v>1222</v>
      </c>
      <c r="C1475" s="28">
        <f t="shared" si="44"/>
        <v>1.7476956894613708E-2</v>
      </c>
      <c r="I1475" s="27">
        <v>45608</v>
      </c>
      <c r="J1475" s="14">
        <v>110810.22</v>
      </c>
      <c r="K1475" s="28">
        <f t="shared" si="45"/>
        <v>1.7572349562635831E-2</v>
      </c>
    </row>
    <row r="1476" spans="1:11" x14ac:dyDescent="0.3">
      <c r="A1476" s="23">
        <v>45638</v>
      </c>
      <c r="B1476" s="24">
        <v>1240</v>
      </c>
      <c r="C1476" s="28">
        <f t="shared" si="44"/>
        <v>1.4729950900163666E-2</v>
      </c>
      <c r="I1476" s="27">
        <v>45638</v>
      </c>
      <c r="J1476" s="14">
        <v>114180.51</v>
      </c>
      <c r="K1476" s="28">
        <f t="shared" si="45"/>
        <v>3.0414974358863232E-2</v>
      </c>
    </row>
    <row r="1477" spans="1:11" x14ac:dyDescent="0.3">
      <c r="A1477" s="23">
        <v>45639</v>
      </c>
      <c r="B1477" s="24">
        <v>1270</v>
      </c>
      <c r="C1477" s="28">
        <f t="shared" si="44"/>
        <v>2.4193548387096774E-2</v>
      </c>
      <c r="I1477" s="26" t="s">
        <v>166</v>
      </c>
      <c r="J1477" s="14">
        <v>114301.8</v>
      </c>
      <c r="K1477" s="28">
        <f t="shared" si="45"/>
        <v>1.0622653550943866E-3</v>
      </c>
    </row>
    <row r="1478" spans="1:11" x14ac:dyDescent="0.3">
      <c r="A1478" s="23">
        <v>45642</v>
      </c>
      <c r="B1478" s="24">
        <v>1233</v>
      </c>
      <c r="C1478" s="28">
        <f t="shared" ref="C1478:C1541" si="46">(B1478-B1477)/B1477</f>
        <v>-2.9133858267716535E-2</v>
      </c>
      <c r="I1478" s="26" t="s">
        <v>165</v>
      </c>
      <c r="J1478" s="14">
        <v>116169.41</v>
      </c>
      <c r="K1478" s="28">
        <f t="shared" ref="K1478:K1541" si="47">(J1478-J1477)/J1477</f>
        <v>1.6339287745249859E-2</v>
      </c>
    </row>
    <row r="1479" spans="1:11" x14ac:dyDescent="0.3">
      <c r="A1479" s="23">
        <v>45643</v>
      </c>
      <c r="B1479" s="24">
        <v>1183</v>
      </c>
      <c r="C1479" s="28">
        <f t="shared" si="46"/>
        <v>-4.0551500405515001E-2</v>
      </c>
      <c r="I1479" s="26" t="s">
        <v>164</v>
      </c>
      <c r="J1479" s="14">
        <v>114860.69</v>
      </c>
      <c r="K1479" s="28">
        <f t="shared" si="47"/>
        <v>-1.1265616309835792E-2</v>
      </c>
    </row>
    <row r="1480" spans="1:11" x14ac:dyDescent="0.3">
      <c r="A1480" s="23">
        <v>45644</v>
      </c>
      <c r="B1480" s="24">
        <v>1138</v>
      </c>
      <c r="C1480" s="28">
        <f t="shared" si="46"/>
        <v>-3.8038884192730348E-2</v>
      </c>
      <c r="I1480" s="26" t="s">
        <v>163</v>
      </c>
      <c r="J1480" s="14">
        <v>111070.29</v>
      </c>
      <c r="K1480" s="28">
        <f t="shared" si="47"/>
        <v>-3.2999975883829434E-2</v>
      </c>
    </row>
    <row r="1481" spans="1:11" x14ac:dyDescent="0.3">
      <c r="A1481" s="23">
        <v>45645</v>
      </c>
      <c r="B1481" s="24">
        <v>1085</v>
      </c>
      <c r="C1481" s="28">
        <f t="shared" si="46"/>
        <v>-4.6572934973637958E-2</v>
      </c>
      <c r="I1481" s="26" t="s">
        <v>162</v>
      </c>
      <c r="J1481" s="14">
        <v>106274.98</v>
      </c>
      <c r="K1481" s="28">
        <f t="shared" si="47"/>
        <v>-4.3173651567849497E-2</v>
      </c>
    </row>
    <row r="1482" spans="1:11" x14ac:dyDescent="0.3">
      <c r="A1482" s="23">
        <v>45646</v>
      </c>
      <c r="B1482" s="24">
        <v>1110</v>
      </c>
      <c r="C1482" s="28">
        <f t="shared" si="46"/>
        <v>2.3041474654377881E-2</v>
      </c>
      <c r="I1482" s="26" t="s">
        <v>161</v>
      </c>
      <c r="J1482" s="14">
        <v>109513.15</v>
      </c>
      <c r="K1482" s="28">
        <f t="shared" si="47"/>
        <v>3.0469730504771662E-2</v>
      </c>
    </row>
    <row r="1483" spans="1:11" x14ac:dyDescent="0.3">
      <c r="A1483" s="23">
        <v>45649</v>
      </c>
      <c r="B1483" s="24">
        <v>1134</v>
      </c>
      <c r="C1483" s="28">
        <f t="shared" si="46"/>
        <v>2.1621621621621623E-2</v>
      </c>
      <c r="I1483" s="26" t="s">
        <v>160</v>
      </c>
      <c r="J1483" s="14">
        <v>113924.42</v>
      </c>
      <c r="K1483" s="28">
        <f t="shared" si="47"/>
        <v>4.02807334096408E-2</v>
      </c>
    </row>
    <row r="1484" spans="1:11" x14ac:dyDescent="0.3">
      <c r="A1484" s="23">
        <v>45650</v>
      </c>
      <c r="B1484" s="24">
        <v>1116</v>
      </c>
      <c r="C1484" s="28">
        <f t="shared" si="46"/>
        <v>-1.5873015873015872E-2</v>
      </c>
      <c r="I1484" s="26" t="s">
        <v>159</v>
      </c>
      <c r="J1484" s="14">
        <v>112414.81</v>
      </c>
      <c r="K1484" s="28">
        <f t="shared" si="47"/>
        <v>-1.3250978148495298E-2</v>
      </c>
    </row>
    <row r="1485" spans="1:11" x14ac:dyDescent="0.3">
      <c r="A1485" s="23">
        <v>45652</v>
      </c>
      <c r="B1485" s="24">
        <v>1065</v>
      </c>
      <c r="C1485" s="28">
        <f t="shared" si="46"/>
        <v>-4.5698924731182797E-2</v>
      </c>
      <c r="I1485" s="26" t="s">
        <v>158</v>
      </c>
      <c r="J1485" s="14">
        <v>110423.32</v>
      </c>
      <c r="K1485" s="28">
        <f t="shared" si="47"/>
        <v>-1.7715548333889376E-2</v>
      </c>
    </row>
    <row r="1486" spans="1:11" x14ac:dyDescent="0.3">
      <c r="A1486" s="23">
        <v>45653</v>
      </c>
      <c r="B1486" s="24">
        <v>1066</v>
      </c>
      <c r="C1486" s="28">
        <f t="shared" si="46"/>
        <v>9.3896713615023472E-4</v>
      </c>
      <c r="I1486" s="26" t="s">
        <v>157</v>
      </c>
      <c r="J1486" s="14">
        <v>111351.18</v>
      </c>
      <c r="K1486" s="28">
        <f t="shared" si="47"/>
        <v>8.4027540559366079E-3</v>
      </c>
    </row>
    <row r="1487" spans="1:11" x14ac:dyDescent="0.3">
      <c r="A1487" s="23">
        <v>45656</v>
      </c>
      <c r="B1487" s="24">
        <v>1100</v>
      </c>
      <c r="C1487" s="28">
        <f t="shared" si="46"/>
        <v>3.1894934333958722E-2</v>
      </c>
      <c r="I1487" s="26" t="s">
        <v>156</v>
      </c>
      <c r="J1487" s="14">
        <v>115259</v>
      </c>
      <c r="K1487" s="28">
        <f t="shared" si="47"/>
        <v>3.5094554004726372E-2</v>
      </c>
    </row>
    <row r="1488" spans="1:11" x14ac:dyDescent="0.3">
      <c r="A1488" s="23">
        <v>45657</v>
      </c>
      <c r="B1488" s="24">
        <v>1095</v>
      </c>
      <c r="C1488" s="28">
        <f t="shared" si="46"/>
        <v>-4.5454545454545452E-3</v>
      </c>
      <c r="I1488" s="26" t="s">
        <v>155</v>
      </c>
      <c r="J1488" s="14">
        <v>115126.9</v>
      </c>
      <c r="K1488" s="28">
        <f t="shared" si="47"/>
        <v>-1.1461144032136824E-3</v>
      </c>
    </row>
    <row r="1489" spans="1:11" x14ac:dyDescent="0.3">
      <c r="A1489" s="23">
        <v>45658</v>
      </c>
      <c r="B1489" s="24">
        <v>1185.8499999999999</v>
      </c>
      <c r="C1489" s="28">
        <f t="shared" si="46"/>
        <v>8.2968036529680281E-2</v>
      </c>
      <c r="I1489" s="27">
        <v>45658</v>
      </c>
      <c r="J1489" s="14">
        <v>117008.08</v>
      </c>
      <c r="K1489" s="28">
        <f t="shared" si="47"/>
        <v>1.6340056059878341E-2</v>
      </c>
    </row>
    <row r="1490" spans="1:11" x14ac:dyDescent="0.3">
      <c r="A1490" s="23">
        <v>45659</v>
      </c>
      <c r="B1490" s="24">
        <v>1197.2</v>
      </c>
      <c r="C1490" s="28">
        <f t="shared" si="46"/>
        <v>9.5711936585572682E-3</v>
      </c>
      <c r="I1490" s="27">
        <v>45689</v>
      </c>
      <c r="J1490" s="14">
        <v>117119.66</v>
      </c>
      <c r="K1490" s="28">
        <f t="shared" si="47"/>
        <v>9.5360935757600452E-4</v>
      </c>
    </row>
    <row r="1491" spans="1:11" x14ac:dyDescent="0.3">
      <c r="A1491" s="23">
        <v>45660</v>
      </c>
      <c r="B1491" s="24">
        <v>1146</v>
      </c>
      <c r="C1491" s="28">
        <f t="shared" si="46"/>
        <v>-4.2766455061810926E-2</v>
      </c>
      <c r="I1491" s="27">
        <v>45717</v>
      </c>
      <c r="J1491" s="14">
        <v>117586.98</v>
      </c>
      <c r="K1491" s="28">
        <f t="shared" si="47"/>
        <v>3.9901072117182754E-3</v>
      </c>
    </row>
    <row r="1492" spans="1:11" x14ac:dyDescent="0.3">
      <c r="A1492" s="23">
        <v>45663</v>
      </c>
      <c r="B1492" s="24">
        <v>1151</v>
      </c>
      <c r="C1492" s="28">
        <f t="shared" si="46"/>
        <v>4.3630017452006981E-3</v>
      </c>
      <c r="I1492" s="27">
        <v>45809</v>
      </c>
      <c r="J1492" s="14">
        <v>116255.13</v>
      </c>
      <c r="K1492" s="28">
        <f t="shared" si="47"/>
        <v>-1.1326509108406315E-2</v>
      </c>
    </row>
    <row r="1493" spans="1:11" x14ac:dyDescent="0.3">
      <c r="A1493" s="23">
        <v>45664</v>
      </c>
      <c r="B1493" s="24">
        <v>1150.95</v>
      </c>
      <c r="C1493" s="28">
        <f t="shared" si="46"/>
        <v>-4.3440486533409668E-5</v>
      </c>
      <c r="I1493" s="27">
        <v>45839</v>
      </c>
      <c r="J1493" s="14">
        <v>116052.68</v>
      </c>
      <c r="K1493" s="28">
        <f t="shared" si="47"/>
        <v>-1.7414285287884641E-3</v>
      </c>
    </row>
    <row r="1494" spans="1:11" x14ac:dyDescent="0.3">
      <c r="A1494" s="23">
        <v>45665</v>
      </c>
      <c r="B1494" s="24">
        <v>1134.54</v>
      </c>
      <c r="C1494" s="28">
        <f t="shared" si="46"/>
        <v>-1.4257787045484235E-2</v>
      </c>
      <c r="I1494" s="27">
        <v>45870</v>
      </c>
      <c r="J1494" s="14">
        <v>114148.46</v>
      </c>
      <c r="K1494" s="28">
        <f t="shared" si="47"/>
        <v>-1.6408238051891493E-2</v>
      </c>
    </row>
    <row r="1495" spans="1:11" x14ac:dyDescent="0.3">
      <c r="A1495" s="23">
        <v>45666</v>
      </c>
      <c r="B1495" s="24">
        <v>1102.26</v>
      </c>
      <c r="C1495" s="28">
        <f t="shared" si="46"/>
        <v>-2.8452059865672407E-2</v>
      </c>
      <c r="I1495" s="27">
        <v>45901</v>
      </c>
      <c r="J1495" s="14">
        <v>112638.26</v>
      </c>
      <c r="K1495" s="28">
        <f t="shared" si="47"/>
        <v>-1.3230139066265209E-2</v>
      </c>
    </row>
    <row r="1496" spans="1:11" x14ac:dyDescent="0.3">
      <c r="A1496" s="23">
        <v>45667</v>
      </c>
      <c r="B1496" s="24">
        <v>1094.74</v>
      </c>
      <c r="C1496" s="28">
        <f t="shared" si="46"/>
        <v>-6.8223468147260921E-3</v>
      </c>
      <c r="I1496" s="27">
        <v>45931</v>
      </c>
      <c r="J1496" s="14">
        <v>113247.29</v>
      </c>
      <c r="K1496" s="28">
        <f t="shared" si="47"/>
        <v>5.4069549724933509E-3</v>
      </c>
    </row>
    <row r="1497" spans="1:11" x14ac:dyDescent="0.3">
      <c r="A1497" s="23">
        <v>45670</v>
      </c>
      <c r="B1497" s="24">
        <v>1104</v>
      </c>
      <c r="C1497" s="28">
        <f t="shared" si="46"/>
        <v>8.4586294462612038E-3</v>
      </c>
      <c r="I1497" s="26" t="s">
        <v>154</v>
      </c>
      <c r="J1497" s="14">
        <v>114230.06</v>
      </c>
      <c r="K1497" s="28">
        <f t="shared" si="47"/>
        <v>8.6780884558032619E-3</v>
      </c>
    </row>
    <row r="1498" spans="1:11" x14ac:dyDescent="0.3">
      <c r="A1498" s="23">
        <v>45671</v>
      </c>
      <c r="B1498" s="24">
        <v>1116.52</v>
      </c>
      <c r="C1498" s="28">
        <f t="shared" si="46"/>
        <v>1.1340579710144912E-2</v>
      </c>
      <c r="I1498" s="26" t="s">
        <v>153</v>
      </c>
      <c r="J1498" s="14">
        <v>114804.17</v>
      </c>
      <c r="K1498" s="28">
        <f t="shared" si="47"/>
        <v>5.0259099925186118E-3</v>
      </c>
    </row>
    <row r="1499" spans="1:11" x14ac:dyDescent="0.3">
      <c r="A1499" s="23">
        <v>45672</v>
      </c>
      <c r="B1499" s="24">
        <v>1110.6400000000001</v>
      </c>
      <c r="C1499" s="28">
        <f t="shared" si="46"/>
        <v>-5.2663633432449772E-3</v>
      </c>
      <c r="I1499" s="26" t="s">
        <v>152</v>
      </c>
      <c r="J1499" s="14">
        <v>114495.71</v>
      </c>
      <c r="K1499" s="28">
        <f t="shared" si="47"/>
        <v>-2.6868362011588241E-3</v>
      </c>
    </row>
    <row r="1500" spans="1:11" x14ac:dyDescent="0.3">
      <c r="A1500" s="23">
        <v>45673</v>
      </c>
      <c r="B1500" s="24">
        <v>1099.1500000000001</v>
      </c>
      <c r="C1500" s="28">
        <f t="shared" si="46"/>
        <v>-1.0345386443852201E-2</v>
      </c>
      <c r="I1500" s="26" t="s">
        <v>151</v>
      </c>
      <c r="J1500" s="14">
        <v>113836.74</v>
      </c>
      <c r="K1500" s="28">
        <f t="shared" si="47"/>
        <v>-5.7554121460096728E-3</v>
      </c>
    </row>
    <row r="1501" spans="1:11" x14ac:dyDescent="0.3">
      <c r="A1501" s="23">
        <v>45674</v>
      </c>
      <c r="B1501" s="24">
        <v>1128.3</v>
      </c>
      <c r="C1501" s="28">
        <f t="shared" si="46"/>
        <v>2.6520493108310842E-2</v>
      </c>
      <c r="I1501" s="26" t="s">
        <v>150</v>
      </c>
      <c r="J1501" s="14">
        <v>115272.08</v>
      </c>
      <c r="K1501" s="28">
        <f t="shared" si="47"/>
        <v>1.2608758824260045E-2</v>
      </c>
    </row>
    <row r="1502" spans="1:11" x14ac:dyDescent="0.3">
      <c r="A1502" s="23">
        <v>45677</v>
      </c>
      <c r="B1502" s="24">
        <v>1132.96</v>
      </c>
      <c r="C1502" s="28">
        <f t="shared" si="46"/>
        <v>4.1301072409820807E-3</v>
      </c>
      <c r="I1502" s="26" t="s">
        <v>149</v>
      </c>
      <c r="J1502" s="14">
        <v>115844.82</v>
      </c>
      <c r="K1502" s="28">
        <f t="shared" si="47"/>
        <v>4.9685925681223521E-3</v>
      </c>
    </row>
    <row r="1503" spans="1:11" x14ac:dyDescent="0.3">
      <c r="A1503" s="23">
        <v>45678</v>
      </c>
      <c r="B1503" s="24">
        <v>1101.48</v>
      </c>
      <c r="C1503" s="28">
        <f t="shared" si="46"/>
        <v>-2.7785623499505734E-2</v>
      </c>
      <c r="I1503" s="26" t="s">
        <v>148</v>
      </c>
      <c r="J1503" s="14">
        <v>115042.25</v>
      </c>
      <c r="K1503" s="28">
        <f t="shared" si="47"/>
        <v>-6.9279748546374961E-3</v>
      </c>
    </row>
    <row r="1504" spans="1:11" x14ac:dyDescent="0.3">
      <c r="A1504" s="23">
        <v>45679</v>
      </c>
      <c r="B1504" s="24">
        <v>1097.44</v>
      </c>
      <c r="C1504" s="28">
        <f t="shared" si="46"/>
        <v>-3.6677924247375928E-3</v>
      </c>
      <c r="I1504" s="26" t="s">
        <v>147</v>
      </c>
      <c r="J1504" s="14">
        <v>113443.43</v>
      </c>
      <c r="K1504" s="28">
        <f t="shared" si="47"/>
        <v>-1.3897676723117003E-2</v>
      </c>
    </row>
    <row r="1505" spans="1:11" x14ac:dyDescent="0.3">
      <c r="A1505" s="23">
        <v>45680</v>
      </c>
      <c r="B1505" s="24">
        <v>1106.83</v>
      </c>
      <c r="C1505" s="28">
        <f t="shared" si="46"/>
        <v>8.5562764251347432E-3</v>
      </c>
      <c r="I1505" s="26" t="s">
        <v>146</v>
      </c>
      <c r="J1505" s="14">
        <v>114037.79</v>
      </c>
      <c r="K1505" s="28">
        <f t="shared" si="47"/>
        <v>5.2392633050675624E-3</v>
      </c>
    </row>
    <row r="1506" spans="1:11" x14ac:dyDescent="0.3">
      <c r="A1506" s="23">
        <v>45681</v>
      </c>
      <c r="B1506" s="24">
        <v>1109.1500000000001</v>
      </c>
      <c r="C1506" s="28">
        <f t="shared" si="46"/>
        <v>2.096076181527573E-3</v>
      </c>
      <c r="I1506" s="26" t="s">
        <v>145</v>
      </c>
      <c r="J1506" s="14">
        <v>114880.49</v>
      </c>
      <c r="K1506" s="28">
        <f t="shared" si="47"/>
        <v>7.3896556571292002E-3</v>
      </c>
    </row>
    <row r="1507" spans="1:11" x14ac:dyDescent="0.3">
      <c r="A1507" s="23">
        <v>45684</v>
      </c>
      <c r="B1507" s="24">
        <v>1098.6600000000001</v>
      </c>
      <c r="C1507" s="28">
        <f t="shared" si="46"/>
        <v>-9.4576928278411465E-3</v>
      </c>
      <c r="I1507" s="26" t="s">
        <v>144</v>
      </c>
      <c r="J1507" s="14">
        <v>113520.32000000001</v>
      </c>
      <c r="K1507" s="28">
        <f t="shared" si="47"/>
        <v>-1.1839869415598751E-2</v>
      </c>
    </row>
    <row r="1508" spans="1:11" x14ac:dyDescent="0.3">
      <c r="A1508" s="23">
        <v>45685</v>
      </c>
      <c r="B1508" s="24">
        <v>1084.82</v>
      </c>
      <c r="C1508" s="28">
        <f t="shared" si="46"/>
        <v>-1.2597163817741744E-2</v>
      </c>
      <c r="I1508" s="26" t="s">
        <v>143</v>
      </c>
      <c r="J1508" s="14">
        <v>112030.36</v>
      </c>
      <c r="K1508" s="28">
        <f t="shared" si="47"/>
        <v>-1.3125051092174567E-2</v>
      </c>
    </row>
    <row r="1509" spans="1:11" x14ac:dyDescent="0.3">
      <c r="A1509" s="23">
        <v>45686</v>
      </c>
      <c r="B1509" s="24">
        <v>1076.1500000000001</v>
      </c>
      <c r="C1509" s="28">
        <f t="shared" si="46"/>
        <v>-7.9921092900203227E-3</v>
      </c>
      <c r="I1509" s="26" t="s">
        <v>142</v>
      </c>
      <c r="J1509" s="14">
        <v>111487.36</v>
      </c>
      <c r="K1509" s="28">
        <f t="shared" si="47"/>
        <v>-4.8469004294907202E-3</v>
      </c>
    </row>
    <row r="1510" spans="1:11" x14ac:dyDescent="0.3">
      <c r="A1510" s="23">
        <v>45687</v>
      </c>
      <c r="B1510" s="24">
        <v>1113.72</v>
      </c>
      <c r="C1510" s="28">
        <f t="shared" si="46"/>
        <v>3.4911490033917143E-2</v>
      </c>
      <c r="I1510" s="26" t="s">
        <v>141</v>
      </c>
      <c r="J1510" s="14">
        <v>113206.39999999999</v>
      </c>
      <c r="K1510" s="28">
        <f t="shared" si="47"/>
        <v>1.5419147067434313E-2</v>
      </c>
    </row>
    <row r="1511" spans="1:11" x14ac:dyDescent="0.3">
      <c r="A1511" s="23">
        <v>45688</v>
      </c>
      <c r="B1511" s="24">
        <v>1180.8399999999999</v>
      </c>
      <c r="C1511" s="28">
        <f t="shared" si="46"/>
        <v>6.0266494271450533E-2</v>
      </c>
      <c r="I1511" s="26" t="s">
        <v>140</v>
      </c>
      <c r="J1511" s="14">
        <v>114255.73</v>
      </c>
      <c r="K1511" s="28">
        <f t="shared" si="47"/>
        <v>9.2691755943127042E-3</v>
      </c>
    </row>
    <row r="1512" spans="1:11" x14ac:dyDescent="0.3">
      <c r="A1512" s="23">
        <v>45691</v>
      </c>
      <c r="B1512" s="24">
        <v>1199.47</v>
      </c>
      <c r="C1512" s="28">
        <f t="shared" si="46"/>
        <v>1.5776904576403333E-2</v>
      </c>
      <c r="I1512" s="27">
        <v>45718</v>
      </c>
      <c r="J1512" s="14">
        <v>112745.01</v>
      </c>
      <c r="K1512" s="28">
        <f t="shared" si="47"/>
        <v>-1.3222269027557753E-2</v>
      </c>
    </row>
    <row r="1513" spans="1:11" x14ac:dyDescent="0.3">
      <c r="A1513" s="23">
        <v>45692</v>
      </c>
      <c r="B1513" s="24">
        <v>1195.75</v>
      </c>
      <c r="C1513" s="28">
        <f t="shared" si="46"/>
        <v>-3.1013697716491678E-3</v>
      </c>
      <c r="I1513" s="27">
        <v>45749</v>
      </c>
      <c r="J1513" s="14">
        <v>111935.38</v>
      </c>
      <c r="K1513" s="28">
        <f t="shared" si="47"/>
        <v>-7.1810716944367657E-3</v>
      </c>
    </row>
    <row r="1514" spans="1:11" x14ac:dyDescent="0.3">
      <c r="A1514" s="23">
        <v>45694</v>
      </c>
      <c r="B1514" s="24">
        <v>1194.54</v>
      </c>
      <c r="C1514" s="28">
        <f t="shared" si="46"/>
        <v>-1.0119172067740217E-3</v>
      </c>
      <c r="I1514" s="27">
        <v>45810</v>
      </c>
      <c r="J1514" s="14">
        <v>110301.16</v>
      </c>
      <c r="K1514" s="28">
        <f t="shared" si="47"/>
        <v>-1.4599673490186937E-2</v>
      </c>
    </row>
    <row r="1515" spans="1:11" x14ac:dyDescent="0.3">
      <c r="A1515" s="23">
        <v>45695</v>
      </c>
      <c r="B1515" s="24">
        <v>1209.3399999999999</v>
      </c>
      <c r="C1515" s="28">
        <f t="shared" si="46"/>
        <v>1.2389706497898735E-2</v>
      </c>
      <c r="I1515" s="27">
        <v>45840</v>
      </c>
      <c r="J1515" s="14">
        <v>110322.94</v>
      </c>
      <c r="K1515" s="28">
        <f t="shared" si="47"/>
        <v>1.9745939208616514E-4</v>
      </c>
    </row>
    <row r="1516" spans="1:11" x14ac:dyDescent="0.3">
      <c r="A1516" s="23">
        <v>45698</v>
      </c>
      <c r="B1516" s="24">
        <v>1209.0999999999999</v>
      </c>
      <c r="C1516" s="28">
        <f t="shared" si="46"/>
        <v>-1.9845535581392257E-4</v>
      </c>
      <c r="I1516" s="27">
        <v>45932</v>
      </c>
      <c r="J1516" s="14">
        <v>111377.97</v>
      </c>
      <c r="K1516" s="28">
        <f t="shared" si="47"/>
        <v>9.563106276899427E-3</v>
      </c>
    </row>
    <row r="1517" spans="1:11" x14ac:dyDescent="0.3">
      <c r="A1517" s="23">
        <v>45699</v>
      </c>
      <c r="B1517" s="24">
        <v>1218.5899999999999</v>
      </c>
      <c r="C1517" s="28">
        <f t="shared" si="46"/>
        <v>7.8488131668183019E-3</v>
      </c>
      <c r="I1517" s="27">
        <v>45963</v>
      </c>
      <c r="J1517" s="14">
        <v>113010.38</v>
      </c>
      <c r="K1517" s="28">
        <f t="shared" si="47"/>
        <v>1.4656489070504729E-2</v>
      </c>
    </row>
    <row r="1518" spans="1:11" x14ac:dyDescent="0.3">
      <c r="A1518" s="23">
        <v>45700</v>
      </c>
      <c r="B1518" s="24">
        <v>1208.0899999999999</v>
      </c>
      <c r="C1518" s="28">
        <f t="shared" si="46"/>
        <v>-8.6165158092549599E-3</v>
      </c>
      <c r="I1518" s="27">
        <v>45993</v>
      </c>
      <c r="J1518" s="14">
        <v>112924.94</v>
      </c>
      <c r="K1518" s="28">
        <f t="shared" si="47"/>
        <v>-7.5603674635907185E-4</v>
      </c>
    </row>
    <row r="1519" spans="1:11" x14ac:dyDescent="0.3">
      <c r="A1519" s="23">
        <v>45701</v>
      </c>
      <c r="B1519" s="24">
        <v>1242.1500000000001</v>
      </c>
      <c r="C1519" s="28">
        <f t="shared" si="46"/>
        <v>2.8193263746906418E-2</v>
      </c>
      <c r="I1519" s="26" t="s">
        <v>139</v>
      </c>
      <c r="J1519" s="14">
        <v>112564.08</v>
      </c>
      <c r="K1519" s="28">
        <f t="shared" si="47"/>
        <v>-3.1955739803802472E-3</v>
      </c>
    </row>
    <row r="1520" spans="1:11" x14ac:dyDescent="0.3">
      <c r="A1520" s="23">
        <v>45702</v>
      </c>
      <c r="B1520" s="24">
        <v>1366.37</v>
      </c>
      <c r="C1520" s="28">
        <f t="shared" si="46"/>
        <v>0.10000402527875038</v>
      </c>
      <c r="I1520" s="26" t="s">
        <v>138</v>
      </c>
      <c r="J1520" s="14">
        <v>112085.3</v>
      </c>
      <c r="K1520" s="28">
        <f t="shared" si="47"/>
        <v>-4.2533994858750578E-3</v>
      </c>
    </row>
    <row r="1521" spans="1:11" x14ac:dyDescent="0.3">
      <c r="A1521" s="23">
        <v>45705</v>
      </c>
      <c r="B1521" s="24">
        <v>1404.3</v>
      </c>
      <c r="C1521" s="28">
        <f t="shared" si="46"/>
        <v>2.7759684419300823E-2</v>
      </c>
      <c r="I1521" s="26" t="s">
        <v>137</v>
      </c>
      <c r="J1521" s="14">
        <v>111743.53</v>
      </c>
      <c r="K1521" s="28">
        <f t="shared" si="47"/>
        <v>-3.0491955680183223E-3</v>
      </c>
    </row>
    <row r="1522" spans="1:11" x14ac:dyDescent="0.3">
      <c r="A1522" s="23">
        <v>45706</v>
      </c>
      <c r="B1522" s="24">
        <v>1459.65</v>
      </c>
      <c r="C1522" s="28">
        <f t="shared" si="46"/>
        <v>3.9414654988250475E-2</v>
      </c>
      <c r="I1522" s="26" t="s">
        <v>136</v>
      </c>
      <c r="J1522" s="14">
        <v>113088.48</v>
      </c>
      <c r="K1522" s="28">
        <f t="shared" si="47"/>
        <v>1.2036043608072854E-2</v>
      </c>
    </row>
    <row r="1523" spans="1:11" x14ac:dyDescent="0.3">
      <c r="A1523" s="23">
        <v>45707</v>
      </c>
      <c r="B1523" s="24">
        <v>1402.17</v>
      </c>
      <c r="C1523" s="28">
        <f t="shared" si="46"/>
        <v>-3.9379303257630262E-2</v>
      </c>
      <c r="I1523" s="26" t="s">
        <v>135</v>
      </c>
      <c r="J1523" s="14">
        <v>113342.44</v>
      </c>
      <c r="K1523" s="28">
        <f t="shared" si="47"/>
        <v>2.2456752447287858E-3</v>
      </c>
    </row>
    <row r="1524" spans="1:11" x14ac:dyDescent="0.3">
      <c r="A1524" s="23">
        <v>45708</v>
      </c>
      <c r="B1524" s="24">
        <v>1395.92</v>
      </c>
      <c r="C1524" s="28">
        <f t="shared" si="46"/>
        <v>-4.4573767802762862E-3</v>
      </c>
      <c r="I1524" s="26" t="s">
        <v>134</v>
      </c>
      <c r="J1524" s="14">
        <v>113739.16</v>
      </c>
      <c r="K1524" s="28">
        <f t="shared" si="47"/>
        <v>3.5001893377273434E-3</v>
      </c>
    </row>
    <row r="1525" spans="1:11" x14ac:dyDescent="0.3">
      <c r="A1525" s="23">
        <v>45709</v>
      </c>
      <c r="B1525" s="24">
        <v>1422.52</v>
      </c>
      <c r="C1525" s="28">
        <f t="shared" si="46"/>
        <v>1.9055533268382076E-2</v>
      </c>
      <c r="I1525" s="26" t="s">
        <v>133</v>
      </c>
      <c r="J1525" s="14">
        <v>112800.93</v>
      </c>
      <c r="K1525" s="28">
        <f t="shared" si="47"/>
        <v>-8.2489619230528034E-3</v>
      </c>
    </row>
    <row r="1526" spans="1:11" x14ac:dyDescent="0.3">
      <c r="A1526" s="23">
        <v>45712</v>
      </c>
      <c r="B1526" s="24">
        <v>1449.37</v>
      </c>
      <c r="C1526" s="28">
        <f t="shared" si="46"/>
        <v>1.8874954306442024E-2</v>
      </c>
      <c r="I1526" s="26" t="s">
        <v>132</v>
      </c>
      <c r="J1526" s="14">
        <v>114330.1</v>
      </c>
      <c r="K1526" s="28">
        <f t="shared" si="47"/>
        <v>1.3556359863345213E-2</v>
      </c>
    </row>
    <row r="1527" spans="1:11" x14ac:dyDescent="0.3">
      <c r="A1527" s="23">
        <v>45713</v>
      </c>
      <c r="B1527" s="24">
        <v>1456.28</v>
      </c>
      <c r="C1527" s="28">
        <f t="shared" si="46"/>
        <v>4.7675886764594836E-3</v>
      </c>
      <c r="I1527" s="26" t="s">
        <v>131</v>
      </c>
      <c r="J1527" s="14">
        <v>114528.09</v>
      </c>
      <c r="K1527" s="28">
        <f t="shared" si="47"/>
        <v>1.7317399355024677E-3</v>
      </c>
    </row>
    <row r="1528" spans="1:11" x14ac:dyDescent="0.3">
      <c r="A1528" s="23">
        <v>45714</v>
      </c>
      <c r="B1528" s="24">
        <v>1459.93</v>
      </c>
      <c r="C1528" s="28">
        <f t="shared" si="46"/>
        <v>2.5063861345346302E-3</v>
      </c>
      <c r="I1528" s="26" t="s">
        <v>130</v>
      </c>
      <c r="J1528" s="14">
        <v>113862.33</v>
      </c>
      <c r="K1528" s="28">
        <f t="shared" si="47"/>
        <v>-5.8130717101804001E-3</v>
      </c>
    </row>
    <row r="1529" spans="1:11" x14ac:dyDescent="0.3">
      <c r="A1529" s="23">
        <v>45715</v>
      </c>
      <c r="B1529" s="24">
        <v>1436.93</v>
      </c>
      <c r="C1529" s="28">
        <f t="shared" si="46"/>
        <v>-1.5754179994931262E-2</v>
      </c>
      <c r="I1529" s="26" t="s">
        <v>129</v>
      </c>
      <c r="J1529" s="14">
        <v>113784.31</v>
      </c>
      <c r="K1529" s="28">
        <f t="shared" si="47"/>
        <v>-6.8521345031323413E-4</v>
      </c>
    </row>
    <row r="1530" spans="1:11" x14ac:dyDescent="0.3">
      <c r="A1530" s="23">
        <v>45716</v>
      </c>
      <c r="B1530" s="24">
        <v>1424.16</v>
      </c>
      <c r="C1530" s="28">
        <f t="shared" si="46"/>
        <v>-8.8870021504178914E-3</v>
      </c>
      <c r="I1530" s="26" t="s">
        <v>128</v>
      </c>
      <c r="J1530" s="14">
        <v>113251.67</v>
      </c>
      <c r="K1530" s="28">
        <f t="shared" si="47"/>
        <v>-4.6811374960220743E-3</v>
      </c>
    </row>
    <row r="1531" spans="1:11" x14ac:dyDescent="0.3">
      <c r="A1531" s="23">
        <v>45719</v>
      </c>
      <c r="B1531" s="24">
        <v>1412.72</v>
      </c>
      <c r="C1531" s="28">
        <f t="shared" si="46"/>
        <v>-8.032805302775007E-3</v>
      </c>
      <c r="I1531" s="27">
        <v>45719</v>
      </c>
      <c r="J1531" s="14">
        <v>111986.89</v>
      </c>
      <c r="K1531" s="28">
        <f t="shared" si="47"/>
        <v>-1.1167870637139381E-2</v>
      </c>
    </row>
    <row r="1532" spans="1:11" x14ac:dyDescent="0.3">
      <c r="A1532" s="23">
        <v>45720</v>
      </c>
      <c r="B1532" s="24">
        <v>1428.76</v>
      </c>
      <c r="C1532" s="28">
        <f t="shared" si="46"/>
        <v>1.1353983804292403E-2</v>
      </c>
      <c r="I1532" s="27">
        <v>45750</v>
      </c>
      <c r="J1532" s="14">
        <v>112743.8</v>
      </c>
      <c r="K1532" s="28">
        <f t="shared" si="47"/>
        <v>6.7589161552749927E-3</v>
      </c>
    </row>
    <row r="1533" spans="1:11" x14ac:dyDescent="0.3">
      <c r="A1533" s="23">
        <v>45721</v>
      </c>
      <c r="B1533" s="24">
        <v>1434.31</v>
      </c>
      <c r="C1533" s="28">
        <f t="shared" si="46"/>
        <v>3.8844872476832739E-3</v>
      </c>
      <c r="I1533" s="27">
        <v>45780</v>
      </c>
      <c r="J1533" s="14">
        <v>112253.75999999999</v>
      </c>
      <c r="K1533" s="28">
        <f t="shared" si="47"/>
        <v>-4.3464917804793531E-3</v>
      </c>
    </row>
    <row r="1534" spans="1:11" x14ac:dyDescent="0.3">
      <c r="A1534" s="23">
        <v>45722</v>
      </c>
      <c r="B1534" s="24">
        <v>1434.93</v>
      </c>
      <c r="C1534" s="28">
        <f t="shared" si="46"/>
        <v>4.322635971304099E-4</v>
      </c>
      <c r="I1534" s="27">
        <v>45811</v>
      </c>
      <c r="J1534" s="14">
        <v>113713.18</v>
      </c>
      <c r="K1534" s="28">
        <f t="shared" si="47"/>
        <v>1.3001078983902173E-2</v>
      </c>
    </row>
    <row r="1535" spans="1:11" x14ac:dyDescent="0.3">
      <c r="A1535" s="23">
        <v>45723</v>
      </c>
      <c r="B1535" s="24">
        <v>1448.95</v>
      </c>
      <c r="C1535" s="28">
        <f t="shared" si="46"/>
        <v>9.7705114535203679E-3</v>
      </c>
      <c r="I1535" s="27">
        <v>45841</v>
      </c>
      <c r="J1535" s="14">
        <v>114398.7</v>
      </c>
      <c r="K1535" s="28">
        <f t="shared" si="47"/>
        <v>6.0285008298950407E-3</v>
      </c>
    </row>
    <row r="1536" spans="1:11" x14ac:dyDescent="0.3">
      <c r="A1536" s="23">
        <v>45726</v>
      </c>
      <c r="B1536" s="24">
        <v>1448.49</v>
      </c>
      <c r="C1536" s="28">
        <f t="shared" si="46"/>
        <v>-3.1747127230065657E-4</v>
      </c>
      <c r="I1536" s="27">
        <v>45933</v>
      </c>
      <c r="J1536" s="14">
        <v>114356.34</v>
      </c>
      <c r="K1536" s="28">
        <f t="shared" si="47"/>
        <v>-3.7028392805163506E-4</v>
      </c>
    </row>
    <row r="1537" spans="1:11" x14ac:dyDescent="0.3">
      <c r="A1537" s="23">
        <v>45727</v>
      </c>
      <c r="B1537" s="24">
        <v>1438.29</v>
      </c>
      <c r="C1537" s="28">
        <f t="shared" si="46"/>
        <v>-7.0418159600687926E-3</v>
      </c>
      <c r="I1537" s="27">
        <v>45964</v>
      </c>
      <c r="J1537" s="14">
        <v>114177.66</v>
      </c>
      <c r="K1537" s="28">
        <f t="shared" si="47"/>
        <v>-1.5624844236882102E-3</v>
      </c>
    </row>
    <row r="1538" spans="1:11" x14ac:dyDescent="0.3">
      <c r="A1538" s="23">
        <v>45728</v>
      </c>
      <c r="B1538" s="24">
        <v>1430.9</v>
      </c>
      <c r="C1538" s="28">
        <f t="shared" si="46"/>
        <v>-5.1380458739196354E-3</v>
      </c>
      <c r="I1538" s="27">
        <v>45994</v>
      </c>
      <c r="J1538" s="14">
        <v>114084.54</v>
      </c>
      <c r="K1538" s="28">
        <f t="shared" si="47"/>
        <v>-8.1557110208783305E-4</v>
      </c>
    </row>
    <row r="1539" spans="1:11" x14ac:dyDescent="0.3">
      <c r="A1539" s="23">
        <v>45729</v>
      </c>
      <c r="B1539" s="24">
        <v>1471.33</v>
      </c>
      <c r="C1539" s="28">
        <f t="shared" si="46"/>
        <v>2.8254944440561768E-2</v>
      </c>
      <c r="I1539" s="26" t="s">
        <v>127</v>
      </c>
      <c r="J1539" s="14">
        <v>115094.24</v>
      </c>
      <c r="K1539" s="28">
        <f t="shared" si="47"/>
        <v>8.8504542333256702E-3</v>
      </c>
    </row>
    <row r="1540" spans="1:11" x14ac:dyDescent="0.3">
      <c r="A1540" s="23">
        <v>45730</v>
      </c>
      <c r="B1540" s="24">
        <v>1464.11</v>
      </c>
      <c r="C1540" s="28">
        <f t="shared" si="46"/>
        <v>-4.9071248462275816E-3</v>
      </c>
      <c r="I1540" s="26" t="s">
        <v>126</v>
      </c>
      <c r="J1540" s="14">
        <v>115536.17</v>
      </c>
      <c r="K1540" s="28">
        <f t="shared" si="47"/>
        <v>3.8397229956945978E-3</v>
      </c>
    </row>
    <row r="1541" spans="1:11" x14ac:dyDescent="0.3">
      <c r="A1541" s="23">
        <v>45733</v>
      </c>
      <c r="B1541" s="24">
        <v>1492.99</v>
      </c>
      <c r="C1541" s="28">
        <f t="shared" si="46"/>
        <v>1.9725293864532114E-2</v>
      </c>
      <c r="I1541" s="26" t="s">
        <v>125</v>
      </c>
      <c r="J1541" s="14">
        <v>116199.59</v>
      </c>
      <c r="K1541" s="28">
        <f t="shared" si="47"/>
        <v>5.7420979075210668E-3</v>
      </c>
    </row>
    <row r="1542" spans="1:11" x14ac:dyDescent="0.3">
      <c r="A1542" s="23">
        <v>45734</v>
      </c>
      <c r="B1542" s="24">
        <v>1516.8</v>
      </c>
      <c r="C1542" s="28">
        <f t="shared" ref="C1542:C1605" si="48">(B1542-B1541)/B1541</f>
        <v>1.5947863013148076E-2</v>
      </c>
      <c r="I1542" s="26" t="s">
        <v>124</v>
      </c>
      <c r="J1542" s="14">
        <v>117001.09</v>
      </c>
      <c r="K1542" s="28">
        <f t="shared" ref="K1542:K1605" si="49">(J1542-J1541)/J1541</f>
        <v>6.8976146989847388E-3</v>
      </c>
    </row>
    <row r="1543" spans="1:11" x14ac:dyDescent="0.3">
      <c r="A1543" s="23">
        <v>45735</v>
      </c>
      <c r="B1543" s="24">
        <v>1534.62</v>
      </c>
      <c r="C1543" s="28">
        <f t="shared" si="48"/>
        <v>1.1748417721518946E-2</v>
      </c>
      <c r="I1543" s="26" t="s">
        <v>123</v>
      </c>
      <c r="J1543" s="14">
        <v>117974.03</v>
      </c>
      <c r="K1543" s="28">
        <f t="shared" si="49"/>
        <v>8.3156490251501281E-3</v>
      </c>
    </row>
    <row r="1544" spans="1:11" x14ac:dyDescent="0.3">
      <c r="A1544" s="23">
        <v>45736</v>
      </c>
      <c r="B1544" s="24">
        <v>1549.49</v>
      </c>
      <c r="C1544" s="28">
        <f t="shared" si="48"/>
        <v>9.6896951688366633E-3</v>
      </c>
      <c r="I1544" s="26" t="s">
        <v>122</v>
      </c>
      <c r="J1544" s="14">
        <v>118769.77</v>
      </c>
      <c r="K1544" s="28">
        <f t="shared" si="49"/>
        <v>6.7450438032845474E-3</v>
      </c>
    </row>
    <row r="1545" spans="1:11" x14ac:dyDescent="0.3">
      <c r="A1545" s="23">
        <v>45737</v>
      </c>
      <c r="B1545" s="24">
        <v>1527.79</v>
      </c>
      <c r="C1545" s="28">
        <f t="shared" si="48"/>
        <v>-1.4004607967782978E-2</v>
      </c>
      <c r="I1545" s="26" t="s">
        <v>121</v>
      </c>
      <c r="J1545" s="14">
        <v>118442.18</v>
      </c>
      <c r="K1545" s="28">
        <f t="shared" si="49"/>
        <v>-2.7581934359223819E-3</v>
      </c>
    </row>
    <row r="1546" spans="1:11" x14ac:dyDescent="0.3">
      <c r="A1546" s="23">
        <v>45740</v>
      </c>
      <c r="B1546" s="24">
        <v>1496.45</v>
      </c>
      <c r="C1546" s="28">
        <f t="shared" si="48"/>
        <v>-2.0513290439130978E-2</v>
      </c>
      <c r="I1546" s="26" t="s">
        <v>120</v>
      </c>
      <c r="J1546" s="14">
        <v>116439.62</v>
      </c>
      <c r="K1546" s="28">
        <f t="shared" si="49"/>
        <v>-1.6907490220122577E-2</v>
      </c>
    </row>
    <row r="1547" spans="1:11" x14ac:dyDescent="0.3">
      <c r="A1547" s="23">
        <v>45741</v>
      </c>
      <c r="B1547" s="24">
        <v>1497.87</v>
      </c>
      <c r="C1547" s="28">
        <f t="shared" si="48"/>
        <v>9.4891242607494095E-4</v>
      </c>
      <c r="I1547" s="26" t="s">
        <v>119</v>
      </c>
      <c r="J1547" s="14">
        <v>116633.17</v>
      </c>
      <c r="K1547" s="28">
        <f t="shared" si="49"/>
        <v>1.6622348990833439E-3</v>
      </c>
    </row>
    <row r="1548" spans="1:11" x14ac:dyDescent="0.3">
      <c r="A1548" s="23">
        <v>45742</v>
      </c>
      <c r="B1548" s="24">
        <v>1491.28</v>
      </c>
      <c r="C1548" s="28">
        <f t="shared" si="48"/>
        <v>-4.3995807379812128E-3</v>
      </c>
      <c r="I1548" s="26" t="s">
        <v>118</v>
      </c>
      <c r="J1548" s="14">
        <v>117772.31</v>
      </c>
      <c r="K1548" s="28">
        <f t="shared" si="49"/>
        <v>9.7668613482768188E-3</v>
      </c>
    </row>
    <row r="1549" spans="1:11" x14ac:dyDescent="0.3">
      <c r="A1549" s="23">
        <v>45743</v>
      </c>
      <c r="B1549" s="24">
        <v>1496.6</v>
      </c>
      <c r="C1549" s="28">
        <f t="shared" si="48"/>
        <v>3.5674051821253799E-3</v>
      </c>
      <c r="I1549" s="26" t="s">
        <v>117</v>
      </c>
      <c r="J1549" s="14">
        <v>117806.75</v>
      </c>
      <c r="K1549" s="28">
        <f t="shared" si="49"/>
        <v>2.9242867020271853E-4</v>
      </c>
    </row>
    <row r="1550" spans="1:11" x14ac:dyDescent="0.3">
      <c r="A1550" s="23">
        <v>45750</v>
      </c>
      <c r="B1550" s="24">
        <v>1516.26</v>
      </c>
      <c r="C1550" s="28">
        <f t="shared" si="48"/>
        <v>1.3136442603234053E-2</v>
      </c>
      <c r="I1550" s="27">
        <v>45720</v>
      </c>
      <c r="J1550" s="14">
        <v>118938.11</v>
      </c>
      <c r="K1550" s="28">
        <f t="shared" si="49"/>
        <v>9.6035244160457747E-3</v>
      </c>
    </row>
    <row r="1551" spans="1:11" x14ac:dyDescent="0.3">
      <c r="A1551" s="23">
        <v>45751</v>
      </c>
      <c r="B1551" s="24">
        <v>1501.41</v>
      </c>
      <c r="C1551" s="28">
        <f t="shared" si="48"/>
        <v>-9.7938348304379922E-3</v>
      </c>
      <c r="I1551" s="27">
        <v>45751</v>
      </c>
      <c r="J1551" s="14">
        <v>118791.66</v>
      </c>
      <c r="K1551" s="28">
        <f t="shared" si="49"/>
        <v>-1.2313126549597694E-3</v>
      </c>
    </row>
    <row r="1552" spans="1:11" x14ac:dyDescent="0.3">
      <c r="A1552" s="23">
        <v>45754</v>
      </c>
      <c r="B1552" s="24">
        <v>1476.06</v>
      </c>
      <c r="C1552" s="28">
        <f t="shared" si="48"/>
        <v>-1.6884128918816403E-2</v>
      </c>
      <c r="I1552" s="27">
        <v>45842</v>
      </c>
      <c r="J1552" s="14">
        <v>114909.49</v>
      </c>
      <c r="K1552" s="28">
        <f t="shared" si="49"/>
        <v>-3.2680492889820702E-2</v>
      </c>
    </row>
    <row r="1553" spans="1:11" x14ac:dyDescent="0.3">
      <c r="A1553" s="23">
        <v>45755</v>
      </c>
      <c r="B1553" s="24">
        <v>1574.15</v>
      </c>
      <c r="C1553" s="28">
        <f t="shared" si="48"/>
        <v>6.6453938186794681E-2</v>
      </c>
      <c r="I1553" s="27">
        <v>45873</v>
      </c>
      <c r="J1553" s="14">
        <v>115532.43</v>
      </c>
      <c r="K1553" s="28">
        <f t="shared" si="49"/>
        <v>5.4211362351359125E-3</v>
      </c>
    </row>
    <row r="1554" spans="1:11" x14ac:dyDescent="0.3">
      <c r="A1554" s="23">
        <v>45756</v>
      </c>
      <c r="B1554" s="24">
        <v>1560.98</v>
      </c>
      <c r="C1554" s="28">
        <f t="shared" si="48"/>
        <v>-8.3664199726837165E-3</v>
      </c>
      <c r="I1554" s="27">
        <v>45904</v>
      </c>
      <c r="J1554" s="14">
        <v>114153.16</v>
      </c>
      <c r="K1554" s="28">
        <f t="shared" si="49"/>
        <v>-1.1938379552823303E-2</v>
      </c>
    </row>
    <row r="1555" spans="1:11" x14ac:dyDescent="0.3">
      <c r="A1555" s="23">
        <v>45757</v>
      </c>
      <c r="B1555" s="24">
        <v>1601.83</v>
      </c>
      <c r="C1555" s="28">
        <f t="shared" si="48"/>
        <v>2.6169457648400306E-2</v>
      </c>
      <c r="I1555" s="27">
        <v>45934</v>
      </c>
      <c r="J1555" s="14">
        <v>116189.21</v>
      </c>
      <c r="K1555" s="28">
        <f t="shared" si="49"/>
        <v>1.7836124729267266E-2</v>
      </c>
    </row>
    <row r="1556" spans="1:11" x14ac:dyDescent="0.3">
      <c r="A1556" s="23">
        <v>45758</v>
      </c>
      <c r="B1556" s="24">
        <v>1602.95</v>
      </c>
      <c r="C1556" s="28">
        <f t="shared" si="48"/>
        <v>6.9920028966876529E-4</v>
      </c>
      <c r="I1556" s="27">
        <v>45965</v>
      </c>
      <c r="J1556" s="14">
        <v>114853.33</v>
      </c>
      <c r="K1556" s="28">
        <f t="shared" si="49"/>
        <v>-1.1497453162819547E-2</v>
      </c>
    </row>
    <row r="1557" spans="1:11" x14ac:dyDescent="0.3">
      <c r="A1557" s="23">
        <v>45761</v>
      </c>
      <c r="B1557">
        <v>337.92</v>
      </c>
      <c r="C1557" s="28">
        <f t="shared" si="48"/>
        <v>-0.78918868336504566</v>
      </c>
      <c r="I1557" s="26" t="s">
        <v>116</v>
      </c>
      <c r="J1557" s="14">
        <v>116390.04</v>
      </c>
      <c r="K1557" s="28">
        <f t="shared" si="49"/>
        <v>1.3379760081836476E-2</v>
      </c>
    </row>
    <row r="1558" spans="1:11" x14ac:dyDescent="0.3">
      <c r="A1558" s="23">
        <v>45762</v>
      </c>
      <c r="B1558">
        <v>343.25</v>
      </c>
      <c r="C1558" s="28">
        <f t="shared" si="48"/>
        <v>1.5772964015151467E-2</v>
      </c>
      <c r="I1558" s="26" t="s">
        <v>115</v>
      </c>
      <c r="J1558" s="14">
        <v>116775.5</v>
      </c>
      <c r="K1558" s="28">
        <f t="shared" si="49"/>
        <v>3.3117954079232761E-3</v>
      </c>
    </row>
    <row r="1559" spans="1:11" x14ac:dyDescent="0.3">
      <c r="A1559" s="23">
        <v>45763</v>
      </c>
      <c r="B1559">
        <v>345.11</v>
      </c>
      <c r="C1559" s="28">
        <f t="shared" si="48"/>
        <v>5.4187909686817587E-3</v>
      </c>
      <c r="I1559" s="26" t="s">
        <v>114</v>
      </c>
      <c r="J1559" s="14">
        <v>116020.11</v>
      </c>
      <c r="K1559" s="28">
        <f t="shared" si="49"/>
        <v>-6.4687370210360856E-3</v>
      </c>
    </row>
    <row r="1560" spans="1:11" x14ac:dyDescent="0.3">
      <c r="A1560" s="23">
        <v>45764</v>
      </c>
      <c r="B1560">
        <v>347.66</v>
      </c>
      <c r="C1560" s="28">
        <f t="shared" si="48"/>
        <v>7.3889484512184847E-3</v>
      </c>
      <c r="I1560" s="26" t="s">
        <v>113</v>
      </c>
      <c r="J1560" s="14">
        <v>116901.13</v>
      </c>
      <c r="K1560" s="28">
        <f t="shared" si="49"/>
        <v>7.5936835433098974E-3</v>
      </c>
    </row>
    <row r="1561" spans="1:11" x14ac:dyDescent="0.3">
      <c r="A1561" s="23">
        <v>45765</v>
      </c>
      <c r="B1561">
        <v>350.29</v>
      </c>
      <c r="C1561" s="28">
        <f t="shared" si="48"/>
        <v>7.5648622217108531E-3</v>
      </c>
      <c r="I1561" s="26" t="s">
        <v>112</v>
      </c>
      <c r="J1561" s="14">
        <v>117315.59</v>
      </c>
      <c r="K1561" s="28">
        <f t="shared" si="49"/>
        <v>3.5453891677522009E-3</v>
      </c>
    </row>
    <row r="1562" spans="1:11" x14ac:dyDescent="0.3">
      <c r="A1562" s="23">
        <v>45775</v>
      </c>
      <c r="B1562">
        <v>358.88</v>
      </c>
      <c r="C1562" s="28">
        <f t="shared" si="48"/>
        <v>2.4522538468126336E-2</v>
      </c>
      <c r="I1562" s="26" t="s">
        <v>106</v>
      </c>
      <c r="J1562" s="14">
        <v>114063.9</v>
      </c>
      <c r="K1562" s="28">
        <f t="shared" si="49"/>
        <v>-2.7717458523628467E-2</v>
      </c>
    </row>
    <row r="1563" spans="1:11" x14ac:dyDescent="0.3">
      <c r="A1563" s="23">
        <v>45776</v>
      </c>
      <c r="B1563">
        <v>349.16</v>
      </c>
      <c r="C1563" s="28">
        <f t="shared" si="48"/>
        <v>-2.7084262148907631E-2</v>
      </c>
      <c r="I1563" s="26" t="s">
        <v>105</v>
      </c>
      <c r="J1563" s="14">
        <v>114872.18</v>
      </c>
      <c r="K1563" s="28">
        <f t="shared" si="49"/>
        <v>7.0862034350920745E-3</v>
      </c>
    </row>
    <row r="1564" spans="1:11" x14ac:dyDescent="0.3">
      <c r="A1564" s="23">
        <v>45777</v>
      </c>
      <c r="B1564">
        <v>327.29000000000002</v>
      </c>
      <c r="C1564" s="28">
        <f t="shared" si="48"/>
        <v>-6.2636040783594915E-2</v>
      </c>
      <c r="I1564" s="26" t="s">
        <v>104</v>
      </c>
      <c r="J1564" s="14">
        <v>111326.58</v>
      </c>
      <c r="K1564" s="28">
        <f t="shared" si="49"/>
        <v>-3.0865610803242276E-2</v>
      </c>
    </row>
    <row r="1565" spans="1:11" x14ac:dyDescent="0.3">
      <c r="A1565" s="23">
        <v>45779</v>
      </c>
      <c r="B1565">
        <v>336.8</v>
      </c>
      <c r="C1565" s="28">
        <f t="shared" si="48"/>
        <v>2.9056799780011581E-2</v>
      </c>
      <c r="I1565" s="27">
        <v>45693</v>
      </c>
      <c r="J1565" s="14">
        <v>114113.94</v>
      </c>
      <c r="K1565" s="28">
        <f t="shared" si="49"/>
        <v>2.5037686417744984E-2</v>
      </c>
    </row>
    <row r="1566" spans="1:11" x14ac:dyDescent="0.3">
      <c r="A1566" s="23">
        <v>45782</v>
      </c>
      <c r="B1566">
        <v>335.01</v>
      </c>
      <c r="C1566" s="28">
        <f t="shared" si="48"/>
        <v>-5.3147268408551673E-3</v>
      </c>
      <c r="I1566" s="27">
        <v>45782</v>
      </c>
      <c r="J1566" s="14">
        <v>114102.24</v>
      </c>
      <c r="K1566" s="28">
        <f t="shared" si="49"/>
        <v>-1.0252910380622287E-4</v>
      </c>
    </row>
    <row r="1567" spans="1:11" x14ac:dyDescent="0.3">
      <c r="A1567" s="23">
        <v>45783</v>
      </c>
      <c r="B1567">
        <v>323.31</v>
      </c>
      <c r="C1567" s="28">
        <f t="shared" si="48"/>
        <v>-3.4924330616996471E-2</v>
      </c>
      <c r="I1567" s="27">
        <v>45813</v>
      </c>
      <c r="J1567" s="14">
        <v>113568.51</v>
      </c>
      <c r="K1567" s="28">
        <f t="shared" si="49"/>
        <v>-4.6776469944850374E-3</v>
      </c>
    </row>
    <row r="1568" spans="1:11" x14ac:dyDescent="0.3">
      <c r="A1568" s="23">
        <v>45784</v>
      </c>
      <c r="B1568">
        <v>304.92</v>
      </c>
      <c r="C1568" s="28">
        <f t="shared" si="48"/>
        <v>-5.6880393430453702E-2</v>
      </c>
      <c r="I1568" s="27">
        <v>45843</v>
      </c>
      <c r="J1568" s="14">
        <v>110009.03</v>
      </c>
      <c r="K1568" s="28">
        <f t="shared" si="49"/>
        <v>-3.1342138767163505E-2</v>
      </c>
    </row>
    <row r="1569" spans="1:11" x14ac:dyDescent="0.3">
      <c r="A1569" s="23">
        <v>45785</v>
      </c>
      <c r="B1569">
        <v>287.68</v>
      </c>
      <c r="C1569" s="28">
        <f t="shared" si="48"/>
        <v>-5.6539420175783839E-2</v>
      </c>
      <c r="I1569" s="27">
        <v>45874</v>
      </c>
      <c r="J1569" s="14">
        <v>103526.82</v>
      </c>
      <c r="K1569" s="28">
        <f t="shared" si="49"/>
        <v>-5.8924344665160597E-2</v>
      </c>
    </row>
    <row r="1570" spans="1:11" x14ac:dyDescent="0.3">
      <c r="A1570" s="23">
        <v>45786</v>
      </c>
      <c r="B1570">
        <v>307.07</v>
      </c>
      <c r="C1570" s="28">
        <f t="shared" si="48"/>
        <v>6.740127919911007E-2</v>
      </c>
      <c r="I1570" s="27">
        <v>45905</v>
      </c>
      <c r="J1570" s="14">
        <v>107174.64</v>
      </c>
      <c r="K1570" s="28">
        <f t="shared" si="49"/>
        <v>3.5235507088887619E-2</v>
      </c>
    </row>
    <row r="1571" spans="1:11" x14ac:dyDescent="0.3">
      <c r="A1571" s="23">
        <v>45789</v>
      </c>
      <c r="B1571">
        <v>337.78</v>
      </c>
      <c r="C1571" s="28">
        <f t="shared" si="48"/>
        <v>0.1000097697593382</v>
      </c>
      <c r="I1571" s="27">
        <v>45996</v>
      </c>
      <c r="J1571" s="14">
        <v>117297.73</v>
      </c>
      <c r="K1571" s="28">
        <f t="shared" si="49"/>
        <v>9.4454154452956379E-2</v>
      </c>
    </row>
    <row r="1572" spans="1:11" x14ac:dyDescent="0.3">
      <c r="A1572" s="23">
        <v>45790</v>
      </c>
      <c r="B1572">
        <v>351.19</v>
      </c>
      <c r="C1572" s="28">
        <f t="shared" si="48"/>
        <v>3.9700396707916474E-2</v>
      </c>
      <c r="I1572" s="26" t="s">
        <v>103</v>
      </c>
      <c r="J1572" s="14">
        <v>118575.89</v>
      </c>
      <c r="K1572" s="28">
        <f t="shared" si="49"/>
        <v>1.0896715563037781E-2</v>
      </c>
    </row>
    <row r="1573" spans="1:11" x14ac:dyDescent="0.3">
      <c r="A1573" s="23">
        <v>45791</v>
      </c>
      <c r="B1573">
        <v>351.1</v>
      </c>
      <c r="C1573" s="28">
        <f t="shared" si="48"/>
        <v>-2.562715339274324E-4</v>
      </c>
      <c r="I1573" s="26" t="s">
        <v>102</v>
      </c>
      <c r="J1573" s="14">
        <v>118536.53</v>
      </c>
      <c r="K1573" s="28">
        <f t="shared" si="49"/>
        <v>-3.3193931751219059E-4</v>
      </c>
    </row>
    <row r="1574" spans="1:11" x14ac:dyDescent="0.3">
      <c r="A1574" s="23">
        <v>45792</v>
      </c>
      <c r="B1574">
        <v>347.49</v>
      </c>
      <c r="C1574" s="28">
        <f t="shared" si="48"/>
        <v>-1.0281970948447773E-2</v>
      </c>
      <c r="I1574" s="26" t="s">
        <v>101</v>
      </c>
      <c r="J1574" s="14">
        <v>119961.91</v>
      </c>
      <c r="K1574" s="28">
        <f t="shared" si="49"/>
        <v>1.2024816316117948E-2</v>
      </c>
    </row>
    <row r="1575" spans="1:11" x14ac:dyDescent="0.3">
      <c r="A1575" s="23">
        <v>45793</v>
      </c>
      <c r="B1575">
        <v>342.37</v>
      </c>
      <c r="C1575" s="28">
        <f t="shared" si="48"/>
        <v>-1.4734236956459191E-2</v>
      </c>
      <c r="I1575" s="26" t="s">
        <v>100</v>
      </c>
      <c r="J1575" s="14">
        <v>119649.14</v>
      </c>
      <c r="K1575" s="28">
        <f t="shared" si="49"/>
        <v>-2.6072442494455453E-3</v>
      </c>
    </row>
    <row r="1576" spans="1:11" x14ac:dyDescent="0.3">
      <c r="A1576" s="23">
        <v>45796</v>
      </c>
      <c r="B1576">
        <v>338.15</v>
      </c>
      <c r="C1576" s="28">
        <f t="shared" si="48"/>
        <v>-1.2325846306627412E-2</v>
      </c>
      <c r="I1576" s="26" t="s">
        <v>99</v>
      </c>
      <c r="J1576" s="14">
        <v>119689.63</v>
      </c>
      <c r="K1576" s="28">
        <f t="shared" si="49"/>
        <v>3.3840610973054412E-4</v>
      </c>
    </row>
    <row r="1577" spans="1:11" x14ac:dyDescent="0.3">
      <c r="A1577" s="23">
        <v>45797</v>
      </c>
      <c r="B1577">
        <v>337.17</v>
      </c>
      <c r="C1577" s="28">
        <f t="shared" si="48"/>
        <v>-2.8981221351470098E-3</v>
      </c>
      <c r="I1577" s="26" t="s">
        <v>98</v>
      </c>
      <c r="J1577" s="14">
        <v>118971.13</v>
      </c>
      <c r="K1577" s="28">
        <f t="shared" si="49"/>
        <v>-6.0030263273434794E-3</v>
      </c>
    </row>
    <row r="1578" spans="1:11" x14ac:dyDescent="0.3">
      <c r="A1578" s="23">
        <v>45798</v>
      </c>
      <c r="B1578">
        <v>335.39</v>
      </c>
      <c r="C1578" s="28">
        <f t="shared" si="48"/>
        <v>-5.279235993712458E-3</v>
      </c>
      <c r="I1578" s="26" t="s">
        <v>97</v>
      </c>
      <c r="J1578" s="14">
        <v>119931.46</v>
      </c>
      <c r="K1578" s="28">
        <f t="shared" si="49"/>
        <v>8.0719582977820063E-3</v>
      </c>
    </row>
    <row r="1579" spans="1:11" x14ac:dyDescent="0.3">
      <c r="A1579" s="23">
        <v>45799</v>
      </c>
      <c r="B1579">
        <v>324.99</v>
      </c>
      <c r="C1579" s="28">
        <f t="shared" si="48"/>
        <v>-3.1008676466203457E-2</v>
      </c>
      <c r="I1579" s="26" t="s">
        <v>96</v>
      </c>
      <c r="J1579" s="14">
        <v>119153.04</v>
      </c>
      <c r="K1579" s="28">
        <f t="shared" si="49"/>
        <v>-6.4905405137235285E-3</v>
      </c>
    </row>
    <row r="1580" spans="1:11" x14ac:dyDescent="0.3">
      <c r="A1580" s="23">
        <v>45800</v>
      </c>
      <c r="B1580">
        <v>324.82</v>
      </c>
      <c r="C1580" s="28">
        <f t="shared" si="48"/>
        <v>-5.2309301824676421E-4</v>
      </c>
      <c r="I1580" s="26" t="s">
        <v>95</v>
      </c>
      <c r="J1580" s="14">
        <v>119102.67</v>
      </c>
      <c r="K1580" s="28">
        <f t="shared" si="49"/>
        <v>-4.2273365413081652E-4</v>
      </c>
    </row>
    <row r="1581" spans="1:11" x14ac:dyDescent="0.3">
      <c r="A1581" s="23">
        <v>45803</v>
      </c>
      <c r="B1581">
        <v>322.88</v>
      </c>
      <c r="C1581" s="28">
        <f t="shared" si="48"/>
        <v>-5.9725386367834423E-3</v>
      </c>
      <c r="I1581" s="26" t="s">
        <v>94</v>
      </c>
      <c r="J1581" s="14">
        <v>118221.12</v>
      </c>
      <c r="K1581" s="28">
        <f t="shared" si="49"/>
        <v>-7.4015972941664778E-3</v>
      </c>
    </row>
    <row r="1582" spans="1:11" x14ac:dyDescent="0.3">
      <c r="A1582" s="23">
        <v>45804</v>
      </c>
      <c r="B1582">
        <v>324.23</v>
      </c>
      <c r="C1582" s="28">
        <f t="shared" si="48"/>
        <v>4.1811199207136482E-3</v>
      </c>
      <c r="I1582" s="26" t="s">
        <v>93</v>
      </c>
      <c r="J1582" s="14">
        <v>118332.91</v>
      </c>
      <c r="K1582" s="28">
        <f t="shared" si="49"/>
        <v>9.4560092139211798E-4</v>
      </c>
    </row>
    <row r="1583" spans="1:11" x14ac:dyDescent="0.3">
      <c r="A1583" s="23">
        <v>45806</v>
      </c>
      <c r="B1583">
        <v>333.38</v>
      </c>
      <c r="C1583" s="28">
        <f t="shared" si="48"/>
        <v>2.8220707522437705E-2</v>
      </c>
      <c r="I1583" s="26" t="s">
        <v>92</v>
      </c>
      <c r="J1583" s="14">
        <v>118971.41</v>
      </c>
      <c r="K1583" s="28">
        <f t="shared" si="49"/>
        <v>5.395793951150191E-3</v>
      </c>
    </row>
    <row r="1584" spans="1:11" x14ac:dyDescent="0.3">
      <c r="A1584" s="23">
        <v>45807</v>
      </c>
      <c r="B1584">
        <v>335.62</v>
      </c>
      <c r="C1584" s="28">
        <f t="shared" si="48"/>
        <v>6.7190593316935904E-3</v>
      </c>
      <c r="I1584" s="26" t="s">
        <v>91</v>
      </c>
      <c r="J1584" s="14">
        <v>119691.09</v>
      </c>
      <c r="K1584" s="28">
        <f t="shared" si="49"/>
        <v>6.0491844217026008E-3</v>
      </c>
    </row>
    <row r="1585" spans="1:11" x14ac:dyDescent="0.3">
      <c r="A1585" s="23">
        <v>45810</v>
      </c>
      <c r="B1585">
        <v>331.77</v>
      </c>
      <c r="C1585" s="28">
        <f t="shared" si="48"/>
        <v>-1.1471306835111205E-2</v>
      </c>
      <c r="I1585" s="27">
        <v>45694</v>
      </c>
      <c r="J1585" s="14">
        <v>118877.81</v>
      </c>
      <c r="K1585" s="28">
        <f t="shared" si="49"/>
        <v>-6.7948249113613957E-3</v>
      </c>
    </row>
    <row r="1586" spans="1:11" x14ac:dyDescent="0.3">
      <c r="A1586" s="23">
        <v>45811</v>
      </c>
      <c r="B1586">
        <v>339.26</v>
      </c>
      <c r="C1586" s="28">
        <f t="shared" si="48"/>
        <v>2.2575880881333481E-2</v>
      </c>
      <c r="I1586" s="27">
        <v>45722</v>
      </c>
      <c r="J1586" s="14">
        <v>120450.87</v>
      </c>
      <c r="K1586" s="28">
        <f t="shared" si="49"/>
        <v>1.3232578897609214E-2</v>
      </c>
    </row>
    <row r="1587" spans="1:11" x14ac:dyDescent="0.3">
      <c r="A1587" s="23">
        <v>45812</v>
      </c>
      <c r="B1587">
        <v>345.61</v>
      </c>
      <c r="C1587" s="28">
        <f t="shared" si="48"/>
        <v>1.8717208041030546E-2</v>
      </c>
      <c r="I1587" s="27">
        <v>45753</v>
      </c>
      <c r="J1587" s="14">
        <v>121798.87</v>
      </c>
      <c r="K1587" s="28">
        <f t="shared" si="49"/>
        <v>1.1191284878224624E-2</v>
      </c>
    </row>
    <row r="1588" spans="1:11" x14ac:dyDescent="0.3">
      <c r="A1588" s="23">
        <v>45813</v>
      </c>
      <c r="B1588">
        <v>342.06</v>
      </c>
      <c r="C1588" s="28">
        <f t="shared" si="48"/>
        <v>-1.0271693527386393E-2</v>
      </c>
      <c r="I1588" s="27">
        <v>45783</v>
      </c>
      <c r="J1588" s="14">
        <v>121641</v>
      </c>
      <c r="K1588" s="28">
        <f t="shared" si="49"/>
        <v>-1.2961532401737008E-3</v>
      </c>
    </row>
    <row r="1589" spans="1:11" x14ac:dyDescent="0.3">
      <c r="A1589" s="23">
        <v>45818</v>
      </c>
      <c r="B1589">
        <v>335.48</v>
      </c>
      <c r="C1589" s="28">
        <f t="shared" si="48"/>
        <v>-1.9236391276384213E-2</v>
      </c>
      <c r="I1589" s="27">
        <v>45936</v>
      </c>
      <c r="J1589" s="14">
        <v>122024.44</v>
      </c>
      <c r="K1589" s="28">
        <f t="shared" si="49"/>
        <v>3.152226634111873E-3</v>
      </c>
    </row>
    <row r="1590" spans="1:11" x14ac:dyDescent="0.3">
      <c r="A1590" s="23">
        <v>45819</v>
      </c>
      <c r="B1590">
        <v>352.13</v>
      </c>
      <c r="C1590" s="28">
        <f t="shared" si="48"/>
        <v>4.9630380350542437E-2</v>
      </c>
      <c r="I1590" s="27">
        <v>45967</v>
      </c>
      <c r="J1590" s="14">
        <v>124352.68</v>
      </c>
      <c r="K1590" s="28">
        <f t="shared" si="49"/>
        <v>1.9080112148025352E-2</v>
      </c>
    </row>
    <row r="1591" spans="1:11" x14ac:dyDescent="0.3">
      <c r="A1591" s="23">
        <v>45820</v>
      </c>
      <c r="B1591">
        <v>356</v>
      </c>
      <c r="C1591" s="28">
        <f t="shared" si="48"/>
        <v>1.0990259279243474E-2</v>
      </c>
      <c r="I1591" s="27">
        <v>45997</v>
      </c>
      <c r="J1591" s="14">
        <v>124093.12</v>
      </c>
      <c r="K1591" s="28">
        <f t="shared" si="49"/>
        <v>-2.0872891521115404E-3</v>
      </c>
    </row>
    <row r="1592" spans="1:11" x14ac:dyDescent="0.3">
      <c r="A1592" s="23">
        <v>45821</v>
      </c>
      <c r="B1592">
        <v>345.72</v>
      </c>
      <c r="C1592" s="28">
        <f t="shared" si="48"/>
        <v>-2.8876404494381946E-2</v>
      </c>
      <c r="I1592" s="26" t="s">
        <v>90</v>
      </c>
      <c r="J1592" s="14">
        <v>122143.57</v>
      </c>
      <c r="K1592" s="28">
        <f t="shared" si="49"/>
        <v>-1.5710379431188356E-2</v>
      </c>
    </row>
    <row r="1593" spans="1:11" x14ac:dyDescent="0.3">
      <c r="A1593" s="23">
        <v>45824</v>
      </c>
      <c r="B1593">
        <v>340.85</v>
      </c>
      <c r="C1593" s="28">
        <f t="shared" si="48"/>
        <v>-1.408654402406573E-2</v>
      </c>
      <c r="I1593" s="26" t="s">
        <v>89</v>
      </c>
      <c r="J1593" s="14">
        <v>122225.36</v>
      </c>
      <c r="K1593" s="28">
        <f t="shared" si="49"/>
        <v>6.696218229088407E-4</v>
      </c>
    </row>
    <row r="1594" spans="1:11" x14ac:dyDescent="0.3">
      <c r="A1594" s="23">
        <v>45825</v>
      </c>
      <c r="B1594">
        <v>335.23</v>
      </c>
      <c r="C1594" s="28">
        <f t="shared" si="48"/>
        <v>-1.6488191286489672E-2</v>
      </c>
      <c r="I1594" s="26" t="s">
        <v>88</v>
      </c>
      <c r="J1594" s="14">
        <v>121971.04</v>
      </c>
      <c r="K1594" s="28">
        <f t="shared" si="49"/>
        <v>-2.080746581560545E-3</v>
      </c>
    </row>
    <row r="1595" spans="1:11" x14ac:dyDescent="0.3">
      <c r="A1595" s="23">
        <v>45826</v>
      </c>
      <c r="B1595">
        <v>331.53</v>
      </c>
      <c r="C1595" s="28">
        <f t="shared" si="48"/>
        <v>-1.1037198341437357E-2</v>
      </c>
      <c r="I1595" s="26" t="s">
        <v>87</v>
      </c>
      <c r="J1595" s="14">
        <v>120465.93</v>
      </c>
      <c r="K1595" s="28">
        <f t="shared" si="49"/>
        <v>-1.2339896421314441E-2</v>
      </c>
    </row>
    <row r="1596" spans="1:11" x14ac:dyDescent="0.3">
      <c r="A1596" s="23">
        <v>45827</v>
      </c>
      <c r="B1596">
        <v>328.45</v>
      </c>
      <c r="C1596" s="28">
        <f t="shared" si="48"/>
        <v>-9.2902603082676803E-3</v>
      </c>
      <c r="I1596" s="26" t="s">
        <v>86</v>
      </c>
      <c r="J1596" s="14">
        <v>120002.59</v>
      </c>
      <c r="K1596" s="28">
        <f t="shared" si="49"/>
        <v>-3.8462327066249896E-3</v>
      </c>
    </row>
    <row r="1597" spans="1:11" x14ac:dyDescent="0.3">
      <c r="A1597" s="23">
        <v>45828</v>
      </c>
      <c r="B1597">
        <v>329.93</v>
      </c>
      <c r="C1597" s="28">
        <f t="shared" si="48"/>
        <v>4.5060130917948492E-3</v>
      </c>
      <c r="I1597" s="26" t="s">
        <v>85</v>
      </c>
      <c r="J1597" s="14">
        <v>120023.24</v>
      </c>
      <c r="K1597" s="28">
        <f t="shared" si="49"/>
        <v>1.7207961928162327E-4</v>
      </c>
    </row>
    <row r="1598" spans="1:11" x14ac:dyDescent="0.3">
      <c r="A1598" s="23">
        <v>45831</v>
      </c>
      <c r="B1598">
        <v>316.66000000000003</v>
      </c>
      <c r="C1598" s="28">
        <f t="shared" si="48"/>
        <v>-4.0220652865759349E-2</v>
      </c>
      <c r="I1598" s="26" t="s">
        <v>84</v>
      </c>
      <c r="J1598" s="14">
        <v>116167.47</v>
      </c>
      <c r="K1598" s="28">
        <f t="shared" si="49"/>
        <v>-3.2125195087218145E-2</v>
      </c>
    </row>
    <row r="1599" spans="1:11" x14ac:dyDescent="0.3">
      <c r="A1599" s="23">
        <v>45832</v>
      </c>
      <c r="B1599">
        <v>346.42</v>
      </c>
      <c r="C1599" s="28">
        <f t="shared" si="48"/>
        <v>9.398092591422974E-2</v>
      </c>
      <c r="I1599" s="26" t="s">
        <v>83</v>
      </c>
      <c r="J1599" s="14">
        <v>122246.64</v>
      </c>
      <c r="K1599" s="28">
        <f t="shared" si="49"/>
        <v>5.2331087179569274E-2</v>
      </c>
    </row>
    <row r="1600" spans="1:11" x14ac:dyDescent="0.3">
      <c r="A1600" s="23">
        <v>45833</v>
      </c>
      <c r="B1600">
        <v>347.74</v>
      </c>
      <c r="C1600" s="28">
        <f t="shared" si="48"/>
        <v>3.8104035563766327E-3</v>
      </c>
      <c r="I1600" s="26" t="s">
        <v>82</v>
      </c>
      <c r="J1600" s="14">
        <v>122761.64</v>
      </c>
      <c r="K1600" s="28">
        <f t="shared" si="49"/>
        <v>4.2127947238468069E-3</v>
      </c>
    </row>
    <row r="1601" spans="1:11" x14ac:dyDescent="0.3">
      <c r="A1601" s="23">
        <v>45834</v>
      </c>
      <c r="B1601">
        <v>341.28</v>
      </c>
      <c r="C1601" s="28">
        <f t="shared" si="48"/>
        <v>-1.8577097831713452E-2</v>
      </c>
      <c r="I1601" s="26" t="s">
        <v>81</v>
      </c>
      <c r="J1601" s="14">
        <v>122046.46</v>
      </c>
      <c r="K1601" s="28">
        <f t="shared" si="49"/>
        <v>-5.825761206839474E-3</v>
      </c>
    </row>
    <row r="1602" spans="1:11" x14ac:dyDescent="0.3">
      <c r="A1602" s="23">
        <v>45835</v>
      </c>
      <c r="B1602">
        <v>355.89</v>
      </c>
      <c r="C1602" s="28">
        <f t="shared" si="48"/>
        <v>4.2809423347398075E-2</v>
      </c>
      <c r="I1602" s="26" t="s">
        <v>80</v>
      </c>
      <c r="J1602" s="14">
        <v>124379.07</v>
      </c>
      <c r="K1602" s="28">
        <f t="shared" si="49"/>
        <v>1.9112475691634156E-2</v>
      </c>
    </row>
    <row r="1603" spans="1:11" x14ac:dyDescent="0.3">
      <c r="A1603" s="23">
        <v>45838</v>
      </c>
      <c r="B1603">
        <v>355.24</v>
      </c>
      <c r="C1603" s="28">
        <f t="shared" si="48"/>
        <v>-1.8264070358818098E-3</v>
      </c>
      <c r="I1603" s="26" t="s">
        <v>79</v>
      </c>
      <c r="J1603" s="14">
        <v>125627.31</v>
      </c>
      <c r="K1603" s="28">
        <f t="shared" si="49"/>
        <v>1.0035772095739184E-2</v>
      </c>
    </row>
    <row r="1604" spans="1:11" x14ac:dyDescent="0.3">
      <c r="A1604" s="23">
        <v>45839</v>
      </c>
      <c r="B1604">
        <v>349.76</v>
      </c>
      <c r="C1604" s="28">
        <f t="shared" si="48"/>
        <v>-1.5426190744285605E-2</v>
      </c>
      <c r="I1604" s="27">
        <v>45664</v>
      </c>
      <c r="J1604" s="14">
        <v>128199.43</v>
      </c>
      <c r="K1604" s="28">
        <f t="shared" si="49"/>
        <v>2.0474210583670025E-2</v>
      </c>
    </row>
    <row r="1605" spans="1:11" x14ac:dyDescent="0.3">
      <c r="A1605" s="23">
        <v>45840</v>
      </c>
      <c r="B1605">
        <v>348.8</v>
      </c>
      <c r="C1605" s="28">
        <f t="shared" si="48"/>
        <v>-2.7447392497712132E-3</v>
      </c>
      <c r="I1605" s="27">
        <v>45695</v>
      </c>
      <c r="J1605" s="14">
        <v>130344.03</v>
      </c>
      <c r="K1605" s="28">
        <f t="shared" si="49"/>
        <v>1.6728623520401033E-2</v>
      </c>
    </row>
    <row r="1606" spans="1:11" x14ac:dyDescent="0.3">
      <c r="A1606" s="23">
        <v>45841</v>
      </c>
      <c r="B1606">
        <v>349.66</v>
      </c>
      <c r="C1606" s="28">
        <f t="shared" ref="C1606:C1669" si="50">(B1606-B1605)/B1605</f>
        <v>2.4655963302752685E-3</v>
      </c>
      <c r="I1606" s="27">
        <v>45723</v>
      </c>
      <c r="J1606" s="14">
        <v>130686.66</v>
      </c>
      <c r="K1606" s="28">
        <f t="shared" ref="K1606:K1669" si="51">(J1606-J1605)/J1605</f>
        <v>2.6286589420321336E-3</v>
      </c>
    </row>
    <row r="1607" spans="1:11" x14ac:dyDescent="0.3">
      <c r="A1607" s="23">
        <v>45842</v>
      </c>
      <c r="B1607">
        <v>353.08</v>
      </c>
      <c r="C1607" s="28">
        <f t="shared" si="50"/>
        <v>9.7809300463306027E-3</v>
      </c>
      <c r="I1607" s="27">
        <v>45754</v>
      </c>
      <c r="J1607" s="14">
        <v>131949.06</v>
      </c>
      <c r="K1607" s="28">
        <f t="shared" si="51"/>
        <v>9.6597464500201794E-3</v>
      </c>
    </row>
    <row r="1608" spans="1:11" x14ac:dyDescent="0.3">
      <c r="A1608" s="23">
        <v>45845</v>
      </c>
      <c r="B1608">
        <v>356.59</v>
      </c>
      <c r="C1608" s="28">
        <f t="shared" si="50"/>
        <v>9.9410898379970296E-3</v>
      </c>
      <c r="I1608" s="27">
        <v>45845</v>
      </c>
      <c r="J1608" s="14">
        <v>133370.16</v>
      </c>
      <c r="K1608" s="28">
        <f t="shared" si="51"/>
        <v>1.0770065357040103E-2</v>
      </c>
    </row>
    <row r="1609" spans="1:11" x14ac:dyDescent="0.3">
      <c r="A1609" s="23">
        <v>45846</v>
      </c>
      <c r="B1609">
        <v>355.03</v>
      </c>
      <c r="C1609" s="28">
        <f t="shared" si="50"/>
        <v>-4.3747721472840026E-3</v>
      </c>
      <c r="I1609" s="27">
        <v>45876</v>
      </c>
      <c r="J1609" s="14">
        <v>133403.19</v>
      </c>
      <c r="K1609" s="28">
        <f t="shared" si="51"/>
        <v>2.4765659724783139E-4</v>
      </c>
    </row>
    <row r="1610" spans="1:11" x14ac:dyDescent="0.3">
      <c r="A1610" s="23">
        <v>45847</v>
      </c>
      <c r="B1610">
        <v>352.42</v>
      </c>
      <c r="C1610" s="28">
        <f t="shared" si="50"/>
        <v>-7.3514914232598854E-3</v>
      </c>
      <c r="I1610" s="27">
        <v>45907</v>
      </c>
      <c r="J1610" s="14">
        <v>132576.98000000001</v>
      </c>
      <c r="K1610" s="28">
        <f t="shared" si="51"/>
        <v>-6.193330159496125E-3</v>
      </c>
    </row>
    <row r="1611" spans="1:11" x14ac:dyDescent="0.3">
      <c r="A1611" s="23">
        <v>45848</v>
      </c>
      <c r="B1611">
        <v>353.38</v>
      </c>
      <c r="C1611" s="28">
        <f t="shared" si="50"/>
        <v>2.7240224731853455E-3</v>
      </c>
      <c r="I1611" s="27">
        <v>45937</v>
      </c>
      <c r="J1611" s="14">
        <v>133782.34</v>
      </c>
      <c r="K1611" s="28">
        <f t="shared" si="51"/>
        <v>9.0917744543584107E-3</v>
      </c>
    </row>
    <row r="1612" spans="1:11" x14ac:dyDescent="0.3">
      <c r="A1612" s="23">
        <v>45849</v>
      </c>
      <c r="B1612">
        <v>351.98</v>
      </c>
      <c r="C1612" s="28">
        <f t="shared" si="50"/>
        <v>-3.9617409021449352E-3</v>
      </c>
      <c r="I1612" s="27">
        <v>45968</v>
      </c>
      <c r="J1612" s="14">
        <v>134299.76999999999</v>
      </c>
      <c r="K1612" s="28">
        <f t="shared" si="51"/>
        <v>3.8677003257679078E-3</v>
      </c>
    </row>
    <row r="1613" spans="1:11" x14ac:dyDescent="0.3">
      <c r="A1613" s="23">
        <v>45852</v>
      </c>
      <c r="B1613">
        <v>353.19</v>
      </c>
      <c r="C1613" s="28">
        <f t="shared" si="50"/>
        <v>3.4376953235978735E-3</v>
      </c>
      <c r="I1613" s="26" t="s">
        <v>78</v>
      </c>
      <c r="J1613" s="14">
        <v>136502.54999999999</v>
      </c>
      <c r="K1613" s="28">
        <f t="shared" si="51"/>
        <v>1.640196405399651E-2</v>
      </c>
    </row>
    <row r="1614" spans="1:11" x14ac:dyDescent="0.3">
      <c r="A1614" s="23">
        <v>45853</v>
      </c>
      <c r="B1614">
        <v>349.87</v>
      </c>
      <c r="C1614" s="28">
        <f t="shared" si="50"/>
        <v>-9.400039638721349E-3</v>
      </c>
      <c r="I1614" s="26" t="s">
        <v>77</v>
      </c>
      <c r="J1614" s="14">
        <v>135939.88</v>
      </c>
      <c r="K1614" s="28">
        <f t="shared" si="51"/>
        <v>-4.1220475368407682E-3</v>
      </c>
    </row>
    <row r="1615" spans="1:11" x14ac:dyDescent="0.3">
      <c r="A1615" s="23">
        <v>45854</v>
      </c>
      <c r="B1615">
        <v>349.62</v>
      </c>
      <c r="C1615" s="28">
        <f t="shared" si="50"/>
        <v>-7.1455111898705232E-4</v>
      </c>
      <c r="I1615" s="26" t="s">
        <v>76</v>
      </c>
      <c r="J1615" s="14">
        <v>136379.97</v>
      </c>
      <c r="K1615" s="28">
        <f t="shared" si="51"/>
        <v>3.23738699784049E-3</v>
      </c>
    </row>
    <row r="1616" spans="1:11" x14ac:dyDescent="0.3">
      <c r="A1616" s="23">
        <v>45855</v>
      </c>
      <c r="B1616">
        <v>358.3</v>
      </c>
      <c r="C1616" s="28">
        <f t="shared" si="50"/>
        <v>2.4826954979692256E-2</v>
      </c>
      <c r="I1616" s="26" t="s">
        <v>75</v>
      </c>
      <c r="J1616" s="14">
        <v>138665.5</v>
      </c>
      <c r="K1616" s="28">
        <f t="shared" si="51"/>
        <v>1.675854599469408E-2</v>
      </c>
    </row>
    <row r="1617" spans="1:11" x14ac:dyDescent="0.3">
      <c r="A1617" s="23">
        <v>45856</v>
      </c>
      <c r="B1617">
        <v>358.71</v>
      </c>
      <c r="C1617" s="28">
        <f t="shared" si="50"/>
        <v>1.1442924923247785E-3</v>
      </c>
      <c r="I1617" s="26" t="s">
        <v>74</v>
      </c>
      <c r="J1617" s="14">
        <v>138597.35999999999</v>
      </c>
      <c r="K1617" s="28">
        <f t="shared" si="51"/>
        <v>-4.9139836513057659E-4</v>
      </c>
    </row>
    <row r="1618" spans="1:11" x14ac:dyDescent="0.3">
      <c r="A1618" s="23">
        <v>45859</v>
      </c>
      <c r="B1618">
        <v>357.73</v>
      </c>
      <c r="C1618" s="28">
        <f t="shared" si="50"/>
        <v>-2.7320119316438388E-3</v>
      </c>
      <c r="I1618" s="26" t="s">
        <v>73</v>
      </c>
      <c r="J1618" s="14">
        <v>138217.57999999999</v>
      </c>
      <c r="K1618" s="28">
        <f t="shared" si="51"/>
        <v>-2.7401676337846471E-3</v>
      </c>
    </row>
    <row r="1619" spans="1:11" x14ac:dyDescent="0.3">
      <c r="A1619" s="23">
        <v>45860</v>
      </c>
      <c r="B1619">
        <v>357.08</v>
      </c>
      <c r="C1619" s="28">
        <f t="shared" si="50"/>
        <v>-1.8170128309060857E-3</v>
      </c>
      <c r="I1619" s="26" t="s">
        <v>72</v>
      </c>
      <c r="J1619" s="14">
        <v>139419.63</v>
      </c>
      <c r="K1619" s="28">
        <f t="shared" si="51"/>
        <v>8.6967952991219896E-3</v>
      </c>
    </row>
    <row r="1620" spans="1:11" x14ac:dyDescent="0.3">
      <c r="A1620" s="23">
        <v>45861</v>
      </c>
      <c r="B1620">
        <v>356.77</v>
      </c>
      <c r="C1620" s="28">
        <f t="shared" si="50"/>
        <v>-8.6815279489190736E-4</v>
      </c>
      <c r="I1620" s="26" t="s">
        <v>71</v>
      </c>
      <c r="J1620" s="14">
        <v>139254.35999999999</v>
      </c>
      <c r="K1620" s="28">
        <f t="shared" si="51"/>
        <v>-1.185414134293848E-3</v>
      </c>
    </row>
    <row r="1621" spans="1:11" x14ac:dyDescent="0.3">
      <c r="A1621" s="23">
        <v>45862</v>
      </c>
      <c r="B1621">
        <v>353.49</v>
      </c>
      <c r="C1621" s="28">
        <f t="shared" si="50"/>
        <v>-9.1935981164334799E-3</v>
      </c>
      <c r="I1621" s="26" t="s">
        <v>70</v>
      </c>
      <c r="J1621" s="14">
        <v>138692.67000000001</v>
      </c>
      <c r="K1621" s="28">
        <f t="shared" si="51"/>
        <v>-4.0335541379097452E-3</v>
      </c>
    </row>
    <row r="1622" spans="1:11" x14ac:dyDescent="0.3">
      <c r="A1622" s="23">
        <v>45863</v>
      </c>
      <c r="B1622">
        <v>358.54</v>
      </c>
      <c r="C1622" s="28">
        <f t="shared" si="50"/>
        <v>1.4286118419191522E-2</v>
      </c>
      <c r="I1622" s="26" t="s">
        <v>69</v>
      </c>
      <c r="J1622" s="14">
        <v>139207.29999999999</v>
      </c>
      <c r="K1622" s="28">
        <f t="shared" si="51"/>
        <v>3.7105782158492985E-3</v>
      </c>
    </row>
    <row r="1623" spans="1:11" x14ac:dyDescent="0.3">
      <c r="A1623" s="23">
        <v>45866</v>
      </c>
      <c r="B1623">
        <v>369.3</v>
      </c>
      <c r="C1623" s="28">
        <f t="shared" si="50"/>
        <v>3.0010598538517293E-2</v>
      </c>
      <c r="I1623" s="26" t="s">
        <v>68</v>
      </c>
      <c r="J1623" s="14">
        <v>139380.06</v>
      </c>
      <c r="K1623" s="28">
        <f t="shared" si="51"/>
        <v>1.2410268714356885E-3</v>
      </c>
    </row>
    <row r="1624" spans="1:11" x14ac:dyDescent="0.3">
      <c r="A1624" s="23">
        <v>45867</v>
      </c>
      <c r="B1624">
        <v>361.88</v>
      </c>
      <c r="C1624" s="28">
        <f t="shared" si="50"/>
        <v>-2.0092066070945075E-2</v>
      </c>
      <c r="I1624" s="26" t="s">
        <v>67</v>
      </c>
      <c r="J1624" s="14">
        <v>137964.81</v>
      </c>
      <c r="K1624" s="28">
        <f t="shared" si="51"/>
        <v>-1.0153891453339883E-2</v>
      </c>
    </row>
    <row r="1625" spans="1:11" x14ac:dyDescent="0.3">
      <c r="A1625" s="23">
        <v>45868</v>
      </c>
      <c r="B1625">
        <v>356.43</v>
      </c>
      <c r="C1625" s="28">
        <f t="shared" si="50"/>
        <v>-1.506024096385539E-2</v>
      </c>
      <c r="I1625" s="26" t="s">
        <v>66</v>
      </c>
      <c r="J1625" s="14">
        <v>138412.25</v>
      </c>
      <c r="K1625" s="28">
        <f t="shared" si="51"/>
        <v>3.2431458427696334E-3</v>
      </c>
    </row>
    <row r="1626" spans="1:11" x14ac:dyDescent="0.3">
      <c r="A1626" s="23">
        <v>45869</v>
      </c>
      <c r="B1626">
        <v>356.95</v>
      </c>
      <c r="C1626" s="28">
        <f t="shared" si="50"/>
        <v>1.4589119883286531E-3</v>
      </c>
      <c r="I1626" s="26" t="s">
        <v>65</v>
      </c>
      <c r="J1626" s="14">
        <v>139390.42000000001</v>
      </c>
      <c r="K1626" s="28">
        <f t="shared" si="51"/>
        <v>7.0670767941422297E-3</v>
      </c>
    </row>
    <row r="1627" spans="1:11" x14ac:dyDescent="0.3">
      <c r="A1627" s="23">
        <v>45870</v>
      </c>
      <c r="B1627">
        <v>359.91</v>
      </c>
      <c r="C1627" s="28">
        <f t="shared" si="50"/>
        <v>8.2924779380866686E-3</v>
      </c>
      <c r="I1627" s="27">
        <v>45665</v>
      </c>
      <c r="J1627" s="14">
        <v>141034.98000000001</v>
      </c>
      <c r="K1627" s="28">
        <f t="shared" si="51"/>
        <v>1.1798228314399207E-2</v>
      </c>
    </row>
    <row r="1628" spans="1:11" x14ac:dyDescent="0.3">
      <c r="A1628" s="23">
        <v>45873</v>
      </c>
      <c r="B1628">
        <v>372.11</v>
      </c>
      <c r="C1628" s="28">
        <f t="shared" si="50"/>
        <v>3.3897363229696276E-2</v>
      </c>
      <c r="I1628" s="27">
        <v>45755</v>
      </c>
      <c r="J1628" s="14">
        <v>142052.66</v>
      </c>
      <c r="K1628" s="28">
        <f t="shared" si="51"/>
        <v>7.2157985203386635E-3</v>
      </c>
    </row>
    <row r="1629" spans="1:11" x14ac:dyDescent="0.3">
      <c r="A1629" s="23">
        <v>45874</v>
      </c>
      <c r="B1629">
        <v>374.94</v>
      </c>
      <c r="C1629" s="28">
        <f t="shared" si="50"/>
        <v>7.6052780091907879E-3</v>
      </c>
      <c r="I1629" s="27">
        <v>45785</v>
      </c>
      <c r="J1629" s="14">
        <v>143037.17000000001</v>
      </c>
      <c r="K1629" s="28">
        <f t="shared" si="51"/>
        <v>6.9305988356712879E-3</v>
      </c>
    </row>
    <row r="1630" spans="1:11" x14ac:dyDescent="0.3">
      <c r="A1630" s="23">
        <v>45875</v>
      </c>
      <c r="B1630">
        <v>380.83</v>
      </c>
      <c r="C1630" s="28">
        <f t="shared" si="50"/>
        <v>1.5709180135488308E-2</v>
      </c>
      <c r="I1630" s="27">
        <v>45816</v>
      </c>
      <c r="J1630" s="14">
        <v>145088.5</v>
      </c>
      <c r="K1630" s="28">
        <f t="shared" si="51"/>
        <v>1.4341237316146475E-2</v>
      </c>
    </row>
    <row r="1631" spans="1:11" x14ac:dyDescent="0.3">
      <c r="A1631" s="23">
        <v>45876</v>
      </c>
      <c r="B1631">
        <v>382.29</v>
      </c>
      <c r="C1631" s="28">
        <f t="shared" si="50"/>
        <v>3.8337315862721857E-3</v>
      </c>
      <c r="I1631" s="27">
        <v>45846</v>
      </c>
      <c r="J1631" s="14">
        <v>145647.14000000001</v>
      </c>
      <c r="K1631" s="28">
        <f t="shared" si="51"/>
        <v>3.8503396203008093E-3</v>
      </c>
    </row>
    <row r="1632" spans="1:11" x14ac:dyDescent="0.3">
      <c r="A1632" s="23">
        <v>45877</v>
      </c>
      <c r="B1632">
        <v>374.73</v>
      </c>
      <c r="C1632" s="28">
        <f t="shared" si="50"/>
        <v>-1.9775563054225856E-2</v>
      </c>
      <c r="I1632" s="27">
        <v>45877</v>
      </c>
      <c r="J1632" s="14">
        <v>145382.79999999999</v>
      </c>
      <c r="K1632" s="28">
        <f t="shared" si="51"/>
        <v>-1.8149343680900674E-3</v>
      </c>
    </row>
    <row r="1633" spans="1:11" x14ac:dyDescent="0.3">
      <c r="A1633" s="23">
        <v>45880</v>
      </c>
      <c r="B1633">
        <v>375.88</v>
      </c>
      <c r="C1633" s="28">
        <f t="shared" si="50"/>
        <v>3.0688762575720578E-3</v>
      </c>
      <c r="I1633" s="27">
        <v>45969</v>
      </c>
      <c r="J1633" s="14">
        <v>146929.84</v>
      </c>
      <c r="K1633" s="28">
        <f t="shared" si="51"/>
        <v>1.0641148746619327E-2</v>
      </c>
    </row>
    <row r="1634" spans="1:11" x14ac:dyDescent="0.3">
      <c r="A1634" s="23">
        <v>45881</v>
      </c>
      <c r="B1634">
        <v>378.4</v>
      </c>
      <c r="C1634" s="28">
        <f t="shared" si="50"/>
        <v>6.7042673193571933E-3</v>
      </c>
      <c r="I1634" s="27">
        <v>45999</v>
      </c>
      <c r="J1634" s="14">
        <v>147005.31</v>
      </c>
      <c r="K1634" s="28">
        <f t="shared" si="51"/>
        <v>5.1364651319297128E-4</v>
      </c>
    </row>
    <row r="1635" spans="1:11" x14ac:dyDescent="0.3">
      <c r="A1635" s="23">
        <v>45882</v>
      </c>
      <c r="B1635">
        <v>385.42</v>
      </c>
      <c r="C1635" s="28">
        <f t="shared" si="50"/>
        <v>1.8551797040169238E-2</v>
      </c>
      <c r="I1635" s="26" t="s">
        <v>64</v>
      </c>
      <c r="J1635" s="14">
        <v>146529.31</v>
      </c>
      <c r="K1635" s="28">
        <f t="shared" si="51"/>
        <v>-3.2379782743902244E-3</v>
      </c>
    </row>
    <row r="1636" spans="1:11" x14ac:dyDescent="0.3">
      <c r="A1636" s="23">
        <v>45884</v>
      </c>
      <c r="B1636">
        <v>394.34</v>
      </c>
      <c r="C1636" s="28">
        <f t="shared" si="50"/>
        <v>2.3143583623060449E-2</v>
      </c>
      <c r="I1636" s="26" t="s">
        <v>63</v>
      </c>
      <c r="J1636" s="14">
        <v>146491.63</v>
      </c>
      <c r="K1636" s="28">
        <f t="shared" si="51"/>
        <v>-2.5714991765123996E-4</v>
      </c>
    </row>
    <row r="1637" spans="1:11" x14ac:dyDescent="0.3">
      <c r="A1637" s="23">
        <v>45887</v>
      </c>
      <c r="B1637">
        <v>411.02</v>
      </c>
      <c r="C1637" s="28">
        <f t="shared" si="50"/>
        <v>4.2298524116244886E-2</v>
      </c>
      <c r="I1637" s="26" t="s">
        <v>62</v>
      </c>
      <c r="J1637" s="14">
        <v>148196.42000000001</v>
      </c>
      <c r="K1637" s="28">
        <f t="shared" si="51"/>
        <v>1.1637456692918279E-2</v>
      </c>
    </row>
    <row r="1638" spans="1:11" x14ac:dyDescent="0.3">
      <c r="A1638" s="23">
        <v>45888</v>
      </c>
      <c r="B1638">
        <v>425.98</v>
      </c>
      <c r="C1638" s="28">
        <f t="shared" si="50"/>
        <v>3.6397255607999703E-2</v>
      </c>
      <c r="I1638" s="26" t="s">
        <v>61</v>
      </c>
      <c r="J1638" s="14">
        <v>149770.75</v>
      </c>
      <c r="K1638" s="28">
        <f t="shared" si="51"/>
        <v>1.0623266068100613E-2</v>
      </c>
    </row>
    <row r="1639" spans="1:11" x14ac:dyDescent="0.3">
      <c r="A1639" s="23">
        <v>45889</v>
      </c>
      <c r="B1639">
        <v>424.62</v>
      </c>
      <c r="C1639" s="28">
        <f t="shared" si="50"/>
        <v>-3.1926381520259485E-3</v>
      </c>
      <c r="I1639" s="26" t="s">
        <v>60</v>
      </c>
      <c r="J1639" s="14">
        <v>150591</v>
      </c>
      <c r="K1639" s="28">
        <f t="shared" si="51"/>
        <v>5.4767035619438372E-3</v>
      </c>
    </row>
    <row r="1640" spans="1:11" x14ac:dyDescent="0.3">
      <c r="A1640" s="23">
        <v>45890</v>
      </c>
      <c r="B1640">
        <v>419.91</v>
      </c>
      <c r="C1640" s="28">
        <f t="shared" si="50"/>
        <v>-1.1092270736187602E-2</v>
      </c>
      <c r="I1640" s="26" t="s">
        <v>59</v>
      </c>
      <c r="J1640" s="14">
        <v>149235.26999999999</v>
      </c>
      <c r="K1640" s="28">
        <f t="shared" si="51"/>
        <v>-9.0027292467678051E-3</v>
      </c>
    </row>
    <row r="1641" spans="1:11" x14ac:dyDescent="0.3">
      <c r="A1641" s="23">
        <v>45891</v>
      </c>
      <c r="B1641">
        <v>417.08</v>
      </c>
      <c r="C1641" s="28">
        <f t="shared" si="50"/>
        <v>-6.7395394251150023E-3</v>
      </c>
      <c r="I1641" s="26" t="s">
        <v>58</v>
      </c>
      <c r="J1641" s="14">
        <v>149493.06</v>
      </c>
      <c r="K1641" s="28">
        <f t="shared" si="51"/>
        <v>1.7274066646578129E-3</v>
      </c>
    </row>
    <row r="1642" spans="1:11" x14ac:dyDescent="0.3">
      <c r="A1642" s="23">
        <v>45894</v>
      </c>
      <c r="B1642">
        <v>413.58</v>
      </c>
      <c r="C1642" s="28">
        <f t="shared" si="50"/>
        <v>-8.391675457945719E-3</v>
      </c>
      <c r="I1642" s="26" t="s">
        <v>57</v>
      </c>
      <c r="J1642" s="14">
        <v>148815.31</v>
      </c>
      <c r="K1642" s="28">
        <f t="shared" si="51"/>
        <v>-4.5336552746997084E-3</v>
      </c>
    </row>
    <row r="1643" spans="1:11" x14ac:dyDescent="0.3">
      <c r="A1643" s="23">
        <v>45895</v>
      </c>
      <c r="B1643">
        <v>415.44</v>
      </c>
      <c r="C1643" s="28">
        <f t="shared" si="50"/>
        <v>4.4973161178007001E-3</v>
      </c>
      <c r="I1643" s="26" t="s">
        <v>56</v>
      </c>
      <c r="J1643" s="14">
        <v>148435.06</v>
      </c>
      <c r="K1643" s="28">
        <f t="shared" si="51"/>
        <v>-2.55518064639989E-3</v>
      </c>
    </row>
    <row r="1644" spans="1:11" x14ac:dyDescent="0.3">
      <c r="A1644" s="23">
        <v>45896</v>
      </c>
      <c r="B1644">
        <v>414.63</v>
      </c>
      <c r="C1644" s="28">
        <f t="shared" si="50"/>
        <v>-1.9497400346620505E-3</v>
      </c>
      <c r="I1644" s="26" t="s">
        <v>55</v>
      </c>
      <c r="J1644" s="14">
        <v>147494.03</v>
      </c>
      <c r="K1644" s="28">
        <f t="shared" si="51"/>
        <v>-6.3396747372217784E-3</v>
      </c>
    </row>
    <row r="1645" spans="1:11" x14ac:dyDescent="0.3">
      <c r="A1645" s="23">
        <v>45897</v>
      </c>
      <c r="B1645">
        <v>418.26</v>
      </c>
      <c r="C1645" s="28">
        <f t="shared" si="50"/>
        <v>8.7547934302872332E-3</v>
      </c>
      <c r="I1645" s="26" t="s">
        <v>54</v>
      </c>
      <c r="J1645" s="14">
        <v>147343.51999999999</v>
      </c>
      <c r="K1645" s="28">
        <f t="shared" si="51"/>
        <v>-1.0204480818648003E-3</v>
      </c>
    </row>
    <row r="1646" spans="1:11" x14ac:dyDescent="0.3">
      <c r="A1646" s="23">
        <v>45898</v>
      </c>
      <c r="B1646">
        <v>427.42</v>
      </c>
      <c r="C1646" s="28">
        <f t="shared" si="50"/>
        <v>2.1900253430880375E-2</v>
      </c>
      <c r="I1646" s="26" t="s">
        <v>53</v>
      </c>
      <c r="J1646" s="14">
        <v>148617.78</v>
      </c>
      <c r="K1646" s="28">
        <f t="shared" si="51"/>
        <v>8.6482255887466875E-3</v>
      </c>
    </row>
    <row r="1647" spans="1:11" x14ac:dyDescent="0.3">
      <c r="A1647" s="23">
        <v>45901</v>
      </c>
      <c r="B1647">
        <v>445.55</v>
      </c>
      <c r="C1647" s="28">
        <f t="shared" si="50"/>
        <v>4.2417294464461172E-2</v>
      </c>
      <c r="I1647" s="27">
        <v>45666</v>
      </c>
      <c r="J1647" s="14">
        <v>149971.13</v>
      </c>
      <c r="K1647" s="28">
        <f t="shared" si="51"/>
        <v>9.1062455649654154E-3</v>
      </c>
    </row>
    <row r="1648" spans="1:11" x14ac:dyDescent="0.3">
      <c r="A1648" s="23">
        <v>45902</v>
      </c>
      <c r="B1648">
        <v>440.72</v>
      </c>
      <c r="C1648" s="28">
        <f t="shared" si="50"/>
        <v>-1.0840534171248983E-2</v>
      </c>
      <c r="I1648" s="27">
        <v>45697</v>
      </c>
      <c r="J1648" s="14">
        <v>150975.48000000001</v>
      </c>
      <c r="K1648" s="28">
        <f t="shared" si="51"/>
        <v>6.6969556073892744E-3</v>
      </c>
    </row>
    <row r="1649" spans="1:11" x14ac:dyDescent="0.3">
      <c r="A1649" s="23">
        <v>45903</v>
      </c>
      <c r="B1649">
        <v>443.17</v>
      </c>
      <c r="C1649" s="28">
        <f t="shared" si="50"/>
        <v>5.5590851334180172E-3</v>
      </c>
      <c r="I1649" s="27">
        <v>45725</v>
      </c>
      <c r="J1649" s="14">
        <v>152201.88</v>
      </c>
      <c r="K1649" s="28">
        <f t="shared" si="51"/>
        <v>8.1231733788824124E-3</v>
      </c>
    </row>
    <row r="1650" spans="1:11" x14ac:dyDescent="0.3">
      <c r="A1650" s="23">
        <v>45904</v>
      </c>
      <c r="B1650">
        <v>452.91</v>
      </c>
      <c r="C1650" s="28">
        <f t="shared" si="50"/>
        <v>2.1978021978021997E-2</v>
      </c>
      <c r="I1650" s="27">
        <v>45756</v>
      </c>
      <c r="J1650" s="14">
        <v>152665.72</v>
      </c>
      <c r="K1650" s="28">
        <f t="shared" si="51"/>
        <v>3.0475313445536712E-3</v>
      </c>
    </row>
    <row r="1651" spans="1:11" x14ac:dyDescent="0.3">
      <c r="A1651" s="23">
        <v>45905</v>
      </c>
      <c r="B1651">
        <v>466.18</v>
      </c>
      <c r="C1651" s="28">
        <f t="shared" si="50"/>
        <v>2.9299419310679784E-2</v>
      </c>
      <c r="I1651" s="27">
        <v>45786</v>
      </c>
      <c r="J1651" s="14">
        <v>154277.19</v>
      </c>
      <c r="K1651" s="28">
        <f t="shared" si="51"/>
        <v>1.0555545802947781E-2</v>
      </c>
    </row>
    <row r="1652" spans="1:11" x14ac:dyDescent="0.3">
      <c r="A1652" s="23">
        <v>45908</v>
      </c>
      <c r="B1652">
        <v>478.57</v>
      </c>
      <c r="C1652" s="28">
        <f t="shared" si="50"/>
        <v>2.6577716761765811E-2</v>
      </c>
      <c r="I1652" s="27">
        <v>45878</v>
      </c>
      <c r="J1652" s="14">
        <v>156087.31</v>
      </c>
      <c r="K1652" s="28">
        <f t="shared" si="51"/>
        <v>1.1732907502398736E-2</v>
      </c>
    </row>
    <row r="1653" spans="1:11" x14ac:dyDescent="0.3">
      <c r="A1653" s="23">
        <v>45909</v>
      </c>
      <c r="B1653">
        <v>481.01</v>
      </c>
      <c r="C1653" s="28">
        <f t="shared" si="50"/>
        <v>5.0985226821572555E-3</v>
      </c>
      <c r="I1653" s="27">
        <v>45909</v>
      </c>
      <c r="J1653" s="14">
        <v>156563.53</v>
      </c>
      <c r="K1653" s="28">
        <f t="shared" si="51"/>
        <v>3.0509847341209299E-3</v>
      </c>
    </row>
    <row r="1654" spans="1:11" x14ac:dyDescent="0.3">
      <c r="A1654" s="23">
        <v>45910</v>
      </c>
      <c r="B1654">
        <v>483.21</v>
      </c>
      <c r="C1654" s="28">
        <f t="shared" si="50"/>
        <v>4.5737094862892428E-3</v>
      </c>
      <c r="I1654" s="27">
        <v>45939</v>
      </c>
      <c r="J1654" s="14">
        <v>157020.79999999999</v>
      </c>
      <c r="K1654" s="28">
        <f t="shared" si="51"/>
        <v>2.9206674121360801E-3</v>
      </c>
    </row>
    <row r="1655" spans="1:11" x14ac:dyDescent="0.3">
      <c r="A1655" s="23">
        <v>45911</v>
      </c>
      <c r="B1655">
        <v>480.64</v>
      </c>
      <c r="C1655" s="28">
        <f t="shared" si="50"/>
        <v>-5.3185985389375082E-3</v>
      </c>
      <c r="I1655" s="27">
        <v>45970</v>
      </c>
      <c r="J1655" s="14">
        <v>156141.25</v>
      </c>
      <c r="K1655" s="28">
        <f t="shared" si="51"/>
        <v>-5.6014871915057649E-3</v>
      </c>
    </row>
    <row r="1656" spans="1:11" x14ac:dyDescent="0.3">
      <c r="A1656" s="23">
        <v>45912</v>
      </c>
      <c r="B1656">
        <v>474.17</v>
      </c>
      <c r="C1656" s="28">
        <f t="shared" si="50"/>
        <v>-1.3461218375499273E-2</v>
      </c>
      <c r="I1656" s="27">
        <v>46000</v>
      </c>
      <c r="J1656" s="14">
        <v>154439.69</v>
      </c>
      <c r="K1656" s="28">
        <f t="shared" si="51"/>
        <v>-1.0897568707820628E-2</v>
      </c>
    </row>
    <row r="1657" spans="1:11" x14ac:dyDescent="0.3">
      <c r="A1657" s="23">
        <v>45915</v>
      </c>
      <c r="B1657">
        <v>476.59</v>
      </c>
      <c r="C1657" s="28">
        <f t="shared" si="50"/>
        <v>5.1036548073474892E-3</v>
      </c>
      <c r="I1657" s="26" t="s">
        <v>52</v>
      </c>
      <c r="J1657" s="14">
        <v>155384.51999999999</v>
      </c>
      <c r="K1657" s="28">
        <f t="shared" si="51"/>
        <v>6.1177926477318572E-3</v>
      </c>
    </row>
    <row r="1658" spans="1:11" x14ac:dyDescent="0.3">
      <c r="A1658" s="23">
        <v>45916</v>
      </c>
      <c r="B1658">
        <v>477.52</v>
      </c>
      <c r="C1658" s="28">
        <f t="shared" si="50"/>
        <v>1.9513628066052727E-3</v>
      </c>
      <c r="I1658" s="26" t="s">
        <v>51</v>
      </c>
      <c r="J1658" s="14">
        <v>156180.94</v>
      </c>
      <c r="K1658" s="28">
        <f t="shared" si="51"/>
        <v>5.1254783938581069E-3</v>
      </c>
    </row>
    <row r="1659" spans="1:11" x14ac:dyDescent="0.3">
      <c r="A1659" s="23">
        <v>45917</v>
      </c>
      <c r="B1659">
        <v>480.56</v>
      </c>
      <c r="C1659" s="28">
        <f t="shared" si="50"/>
        <v>6.3662254984084869E-3</v>
      </c>
      <c r="I1659" s="26" t="s">
        <v>50</v>
      </c>
      <c r="J1659" s="14">
        <v>156177.81</v>
      </c>
      <c r="K1659" s="28">
        <f t="shared" si="51"/>
        <v>-2.0040857738496492E-5</v>
      </c>
    </row>
    <row r="1660" spans="1:11" x14ac:dyDescent="0.3">
      <c r="A1660" s="23">
        <v>45918</v>
      </c>
      <c r="B1660">
        <v>484.45</v>
      </c>
      <c r="C1660" s="28">
        <f t="shared" si="50"/>
        <v>8.0947228233727037E-3</v>
      </c>
      <c r="I1660" s="26" t="s">
        <v>49</v>
      </c>
      <c r="J1660" s="14">
        <v>157953.47</v>
      </c>
      <c r="K1660" s="28">
        <f t="shared" si="51"/>
        <v>1.1369476880230319E-2</v>
      </c>
    </row>
    <row r="1661" spans="1:11" x14ac:dyDescent="0.3">
      <c r="A1661" s="23">
        <v>45919</v>
      </c>
      <c r="B1661">
        <v>487.99</v>
      </c>
      <c r="C1661" s="28">
        <f t="shared" si="50"/>
        <v>7.3072556507379925E-3</v>
      </c>
      <c r="I1661" s="26" t="s">
        <v>48</v>
      </c>
      <c r="J1661" s="14">
        <v>158037.38</v>
      </c>
      <c r="K1661" s="28">
        <f t="shared" si="51"/>
        <v>5.3123239394489718E-4</v>
      </c>
    </row>
    <row r="1662" spans="1:11" x14ac:dyDescent="0.3">
      <c r="A1662" s="23">
        <v>45922</v>
      </c>
      <c r="B1662">
        <v>482.4</v>
      </c>
      <c r="C1662" s="28">
        <f t="shared" si="50"/>
        <v>-1.1455152769524031E-2</v>
      </c>
      <c r="I1662" s="26" t="s">
        <v>47</v>
      </c>
      <c r="J1662" s="14">
        <v>157554.66</v>
      </c>
      <c r="K1662" s="28">
        <f t="shared" si="51"/>
        <v>-3.0544672405984023E-3</v>
      </c>
    </row>
    <row r="1663" spans="1:11" x14ac:dyDescent="0.3">
      <c r="A1663" s="23">
        <v>45923</v>
      </c>
      <c r="B1663">
        <v>476.24</v>
      </c>
      <c r="C1663" s="28">
        <f t="shared" si="50"/>
        <v>-1.2769485903814196E-2</v>
      </c>
      <c r="I1663" s="26" t="s">
        <v>46</v>
      </c>
      <c r="J1663" s="14">
        <v>157945.03</v>
      </c>
      <c r="K1663" s="28">
        <f t="shared" si="51"/>
        <v>2.4776798096609477E-3</v>
      </c>
    </row>
    <row r="1664" spans="1:11" x14ac:dyDescent="0.3">
      <c r="A1664" s="23">
        <v>45924</v>
      </c>
      <c r="B1664">
        <v>474.83</v>
      </c>
      <c r="C1664" s="28">
        <f t="shared" si="50"/>
        <v>-2.960692088022898E-3</v>
      </c>
      <c r="I1664" s="26" t="s">
        <v>45</v>
      </c>
      <c r="J1664" s="14">
        <v>158236.69</v>
      </c>
      <c r="K1664" s="28">
        <f t="shared" si="51"/>
        <v>1.8465918174190318E-3</v>
      </c>
    </row>
    <row r="1665" spans="1:11" x14ac:dyDescent="0.3">
      <c r="A1665" s="23">
        <v>45925</v>
      </c>
      <c r="B1665">
        <v>464.62</v>
      </c>
      <c r="C1665" s="28">
        <f t="shared" si="50"/>
        <v>-2.1502432449508203E-2</v>
      </c>
      <c r="I1665" s="26" t="s">
        <v>44</v>
      </c>
      <c r="J1665" s="14">
        <v>159280.09</v>
      </c>
      <c r="K1665" s="28">
        <f t="shared" si="51"/>
        <v>6.5939195265016862E-3</v>
      </c>
    </row>
    <row r="1666" spans="1:11" x14ac:dyDescent="0.3">
      <c r="A1666" s="23">
        <v>45926</v>
      </c>
      <c r="B1666">
        <v>470.56</v>
      </c>
      <c r="C1666" s="28">
        <f t="shared" si="50"/>
        <v>1.2784641212173384E-2</v>
      </c>
      <c r="I1666" s="26" t="s">
        <v>43</v>
      </c>
      <c r="J1666" s="14">
        <v>162257.01999999999</v>
      </c>
      <c r="K1666" s="28">
        <f t="shared" si="51"/>
        <v>1.8689906566476656E-2</v>
      </c>
    </row>
    <row r="1667" spans="1:11" x14ac:dyDescent="0.3">
      <c r="A1667" s="23">
        <v>45929</v>
      </c>
      <c r="B1667">
        <v>467.1</v>
      </c>
      <c r="C1667" s="28">
        <f t="shared" si="50"/>
        <v>-7.3529411764705448E-3</v>
      </c>
      <c r="I1667" s="26" t="s">
        <v>42</v>
      </c>
      <c r="J1667" s="14">
        <v>163847.69</v>
      </c>
      <c r="K1667" s="28">
        <f t="shared" si="51"/>
        <v>9.8033971041746795E-3</v>
      </c>
    </row>
    <row r="1668" spans="1:11" x14ac:dyDescent="0.3">
      <c r="A1668" s="23">
        <v>45930</v>
      </c>
      <c r="B1668">
        <v>475.89</v>
      </c>
      <c r="C1668" s="28">
        <f t="shared" si="50"/>
        <v>1.8818240205523362E-2</v>
      </c>
      <c r="I1668" s="26" t="s">
        <v>41</v>
      </c>
      <c r="J1668" s="14">
        <v>165493.59</v>
      </c>
      <c r="K1668" s="28">
        <f t="shared" si="51"/>
        <v>1.0045304880404442E-2</v>
      </c>
    </row>
    <row r="1669" spans="1:11" x14ac:dyDescent="0.3">
      <c r="A1669" s="23">
        <v>45931</v>
      </c>
      <c r="B1669">
        <v>479.07</v>
      </c>
      <c r="C1669" s="28">
        <f t="shared" si="50"/>
        <v>6.6822164785980097E-3</v>
      </c>
      <c r="I1669" s="27">
        <v>45667</v>
      </c>
      <c r="J1669" s="14">
        <v>165640.34</v>
      </c>
      <c r="K1669" s="28">
        <f t="shared" si="51"/>
        <v>8.8674129312198743E-4</v>
      </c>
    </row>
    <row r="1670" spans="1:11" x14ac:dyDescent="0.3">
      <c r="A1670" s="23">
        <v>45932</v>
      </c>
      <c r="B1670">
        <v>472.14</v>
      </c>
      <c r="C1670" s="28">
        <f t="shared" ref="C1670:C1733" si="52">(B1670-B1669)/B1669</f>
        <v>-1.4465526958482073E-2</v>
      </c>
      <c r="I1670" s="27">
        <v>45698</v>
      </c>
      <c r="J1670" s="14">
        <v>168489.63</v>
      </c>
      <c r="K1670" s="28">
        <f t="shared" ref="K1670:K1733" si="53">(J1670-J1669)/J1669</f>
        <v>1.7201667178418062E-2</v>
      </c>
    </row>
    <row r="1671" spans="1:11" x14ac:dyDescent="0.3">
      <c r="A1671" s="23">
        <v>45933</v>
      </c>
      <c r="B1671">
        <v>474.12</v>
      </c>
      <c r="C1671" s="28">
        <f t="shared" si="52"/>
        <v>4.1936713686618766E-3</v>
      </c>
      <c r="I1671" s="27">
        <v>45726</v>
      </c>
      <c r="J1671" s="14">
        <v>168990.06</v>
      </c>
      <c r="K1671" s="28">
        <f t="shared" si="53"/>
        <v>2.970093767788516E-3</v>
      </c>
    </row>
    <row r="1672" spans="1:11" x14ac:dyDescent="0.3">
      <c r="A1672" s="23">
        <v>45936</v>
      </c>
      <c r="B1672">
        <v>470.65</v>
      </c>
      <c r="C1672" s="28">
        <f t="shared" si="52"/>
        <v>-7.3188222390956452E-3</v>
      </c>
      <c r="I1672" s="27">
        <v>45818</v>
      </c>
      <c r="J1672" s="14">
        <v>167752.41</v>
      </c>
      <c r="K1672" s="28">
        <f t="shared" si="53"/>
        <v>-7.3238035420544511E-3</v>
      </c>
    </row>
    <row r="1673" spans="1:11" x14ac:dyDescent="0.3">
      <c r="A1673" s="23">
        <v>45937</v>
      </c>
      <c r="B1673">
        <v>456.11</v>
      </c>
      <c r="C1673" s="28">
        <f t="shared" si="52"/>
        <v>-3.0893445235312789E-2</v>
      </c>
      <c r="I1673" s="27">
        <v>45848</v>
      </c>
      <c r="J1673" s="14">
        <v>166173.75</v>
      </c>
      <c r="K1673" s="28">
        <f t="shared" si="53"/>
        <v>-9.4106546666006367E-3</v>
      </c>
    </row>
    <row r="1674" spans="1:11" x14ac:dyDescent="0.3">
      <c r="A1674" s="23">
        <v>45938</v>
      </c>
      <c r="B1674">
        <v>443.95</v>
      </c>
      <c r="C1674" s="28">
        <f t="shared" si="52"/>
        <v>-2.6660235469513988E-2</v>
      </c>
      <c r="I1674" s="27">
        <v>45879</v>
      </c>
      <c r="J1674" s="14">
        <v>165266.75</v>
      </c>
      <c r="K1674" s="28">
        <f t="shared" si="53"/>
        <v>-5.4581424563145504E-3</v>
      </c>
    </row>
    <row r="1675" spans="1:11" x14ac:dyDescent="0.3">
      <c r="A1675" s="23">
        <v>45939</v>
      </c>
      <c r="B1675">
        <v>450.88</v>
      </c>
      <c r="C1675" s="28">
        <f t="shared" si="52"/>
        <v>1.5609865975898203E-2</v>
      </c>
      <c r="I1675" s="27">
        <v>45910</v>
      </c>
      <c r="J1675" s="14">
        <v>164530.81</v>
      </c>
      <c r="K1675" s="28">
        <f t="shared" si="53"/>
        <v>-4.4530433375134584E-3</v>
      </c>
    </row>
    <row r="1676" spans="1:11" x14ac:dyDescent="0.3">
      <c r="A1676" s="23">
        <v>45940</v>
      </c>
      <c r="B1676">
        <v>448.34</v>
      </c>
      <c r="C1676" s="28">
        <f t="shared" si="52"/>
        <v>-5.6334279630944383E-3</v>
      </c>
      <c r="I1676" s="27">
        <v>45940</v>
      </c>
      <c r="J1676" s="14">
        <v>163098.19</v>
      </c>
      <c r="K1676" s="28">
        <f t="shared" si="53"/>
        <v>-8.7073053369152893E-3</v>
      </c>
    </row>
    <row r="1677" spans="1:11" x14ac:dyDescent="0.3">
      <c r="A1677" s="23">
        <v>45943</v>
      </c>
      <c r="B1677">
        <v>431.38</v>
      </c>
      <c r="C1677" s="28">
        <f t="shared" si="52"/>
        <v>-3.7828433777936342E-2</v>
      </c>
      <c r="I1677" s="26" t="s">
        <v>40</v>
      </c>
      <c r="J1677" s="14">
        <v>158443.42000000001</v>
      </c>
      <c r="K1677" s="28">
        <f t="shared" si="53"/>
        <v>-2.8539679073078552E-2</v>
      </c>
    </row>
    <row r="1678" spans="1:11" x14ac:dyDescent="0.3">
      <c r="A1678" s="23">
        <v>45944</v>
      </c>
      <c r="B1678">
        <v>467.16</v>
      </c>
      <c r="C1678" s="28">
        <f t="shared" si="52"/>
        <v>8.294311280077897E-2</v>
      </c>
      <c r="I1678" s="26" t="s">
        <v>39</v>
      </c>
      <c r="J1678" s="14">
        <v>165476.01999999999</v>
      </c>
      <c r="K1678" s="28">
        <f t="shared" si="53"/>
        <v>4.4385560473259013E-2</v>
      </c>
    </row>
    <row r="1679" spans="1:11" x14ac:dyDescent="0.3">
      <c r="A1679" s="23">
        <v>45945</v>
      </c>
      <c r="B1679">
        <v>458.55</v>
      </c>
      <c r="C1679" s="28">
        <f t="shared" si="52"/>
        <v>-1.8430516311328055E-2</v>
      </c>
      <c r="I1679" s="26" t="s">
        <v>38</v>
      </c>
      <c r="J1679" s="14">
        <v>165686.38</v>
      </c>
      <c r="K1679" s="28">
        <f t="shared" si="53"/>
        <v>1.2712415974230897E-3</v>
      </c>
    </row>
    <row r="1680" spans="1:11" x14ac:dyDescent="0.3">
      <c r="A1680" s="23">
        <v>45946</v>
      </c>
      <c r="B1680">
        <v>454.59</v>
      </c>
      <c r="C1680" s="28">
        <f t="shared" si="52"/>
        <v>-8.6359175662414928E-3</v>
      </c>
      <c r="I1680" s="26" t="s">
        <v>37</v>
      </c>
      <c r="J1680" s="14">
        <v>164444.72</v>
      </c>
      <c r="K1680" s="28">
        <f t="shared" si="53"/>
        <v>-7.494037832198419E-3</v>
      </c>
    </row>
    <row r="1681" spans="1:11" x14ac:dyDescent="0.3">
      <c r="A1681" s="23">
        <v>45947</v>
      </c>
      <c r="B1681">
        <v>459.89</v>
      </c>
      <c r="C1681" s="28">
        <f t="shared" si="52"/>
        <v>1.1658857431971693E-2</v>
      </c>
      <c r="I1681" s="26" t="s">
        <v>36</v>
      </c>
      <c r="J1681" s="14">
        <v>163806.22</v>
      </c>
      <c r="K1681" s="28">
        <f t="shared" si="53"/>
        <v>-3.8827637640174765E-3</v>
      </c>
    </row>
    <row r="1682" spans="1:11" x14ac:dyDescent="0.3">
      <c r="A1682" s="23">
        <v>45950</v>
      </c>
      <c r="B1682">
        <v>462.45</v>
      </c>
      <c r="C1682" s="28">
        <f t="shared" si="52"/>
        <v>5.5665485224727701E-3</v>
      </c>
      <c r="I1682" s="26" t="s">
        <v>35</v>
      </c>
      <c r="J1682" s="14">
        <v>166242.91</v>
      </c>
      <c r="K1682" s="28">
        <f t="shared" si="53"/>
        <v>1.4875442458778441E-2</v>
      </c>
    </row>
    <row r="1683" spans="1:11" x14ac:dyDescent="0.3">
      <c r="A1683" s="23">
        <v>45951</v>
      </c>
      <c r="B1683">
        <v>462.41</v>
      </c>
      <c r="C1683" s="28">
        <f t="shared" si="52"/>
        <v>-8.6495837387747052E-5</v>
      </c>
      <c r="I1683" s="26" t="s">
        <v>34</v>
      </c>
      <c r="J1683" s="14">
        <v>167346.82999999999</v>
      </c>
      <c r="K1683" s="28">
        <f t="shared" si="53"/>
        <v>6.6404034914931635E-3</v>
      </c>
    </row>
    <row r="1684" spans="1:11" x14ac:dyDescent="0.3">
      <c r="A1684" s="23">
        <v>45952</v>
      </c>
      <c r="B1684">
        <v>459.85</v>
      </c>
      <c r="C1684" s="28">
        <f t="shared" si="52"/>
        <v>-5.5362124521528564E-3</v>
      </c>
      <c r="I1684" s="26" t="s">
        <v>33</v>
      </c>
      <c r="J1684" s="14">
        <v>166553.28</v>
      </c>
      <c r="K1684" s="28">
        <f t="shared" si="53"/>
        <v>-4.7419482042174834E-3</v>
      </c>
    </row>
    <row r="1685" spans="1:11" x14ac:dyDescent="0.3">
      <c r="A1685" s="23">
        <v>45953</v>
      </c>
      <c r="B1685">
        <v>451.78</v>
      </c>
      <c r="C1685" s="28">
        <f t="shared" si="52"/>
        <v>-1.7549200826356529E-2</v>
      </c>
      <c r="I1685" s="26" t="s">
        <v>32</v>
      </c>
      <c r="J1685" s="14">
        <v>164590.41</v>
      </c>
      <c r="K1685" s="28">
        <f t="shared" si="53"/>
        <v>-1.1785237732934443E-2</v>
      </c>
    </row>
    <row r="1686" spans="1:11" x14ac:dyDescent="0.3">
      <c r="A1686" s="23">
        <v>45954</v>
      </c>
      <c r="B1686">
        <v>452.32</v>
      </c>
      <c r="C1686" s="28">
        <f t="shared" si="52"/>
        <v>1.1952720350613584E-3</v>
      </c>
      <c r="I1686" s="26" t="s">
        <v>31</v>
      </c>
      <c r="J1686" s="14">
        <v>163304.13</v>
      </c>
      <c r="K1686" s="28">
        <f t="shared" si="53"/>
        <v>-7.8150361251302473E-3</v>
      </c>
    </row>
    <row r="1687" spans="1:11" x14ac:dyDescent="0.3">
      <c r="A1687" s="23">
        <v>45957</v>
      </c>
      <c r="B1687">
        <v>445.2</v>
      </c>
      <c r="C1687" s="28">
        <f t="shared" si="52"/>
        <v>-1.5741068270251159E-2</v>
      </c>
      <c r="I1687" s="26" t="s">
        <v>30</v>
      </c>
      <c r="J1687" s="14">
        <v>162163.81</v>
      </c>
      <c r="K1687" s="28">
        <f t="shared" si="53"/>
        <v>-6.9827995164605267E-3</v>
      </c>
    </row>
    <row r="1688" spans="1:11" x14ac:dyDescent="0.3">
      <c r="A1688" s="23">
        <v>45958</v>
      </c>
      <c r="B1688">
        <v>452.64</v>
      </c>
      <c r="C1688" s="28">
        <f t="shared" si="52"/>
        <v>1.6711590296495951E-2</v>
      </c>
      <c r="I1688" s="26" t="s">
        <v>29</v>
      </c>
      <c r="J1688" s="14">
        <v>160101.03</v>
      </c>
      <c r="K1688" s="28">
        <f t="shared" si="53"/>
        <v>-1.2720347406736427E-2</v>
      </c>
    </row>
    <row r="1689" spans="1:11" x14ac:dyDescent="0.3">
      <c r="A1689" s="23">
        <v>45959</v>
      </c>
      <c r="B1689">
        <v>442.28</v>
      </c>
      <c r="C1689" s="28">
        <f t="shared" si="52"/>
        <v>-2.2887946270767085E-2</v>
      </c>
      <c r="I1689" s="26" t="s">
        <v>28</v>
      </c>
      <c r="J1689" s="14">
        <v>158465.06</v>
      </c>
      <c r="K1689" s="28">
        <f t="shared" si="53"/>
        <v>-1.0218360244153339E-2</v>
      </c>
    </row>
    <row r="1690" spans="1:11" x14ac:dyDescent="0.3">
      <c r="A1690" s="23">
        <v>45960</v>
      </c>
      <c r="B1690">
        <v>445.93</v>
      </c>
      <c r="C1690" s="28">
        <f t="shared" si="52"/>
        <v>8.2526906032378451E-3</v>
      </c>
      <c r="I1690" s="26" t="s">
        <v>27</v>
      </c>
      <c r="J1690" s="14">
        <v>156732.88</v>
      </c>
      <c r="K1690" s="28">
        <f t="shared" si="53"/>
        <v>-1.0930990087026081E-2</v>
      </c>
    </row>
    <row r="1691" spans="1:11" x14ac:dyDescent="0.3">
      <c r="A1691" s="23">
        <v>45961</v>
      </c>
      <c r="B1691">
        <v>459.87</v>
      </c>
      <c r="C1691" s="28">
        <f t="shared" si="52"/>
        <v>3.126051173951068E-2</v>
      </c>
      <c r="I1691" s="26" t="s">
        <v>26</v>
      </c>
      <c r="J1691" s="14">
        <v>161631.73000000001</v>
      </c>
      <c r="K1691" s="28">
        <f t="shared" si="53"/>
        <v>3.1256045317357824E-2</v>
      </c>
    </row>
    <row r="1692" spans="1:11" x14ac:dyDescent="0.3">
      <c r="A1692" s="23">
        <v>45964</v>
      </c>
      <c r="B1692">
        <v>459.92</v>
      </c>
      <c r="C1692" s="28">
        <f t="shared" si="52"/>
        <v>1.087263791941448E-4</v>
      </c>
      <c r="I1692" s="27">
        <v>45727</v>
      </c>
      <c r="J1692" s="14">
        <v>162803.16</v>
      </c>
      <c r="K1692" s="28">
        <f t="shared" si="53"/>
        <v>7.2475249754487747E-3</v>
      </c>
    </row>
    <row r="1693" spans="1:11" x14ac:dyDescent="0.3">
      <c r="A1693" s="23">
        <v>45965</v>
      </c>
      <c r="B1693">
        <v>454.76</v>
      </c>
      <c r="C1693" s="28">
        <f t="shared" si="52"/>
        <v>-1.1219342494346897E-2</v>
      </c>
      <c r="I1693" s="27">
        <v>45758</v>
      </c>
      <c r="J1693" s="14">
        <v>161281.76999999999</v>
      </c>
      <c r="K1693" s="28">
        <f t="shared" si="53"/>
        <v>-9.3449660313719585E-3</v>
      </c>
    </row>
    <row r="1694" spans="1:11" x14ac:dyDescent="0.3">
      <c r="A1694" s="23">
        <v>45966</v>
      </c>
      <c r="B1694">
        <v>442.02</v>
      </c>
      <c r="C1694" s="28">
        <f t="shared" si="52"/>
        <v>-2.8014777025244107E-2</v>
      </c>
      <c r="I1694" s="27">
        <v>45788</v>
      </c>
      <c r="J1694" s="14">
        <v>159578.19</v>
      </c>
      <c r="K1694" s="28">
        <f t="shared" si="53"/>
        <v>-1.0562756100704918E-2</v>
      </c>
    </row>
    <row r="1695" spans="1:11" x14ac:dyDescent="0.3">
      <c r="A1695" s="23">
        <v>45967</v>
      </c>
      <c r="B1695">
        <v>439.66</v>
      </c>
      <c r="C1695" s="28">
        <f t="shared" si="52"/>
        <v>-5.3391249264738176E-3</v>
      </c>
      <c r="I1695" s="27">
        <v>45819</v>
      </c>
      <c r="J1695" s="14">
        <v>159096.79999999999</v>
      </c>
      <c r="K1695" s="28">
        <f t="shared" si="53"/>
        <v>-3.0166403065482444E-3</v>
      </c>
    </row>
    <row r="1696" spans="1:11" x14ac:dyDescent="0.3">
      <c r="A1696" s="23">
        <v>45968</v>
      </c>
      <c r="B1696">
        <v>439.84</v>
      </c>
      <c r="C1696" s="28">
        <f t="shared" si="52"/>
        <v>4.0940726925340026E-4</v>
      </c>
      <c r="I1696" s="27">
        <v>45849</v>
      </c>
      <c r="J1696" s="14">
        <v>159592.91</v>
      </c>
      <c r="K1696" s="28">
        <f t="shared" si="53"/>
        <v>3.1182902484526097E-3</v>
      </c>
    </row>
    <row r="1697" spans="1:11" x14ac:dyDescent="0.3">
      <c r="A1697" s="23">
        <v>45971</v>
      </c>
      <c r="B1697">
        <v>441.42</v>
      </c>
      <c r="C1697" s="28">
        <f t="shared" si="52"/>
        <v>3.5922153510368339E-3</v>
      </c>
      <c r="I1697" s="27">
        <v>45941</v>
      </c>
      <c r="J1697" s="14">
        <v>161538.41</v>
      </c>
      <c r="K1697" s="28">
        <f t="shared" si="53"/>
        <v>1.2190391164620031E-2</v>
      </c>
    </row>
    <row r="1698" spans="1:11" x14ac:dyDescent="0.3">
      <c r="A1698" s="23">
        <v>45972</v>
      </c>
      <c r="B1698">
        <v>430.62</v>
      </c>
      <c r="C1698" s="28">
        <f t="shared" si="52"/>
        <v>-2.4466494495038762E-2</v>
      </c>
      <c r="I1698" s="27">
        <v>45972</v>
      </c>
      <c r="J1698" s="14">
        <v>157870.5</v>
      </c>
      <c r="K1698" s="28">
        <f t="shared" si="53"/>
        <v>-2.2706116768142038E-2</v>
      </c>
    </row>
    <row r="1699" spans="1:11" x14ac:dyDescent="0.3">
      <c r="A1699" s="23">
        <v>45973</v>
      </c>
      <c r="B1699">
        <v>424.34</v>
      </c>
      <c r="C1699" s="28">
        <f t="shared" si="52"/>
        <v>-1.4583623612465816E-2</v>
      </c>
      <c r="I1699" s="27">
        <v>46002</v>
      </c>
      <c r="J1699" s="14">
        <v>158183.95000000001</v>
      </c>
      <c r="K1699" s="28">
        <f t="shared" si="53"/>
        <v>1.985488105757641E-3</v>
      </c>
    </row>
    <row r="1700" spans="1:11" x14ac:dyDescent="0.3">
      <c r="A1700" s="23">
        <v>45974</v>
      </c>
      <c r="B1700">
        <v>445.9</v>
      </c>
      <c r="C1700" s="28">
        <f t="shared" si="52"/>
        <v>5.080831408775982E-2</v>
      </c>
      <c r="I1700" s="26" t="s">
        <v>25</v>
      </c>
      <c r="J1700" s="14">
        <v>160657.5</v>
      </c>
      <c r="K1700" s="28">
        <f t="shared" si="53"/>
        <v>1.5637174315093209E-2</v>
      </c>
    </row>
    <row r="1701" spans="1:11" x14ac:dyDescent="0.3">
      <c r="A1701" s="23">
        <v>45975</v>
      </c>
      <c r="B1701">
        <v>442.41</v>
      </c>
      <c r="C1701" s="28">
        <f t="shared" si="52"/>
        <v>-7.8268670105403736E-3</v>
      </c>
      <c r="I1701" s="26" t="s">
        <v>24</v>
      </c>
      <c r="J1701" s="14">
        <v>161935.19</v>
      </c>
      <c r="K1701" s="28">
        <f t="shared" si="53"/>
        <v>7.952881129110077E-3</v>
      </c>
    </row>
    <row r="1702" spans="1:11" x14ac:dyDescent="0.3">
      <c r="A1702" s="23">
        <v>45978</v>
      </c>
      <c r="B1702">
        <v>432.63</v>
      </c>
      <c r="C1702" s="28">
        <f t="shared" si="52"/>
        <v>-2.2106191089713227E-2</v>
      </c>
      <c r="I1702" s="26" t="s">
        <v>23</v>
      </c>
      <c r="J1702" s="14">
        <v>161687.19</v>
      </c>
      <c r="K1702" s="28">
        <f t="shared" si="53"/>
        <v>-1.5314768828196021E-3</v>
      </c>
    </row>
    <row r="1703" spans="1:11" x14ac:dyDescent="0.3">
      <c r="A1703" s="23">
        <v>45979</v>
      </c>
      <c r="B1703">
        <v>430.24</v>
      </c>
      <c r="C1703" s="28">
        <f t="shared" si="52"/>
        <v>-5.5243510621084679E-3</v>
      </c>
      <c r="I1703" s="26" t="s">
        <v>22</v>
      </c>
      <c r="J1703" s="14">
        <v>160935.13</v>
      </c>
      <c r="K1703" s="28">
        <f t="shared" si="53"/>
        <v>-4.6513270469973386E-3</v>
      </c>
    </row>
    <row r="1704" spans="1:11" x14ac:dyDescent="0.3">
      <c r="A1704" s="23">
        <v>45980</v>
      </c>
      <c r="B1704">
        <v>428.08</v>
      </c>
      <c r="C1704" s="28">
        <f t="shared" si="52"/>
        <v>-5.0204537002603777E-3</v>
      </c>
      <c r="I1704" s="26" t="s">
        <v>21</v>
      </c>
      <c r="J1704" s="14">
        <v>162226.28</v>
      </c>
      <c r="K1704" s="28">
        <f t="shared" si="53"/>
        <v>8.0227977570838278E-3</v>
      </c>
    </row>
    <row r="1705" spans="1:11" x14ac:dyDescent="0.3">
      <c r="A1705" s="23">
        <v>45981</v>
      </c>
      <c r="B1705">
        <v>429.78</v>
      </c>
      <c r="C1705" s="28">
        <f t="shared" si="52"/>
        <v>3.9712203326480768E-3</v>
      </c>
      <c r="I1705" s="26" t="s">
        <v>20</v>
      </c>
      <c r="J1705" s="14">
        <v>162936.94</v>
      </c>
      <c r="K1705" s="28">
        <f t="shared" si="53"/>
        <v>4.3806712451275069E-3</v>
      </c>
    </row>
    <row r="1706" spans="1:11" x14ac:dyDescent="0.3">
      <c r="A1706" s="23">
        <v>45982</v>
      </c>
      <c r="B1706">
        <v>428.42</v>
      </c>
      <c r="C1706" s="28">
        <f t="shared" si="52"/>
        <v>-3.1644096979849151E-3</v>
      </c>
      <c r="I1706" s="26" t="s">
        <v>19</v>
      </c>
      <c r="J1706" s="14">
        <v>162102.92000000001</v>
      </c>
      <c r="K1706" s="28">
        <f t="shared" si="53"/>
        <v>-5.118667381380732E-3</v>
      </c>
    </row>
    <row r="1707" spans="1:11" x14ac:dyDescent="0.3">
      <c r="A1707" s="23">
        <v>45985</v>
      </c>
      <c r="B1707">
        <v>426.98</v>
      </c>
      <c r="C1707" s="28">
        <f t="shared" si="52"/>
        <v>-3.3611876196255955E-3</v>
      </c>
      <c r="I1707" s="26" t="s">
        <v>18</v>
      </c>
      <c r="J1707" s="14">
        <v>161984.09</v>
      </c>
      <c r="K1707" s="28">
        <f t="shared" si="53"/>
        <v>-7.3305280373738046E-4</v>
      </c>
    </row>
    <row r="1708" spans="1:11" x14ac:dyDescent="0.3">
      <c r="A1708" s="23">
        <v>45986</v>
      </c>
      <c r="B1708">
        <v>430.53</v>
      </c>
      <c r="C1708" s="28">
        <f t="shared" si="52"/>
        <v>8.3142067544146204E-3</v>
      </c>
      <c r="I1708" s="26" t="s">
        <v>17</v>
      </c>
      <c r="J1708" s="14">
        <v>161692.48000000001</v>
      </c>
      <c r="K1708" s="28">
        <f t="shared" si="53"/>
        <v>-1.8002385295987158E-3</v>
      </c>
    </row>
    <row r="1709" spans="1:11" x14ac:dyDescent="0.3">
      <c r="A1709" s="23">
        <v>45987</v>
      </c>
      <c r="B1709">
        <v>436.7</v>
      </c>
      <c r="C1709" s="28">
        <f t="shared" si="52"/>
        <v>1.433117320511931E-2</v>
      </c>
      <c r="I1709" s="26" t="s">
        <v>16</v>
      </c>
      <c r="J1709" s="14">
        <v>163188.53</v>
      </c>
      <c r="K1709" s="28">
        <f t="shared" si="53"/>
        <v>9.2524401876944943E-3</v>
      </c>
    </row>
    <row r="1710" spans="1:11" x14ac:dyDescent="0.3">
      <c r="A1710" s="23">
        <v>45988</v>
      </c>
      <c r="B1710">
        <v>451.58</v>
      </c>
      <c r="C1710" s="28">
        <f t="shared" si="52"/>
        <v>3.4073734829402326E-2</v>
      </c>
      <c r="I1710" s="26" t="s">
        <v>15</v>
      </c>
      <c r="J1710" s="14">
        <v>165373.31</v>
      </c>
      <c r="K1710" s="28">
        <f t="shared" si="53"/>
        <v>1.3388073291670676E-2</v>
      </c>
    </row>
    <row r="1711" spans="1:11" x14ac:dyDescent="0.3">
      <c r="A1711" s="23">
        <v>45989</v>
      </c>
      <c r="B1711">
        <v>458.24</v>
      </c>
      <c r="C1711" s="28">
        <f t="shared" si="52"/>
        <v>1.4748217370122736E-2</v>
      </c>
      <c r="I1711" s="26" t="s">
        <v>14</v>
      </c>
      <c r="J1711" s="14">
        <v>166677.70000000001</v>
      </c>
      <c r="K1711" s="28">
        <f t="shared" si="53"/>
        <v>7.8875484804652816E-3</v>
      </c>
    </row>
    <row r="1712" spans="1:11" x14ac:dyDescent="0.3">
      <c r="A1712" s="23">
        <v>45992</v>
      </c>
      <c r="B1712">
        <v>465.35</v>
      </c>
      <c r="C1712" s="28">
        <f t="shared" si="52"/>
        <v>1.551588687150841E-2</v>
      </c>
      <c r="I1712" s="27">
        <v>45669</v>
      </c>
      <c r="J1712" s="14">
        <v>168062.19</v>
      </c>
      <c r="K1712" s="28">
        <f t="shared" si="53"/>
        <v>8.3063901169741997E-3</v>
      </c>
    </row>
    <row r="1713" spans="1:11" x14ac:dyDescent="0.3">
      <c r="A1713" s="23">
        <v>45993</v>
      </c>
      <c r="B1713">
        <v>476.71</v>
      </c>
      <c r="C1713" s="28">
        <f t="shared" si="52"/>
        <v>2.441173310411509E-2</v>
      </c>
      <c r="I1713" s="27">
        <v>45700</v>
      </c>
      <c r="J1713" s="14">
        <v>167642.28</v>
      </c>
      <c r="K1713" s="28">
        <f t="shared" si="53"/>
        <v>-2.4985393799759688E-3</v>
      </c>
    </row>
    <row r="1714" spans="1:11" x14ac:dyDescent="0.3">
      <c r="A1714" s="23">
        <v>45994</v>
      </c>
      <c r="B1714">
        <v>471.13</v>
      </c>
      <c r="C1714" s="28">
        <f t="shared" si="52"/>
        <v>-1.1705229594512354E-2</v>
      </c>
      <c r="I1714" s="27">
        <v>45728</v>
      </c>
      <c r="J1714" s="14">
        <v>166145.34</v>
      </c>
      <c r="K1714" s="28">
        <f t="shared" si="53"/>
        <v>-8.9293703235246054E-3</v>
      </c>
    </row>
    <row r="1715" spans="1:11" x14ac:dyDescent="0.3">
      <c r="A1715" s="23">
        <v>45995</v>
      </c>
      <c r="B1715">
        <v>471.44</v>
      </c>
      <c r="C1715" s="28">
        <f t="shared" si="52"/>
        <v>6.5799248615032425E-4</v>
      </c>
      <c r="I1715" s="27">
        <v>45759</v>
      </c>
      <c r="J1715" s="14">
        <v>166283.54999999999</v>
      </c>
      <c r="K1715" s="28">
        <f t="shared" si="53"/>
        <v>8.3186203115893508E-4</v>
      </c>
    </row>
    <row r="1716" spans="1:11" x14ac:dyDescent="0.3">
      <c r="A1716" s="23">
        <v>45996</v>
      </c>
      <c r="B1716">
        <v>475.6</v>
      </c>
      <c r="C1716" s="28">
        <f t="shared" si="52"/>
        <v>8.8240285083998494E-3</v>
      </c>
      <c r="I1716" s="27">
        <v>45789</v>
      </c>
      <c r="J1716" s="14">
        <v>167085.57999999999</v>
      </c>
      <c r="K1716" s="28">
        <f t="shared" si="53"/>
        <v>4.8232672444147298E-3</v>
      </c>
    </row>
    <row r="1717" spans="1:11" x14ac:dyDescent="0.3">
      <c r="A1717" s="23">
        <v>45999</v>
      </c>
      <c r="B1717">
        <v>476.06</v>
      </c>
      <c r="C1717" s="28">
        <f t="shared" si="52"/>
        <v>9.6719932716564242E-4</v>
      </c>
      <c r="I1717" s="27">
        <v>45881</v>
      </c>
      <c r="J1717" s="14">
        <v>168303.25</v>
      </c>
      <c r="K1717" s="28">
        <f t="shared" si="53"/>
        <v>7.2877025055065369E-3</v>
      </c>
    </row>
    <row r="1718" spans="1:11" x14ac:dyDescent="0.3">
      <c r="A1718" s="23">
        <v>46000</v>
      </c>
      <c r="B1718">
        <v>485.92</v>
      </c>
      <c r="C1718" s="28">
        <f t="shared" si="52"/>
        <v>2.0711674998949742E-2</v>
      </c>
      <c r="I1718" s="27">
        <v>45912</v>
      </c>
      <c r="J1718" s="14">
        <v>169456.39</v>
      </c>
      <c r="K1718" s="28">
        <f t="shared" si="53"/>
        <v>6.8515610958196829E-3</v>
      </c>
    </row>
    <row r="1719" spans="1:11" x14ac:dyDescent="0.3">
      <c r="A1719" s="23">
        <v>46001</v>
      </c>
      <c r="B1719">
        <v>497.28</v>
      </c>
      <c r="C1719" s="28">
        <f t="shared" si="52"/>
        <v>2.3378333882120423E-2</v>
      </c>
      <c r="I1719" s="27">
        <v>45942</v>
      </c>
      <c r="J1719" s="14">
        <v>169451.86</v>
      </c>
      <c r="K1719" s="28">
        <f t="shared" si="53"/>
        <v>-2.6732541629312057E-5</v>
      </c>
    </row>
    <row r="1720" spans="1:11" x14ac:dyDescent="0.3">
      <c r="A1720" s="23">
        <v>46002</v>
      </c>
      <c r="B1720">
        <v>487.24</v>
      </c>
      <c r="C1720" s="28">
        <f t="shared" si="52"/>
        <v>-2.0189832689832619E-2</v>
      </c>
      <c r="I1720" s="27">
        <v>45973</v>
      </c>
      <c r="J1720" s="14">
        <v>168574.69</v>
      </c>
      <c r="K1720" s="28">
        <f t="shared" si="53"/>
        <v>-5.1765144389679984E-3</v>
      </c>
    </row>
    <row r="1721" spans="1:11" x14ac:dyDescent="0.3">
      <c r="A1721" s="23">
        <v>46003</v>
      </c>
      <c r="B1721">
        <v>488.82</v>
      </c>
      <c r="C1721" s="28">
        <f t="shared" si="52"/>
        <v>3.2427551104178311E-3</v>
      </c>
      <c r="I1721" s="27">
        <v>46003</v>
      </c>
      <c r="J1721" s="14">
        <v>169864.53</v>
      </c>
      <c r="K1721" s="28">
        <f t="shared" si="53"/>
        <v>7.6514451843274723E-3</v>
      </c>
    </row>
    <row r="1722" spans="1:11" x14ac:dyDescent="0.3">
      <c r="A1722" s="23">
        <v>46006</v>
      </c>
      <c r="B1722">
        <v>488.6</v>
      </c>
      <c r="C1722" s="28">
        <f t="shared" si="52"/>
        <v>-4.5006341802702516E-4</v>
      </c>
      <c r="I1722" s="26" t="s">
        <v>13</v>
      </c>
      <c r="J1722" s="14">
        <v>170741.34</v>
      </c>
      <c r="K1722" s="28">
        <f t="shared" si="53"/>
        <v>5.1618192450183552E-3</v>
      </c>
    </row>
    <row r="1723" spans="1:11" x14ac:dyDescent="0.3">
      <c r="A1723" s="23">
        <v>46007</v>
      </c>
      <c r="B1723">
        <v>488.3</v>
      </c>
      <c r="C1723" s="28">
        <f t="shared" si="52"/>
        <v>-6.1399918133444816E-4</v>
      </c>
      <c r="I1723" s="26" t="s">
        <v>12</v>
      </c>
      <c r="J1723" s="14">
        <v>170447.3</v>
      </c>
      <c r="K1723" s="28">
        <f t="shared" si="53"/>
        <v>-1.7221371227378686E-3</v>
      </c>
    </row>
    <row r="1724" spans="1:11" x14ac:dyDescent="0.3">
      <c r="A1724" s="23">
        <v>46008</v>
      </c>
      <c r="B1724">
        <v>476.63</v>
      </c>
      <c r="C1724" s="28">
        <f t="shared" si="52"/>
        <v>-2.3899242269096899E-2</v>
      </c>
      <c r="I1724" s="26" t="s">
        <v>11</v>
      </c>
      <c r="J1724" s="14">
        <v>170313.86</v>
      </c>
      <c r="K1724" s="28">
        <f t="shared" si="53"/>
        <v>-7.8288127767352331E-4</v>
      </c>
    </row>
    <row r="1725" spans="1:11" x14ac:dyDescent="0.3">
      <c r="A1725" s="23">
        <v>46009</v>
      </c>
      <c r="B1725">
        <v>485.49</v>
      </c>
      <c r="C1725" s="28">
        <f t="shared" si="52"/>
        <v>1.8588842498374031E-2</v>
      </c>
      <c r="I1725" s="26" t="s">
        <v>10</v>
      </c>
      <c r="J1725" s="14">
        <v>171960.66</v>
      </c>
      <c r="K1725" s="28">
        <f t="shared" si="53"/>
        <v>9.6692071919456096E-3</v>
      </c>
    </row>
    <row r="1726" spans="1:11" x14ac:dyDescent="0.3">
      <c r="A1726" s="23">
        <v>46010</v>
      </c>
      <c r="B1726">
        <v>499.04</v>
      </c>
      <c r="C1726" s="28">
        <f t="shared" si="52"/>
        <v>2.7909946651836312E-2</v>
      </c>
      <c r="I1726" s="26" t="s">
        <v>9</v>
      </c>
      <c r="J1726" s="14">
        <v>171404.48</v>
      </c>
      <c r="K1726" s="28">
        <f t="shared" si="53"/>
        <v>-3.2343444134256814E-3</v>
      </c>
    </row>
    <row r="1727" spans="1:11" x14ac:dyDescent="0.3">
      <c r="A1727" s="23">
        <v>46013</v>
      </c>
      <c r="B1727">
        <v>512.70000000000005</v>
      </c>
      <c r="C1727" s="28">
        <f t="shared" si="52"/>
        <v>2.7372555306187929E-2</v>
      </c>
      <c r="I1727" s="26" t="s">
        <v>8</v>
      </c>
      <c r="J1727" s="14">
        <v>171204.19</v>
      </c>
      <c r="K1727" s="28">
        <f t="shared" si="53"/>
        <v>-1.1685225497023656E-3</v>
      </c>
    </row>
    <row r="1728" spans="1:11" x14ac:dyDescent="0.3">
      <c r="A1728" s="23">
        <v>46014</v>
      </c>
      <c r="B1728">
        <v>509.2</v>
      </c>
      <c r="C1728" s="28">
        <f t="shared" si="52"/>
        <v>-6.8266042519993303E-3</v>
      </c>
      <c r="I1728" s="26" t="s">
        <v>7</v>
      </c>
      <c r="J1728" s="14">
        <v>171073.73</v>
      </c>
      <c r="K1728" s="28">
        <f t="shared" si="53"/>
        <v>-7.6201406052031704E-4</v>
      </c>
    </row>
    <row r="1729" spans="1:18" x14ac:dyDescent="0.3">
      <c r="A1729" s="23">
        <v>46015</v>
      </c>
      <c r="B1729">
        <v>490.42</v>
      </c>
      <c r="C1729" s="28">
        <f t="shared" si="52"/>
        <v>-3.6881382560879757E-2</v>
      </c>
      <c r="I1729" s="26" t="s">
        <v>6</v>
      </c>
      <c r="J1729" s="14">
        <v>170830.22</v>
      </c>
      <c r="K1729" s="28">
        <f t="shared" si="53"/>
        <v>-1.4234213517178196E-3</v>
      </c>
    </row>
    <row r="1730" spans="1:18" x14ac:dyDescent="0.3">
      <c r="A1730" s="23">
        <v>46017</v>
      </c>
      <c r="B1730">
        <v>486.36</v>
      </c>
      <c r="C1730" s="28">
        <f t="shared" si="52"/>
        <v>-8.2786183271481625E-3</v>
      </c>
      <c r="I1730" s="26" t="s">
        <v>5</v>
      </c>
      <c r="J1730" s="14">
        <v>172400.73</v>
      </c>
      <c r="K1730" s="28">
        <f t="shared" si="53"/>
        <v>9.1933968123439121E-3</v>
      </c>
    </row>
    <row r="1731" spans="1:18" x14ac:dyDescent="0.3">
      <c r="A1731" s="23">
        <v>46020</v>
      </c>
      <c r="B1731">
        <v>486.74</v>
      </c>
      <c r="C1731" s="28">
        <f t="shared" si="52"/>
        <v>7.8131425281683417E-4</v>
      </c>
      <c r="I1731" s="26" t="s">
        <v>4</v>
      </c>
      <c r="J1731" s="14">
        <v>173896.34</v>
      </c>
      <c r="K1731" s="28">
        <f t="shared" si="53"/>
        <v>8.6751952848458692E-3</v>
      </c>
    </row>
    <row r="1732" spans="1:18" x14ac:dyDescent="0.3">
      <c r="A1732" s="23">
        <v>46021</v>
      </c>
      <c r="B1732">
        <v>487.24</v>
      </c>
      <c r="C1732" s="28">
        <f t="shared" si="52"/>
        <v>1.0272424703126927E-3</v>
      </c>
      <c r="I1732" s="26" t="s">
        <v>3</v>
      </c>
      <c r="J1732" s="14">
        <v>174472.8</v>
      </c>
      <c r="K1732" s="28">
        <f t="shared" si="53"/>
        <v>3.3149633856583288E-3</v>
      </c>
    </row>
    <row r="1733" spans="1:18" x14ac:dyDescent="0.3">
      <c r="A1733" s="23">
        <v>46022</v>
      </c>
      <c r="B1733">
        <v>474.96</v>
      </c>
      <c r="C1733" s="28">
        <f t="shared" si="52"/>
        <v>-2.5203185288564217E-2</v>
      </c>
      <c r="I1733" s="26" t="s">
        <v>2</v>
      </c>
      <c r="J1733" s="14">
        <v>174054.31</v>
      </c>
      <c r="K1733" s="28">
        <f t="shared" si="53"/>
        <v>-2.3985973744904119E-3</v>
      </c>
    </row>
    <row r="1734" spans="1:18" x14ac:dyDescent="0.3">
      <c r="R1734" s="24"/>
    </row>
    <row r="1735" spans="1:18" x14ac:dyDescent="0.3">
      <c r="R1735" s="24"/>
    </row>
    <row r="1736" spans="1:18" x14ac:dyDescent="0.3">
      <c r="R1736" s="24"/>
    </row>
    <row r="1737" spans="1:18" x14ac:dyDescent="0.3">
      <c r="R1737" s="24"/>
    </row>
    <row r="1738" spans="1:18" x14ac:dyDescent="0.3">
      <c r="R1738" s="24"/>
    </row>
  </sheetData>
  <mergeCells count="3">
    <mergeCell ref="A2:D2"/>
    <mergeCell ref="H2:K2"/>
    <mergeCell ref="A1:V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B024-1528-4B3C-A6DA-62CB893AF785}">
  <dimension ref="A1:O1737"/>
  <sheetViews>
    <sheetView workbookViewId="0">
      <selection activeCell="K3" sqref="K3"/>
    </sheetView>
  </sheetViews>
  <sheetFormatPr defaultRowHeight="14.4" x14ac:dyDescent="0.3"/>
  <cols>
    <col min="1" max="1" width="12.5546875" style="13" customWidth="1"/>
    <col min="2" max="3" width="8.88671875" style="13"/>
    <col min="4" max="4" width="11.109375" style="13" customWidth="1"/>
    <col min="5" max="5" width="12.21875" style="13" customWidth="1"/>
    <col min="6" max="6" width="10.77734375" style="13" customWidth="1"/>
    <col min="8" max="8" width="13.44140625" style="13" customWidth="1"/>
    <col min="9" max="9" width="11.21875" style="13" bestFit="1" customWidth="1"/>
    <col min="10" max="10" width="8.88671875" style="13"/>
    <col min="11" max="11" width="10.44140625" style="13" customWidth="1"/>
    <col min="12" max="14" width="8.88671875" style="13"/>
    <col min="15" max="15" width="10.6640625" style="13" bestFit="1" customWidth="1"/>
  </cols>
  <sheetData>
    <row r="1" spans="1:15" x14ac:dyDescent="0.3">
      <c r="A1" s="67" t="s">
        <v>1071</v>
      </c>
      <c r="B1" s="67"/>
      <c r="C1" s="67"/>
      <c r="D1" s="67"/>
      <c r="E1" s="67"/>
      <c r="F1" s="67"/>
      <c r="H1" s="67" t="s">
        <v>1072</v>
      </c>
      <c r="I1" s="67"/>
      <c r="J1" s="67"/>
      <c r="K1" s="67"/>
      <c r="L1" s="67"/>
      <c r="M1" s="67"/>
      <c r="N1" s="2"/>
      <c r="O1" s="2"/>
    </row>
    <row r="2" spans="1:15" x14ac:dyDescent="0.3">
      <c r="A2" s="21" t="s">
        <v>0</v>
      </c>
      <c r="B2" s="21" t="s">
        <v>1</v>
      </c>
      <c r="C2" s="21" t="s">
        <v>1073</v>
      </c>
      <c r="D2" s="21" t="s">
        <v>1068</v>
      </c>
      <c r="E2" s="21" t="s">
        <v>1059</v>
      </c>
      <c r="F2" s="21" t="s">
        <v>1060</v>
      </c>
      <c r="H2" s="21" t="s">
        <v>0</v>
      </c>
      <c r="I2" s="21" t="s">
        <v>1</v>
      </c>
      <c r="J2" s="21" t="s">
        <v>1073</v>
      </c>
      <c r="K2" s="21" t="s">
        <v>1068</v>
      </c>
      <c r="L2" s="21" t="s">
        <v>1059</v>
      </c>
      <c r="M2" s="21" t="s">
        <v>1060</v>
      </c>
      <c r="N2" s="2"/>
      <c r="O2" s="21" t="s">
        <v>1070</v>
      </c>
    </row>
    <row r="3" spans="1:15" x14ac:dyDescent="0.3">
      <c r="A3" s="19">
        <v>43466</v>
      </c>
      <c r="B3" s="25">
        <v>94.04</v>
      </c>
      <c r="C3" s="25"/>
      <c r="D3" s="48">
        <f>AVERAGE(C4:C1737)</f>
        <v>1.1840074970645765E-3</v>
      </c>
      <c r="E3" s="18">
        <f>_xlfn.STDEV.S(C4:C1737)</f>
        <v>1.5803198314405634E-2</v>
      </c>
      <c r="F3" s="17">
        <f>(_xlfn.STDEV.S(C4:C1737)/AVERAGE(C4:C1737))</f>
        <v>13.347211359375132</v>
      </c>
      <c r="H3" s="19">
        <v>43466</v>
      </c>
      <c r="I3" s="16">
        <v>37995.760000000002</v>
      </c>
      <c r="J3" s="16"/>
      <c r="K3" s="48">
        <f>AVERAGE(J4:J1737)</f>
        <v>9.4710342104937042E-4</v>
      </c>
      <c r="L3" s="18">
        <f>_xlfn.STDEV.S(J4:J1737)</f>
        <v>1.1752929683673644E-2</v>
      </c>
      <c r="M3" s="17">
        <f>(_xlfn.STDEV.S(J4:J1737)/AVERAGE(J4:J1737))</f>
        <v>12.409341390248224</v>
      </c>
      <c r="O3" s="42">
        <f>SLOPE(C4:C1737,J4:J1737)</f>
        <v>0.7071214372383996</v>
      </c>
    </row>
    <row r="4" spans="1:15" x14ac:dyDescent="0.3">
      <c r="A4" s="19">
        <v>43467</v>
      </c>
      <c r="B4" s="25">
        <v>93.75</v>
      </c>
      <c r="C4" s="20">
        <f>(B4-B3)/B3</f>
        <v>-3.083794130157446E-3</v>
      </c>
      <c r="H4" s="19">
        <v>43467</v>
      </c>
      <c r="I4" s="16">
        <v>37795.25</v>
      </c>
      <c r="J4" s="20">
        <f>(I4-I3)/I3</f>
        <v>-5.277167768193136E-3</v>
      </c>
    </row>
    <row r="5" spans="1:15" x14ac:dyDescent="0.3">
      <c r="A5" s="19">
        <v>43468</v>
      </c>
      <c r="B5" s="25">
        <v>93.31</v>
      </c>
      <c r="C5" s="20">
        <f t="shared" ref="C5:C68" si="0">(B5-B4)/B4</f>
        <v>-4.6933333333333089E-3</v>
      </c>
      <c r="H5" s="19">
        <v>43468</v>
      </c>
      <c r="I5" s="16">
        <v>37542.01</v>
      </c>
      <c r="J5" s="20">
        <f t="shared" ref="J5:J68" si="1">(I5-I4)/I4</f>
        <v>-6.700312870003452E-3</v>
      </c>
    </row>
    <row r="6" spans="1:15" x14ac:dyDescent="0.3">
      <c r="A6" s="19">
        <v>43469</v>
      </c>
      <c r="B6" s="25">
        <v>93.01</v>
      </c>
      <c r="C6" s="20">
        <f t="shared" si="0"/>
        <v>-3.2150894866573481E-3</v>
      </c>
      <c r="H6" s="19">
        <v>43469</v>
      </c>
      <c r="I6" s="16">
        <v>37547.49</v>
      </c>
      <c r="J6" s="20">
        <f t="shared" si="1"/>
        <v>1.4596980822273301E-4</v>
      </c>
    </row>
    <row r="7" spans="1:15" x14ac:dyDescent="0.3">
      <c r="A7" s="19">
        <v>43472</v>
      </c>
      <c r="B7" s="25">
        <v>94.35</v>
      </c>
      <c r="C7" s="20">
        <f t="shared" si="0"/>
        <v>1.4407053005053103E-2</v>
      </c>
      <c r="H7" s="19">
        <v>43472</v>
      </c>
      <c r="I7" s="16">
        <v>38562.400000000001</v>
      </c>
      <c r="J7" s="20">
        <f t="shared" si="1"/>
        <v>2.7030035829292545E-2</v>
      </c>
    </row>
    <row r="8" spans="1:15" x14ac:dyDescent="0.3">
      <c r="A8" s="19">
        <v>43473</v>
      </c>
      <c r="B8" s="25">
        <v>96.29</v>
      </c>
      <c r="C8" s="20">
        <f t="shared" si="0"/>
        <v>2.056173820879716E-2</v>
      </c>
      <c r="H8" s="19">
        <v>43473</v>
      </c>
      <c r="I8" s="16">
        <v>39052.5</v>
      </c>
      <c r="J8" s="20">
        <f t="shared" si="1"/>
        <v>1.2709271207186236E-2</v>
      </c>
    </row>
    <row r="9" spans="1:15" x14ac:dyDescent="0.3">
      <c r="A9" s="19">
        <v>43474</v>
      </c>
      <c r="B9" s="25">
        <v>96.42</v>
      </c>
      <c r="C9" s="20">
        <f t="shared" si="0"/>
        <v>1.3500882750025491E-3</v>
      </c>
      <c r="H9" s="19">
        <v>43474</v>
      </c>
      <c r="I9" s="16">
        <v>38921.69</v>
      </c>
      <c r="J9" s="20">
        <f t="shared" si="1"/>
        <v>-3.3495934959348996E-3</v>
      </c>
    </row>
    <row r="10" spans="1:15" x14ac:dyDescent="0.3">
      <c r="A10" s="19">
        <v>43475</v>
      </c>
      <c r="B10" s="25">
        <v>96.24</v>
      </c>
      <c r="C10" s="20">
        <f t="shared" si="0"/>
        <v>-1.8668326073429456E-3</v>
      </c>
      <c r="H10" s="19">
        <v>43475</v>
      </c>
      <c r="I10" s="16">
        <v>39090.28</v>
      </c>
      <c r="J10" s="20">
        <f t="shared" si="1"/>
        <v>4.3315179787927118E-3</v>
      </c>
    </row>
    <row r="11" spans="1:15" x14ac:dyDescent="0.3">
      <c r="A11" s="19">
        <v>43476</v>
      </c>
      <c r="B11" s="25">
        <v>101.05</v>
      </c>
      <c r="C11" s="20">
        <f t="shared" si="0"/>
        <v>4.9979218620116402E-2</v>
      </c>
      <c r="H11" s="19">
        <v>43476</v>
      </c>
      <c r="I11" s="16">
        <v>39049.08</v>
      </c>
      <c r="J11" s="20">
        <f t="shared" si="1"/>
        <v>-1.0539704499429804E-3</v>
      </c>
    </row>
    <row r="12" spans="1:15" x14ac:dyDescent="0.3">
      <c r="A12" s="19">
        <v>43479</v>
      </c>
      <c r="B12" s="25">
        <v>103.91</v>
      </c>
      <c r="C12" s="20">
        <f t="shared" si="0"/>
        <v>2.8302820385947548E-2</v>
      </c>
      <c r="H12" s="19">
        <v>43479</v>
      </c>
      <c r="I12" s="16">
        <v>39412.550000000003</v>
      </c>
      <c r="J12" s="20">
        <f t="shared" si="1"/>
        <v>9.3080297922512167E-3</v>
      </c>
    </row>
    <row r="13" spans="1:15" x14ac:dyDescent="0.3">
      <c r="A13" s="19">
        <v>43480</v>
      </c>
      <c r="B13" s="25">
        <v>105.48</v>
      </c>
      <c r="C13" s="20">
        <f t="shared" si="0"/>
        <v>1.5109229140602516E-2</v>
      </c>
      <c r="H13" s="19">
        <v>43480</v>
      </c>
      <c r="I13" s="16">
        <v>39614.17</v>
      </c>
      <c r="J13" s="20">
        <f t="shared" si="1"/>
        <v>5.1156294124586037E-3</v>
      </c>
    </row>
    <row r="14" spans="1:15" x14ac:dyDescent="0.3">
      <c r="A14" s="19">
        <v>43481</v>
      </c>
      <c r="B14" s="25">
        <v>104.25</v>
      </c>
      <c r="C14" s="20">
        <f t="shared" si="0"/>
        <v>-1.166097838452791E-2</v>
      </c>
      <c r="H14" s="19">
        <v>43481</v>
      </c>
      <c r="I14" s="16">
        <v>39271.94</v>
      </c>
      <c r="J14" s="20">
        <f t="shared" si="1"/>
        <v>-8.6390804098633381E-3</v>
      </c>
    </row>
    <row r="15" spans="1:15" x14ac:dyDescent="0.3">
      <c r="A15" s="19">
        <v>43482</v>
      </c>
      <c r="B15" s="25">
        <v>103.75</v>
      </c>
      <c r="C15" s="20">
        <f t="shared" si="0"/>
        <v>-4.7961630695443642E-3</v>
      </c>
      <c r="H15" s="19">
        <v>43482</v>
      </c>
      <c r="I15" s="16">
        <v>39243.89</v>
      </c>
      <c r="J15" s="20">
        <f t="shared" si="1"/>
        <v>-7.1425042918691847E-4</v>
      </c>
    </row>
    <row r="16" spans="1:15" x14ac:dyDescent="0.3">
      <c r="A16" s="19">
        <v>43483</v>
      </c>
      <c r="B16" s="25">
        <v>104.99</v>
      </c>
      <c r="C16" s="20">
        <f t="shared" si="0"/>
        <v>1.1951807228915614E-2</v>
      </c>
      <c r="H16" s="19">
        <v>43483</v>
      </c>
      <c r="I16" s="16">
        <v>39306.5</v>
      </c>
      <c r="J16" s="20">
        <f t="shared" si="1"/>
        <v>1.5954075908377224E-3</v>
      </c>
    </row>
    <row r="17" spans="1:10" x14ac:dyDescent="0.3">
      <c r="A17" s="19">
        <v>43486</v>
      </c>
      <c r="B17" s="25">
        <v>106.81</v>
      </c>
      <c r="C17" s="20">
        <f t="shared" si="0"/>
        <v>1.7334984284217616E-2</v>
      </c>
      <c r="H17" s="19">
        <v>43486</v>
      </c>
      <c r="I17" s="16">
        <v>39543.769999999997</v>
      </c>
      <c r="J17" s="20">
        <f t="shared" si="1"/>
        <v>6.0364061923599607E-3</v>
      </c>
    </row>
    <row r="18" spans="1:10" x14ac:dyDescent="0.3">
      <c r="A18" s="19">
        <v>43487</v>
      </c>
      <c r="B18" s="25">
        <v>107.23</v>
      </c>
      <c r="C18" s="20">
        <f t="shared" si="0"/>
        <v>3.9322160846362855E-3</v>
      </c>
      <c r="H18" s="19">
        <v>43487</v>
      </c>
      <c r="I18" s="16">
        <v>39902.21</v>
      </c>
      <c r="J18" s="20">
        <f t="shared" si="1"/>
        <v>9.0643861220111883E-3</v>
      </c>
    </row>
    <row r="19" spans="1:10" x14ac:dyDescent="0.3">
      <c r="A19" s="19">
        <v>43488</v>
      </c>
      <c r="B19" s="25">
        <v>105.54</v>
      </c>
      <c r="C19" s="20">
        <f t="shared" si="0"/>
        <v>-1.5760514781311179E-2</v>
      </c>
      <c r="H19" s="19">
        <v>43488</v>
      </c>
      <c r="I19" s="16">
        <v>40057.85</v>
      </c>
      <c r="J19" s="20">
        <f t="shared" si="1"/>
        <v>3.9005358349825593E-3</v>
      </c>
    </row>
    <row r="20" spans="1:10" x14ac:dyDescent="0.3">
      <c r="A20" s="19">
        <v>43489</v>
      </c>
      <c r="B20" s="25">
        <v>106.08</v>
      </c>
      <c r="C20" s="20">
        <f t="shared" si="0"/>
        <v>5.1165434906195947E-3</v>
      </c>
      <c r="H20" s="19">
        <v>43489</v>
      </c>
      <c r="I20" s="16">
        <v>40289.160000000003</v>
      </c>
      <c r="J20" s="20">
        <f t="shared" si="1"/>
        <v>5.7743987757706656E-3</v>
      </c>
    </row>
    <row r="21" spans="1:10" x14ac:dyDescent="0.3">
      <c r="A21" s="19">
        <v>43490</v>
      </c>
      <c r="B21" s="25">
        <v>106.58</v>
      </c>
      <c r="C21" s="20">
        <f t="shared" si="0"/>
        <v>4.7134238310708896E-3</v>
      </c>
      <c r="H21" s="19">
        <v>43490</v>
      </c>
      <c r="I21" s="16">
        <v>40264.78</v>
      </c>
      <c r="J21" s="20">
        <f t="shared" si="1"/>
        <v>-6.0512554741783283E-4</v>
      </c>
    </row>
    <row r="22" spans="1:10" x14ac:dyDescent="0.3">
      <c r="A22" s="19">
        <v>43493</v>
      </c>
      <c r="B22" s="25">
        <v>106.11</v>
      </c>
      <c r="C22" s="20">
        <f t="shared" si="0"/>
        <v>-4.4098329893037984E-3</v>
      </c>
      <c r="H22" s="19">
        <v>43493</v>
      </c>
      <c r="I22" s="16">
        <v>40420.089999999997</v>
      </c>
      <c r="J22" s="20">
        <f t="shared" si="1"/>
        <v>3.8572171510684442E-3</v>
      </c>
    </row>
    <row r="23" spans="1:10" x14ac:dyDescent="0.3">
      <c r="A23" s="19">
        <v>43494</v>
      </c>
      <c r="B23" s="25">
        <v>106.79</v>
      </c>
      <c r="C23" s="20">
        <f t="shared" si="0"/>
        <v>6.4084440674772106E-3</v>
      </c>
      <c r="H23" s="19">
        <v>43494</v>
      </c>
      <c r="I23" s="16">
        <v>40624.39</v>
      </c>
      <c r="J23" s="20">
        <f t="shared" si="1"/>
        <v>5.0544172464732987E-3</v>
      </c>
    </row>
    <row r="24" spans="1:10" x14ac:dyDescent="0.3">
      <c r="A24" s="19">
        <v>43495</v>
      </c>
      <c r="B24" s="25">
        <v>105.53</v>
      </c>
      <c r="C24" s="20">
        <f t="shared" si="0"/>
        <v>-1.1798857570933656E-2</v>
      </c>
      <c r="H24" s="19">
        <v>43495</v>
      </c>
      <c r="I24" s="16">
        <v>40607.120000000003</v>
      </c>
      <c r="J24" s="20">
        <f t="shared" si="1"/>
        <v>-4.2511407555896342E-4</v>
      </c>
    </row>
    <row r="25" spans="1:10" x14ac:dyDescent="0.3">
      <c r="A25" s="19">
        <v>43496</v>
      </c>
      <c r="B25" s="25">
        <v>106.78</v>
      </c>
      <c r="C25" s="20">
        <f t="shared" si="0"/>
        <v>1.1844972993461576E-2</v>
      </c>
      <c r="H25" s="19">
        <v>43496</v>
      </c>
      <c r="I25" s="16">
        <v>40799.519999999997</v>
      </c>
      <c r="J25" s="20">
        <f t="shared" si="1"/>
        <v>4.7380853406987292E-3</v>
      </c>
    </row>
    <row r="26" spans="1:10" x14ac:dyDescent="0.3">
      <c r="A26" s="19">
        <v>43497</v>
      </c>
      <c r="B26" s="25">
        <v>106.17</v>
      </c>
      <c r="C26" s="20">
        <f t="shared" si="0"/>
        <v>-5.7126802772054638E-3</v>
      </c>
      <c r="H26" s="19">
        <v>43497</v>
      </c>
      <c r="I26" s="16">
        <v>41112.71</v>
      </c>
      <c r="J26" s="20">
        <f t="shared" si="1"/>
        <v>7.6763157997937811E-3</v>
      </c>
    </row>
    <row r="27" spans="1:10" x14ac:dyDescent="0.3">
      <c r="A27" s="19">
        <v>43500</v>
      </c>
      <c r="B27" s="25">
        <v>106.11</v>
      </c>
      <c r="C27" s="20">
        <f t="shared" si="0"/>
        <v>-5.6513139304890524E-4</v>
      </c>
      <c r="H27" s="19">
        <v>43500</v>
      </c>
      <c r="I27" s="16">
        <v>41614.39</v>
      </c>
      <c r="J27" s="20">
        <f t="shared" si="1"/>
        <v>1.2202552446676474E-2</v>
      </c>
    </row>
    <row r="28" spans="1:10" x14ac:dyDescent="0.3">
      <c r="A28" s="19">
        <v>43502</v>
      </c>
      <c r="B28" s="25">
        <v>107.94</v>
      </c>
      <c r="C28" s="20">
        <f t="shared" si="0"/>
        <v>1.7246253887475246E-2</v>
      </c>
      <c r="H28" s="19">
        <v>43502</v>
      </c>
      <c r="I28" s="16">
        <v>41505.68</v>
      </c>
      <c r="J28" s="20">
        <f t="shared" si="1"/>
        <v>-2.6123175180508265E-3</v>
      </c>
    </row>
    <row r="29" spans="1:10" x14ac:dyDescent="0.3">
      <c r="A29" s="19">
        <v>43503</v>
      </c>
      <c r="B29" s="25">
        <v>107.52</v>
      </c>
      <c r="C29" s="20">
        <f t="shared" si="0"/>
        <v>-3.8910505836576032E-3</v>
      </c>
      <c r="H29" s="19">
        <v>43503</v>
      </c>
      <c r="I29" s="16">
        <v>41332.75</v>
      </c>
      <c r="J29" s="20">
        <f t="shared" si="1"/>
        <v>-4.1664177047575244E-3</v>
      </c>
    </row>
    <row r="30" spans="1:10" x14ac:dyDescent="0.3">
      <c r="A30" s="19">
        <v>43504</v>
      </c>
      <c r="B30" s="25">
        <v>108.86</v>
      </c>
      <c r="C30" s="20">
        <f t="shared" si="0"/>
        <v>1.2462797619047651E-2</v>
      </c>
      <c r="H30" s="19">
        <v>43504</v>
      </c>
      <c r="I30" s="16">
        <v>40887.35</v>
      </c>
      <c r="J30" s="20">
        <f t="shared" si="1"/>
        <v>-1.0775958531672861E-2</v>
      </c>
    </row>
    <row r="31" spans="1:10" x14ac:dyDescent="0.3">
      <c r="A31" s="19">
        <v>43507</v>
      </c>
      <c r="B31" s="25">
        <v>107.55</v>
      </c>
      <c r="C31" s="20">
        <f t="shared" si="0"/>
        <v>-1.2033804887010861E-2</v>
      </c>
      <c r="H31" s="19">
        <v>43507</v>
      </c>
      <c r="I31" s="16">
        <v>40326.53</v>
      </c>
      <c r="J31" s="20">
        <f t="shared" si="1"/>
        <v>-1.3716222743709233E-2</v>
      </c>
    </row>
    <row r="32" spans="1:10" x14ac:dyDescent="0.3">
      <c r="A32" s="19">
        <v>43508</v>
      </c>
      <c r="B32" s="25">
        <v>109.12</v>
      </c>
      <c r="C32" s="20">
        <f t="shared" si="0"/>
        <v>1.4597861459786214E-2</v>
      </c>
      <c r="H32" s="19">
        <v>43508</v>
      </c>
      <c r="I32" s="16">
        <v>40596.28</v>
      </c>
      <c r="J32" s="20">
        <f t="shared" si="1"/>
        <v>6.6891448383979485E-3</v>
      </c>
    </row>
    <row r="33" spans="1:10" x14ac:dyDescent="0.3">
      <c r="A33" s="19">
        <v>43509</v>
      </c>
      <c r="B33" s="25">
        <v>108.94</v>
      </c>
      <c r="C33" s="20">
        <f t="shared" si="0"/>
        <v>-1.6495601173021153E-3</v>
      </c>
      <c r="H33" s="19">
        <v>43509</v>
      </c>
      <c r="I33" s="16">
        <v>40544.11</v>
      </c>
      <c r="J33" s="20">
        <f t="shared" si="1"/>
        <v>-1.2850931169062351E-3</v>
      </c>
    </row>
    <row r="34" spans="1:10" x14ac:dyDescent="0.3">
      <c r="A34" s="19">
        <v>43510</v>
      </c>
      <c r="B34" s="25">
        <v>108.49</v>
      </c>
      <c r="C34" s="20">
        <f t="shared" si="0"/>
        <v>-4.1307141545805295E-3</v>
      </c>
      <c r="H34" s="19">
        <v>43510</v>
      </c>
      <c r="I34" s="16">
        <v>40506.980000000003</v>
      </c>
      <c r="J34" s="20">
        <f t="shared" si="1"/>
        <v>-9.1579270083860223E-4</v>
      </c>
    </row>
    <row r="35" spans="1:10" x14ac:dyDescent="0.3">
      <c r="A35" s="19">
        <v>43511</v>
      </c>
      <c r="B35" s="25">
        <v>107.4</v>
      </c>
      <c r="C35" s="20">
        <f t="shared" si="0"/>
        <v>-1.0047008940916114E-2</v>
      </c>
      <c r="H35" s="19">
        <v>43511</v>
      </c>
      <c r="I35" s="16">
        <v>40486.67</v>
      </c>
      <c r="J35" s="20">
        <f t="shared" si="1"/>
        <v>-5.0139506820811989E-4</v>
      </c>
    </row>
    <row r="36" spans="1:10" x14ac:dyDescent="0.3">
      <c r="A36" s="19">
        <v>43514</v>
      </c>
      <c r="B36" s="25">
        <v>106.94</v>
      </c>
      <c r="C36" s="20">
        <f t="shared" si="0"/>
        <v>-4.2830540037244683E-3</v>
      </c>
      <c r="H36" s="19">
        <v>43514</v>
      </c>
      <c r="I36" s="16">
        <v>40219.47</v>
      </c>
      <c r="J36" s="20">
        <f t="shared" si="1"/>
        <v>-6.5997030627610795E-3</v>
      </c>
    </row>
    <row r="37" spans="1:10" x14ac:dyDescent="0.3">
      <c r="A37" s="19">
        <v>43515</v>
      </c>
      <c r="B37" s="25">
        <v>106.8</v>
      </c>
      <c r="C37" s="20">
        <f t="shared" si="0"/>
        <v>-1.3091453151299847E-3</v>
      </c>
      <c r="H37" s="19">
        <v>43515</v>
      </c>
      <c r="I37" s="16">
        <v>39957.07</v>
      </c>
      <c r="J37" s="20">
        <f t="shared" si="1"/>
        <v>-6.5242033273934606E-3</v>
      </c>
    </row>
    <row r="38" spans="1:10" x14ac:dyDescent="0.3">
      <c r="A38" s="19">
        <v>43516</v>
      </c>
      <c r="B38" s="25">
        <v>107.7</v>
      </c>
      <c r="C38" s="20">
        <f t="shared" si="0"/>
        <v>8.426966292134885E-3</v>
      </c>
      <c r="H38" s="19">
        <v>43516</v>
      </c>
      <c r="I38" s="16">
        <v>40279.379999999997</v>
      </c>
      <c r="J38" s="20">
        <f t="shared" si="1"/>
        <v>8.0664072716041917E-3</v>
      </c>
    </row>
    <row r="39" spans="1:10" x14ac:dyDescent="0.3">
      <c r="A39" s="19">
        <v>43517</v>
      </c>
      <c r="B39" s="25">
        <v>107.52</v>
      </c>
      <c r="C39" s="20">
        <f t="shared" si="0"/>
        <v>-1.6713091922006204E-3</v>
      </c>
      <c r="H39" s="19">
        <v>43517</v>
      </c>
      <c r="I39" s="16">
        <v>40070.71</v>
      </c>
      <c r="J39" s="20">
        <f t="shared" si="1"/>
        <v>-5.1805663344370806E-3</v>
      </c>
    </row>
    <row r="40" spans="1:10" x14ac:dyDescent="0.3">
      <c r="A40" s="19">
        <v>43518</v>
      </c>
      <c r="B40" s="25">
        <v>107.99</v>
      </c>
      <c r="C40" s="20">
        <f t="shared" si="0"/>
        <v>4.3712797619047516E-3</v>
      </c>
      <c r="H40" s="19">
        <v>43518</v>
      </c>
      <c r="I40" s="16">
        <v>40016.129999999997</v>
      </c>
      <c r="J40" s="20">
        <f t="shared" si="1"/>
        <v>-1.3620921615814081E-3</v>
      </c>
    </row>
    <row r="41" spans="1:10" x14ac:dyDescent="0.3">
      <c r="A41" s="19">
        <v>43521</v>
      </c>
      <c r="B41" s="25">
        <v>108.02</v>
      </c>
      <c r="C41" s="20">
        <f t="shared" si="0"/>
        <v>2.7780350032411463E-4</v>
      </c>
      <c r="H41" s="19">
        <v>43521</v>
      </c>
      <c r="I41" s="16">
        <v>39606.79</v>
      </c>
      <c r="J41" s="20">
        <f t="shared" si="1"/>
        <v>-1.0229375004529338E-2</v>
      </c>
    </row>
    <row r="42" spans="1:10" x14ac:dyDescent="0.3">
      <c r="A42" s="19">
        <v>43522</v>
      </c>
      <c r="B42" s="25">
        <v>106.51</v>
      </c>
      <c r="C42" s="20">
        <f t="shared" si="0"/>
        <v>-1.3978892797629984E-2</v>
      </c>
      <c r="H42" s="19">
        <v>43522</v>
      </c>
      <c r="I42" s="16">
        <v>38821.67</v>
      </c>
      <c r="J42" s="20">
        <f t="shared" si="1"/>
        <v>-1.9822863705945434E-2</v>
      </c>
    </row>
    <row r="43" spans="1:10" x14ac:dyDescent="0.3">
      <c r="A43" s="19">
        <v>43523</v>
      </c>
      <c r="B43" s="25">
        <v>106.62</v>
      </c>
      <c r="C43" s="20">
        <f t="shared" si="0"/>
        <v>1.0327668763496331E-3</v>
      </c>
      <c r="H43" s="19">
        <v>43523</v>
      </c>
      <c r="I43" s="16">
        <v>38692.69</v>
      </c>
      <c r="J43" s="20">
        <f t="shared" si="1"/>
        <v>-3.3223712426589565E-3</v>
      </c>
    </row>
    <row r="44" spans="1:10" x14ac:dyDescent="0.3">
      <c r="A44" s="19">
        <v>43524</v>
      </c>
      <c r="B44" s="25">
        <v>107.14</v>
      </c>
      <c r="C44" s="20">
        <f t="shared" si="0"/>
        <v>4.8771337460138432E-3</v>
      </c>
      <c r="H44" s="19">
        <v>43524</v>
      </c>
      <c r="I44" s="16">
        <v>39054.6</v>
      </c>
      <c r="J44" s="20">
        <f t="shared" si="1"/>
        <v>9.353446348651288E-3</v>
      </c>
    </row>
    <row r="45" spans="1:10" x14ac:dyDescent="0.3">
      <c r="A45" s="19">
        <v>43525</v>
      </c>
      <c r="B45" s="25">
        <v>107.51</v>
      </c>
      <c r="C45" s="20">
        <f t="shared" si="0"/>
        <v>3.453425424678034E-3</v>
      </c>
      <c r="H45" s="19">
        <v>43525</v>
      </c>
      <c r="I45" s="16">
        <v>39539.01</v>
      </c>
      <c r="J45" s="20">
        <f t="shared" si="1"/>
        <v>1.2403404464518994E-2</v>
      </c>
    </row>
    <row r="46" spans="1:10" x14ac:dyDescent="0.3">
      <c r="A46" s="19">
        <v>43528</v>
      </c>
      <c r="B46" s="25">
        <v>108.36</v>
      </c>
      <c r="C46" s="20">
        <f t="shared" si="0"/>
        <v>7.9062412798808889E-3</v>
      </c>
      <c r="H46" s="19">
        <v>43528</v>
      </c>
      <c r="I46" s="16">
        <v>39749.74</v>
      </c>
      <c r="J46" s="20">
        <f t="shared" si="1"/>
        <v>5.3296731506427683E-3</v>
      </c>
    </row>
    <row r="47" spans="1:10" x14ac:dyDescent="0.3">
      <c r="A47" s="19">
        <v>43529</v>
      </c>
      <c r="B47" s="25">
        <v>108</v>
      </c>
      <c r="C47" s="20">
        <f t="shared" si="0"/>
        <v>-3.3222591362126195E-3</v>
      </c>
      <c r="H47" s="19">
        <v>43529</v>
      </c>
      <c r="I47" s="16">
        <v>39688.51</v>
      </c>
      <c r="J47" s="20">
        <f t="shared" si="1"/>
        <v>-1.5403874339805978E-3</v>
      </c>
    </row>
    <row r="48" spans="1:10" x14ac:dyDescent="0.3">
      <c r="A48" s="19">
        <v>43530</v>
      </c>
      <c r="B48" s="25">
        <v>107.57</v>
      </c>
      <c r="C48" s="20">
        <f t="shared" si="0"/>
        <v>-3.981481481481545E-3</v>
      </c>
      <c r="H48" s="19">
        <v>43530</v>
      </c>
      <c r="I48" s="16">
        <v>39568.1</v>
      </c>
      <c r="J48" s="20">
        <f t="shared" si="1"/>
        <v>-3.0338755473562368E-3</v>
      </c>
    </row>
    <row r="49" spans="1:10" x14ac:dyDescent="0.3">
      <c r="A49" s="19">
        <v>43531</v>
      </c>
      <c r="B49" s="25">
        <v>107.07</v>
      </c>
      <c r="C49" s="20">
        <f t="shared" si="0"/>
        <v>-4.6481360974249325E-3</v>
      </c>
      <c r="H49" s="19">
        <v>43531</v>
      </c>
      <c r="I49" s="16">
        <v>39294.1</v>
      </c>
      <c r="J49" s="20">
        <f t="shared" si="1"/>
        <v>-6.9247702063025517E-3</v>
      </c>
    </row>
    <row r="50" spans="1:10" x14ac:dyDescent="0.3">
      <c r="A50" s="19">
        <v>43532</v>
      </c>
      <c r="B50" s="25">
        <v>106.02</v>
      </c>
      <c r="C50" s="20">
        <f t="shared" si="0"/>
        <v>-9.8066685346035048E-3</v>
      </c>
      <c r="H50" s="19">
        <v>43532</v>
      </c>
      <c r="I50" s="16">
        <v>38950.230000000003</v>
      </c>
      <c r="J50" s="20">
        <f t="shared" si="1"/>
        <v>-8.7511865649040274E-3</v>
      </c>
    </row>
    <row r="51" spans="1:10" x14ac:dyDescent="0.3">
      <c r="A51" s="19">
        <v>43535</v>
      </c>
      <c r="B51" s="25">
        <v>105.84</v>
      </c>
      <c r="C51" s="20">
        <f t="shared" si="0"/>
        <v>-1.6977928692698794E-3</v>
      </c>
      <c r="H51" s="19">
        <v>43535</v>
      </c>
      <c r="I51" s="16">
        <v>38924.11</v>
      </c>
      <c r="J51" s="20">
        <f t="shared" si="1"/>
        <v>-6.7059937771876102E-4</v>
      </c>
    </row>
    <row r="52" spans="1:10" x14ac:dyDescent="0.3">
      <c r="A52" s="19">
        <v>43536</v>
      </c>
      <c r="B52" s="25">
        <v>106</v>
      </c>
      <c r="C52" s="20">
        <f t="shared" si="0"/>
        <v>1.5117157974300509E-3</v>
      </c>
      <c r="H52" s="19">
        <v>43536</v>
      </c>
      <c r="I52" s="16">
        <v>38896.49</v>
      </c>
      <c r="J52" s="20">
        <f t="shared" si="1"/>
        <v>-7.095859096072491E-4</v>
      </c>
    </row>
    <row r="53" spans="1:10" x14ac:dyDescent="0.3">
      <c r="A53" s="19">
        <v>43537</v>
      </c>
      <c r="B53" s="25">
        <v>105.82</v>
      </c>
      <c r="C53" s="20">
        <f t="shared" si="0"/>
        <v>-1.6981132075472342E-3</v>
      </c>
      <c r="H53" s="19">
        <v>43537</v>
      </c>
      <c r="I53" s="16">
        <v>38928.93</v>
      </c>
      <c r="J53" s="20">
        <f t="shared" si="1"/>
        <v>8.3400841566944289E-4</v>
      </c>
    </row>
    <row r="54" spans="1:10" x14ac:dyDescent="0.3">
      <c r="A54" s="19">
        <v>43538</v>
      </c>
      <c r="B54" s="25">
        <v>106.35</v>
      </c>
      <c r="C54" s="20">
        <f t="shared" si="0"/>
        <v>5.0085050085050195E-3</v>
      </c>
      <c r="H54" s="19">
        <v>43538</v>
      </c>
      <c r="I54" s="16">
        <v>38808.61</v>
      </c>
      <c r="J54" s="20">
        <f t="shared" si="1"/>
        <v>-3.0907605218021585E-3</v>
      </c>
    </row>
    <row r="55" spans="1:10" x14ac:dyDescent="0.3">
      <c r="A55" s="19">
        <v>43539</v>
      </c>
      <c r="B55" s="25">
        <v>106.89</v>
      </c>
      <c r="C55" s="20">
        <f t="shared" si="0"/>
        <v>5.0775740479549253E-3</v>
      </c>
      <c r="H55" s="19">
        <v>43539</v>
      </c>
      <c r="I55" s="16">
        <v>38306.949999999997</v>
      </c>
      <c r="J55" s="20">
        <f t="shared" si="1"/>
        <v>-1.2926512956789833E-2</v>
      </c>
    </row>
    <row r="56" spans="1:10" x14ac:dyDescent="0.3">
      <c r="A56" s="19">
        <v>43542</v>
      </c>
      <c r="B56" s="25">
        <v>105.74</v>
      </c>
      <c r="C56" s="20">
        <f t="shared" si="0"/>
        <v>-1.0758723921788808E-2</v>
      </c>
      <c r="H56" s="19">
        <v>43542</v>
      </c>
      <c r="I56" s="16">
        <v>38851.949999999997</v>
      </c>
      <c r="J56" s="20">
        <f t="shared" si="1"/>
        <v>1.4227183317909675E-2</v>
      </c>
    </row>
    <row r="57" spans="1:10" x14ac:dyDescent="0.3">
      <c r="A57" s="19">
        <v>43543</v>
      </c>
      <c r="B57" s="25">
        <v>105.05</v>
      </c>
      <c r="C57" s="20">
        <f t="shared" si="0"/>
        <v>-6.5254397578967064E-3</v>
      </c>
      <c r="H57" s="19">
        <v>43543</v>
      </c>
      <c r="I57" s="16">
        <v>38612.370000000003</v>
      </c>
      <c r="J57" s="20">
        <f t="shared" si="1"/>
        <v>-6.1664858520613375E-3</v>
      </c>
    </row>
    <row r="58" spans="1:10" x14ac:dyDescent="0.3">
      <c r="A58" s="19">
        <v>43544</v>
      </c>
      <c r="B58" s="25">
        <v>105.33</v>
      </c>
      <c r="C58" s="20">
        <f t="shared" si="0"/>
        <v>2.6653974297953464E-3</v>
      </c>
      <c r="H58" s="19">
        <v>43544</v>
      </c>
      <c r="I58" s="16">
        <v>38547.760000000002</v>
      </c>
      <c r="J58" s="20">
        <f t="shared" si="1"/>
        <v>-1.6732979612492209E-3</v>
      </c>
    </row>
    <row r="59" spans="1:10" x14ac:dyDescent="0.3">
      <c r="A59" s="19">
        <v>43545</v>
      </c>
      <c r="B59" s="25">
        <v>104.58</v>
      </c>
      <c r="C59" s="20">
        <f t="shared" si="0"/>
        <v>-7.1204784961549413E-3</v>
      </c>
      <c r="H59" s="19">
        <v>43545</v>
      </c>
      <c r="I59" s="16">
        <v>38384.71</v>
      </c>
      <c r="J59" s="20">
        <f t="shared" si="1"/>
        <v>-4.2298177637300561E-3</v>
      </c>
    </row>
    <row r="60" spans="1:10" x14ac:dyDescent="0.3">
      <c r="A60" s="19">
        <v>43546</v>
      </c>
      <c r="B60" s="25">
        <v>104.74</v>
      </c>
      <c r="C60" s="20">
        <f t="shared" si="0"/>
        <v>1.5299292407725817E-3</v>
      </c>
      <c r="H60" s="19">
        <v>43546</v>
      </c>
      <c r="I60" s="16">
        <v>38531.870000000003</v>
      </c>
      <c r="J60" s="20">
        <f t="shared" si="1"/>
        <v>3.8338182052177414E-3</v>
      </c>
    </row>
    <row r="61" spans="1:10" x14ac:dyDescent="0.3">
      <c r="A61" s="19">
        <v>43549</v>
      </c>
      <c r="B61" s="25">
        <v>104.03</v>
      </c>
      <c r="C61" s="20">
        <f t="shared" si="0"/>
        <v>-6.7786900897459784E-3</v>
      </c>
      <c r="H61" s="19">
        <v>43549</v>
      </c>
      <c r="I61" s="16">
        <v>38128.660000000003</v>
      </c>
      <c r="J61" s="20">
        <f t="shared" si="1"/>
        <v>-1.046432472651857E-2</v>
      </c>
    </row>
    <row r="62" spans="1:10" x14ac:dyDescent="0.3">
      <c r="A62" s="19">
        <v>43550</v>
      </c>
      <c r="B62" s="25">
        <v>104.03</v>
      </c>
      <c r="C62" s="20">
        <f t="shared" si="0"/>
        <v>0</v>
      </c>
      <c r="H62" s="19">
        <v>43550</v>
      </c>
      <c r="I62" s="16">
        <v>38329.129999999997</v>
      </c>
      <c r="J62" s="20">
        <f t="shared" si="1"/>
        <v>5.2577247666189654E-3</v>
      </c>
    </row>
    <row r="63" spans="1:10" x14ac:dyDescent="0.3">
      <c r="A63" s="19">
        <v>43551</v>
      </c>
      <c r="B63" s="25">
        <v>105.21</v>
      </c>
      <c r="C63" s="20">
        <f t="shared" si="0"/>
        <v>1.1342881861001563E-2</v>
      </c>
      <c r="H63" s="19">
        <v>43551</v>
      </c>
      <c r="I63" s="16">
        <v>38965.01</v>
      </c>
      <c r="J63" s="20">
        <f t="shared" si="1"/>
        <v>1.658999304184584E-2</v>
      </c>
    </row>
    <row r="64" spans="1:10" x14ac:dyDescent="0.3">
      <c r="A64" s="19">
        <v>43552</v>
      </c>
      <c r="B64" s="25">
        <v>104.3</v>
      </c>
      <c r="C64" s="20">
        <f t="shared" si="0"/>
        <v>-8.6493679308050249E-3</v>
      </c>
      <c r="H64" s="19">
        <v>43552</v>
      </c>
      <c r="I64" s="16">
        <v>38552.949999999997</v>
      </c>
      <c r="J64" s="20">
        <f t="shared" si="1"/>
        <v>-1.0575128814287611E-2</v>
      </c>
    </row>
    <row r="65" spans="1:10" x14ac:dyDescent="0.3">
      <c r="A65" s="19">
        <v>43553</v>
      </c>
      <c r="B65" s="25">
        <v>104.46</v>
      </c>
      <c r="C65" s="20">
        <f t="shared" si="0"/>
        <v>1.5340364333652598E-3</v>
      </c>
      <c r="H65" s="19">
        <v>43553</v>
      </c>
      <c r="I65" s="16">
        <v>38649.339999999997</v>
      </c>
      <c r="J65" s="20">
        <f t="shared" si="1"/>
        <v>2.5001977799364102E-3</v>
      </c>
    </row>
    <row r="66" spans="1:10" x14ac:dyDescent="0.3">
      <c r="A66" s="19">
        <v>43556</v>
      </c>
      <c r="B66" s="25">
        <v>103.41</v>
      </c>
      <c r="C66" s="20">
        <f t="shared" si="0"/>
        <v>-1.0051694428489348E-2</v>
      </c>
      <c r="H66" s="19">
        <v>43556</v>
      </c>
      <c r="I66" s="16">
        <v>38354.85</v>
      </c>
      <c r="J66" s="20">
        <f t="shared" si="1"/>
        <v>-7.6195350295761325E-3</v>
      </c>
    </row>
    <row r="67" spans="1:10" x14ac:dyDescent="0.3">
      <c r="A67" s="19">
        <v>43557</v>
      </c>
      <c r="B67" s="25">
        <v>103.93</v>
      </c>
      <c r="C67" s="20">
        <f t="shared" si="0"/>
        <v>5.0285272217388093E-3</v>
      </c>
      <c r="H67" s="19">
        <v>43557</v>
      </c>
      <c r="I67" s="16">
        <v>38036.03</v>
      </c>
      <c r="J67" s="20">
        <f t="shared" si="1"/>
        <v>-8.3123777045145449E-3</v>
      </c>
    </row>
    <row r="68" spans="1:10" x14ac:dyDescent="0.3">
      <c r="A68" s="19">
        <v>43558</v>
      </c>
      <c r="B68" s="25">
        <v>103.1</v>
      </c>
      <c r="C68" s="20">
        <f t="shared" si="0"/>
        <v>-7.9861445203503554E-3</v>
      </c>
      <c r="H68" s="19">
        <v>43558</v>
      </c>
      <c r="I68" s="16">
        <v>38022.800000000003</v>
      </c>
      <c r="J68" s="20">
        <f t="shared" si="1"/>
        <v>-3.4782809877886638E-4</v>
      </c>
    </row>
    <row r="69" spans="1:10" x14ac:dyDescent="0.3">
      <c r="A69" s="19">
        <v>43559</v>
      </c>
      <c r="B69" s="25">
        <v>103.18</v>
      </c>
      <c r="C69" s="20">
        <f t="shared" ref="C69:C132" si="2">(B69-B68)/B68</f>
        <v>7.7594568380225516E-4</v>
      </c>
      <c r="H69" s="19">
        <v>43559</v>
      </c>
      <c r="I69" s="16">
        <v>37516.11</v>
      </c>
      <c r="J69" s="20">
        <f t="shared" ref="J69:J132" si="3">(I69-I68)/I68</f>
        <v>-1.3325951797342707E-2</v>
      </c>
    </row>
    <row r="70" spans="1:10" x14ac:dyDescent="0.3">
      <c r="A70" s="19">
        <v>43560</v>
      </c>
      <c r="B70" s="25">
        <v>102.79</v>
      </c>
      <c r="C70" s="20">
        <f t="shared" si="2"/>
        <v>-3.7798022872649792E-3</v>
      </c>
      <c r="H70" s="19">
        <v>43560</v>
      </c>
      <c r="I70" s="16">
        <v>37521.81</v>
      </c>
      <c r="J70" s="20">
        <f t="shared" si="3"/>
        <v>1.5193472884041256E-4</v>
      </c>
    </row>
    <row r="71" spans="1:10" x14ac:dyDescent="0.3">
      <c r="A71" s="19">
        <v>43563</v>
      </c>
      <c r="B71" s="25">
        <v>102.4</v>
      </c>
      <c r="C71" s="20">
        <f t="shared" si="2"/>
        <v>-3.794143399163348E-3</v>
      </c>
      <c r="H71" s="19">
        <v>43563</v>
      </c>
      <c r="I71" s="16">
        <v>36921.910000000003</v>
      </c>
      <c r="J71" s="20">
        <f t="shared" si="3"/>
        <v>-1.5988034692356105E-2</v>
      </c>
    </row>
    <row r="72" spans="1:10" x14ac:dyDescent="0.3">
      <c r="A72" s="19">
        <v>43564</v>
      </c>
      <c r="B72" s="25">
        <v>101.52</v>
      </c>
      <c r="C72" s="20">
        <f t="shared" si="2"/>
        <v>-8.5937500000000944E-3</v>
      </c>
      <c r="H72" s="19">
        <v>43564</v>
      </c>
      <c r="I72" s="16">
        <v>37129.97</v>
      </c>
      <c r="J72" s="20">
        <f t="shared" si="3"/>
        <v>5.6351364271241024E-3</v>
      </c>
    </row>
    <row r="73" spans="1:10" x14ac:dyDescent="0.3">
      <c r="A73" s="19">
        <v>43565</v>
      </c>
      <c r="B73" s="25">
        <v>99.99</v>
      </c>
      <c r="C73" s="20">
        <f t="shared" si="2"/>
        <v>-1.5070921985815614E-2</v>
      </c>
      <c r="H73" s="19">
        <v>43565</v>
      </c>
      <c r="I73" s="16">
        <v>36579.32</v>
      </c>
      <c r="J73" s="20">
        <f t="shared" si="3"/>
        <v>-1.483033786453373E-2</v>
      </c>
    </row>
    <row r="74" spans="1:10" x14ac:dyDescent="0.3">
      <c r="A74" s="19">
        <v>43566</v>
      </c>
      <c r="B74" s="25">
        <v>100.3</v>
      </c>
      <c r="C74" s="20">
        <f t="shared" si="2"/>
        <v>3.100310031003123E-3</v>
      </c>
      <c r="H74" s="19">
        <v>43566</v>
      </c>
      <c r="I74" s="16">
        <v>36787.64</v>
      </c>
      <c r="J74" s="20">
        <f t="shared" si="3"/>
        <v>5.6950211212236784E-3</v>
      </c>
    </row>
    <row r="75" spans="1:10" x14ac:dyDescent="0.3">
      <c r="A75" s="19">
        <v>43567</v>
      </c>
      <c r="B75" s="25">
        <v>101.35</v>
      </c>
      <c r="C75" s="20">
        <f t="shared" si="2"/>
        <v>1.0468594217347927E-2</v>
      </c>
      <c r="H75" s="19">
        <v>43567</v>
      </c>
      <c r="I75" s="16">
        <v>37337.870000000003</v>
      </c>
      <c r="J75" s="20">
        <f t="shared" si="3"/>
        <v>1.4956925750061793E-2</v>
      </c>
    </row>
    <row r="76" spans="1:10" x14ac:dyDescent="0.3">
      <c r="A76" s="19">
        <v>43570</v>
      </c>
      <c r="B76" s="25">
        <v>101.26</v>
      </c>
      <c r="C76" s="20">
        <f t="shared" si="2"/>
        <v>-8.8801184015776223E-4</v>
      </c>
      <c r="H76" s="19">
        <v>43570</v>
      </c>
      <c r="I76" s="16">
        <v>37504.080000000002</v>
      </c>
      <c r="J76" s="20">
        <f t="shared" si="3"/>
        <v>4.4515126331523226E-3</v>
      </c>
    </row>
    <row r="77" spans="1:10" x14ac:dyDescent="0.3">
      <c r="A77" s="19">
        <v>43571</v>
      </c>
      <c r="B77" s="25">
        <v>102.31</v>
      </c>
      <c r="C77" s="20">
        <f t="shared" si="2"/>
        <v>1.0369346237408622E-2</v>
      </c>
      <c r="H77" s="19">
        <v>43571</v>
      </c>
      <c r="I77" s="16">
        <v>37381.949999999997</v>
      </c>
      <c r="J77" s="20">
        <f t="shared" si="3"/>
        <v>-3.2564456987081046E-3</v>
      </c>
    </row>
    <row r="78" spans="1:10" x14ac:dyDescent="0.3">
      <c r="A78" s="19">
        <v>43572</v>
      </c>
      <c r="B78" s="25">
        <v>101.56</v>
      </c>
      <c r="C78" s="20">
        <f t="shared" si="2"/>
        <v>-7.3306617143974193E-3</v>
      </c>
      <c r="H78" s="19">
        <v>43572</v>
      </c>
      <c r="I78" s="16">
        <v>36752.57</v>
      </c>
      <c r="J78" s="20">
        <f t="shared" si="3"/>
        <v>-1.6836467867513531E-2</v>
      </c>
    </row>
    <row r="79" spans="1:10" x14ac:dyDescent="0.3">
      <c r="A79" s="19">
        <v>43573</v>
      </c>
      <c r="B79" s="25">
        <v>104.07</v>
      </c>
      <c r="C79" s="20">
        <f t="shared" si="2"/>
        <v>2.4714454509649379E-2</v>
      </c>
      <c r="H79" s="19">
        <v>43573</v>
      </c>
      <c r="I79" s="16">
        <v>36811.86</v>
      </c>
      <c r="J79" s="20">
        <f t="shared" si="3"/>
        <v>1.6132205176400147E-3</v>
      </c>
    </row>
    <row r="80" spans="1:10" x14ac:dyDescent="0.3">
      <c r="A80" s="19">
        <v>43574</v>
      </c>
      <c r="B80" s="25">
        <v>106.64</v>
      </c>
      <c r="C80" s="20">
        <f t="shared" si="2"/>
        <v>2.4694916882867374E-2</v>
      </c>
      <c r="H80" s="19">
        <v>43574</v>
      </c>
      <c r="I80" s="16">
        <v>37292.47</v>
      </c>
      <c r="J80" s="20">
        <f t="shared" si="3"/>
        <v>1.3055846675500792E-2</v>
      </c>
    </row>
    <row r="81" spans="1:10" x14ac:dyDescent="0.3">
      <c r="A81" s="19">
        <v>43577</v>
      </c>
      <c r="B81" s="25">
        <v>105.5</v>
      </c>
      <c r="C81" s="20">
        <f t="shared" si="2"/>
        <v>-1.0690172543135789E-2</v>
      </c>
      <c r="H81" s="19">
        <v>43577</v>
      </c>
      <c r="I81" s="16">
        <v>36901.69</v>
      </c>
      <c r="J81" s="20">
        <f t="shared" si="3"/>
        <v>-1.0478791026713941E-2</v>
      </c>
    </row>
    <row r="82" spans="1:10" x14ac:dyDescent="0.3">
      <c r="A82" s="19">
        <v>43578</v>
      </c>
      <c r="B82" s="25">
        <v>104.97</v>
      </c>
      <c r="C82" s="20">
        <f t="shared" si="2"/>
        <v>-5.0236966824644654E-3</v>
      </c>
      <c r="H82" s="19">
        <v>43578</v>
      </c>
      <c r="I82" s="16">
        <v>36404.03</v>
      </c>
      <c r="J82" s="20">
        <f t="shared" si="3"/>
        <v>-1.3486103210991243E-2</v>
      </c>
    </row>
    <row r="83" spans="1:10" x14ac:dyDescent="0.3">
      <c r="A83" s="19">
        <v>43579</v>
      </c>
      <c r="B83" s="25">
        <v>104.64</v>
      </c>
      <c r="C83" s="20">
        <f t="shared" si="2"/>
        <v>-3.1437553586738907E-3</v>
      </c>
      <c r="H83" s="19">
        <v>43579</v>
      </c>
      <c r="I83" s="16">
        <v>36504.25</v>
      </c>
      <c r="J83" s="20">
        <f t="shared" si="3"/>
        <v>2.7529919077640902E-3</v>
      </c>
    </row>
    <row r="84" spans="1:10" x14ac:dyDescent="0.3">
      <c r="A84" s="19">
        <v>43580</v>
      </c>
      <c r="B84" s="25">
        <v>104.95</v>
      </c>
      <c r="C84" s="20">
        <f t="shared" si="2"/>
        <v>2.9625382262997157E-3</v>
      </c>
      <c r="H84" s="19">
        <v>43580</v>
      </c>
      <c r="I84" s="16">
        <v>36796.03</v>
      </c>
      <c r="J84" s="20">
        <f t="shared" si="3"/>
        <v>7.9930419060793966E-3</v>
      </c>
    </row>
    <row r="85" spans="1:10" x14ac:dyDescent="0.3">
      <c r="A85" s="19">
        <v>43581</v>
      </c>
      <c r="B85" s="25">
        <v>104.62</v>
      </c>
      <c r="C85" s="20">
        <f t="shared" si="2"/>
        <v>-3.1443544545021276E-3</v>
      </c>
      <c r="H85" s="19">
        <v>43581</v>
      </c>
      <c r="I85" s="16">
        <v>37130.629999999997</v>
      </c>
      <c r="J85" s="20">
        <f t="shared" si="3"/>
        <v>9.0933723013052921E-3</v>
      </c>
    </row>
    <row r="86" spans="1:10" x14ac:dyDescent="0.3">
      <c r="A86" s="19">
        <v>43584</v>
      </c>
      <c r="B86" s="25">
        <v>104.19</v>
      </c>
      <c r="C86" s="20">
        <f t="shared" si="2"/>
        <v>-4.1101127891417207E-3</v>
      </c>
      <c r="H86" s="19">
        <v>43584</v>
      </c>
      <c r="I86" s="16">
        <v>37026.269999999997</v>
      </c>
      <c r="J86" s="20">
        <f t="shared" si="3"/>
        <v>-2.8106175413668065E-3</v>
      </c>
    </row>
    <row r="87" spans="1:10" x14ac:dyDescent="0.3">
      <c r="A87" s="19">
        <v>43585</v>
      </c>
      <c r="B87" s="25">
        <v>103.91</v>
      </c>
      <c r="C87" s="20">
        <f t="shared" si="2"/>
        <v>-2.6873980228428944E-3</v>
      </c>
      <c r="H87" s="19">
        <v>43585</v>
      </c>
      <c r="I87" s="16">
        <v>36784.44</v>
      </c>
      <c r="J87" s="20">
        <f t="shared" si="3"/>
        <v>-6.5313087167568999E-3</v>
      </c>
    </row>
    <row r="88" spans="1:10" x14ac:dyDescent="0.3">
      <c r="A88" s="19">
        <v>43587</v>
      </c>
      <c r="B88" s="25">
        <v>103.5</v>
      </c>
      <c r="C88" s="20">
        <f t="shared" si="2"/>
        <v>-3.9457222596477395E-3</v>
      </c>
      <c r="H88" s="19">
        <v>43587</v>
      </c>
      <c r="I88" s="16">
        <v>36547.629999999997</v>
      </c>
      <c r="J88" s="20">
        <f t="shared" si="3"/>
        <v>-6.437776407633362E-3</v>
      </c>
    </row>
    <row r="89" spans="1:10" x14ac:dyDescent="0.3">
      <c r="A89" s="19">
        <v>43588</v>
      </c>
      <c r="B89" s="25">
        <v>102.04</v>
      </c>
      <c r="C89" s="20">
        <f t="shared" si="2"/>
        <v>-1.4106280193236655E-2</v>
      </c>
      <c r="H89" s="19">
        <v>43588</v>
      </c>
      <c r="I89" s="16">
        <v>36122.949999999997</v>
      </c>
      <c r="J89" s="20">
        <f t="shared" si="3"/>
        <v>-1.1619905312601674E-2</v>
      </c>
    </row>
    <row r="90" spans="1:10" x14ac:dyDescent="0.3">
      <c r="A90" s="19">
        <v>43591</v>
      </c>
      <c r="B90" s="25">
        <v>101.11</v>
      </c>
      <c r="C90" s="20">
        <f t="shared" si="2"/>
        <v>-9.1140729125833674E-3</v>
      </c>
      <c r="H90" s="19">
        <v>43591</v>
      </c>
      <c r="I90" s="16">
        <v>35605.42</v>
      </c>
      <c r="J90" s="20">
        <f t="shared" si="3"/>
        <v>-1.4326902979961462E-2</v>
      </c>
    </row>
    <row r="91" spans="1:10" x14ac:dyDescent="0.3">
      <c r="A91" s="19">
        <v>43592</v>
      </c>
      <c r="B91" s="25">
        <v>101.35</v>
      </c>
      <c r="C91" s="20">
        <f t="shared" si="2"/>
        <v>2.3736524577192648E-3</v>
      </c>
      <c r="H91" s="19">
        <v>43592</v>
      </c>
      <c r="I91" s="16">
        <v>35631.06</v>
      </c>
      <c r="J91" s="20">
        <f t="shared" si="3"/>
        <v>7.2011508360242404E-4</v>
      </c>
    </row>
    <row r="92" spans="1:10" x14ac:dyDescent="0.3">
      <c r="A92" s="19">
        <v>43593</v>
      </c>
      <c r="B92" s="25">
        <v>99.03</v>
      </c>
      <c r="C92" s="20">
        <f t="shared" si="2"/>
        <v>-2.2890971879624997E-2</v>
      </c>
      <c r="H92" s="19">
        <v>43593</v>
      </c>
      <c r="I92" s="16">
        <v>35035.03</v>
      </c>
      <c r="J92" s="20">
        <f t="shared" si="3"/>
        <v>-1.6727821176243392E-2</v>
      </c>
    </row>
    <row r="93" spans="1:10" x14ac:dyDescent="0.3">
      <c r="A93" s="19">
        <v>43594</v>
      </c>
      <c r="B93" s="25">
        <v>98.43</v>
      </c>
      <c r="C93" s="20">
        <f t="shared" si="2"/>
        <v>-6.0587700696757979E-3</v>
      </c>
      <c r="H93" s="19">
        <v>43594</v>
      </c>
      <c r="I93" s="16">
        <v>34887.64</v>
      </c>
      <c r="J93" s="20">
        <f t="shared" si="3"/>
        <v>-4.2069323188819712E-3</v>
      </c>
    </row>
    <row r="94" spans="1:10" x14ac:dyDescent="0.3">
      <c r="A94" s="19">
        <v>43595</v>
      </c>
      <c r="B94" s="25">
        <v>98</v>
      </c>
      <c r="C94" s="20">
        <f t="shared" si="2"/>
        <v>-4.3685868129635964E-3</v>
      </c>
      <c r="H94" s="19">
        <v>43595</v>
      </c>
      <c r="I94" s="16">
        <v>34716.53</v>
      </c>
      <c r="J94" s="20">
        <f t="shared" si="3"/>
        <v>-4.9046023176116411E-3</v>
      </c>
    </row>
    <row r="95" spans="1:10" x14ac:dyDescent="0.3">
      <c r="A95" s="19">
        <v>43598</v>
      </c>
      <c r="B95" s="25">
        <v>93.11</v>
      </c>
      <c r="C95" s="20">
        <f t="shared" si="2"/>
        <v>-4.9897959183673478E-2</v>
      </c>
      <c r="H95" s="19">
        <v>43598</v>
      </c>
      <c r="I95" s="16">
        <v>33900.379999999997</v>
      </c>
      <c r="J95" s="20">
        <f t="shared" si="3"/>
        <v>-2.3508973967156323E-2</v>
      </c>
    </row>
    <row r="96" spans="1:10" x14ac:dyDescent="0.3">
      <c r="A96" s="19">
        <v>43599</v>
      </c>
      <c r="B96" s="25">
        <v>92.42</v>
      </c>
      <c r="C96" s="20">
        <f t="shared" si="2"/>
        <v>-7.4105896251745003E-3</v>
      </c>
      <c r="H96" s="19">
        <v>43599</v>
      </c>
      <c r="I96" s="16">
        <v>33885.089999999997</v>
      </c>
      <c r="J96" s="20">
        <f t="shared" si="3"/>
        <v>-4.5102739261332391E-4</v>
      </c>
    </row>
    <row r="97" spans="1:10" x14ac:dyDescent="0.3">
      <c r="A97" s="19">
        <v>43600</v>
      </c>
      <c r="B97" s="25">
        <v>92.19</v>
      </c>
      <c r="C97" s="20">
        <f t="shared" si="2"/>
        <v>-2.4886388227656781E-3</v>
      </c>
      <c r="H97" s="19">
        <v>43600</v>
      </c>
      <c r="I97" s="16">
        <v>34291.65</v>
      </c>
      <c r="J97" s="20">
        <f t="shared" si="3"/>
        <v>1.1998197437280084E-2</v>
      </c>
    </row>
    <row r="98" spans="1:10" x14ac:dyDescent="0.3">
      <c r="A98" s="19">
        <v>43601</v>
      </c>
      <c r="B98" s="25">
        <v>91.48</v>
      </c>
      <c r="C98" s="20">
        <f t="shared" si="2"/>
        <v>-7.7014860613948775E-3</v>
      </c>
      <c r="H98" s="19">
        <v>43601</v>
      </c>
      <c r="I98" s="16">
        <v>33971.120000000003</v>
      </c>
      <c r="J98" s="20">
        <f t="shared" si="3"/>
        <v>-9.3471734372653058E-3</v>
      </c>
    </row>
    <row r="99" spans="1:10" x14ac:dyDescent="0.3">
      <c r="A99" s="19">
        <v>43602</v>
      </c>
      <c r="B99" s="25">
        <v>87.15</v>
      </c>
      <c r="C99" s="20">
        <f t="shared" si="2"/>
        <v>-4.7332750327940515E-2</v>
      </c>
      <c r="H99" s="19">
        <v>43602</v>
      </c>
      <c r="I99" s="16">
        <v>33166.620000000003</v>
      </c>
      <c r="J99" s="20">
        <f t="shared" si="3"/>
        <v>-2.3681880373682115E-2</v>
      </c>
    </row>
    <row r="100" spans="1:10" x14ac:dyDescent="0.3">
      <c r="A100" s="19">
        <v>43605</v>
      </c>
      <c r="B100" s="25">
        <v>86.48</v>
      </c>
      <c r="C100" s="20">
        <f t="shared" si="2"/>
        <v>-7.6878944348824059E-3</v>
      </c>
      <c r="H100" s="19">
        <v>43605</v>
      </c>
      <c r="I100" s="16">
        <v>33250.54</v>
      </c>
      <c r="J100" s="20">
        <f t="shared" si="3"/>
        <v>2.5302548164388848E-3</v>
      </c>
    </row>
    <row r="101" spans="1:10" x14ac:dyDescent="0.3">
      <c r="A101" s="19">
        <v>43606</v>
      </c>
      <c r="B101" s="25">
        <v>84.88</v>
      </c>
      <c r="C101" s="20">
        <f t="shared" si="2"/>
        <v>-1.8501387604070402E-2</v>
      </c>
      <c r="H101" s="19">
        <v>43606</v>
      </c>
      <c r="I101" s="16">
        <v>33442.1</v>
      </c>
      <c r="J101" s="20">
        <f t="shared" si="3"/>
        <v>5.7611094436360328E-3</v>
      </c>
    </row>
    <row r="102" spans="1:10" x14ac:dyDescent="0.3">
      <c r="A102" s="19">
        <v>43607</v>
      </c>
      <c r="B102" s="25">
        <v>89.12</v>
      </c>
      <c r="C102" s="20">
        <f t="shared" si="2"/>
        <v>4.995287464655996E-2</v>
      </c>
      <c r="H102" s="19">
        <v>43607</v>
      </c>
      <c r="I102" s="16">
        <v>34637.14</v>
      </c>
      <c r="J102" s="20">
        <f t="shared" si="3"/>
        <v>3.573459800670415E-2</v>
      </c>
    </row>
    <row r="103" spans="1:10" x14ac:dyDescent="0.3">
      <c r="A103" s="19">
        <v>43608</v>
      </c>
      <c r="B103" s="25">
        <v>93.55</v>
      </c>
      <c r="C103" s="20">
        <f t="shared" si="2"/>
        <v>4.9708258527827565E-2</v>
      </c>
      <c r="H103" s="19">
        <v>43608</v>
      </c>
      <c r="I103" s="16">
        <v>35581.339999999997</v>
      </c>
      <c r="J103" s="20">
        <f t="shared" si="3"/>
        <v>2.7259756434855682E-2</v>
      </c>
    </row>
    <row r="104" spans="1:10" x14ac:dyDescent="0.3">
      <c r="A104" s="19">
        <v>43609</v>
      </c>
      <c r="B104" s="25">
        <v>97.68</v>
      </c>
      <c r="C104" s="20">
        <f t="shared" si="2"/>
        <v>4.4147514698022555E-2</v>
      </c>
      <c r="H104" s="19">
        <v>43609</v>
      </c>
      <c r="I104" s="16">
        <v>35703.81</v>
      </c>
      <c r="J104" s="20">
        <f t="shared" si="3"/>
        <v>3.4419726744411867E-3</v>
      </c>
    </row>
    <row r="105" spans="1:10" x14ac:dyDescent="0.3">
      <c r="A105" s="19">
        <v>43612</v>
      </c>
      <c r="B105" s="25">
        <v>94.26</v>
      </c>
      <c r="C105" s="20">
        <f t="shared" si="2"/>
        <v>-3.5012285012285024E-2</v>
      </c>
      <c r="H105" s="19">
        <v>43612</v>
      </c>
      <c r="I105" s="16">
        <v>35697.370000000003</v>
      </c>
      <c r="J105" s="20">
        <f t="shared" si="3"/>
        <v>-1.8037290698093712E-4</v>
      </c>
    </row>
    <row r="106" spans="1:10" x14ac:dyDescent="0.3">
      <c r="A106" s="19">
        <v>43613</v>
      </c>
      <c r="B106" s="25">
        <v>90.07</v>
      </c>
      <c r="C106" s="20">
        <f t="shared" si="2"/>
        <v>-4.4451517080415996E-2</v>
      </c>
      <c r="H106" s="19">
        <v>43613</v>
      </c>
      <c r="I106" s="16">
        <v>34949.279999999999</v>
      </c>
      <c r="J106" s="20">
        <f t="shared" si="3"/>
        <v>-2.0956445810994023E-2</v>
      </c>
    </row>
    <row r="107" spans="1:10" x14ac:dyDescent="0.3">
      <c r="A107" s="19">
        <v>43614</v>
      </c>
      <c r="B107" s="25">
        <v>94.57</v>
      </c>
      <c r="C107" s="20">
        <f t="shared" si="2"/>
        <v>4.9961141334517602E-2</v>
      </c>
      <c r="H107" s="19">
        <v>43614</v>
      </c>
      <c r="I107" s="16">
        <v>35959.43</v>
      </c>
      <c r="J107" s="20">
        <f t="shared" si="3"/>
        <v>2.8903313601882544E-2</v>
      </c>
    </row>
    <row r="108" spans="1:10" x14ac:dyDescent="0.3">
      <c r="A108" s="19">
        <v>43615</v>
      </c>
      <c r="B108" s="25">
        <v>92.2</v>
      </c>
      <c r="C108" s="20">
        <f t="shared" si="2"/>
        <v>-2.506080152268151E-2</v>
      </c>
      <c r="H108" s="19">
        <v>43615</v>
      </c>
      <c r="I108" s="16">
        <v>35974.79</v>
      </c>
      <c r="J108" s="20">
        <f t="shared" si="3"/>
        <v>4.271480387759367E-4</v>
      </c>
    </row>
    <row r="109" spans="1:10" x14ac:dyDescent="0.3">
      <c r="A109" s="19">
        <v>43619</v>
      </c>
      <c r="B109" s="25">
        <v>91.06</v>
      </c>
      <c r="C109" s="20">
        <f t="shared" si="2"/>
        <v>-1.2364425162689811E-2</v>
      </c>
      <c r="H109" s="19">
        <v>43619</v>
      </c>
      <c r="I109" s="16">
        <v>35505.29</v>
      </c>
      <c r="J109" s="20">
        <f t="shared" si="3"/>
        <v>-1.3050805855989708E-2</v>
      </c>
    </row>
    <row r="110" spans="1:10" x14ac:dyDescent="0.3">
      <c r="A110" s="19">
        <v>43626</v>
      </c>
      <c r="B110" s="25">
        <v>91.06</v>
      </c>
      <c r="C110" s="20">
        <f t="shared" si="2"/>
        <v>0</v>
      </c>
      <c r="H110" s="19">
        <v>43626</v>
      </c>
      <c r="I110" s="16">
        <v>34567.550000000003</v>
      </c>
      <c r="J110" s="20">
        <f t="shared" si="3"/>
        <v>-2.6411275615549061E-2</v>
      </c>
    </row>
    <row r="111" spans="1:10" x14ac:dyDescent="0.3">
      <c r="A111" s="19">
        <v>43627</v>
      </c>
      <c r="B111" s="25">
        <v>95.6</v>
      </c>
      <c r="C111" s="20">
        <f t="shared" si="2"/>
        <v>4.9857236986602153E-2</v>
      </c>
      <c r="H111" s="19">
        <v>43627</v>
      </c>
      <c r="I111" s="16">
        <v>34659.85</v>
      </c>
      <c r="J111" s="20">
        <f t="shared" si="3"/>
        <v>2.6701342733284721E-3</v>
      </c>
    </row>
    <row r="112" spans="1:10" x14ac:dyDescent="0.3">
      <c r="A112" s="19">
        <v>43628</v>
      </c>
      <c r="B112" s="25">
        <v>97.83</v>
      </c>
      <c r="C112" s="20">
        <f t="shared" si="2"/>
        <v>2.3326359832636027E-2</v>
      </c>
      <c r="H112" s="19">
        <v>43628</v>
      </c>
      <c r="I112" s="16">
        <v>34937.93</v>
      </c>
      <c r="J112" s="20">
        <f t="shared" si="3"/>
        <v>8.0231160838838533E-3</v>
      </c>
    </row>
    <row r="113" spans="1:10" x14ac:dyDescent="0.3">
      <c r="A113" s="19">
        <v>43629</v>
      </c>
      <c r="B113" s="25">
        <v>96.62</v>
      </c>
      <c r="C113" s="20">
        <f t="shared" si="2"/>
        <v>-1.23683941531227E-2</v>
      </c>
      <c r="H113" s="19">
        <v>43629</v>
      </c>
      <c r="I113" s="16">
        <v>35403.07</v>
      </c>
      <c r="J113" s="20">
        <f t="shared" si="3"/>
        <v>1.3313324515791274E-2</v>
      </c>
    </row>
    <row r="114" spans="1:10" x14ac:dyDescent="0.3">
      <c r="A114" s="19">
        <v>43630</v>
      </c>
      <c r="B114" s="25">
        <v>96.7</v>
      </c>
      <c r="C114" s="20">
        <f t="shared" si="2"/>
        <v>8.2798592423927024E-4</v>
      </c>
      <c r="H114" s="19">
        <v>43630</v>
      </c>
      <c r="I114" s="16">
        <v>35572.949999999997</v>
      </c>
      <c r="J114" s="20">
        <f t="shared" si="3"/>
        <v>4.798453919391662E-3</v>
      </c>
    </row>
    <row r="115" spans="1:10" x14ac:dyDescent="0.3">
      <c r="A115" s="19">
        <v>43633</v>
      </c>
      <c r="B115" s="25">
        <v>94.67</v>
      </c>
      <c r="C115" s="20">
        <f t="shared" si="2"/>
        <v>-2.0992761116856266E-2</v>
      </c>
      <c r="H115" s="19">
        <v>43633</v>
      </c>
      <c r="I115" s="16">
        <v>35168.82</v>
      </c>
      <c r="J115" s="20">
        <f t="shared" si="3"/>
        <v>-1.1360598432235657E-2</v>
      </c>
    </row>
    <row r="116" spans="1:10" x14ac:dyDescent="0.3">
      <c r="A116" s="19">
        <v>43634</v>
      </c>
      <c r="B116" s="25">
        <v>93.13</v>
      </c>
      <c r="C116" s="20">
        <f t="shared" si="2"/>
        <v>-1.6267032850956018E-2</v>
      </c>
      <c r="H116" s="19">
        <v>43634</v>
      </c>
      <c r="I116" s="16">
        <v>34681.72</v>
      </c>
      <c r="J116" s="20">
        <f t="shared" si="3"/>
        <v>-1.3850336747152692E-2</v>
      </c>
    </row>
    <row r="117" spans="1:10" x14ac:dyDescent="0.3">
      <c r="A117" s="19">
        <v>43635</v>
      </c>
      <c r="B117" s="25">
        <v>91.8</v>
      </c>
      <c r="C117" s="20">
        <f t="shared" si="2"/>
        <v>-1.4281112423494023E-2</v>
      </c>
      <c r="H117" s="19">
        <v>43635</v>
      </c>
      <c r="I117" s="16">
        <v>34656.120000000003</v>
      </c>
      <c r="J117" s="20">
        <f t="shared" si="3"/>
        <v>-7.381410149207866E-4</v>
      </c>
    </row>
    <row r="118" spans="1:10" x14ac:dyDescent="0.3">
      <c r="A118" s="19">
        <v>43636</v>
      </c>
      <c r="B118" s="25">
        <v>93.22</v>
      </c>
      <c r="C118" s="20">
        <f t="shared" si="2"/>
        <v>1.5468409586056664E-2</v>
      </c>
      <c r="H118" s="19">
        <v>43636</v>
      </c>
      <c r="I118" s="16">
        <v>34995.910000000003</v>
      </c>
      <c r="J118" s="20">
        <f t="shared" si="3"/>
        <v>9.8046174817031113E-3</v>
      </c>
    </row>
    <row r="119" spans="1:10" x14ac:dyDescent="0.3">
      <c r="A119" s="19">
        <v>43637</v>
      </c>
      <c r="B119" s="25">
        <v>92.55</v>
      </c>
      <c r="C119" s="20">
        <f t="shared" si="2"/>
        <v>-7.187298862904974E-3</v>
      </c>
      <c r="H119" s="19">
        <v>43637</v>
      </c>
      <c r="I119" s="16">
        <v>35125.25</v>
      </c>
      <c r="J119" s="20">
        <f t="shared" si="3"/>
        <v>3.6958604591221232E-3</v>
      </c>
    </row>
    <row r="120" spans="1:10" x14ac:dyDescent="0.3">
      <c r="A120" s="19">
        <v>43640</v>
      </c>
      <c r="B120" s="25">
        <v>90.94</v>
      </c>
      <c r="C120" s="20">
        <f t="shared" si="2"/>
        <v>-1.7396002160994052E-2</v>
      </c>
      <c r="H120" s="19">
        <v>43640</v>
      </c>
      <c r="I120" s="16">
        <v>34471.949999999997</v>
      </c>
      <c r="J120" s="20">
        <f t="shared" si="3"/>
        <v>-1.8599155877894191E-2</v>
      </c>
    </row>
    <row r="121" spans="1:10" x14ac:dyDescent="0.3">
      <c r="A121" s="19">
        <v>43641</v>
      </c>
      <c r="B121" s="25">
        <v>89.54</v>
      </c>
      <c r="C121" s="20">
        <f t="shared" si="2"/>
        <v>-1.539476577963483E-2</v>
      </c>
      <c r="H121" s="19">
        <v>43641</v>
      </c>
      <c r="I121" s="16">
        <v>34190.620000000003</v>
      </c>
      <c r="J121" s="20">
        <f t="shared" si="3"/>
        <v>-8.1611281056045426E-3</v>
      </c>
    </row>
    <row r="122" spans="1:10" x14ac:dyDescent="0.3">
      <c r="A122" s="19">
        <v>43642</v>
      </c>
      <c r="B122" s="25">
        <v>90.02</v>
      </c>
      <c r="C122" s="20">
        <f t="shared" si="2"/>
        <v>5.3607326334597916E-3</v>
      </c>
      <c r="H122" s="19">
        <v>43642</v>
      </c>
      <c r="I122" s="16">
        <v>34088.559999999998</v>
      </c>
      <c r="J122" s="20">
        <f t="shared" si="3"/>
        <v>-2.9850292273145367E-3</v>
      </c>
    </row>
    <row r="123" spans="1:10" x14ac:dyDescent="0.3">
      <c r="A123" s="19">
        <v>43643</v>
      </c>
      <c r="B123" s="25">
        <v>87.35</v>
      </c>
      <c r="C123" s="20">
        <f t="shared" si="2"/>
        <v>-2.9660075538769183E-2</v>
      </c>
      <c r="H123" s="19">
        <v>43643</v>
      </c>
      <c r="I123" s="16">
        <v>33774.42</v>
      </c>
      <c r="J123" s="20">
        <f t="shared" si="3"/>
        <v>-9.2154083364037499E-3</v>
      </c>
    </row>
    <row r="124" spans="1:10" x14ac:dyDescent="0.3">
      <c r="A124" s="19">
        <v>43644</v>
      </c>
      <c r="B124" s="25">
        <v>87.2</v>
      </c>
      <c r="C124" s="20">
        <f t="shared" si="2"/>
        <v>-1.7172295363479277E-3</v>
      </c>
      <c r="H124" s="19">
        <v>43644</v>
      </c>
      <c r="I124" s="16">
        <v>33901.58</v>
      </c>
      <c r="J124" s="20">
        <f t="shared" si="3"/>
        <v>3.7649795318469865E-3</v>
      </c>
    </row>
    <row r="125" spans="1:10" x14ac:dyDescent="0.3">
      <c r="A125" s="19">
        <v>43647</v>
      </c>
      <c r="B125" s="25">
        <v>89.94</v>
      </c>
      <c r="C125" s="20">
        <f t="shared" si="2"/>
        <v>3.1422018348623793E-2</v>
      </c>
      <c r="H125" s="19">
        <v>43647</v>
      </c>
      <c r="I125" s="16">
        <v>33996.33</v>
      </c>
      <c r="J125" s="20">
        <f t="shared" si="3"/>
        <v>2.7948549890595069E-3</v>
      </c>
    </row>
    <row r="126" spans="1:10" x14ac:dyDescent="0.3">
      <c r="A126" s="19">
        <v>43648</v>
      </c>
      <c r="B126" s="25">
        <v>92.63</v>
      </c>
      <c r="C126" s="20">
        <f t="shared" si="2"/>
        <v>2.9908828107627284E-2</v>
      </c>
      <c r="H126" s="19">
        <v>43648</v>
      </c>
      <c r="I126" s="16">
        <v>34307.11</v>
      </c>
      <c r="J126" s="20">
        <f t="shared" si="3"/>
        <v>9.141574987653044E-3</v>
      </c>
    </row>
    <row r="127" spans="1:10" x14ac:dyDescent="0.3">
      <c r="A127" s="19">
        <v>43649</v>
      </c>
      <c r="B127" s="25">
        <v>97.26</v>
      </c>
      <c r="C127" s="20">
        <f t="shared" si="2"/>
        <v>4.9983806542157075E-2</v>
      </c>
      <c r="H127" s="19">
        <v>43649</v>
      </c>
      <c r="I127" s="16">
        <v>34896.550000000003</v>
      </c>
      <c r="J127" s="20">
        <f t="shared" si="3"/>
        <v>1.7181278166537559E-2</v>
      </c>
    </row>
    <row r="128" spans="1:10" x14ac:dyDescent="0.3">
      <c r="A128" s="19">
        <v>43650</v>
      </c>
      <c r="B128" s="25">
        <v>96.06</v>
      </c>
      <c r="C128" s="20">
        <f t="shared" si="2"/>
        <v>-1.2338062924120942E-2</v>
      </c>
      <c r="H128" s="19">
        <v>43650</v>
      </c>
      <c r="I128" s="16">
        <v>34570.620000000003</v>
      </c>
      <c r="J128" s="20">
        <f t="shared" si="3"/>
        <v>-9.3398917658049363E-3</v>
      </c>
    </row>
    <row r="129" spans="1:10" x14ac:dyDescent="0.3">
      <c r="A129" s="19">
        <v>43651</v>
      </c>
      <c r="B129" s="25">
        <v>94.74</v>
      </c>
      <c r="C129" s="20">
        <f t="shared" si="2"/>
        <v>-1.374141161773899E-2</v>
      </c>
      <c r="H129" s="19">
        <v>43651</v>
      </c>
      <c r="I129" s="16">
        <v>34190.019999999997</v>
      </c>
      <c r="J129" s="20">
        <f t="shared" si="3"/>
        <v>-1.1009348400462757E-2</v>
      </c>
    </row>
    <row r="130" spans="1:10" x14ac:dyDescent="0.3">
      <c r="A130" s="19">
        <v>43654</v>
      </c>
      <c r="B130" s="25">
        <v>94.89</v>
      </c>
      <c r="C130" s="20">
        <f t="shared" si="2"/>
        <v>1.5832805573148163E-3</v>
      </c>
      <c r="H130" s="19">
        <v>43654</v>
      </c>
      <c r="I130" s="16">
        <v>33742.68</v>
      </c>
      <c r="J130" s="20">
        <f t="shared" si="3"/>
        <v>-1.3083935019634283E-2</v>
      </c>
    </row>
    <row r="131" spans="1:10" x14ac:dyDescent="0.3">
      <c r="A131" s="19">
        <v>43655</v>
      </c>
      <c r="B131" s="25">
        <v>94.98</v>
      </c>
      <c r="C131" s="20">
        <f t="shared" si="2"/>
        <v>9.4846664558966606E-4</v>
      </c>
      <c r="H131" s="19">
        <v>43655</v>
      </c>
      <c r="I131" s="16">
        <v>33855.58</v>
      </c>
      <c r="J131" s="20">
        <f t="shared" si="3"/>
        <v>3.345910876077462E-3</v>
      </c>
    </row>
    <row r="132" spans="1:10" x14ac:dyDescent="0.3">
      <c r="A132" s="19">
        <v>43656</v>
      </c>
      <c r="B132" s="25">
        <v>94.97</v>
      </c>
      <c r="C132" s="20">
        <f t="shared" si="2"/>
        <v>-1.0528532322599616E-4</v>
      </c>
      <c r="H132" s="19">
        <v>43656</v>
      </c>
      <c r="I132" s="16">
        <v>33840.050000000003</v>
      </c>
      <c r="J132" s="20">
        <f t="shared" si="3"/>
        <v>-4.5871315747651747E-4</v>
      </c>
    </row>
    <row r="133" spans="1:10" x14ac:dyDescent="0.3">
      <c r="A133" s="19">
        <v>43657</v>
      </c>
      <c r="B133" s="25">
        <v>95.04</v>
      </c>
      <c r="C133" s="20">
        <f t="shared" ref="C133:C196" si="4">(B133-B132)/B132</f>
        <v>7.3707486574715582E-4</v>
      </c>
      <c r="H133" s="19">
        <v>43657</v>
      </c>
      <c r="I133" s="16">
        <v>33875.4</v>
      </c>
      <c r="J133" s="20">
        <f t="shared" ref="J133:J196" si="5">(I133-I132)/I132</f>
        <v>1.0446202059393689E-3</v>
      </c>
    </row>
    <row r="134" spans="1:10" x14ac:dyDescent="0.3">
      <c r="A134" s="19">
        <v>43658</v>
      </c>
      <c r="B134" s="25">
        <v>97.02</v>
      </c>
      <c r="C134" s="20">
        <f t="shared" si="4"/>
        <v>2.0833333333333225E-2</v>
      </c>
      <c r="H134" s="19">
        <v>43658</v>
      </c>
      <c r="I134" s="16">
        <v>33672.49</v>
      </c>
      <c r="J134" s="20">
        <f t="shared" si="5"/>
        <v>-5.9898923702746973E-3</v>
      </c>
    </row>
    <row r="135" spans="1:10" x14ac:dyDescent="0.3">
      <c r="A135" s="19">
        <v>43661</v>
      </c>
      <c r="B135" s="25">
        <v>93.98</v>
      </c>
      <c r="C135" s="20">
        <f t="shared" si="4"/>
        <v>-3.1333745619459827E-2</v>
      </c>
      <c r="H135" s="19">
        <v>43661</v>
      </c>
      <c r="I135" s="16">
        <v>32958.35</v>
      </c>
      <c r="J135" s="20">
        <f t="shared" si="5"/>
        <v>-2.1208410782808145E-2</v>
      </c>
    </row>
    <row r="136" spans="1:10" x14ac:dyDescent="0.3">
      <c r="A136" s="19">
        <v>43662</v>
      </c>
      <c r="B136" s="25">
        <v>93.93</v>
      </c>
      <c r="C136" s="20">
        <f t="shared" si="4"/>
        <v>-5.320280910831789E-4</v>
      </c>
      <c r="H136" s="19">
        <v>43662</v>
      </c>
      <c r="I136" s="16">
        <v>32972.019999999997</v>
      </c>
      <c r="J136" s="20">
        <f t="shared" si="5"/>
        <v>4.14765909094304E-4</v>
      </c>
    </row>
    <row r="137" spans="1:10" x14ac:dyDescent="0.3">
      <c r="A137" s="19">
        <v>43663</v>
      </c>
      <c r="B137" s="25">
        <v>93.02</v>
      </c>
      <c r="C137" s="20">
        <f t="shared" si="4"/>
        <v>-9.6880655807517375E-3</v>
      </c>
      <c r="H137" s="19">
        <v>43663</v>
      </c>
      <c r="I137" s="16">
        <v>32981.99</v>
      </c>
      <c r="J137" s="20">
        <f t="shared" si="5"/>
        <v>3.023775916671519E-4</v>
      </c>
    </row>
    <row r="138" spans="1:10" x14ac:dyDescent="0.3">
      <c r="A138" s="19">
        <v>43664</v>
      </c>
      <c r="B138" s="25">
        <v>92.54</v>
      </c>
      <c r="C138" s="20">
        <f t="shared" si="4"/>
        <v>-5.1601806063211117E-3</v>
      </c>
      <c r="H138" s="19">
        <v>43664</v>
      </c>
      <c r="I138" s="16">
        <v>32309.54</v>
      </c>
      <c r="J138" s="20">
        <f t="shared" si="5"/>
        <v>-2.0388399850948872E-2</v>
      </c>
    </row>
    <row r="139" spans="1:10" x14ac:dyDescent="0.3">
      <c r="A139" s="19">
        <v>43665</v>
      </c>
      <c r="B139" s="25">
        <v>94.09</v>
      </c>
      <c r="C139" s="20">
        <f t="shared" si="4"/>
        <v>1.6749513723795083E-2</v>
      </c>
      <c r="H139" s="19">
        <v>43665</v>
      </c>
      <c r="I139" s="16">
        <v>32458.77</v>
      </c>
      <c r="J139" s="20">
        <f t="shared" si="5"/>
        <v>4.6187596604594051E-3</v>
      </c>
    </row>
    <row r="140" spans="1:10" x14ac:dyDescent="0.3">
      <c r="A140" s="19">
        <v>43668</v>
      </c>
      <c r="B140" s="25">
        <v>94.99</v>
      </c>
      <c r="C140" s="20">
        <f t="shared" si="4"/>
        <v>9.565309809756525E-3</v>
      </c>
      <c r="H140" s="19">
        <v>43668</v>
      </c>
      <c r="I140" s="16">
        <v>32584.55</v>
      </c>
      <c r="J140" s="20">
        <f t="shared" si="5"/>
        <v>3.8750698193430878E-3</v>
      </c>
    </row>
    <row r="141" spans="1:10" x14ac:dyDescent="0.3">
      <c r="A141" s="19">
        <v>43669</v>
      </c>
      <c r="B141" s="25">
        <v>96.72</v>
      </c>
      <c r="C141" s="20">
        <f t="shared" si="4"/>
        <v>1.8212443415096369E-2</v>
      </c>
      <c r="H141" s="19">
        <v>43669</v>
      </c>
      <c r="I141" s="16">
        <v>32715.88</v>
      </c>
      <c r="J141" s="20">
        <f t="shared" si="5"/>
        <v>4.0304377381305484E-3</v>
      </c>
    </row>
    <row r="142" spans="1:10" x14ac:dyDescent="0.3">
      <c r="A142" s="19">
        <v>43670</v>
      </c>
      <c r="B142" s="25">
        <v>95.55</v>
      </c>
      <c r="C142" s="20">
        <f t="shared" si="4"/>
        <v>-1.2096774193548404E-2</v>
      </c>
      <c r="H142" s="19">
        <v>43670</v>
      </c>
      <c r="I142" s="16">
        <v>32401.4</v>
      </c>
      <c r="J142" s="20">
        <f t="shared" si="5"/>
        <v>-9.6124573143072899E-3</v>
      </c>
    </row>
    <row r="143" spans="1:10" x14ac:dyDescent="0.3">
      <c r="A143" s="19">
        <v>43671</v>
      </c>
      <c r="B143" s="25">
        <v>96.39</v>
      </c>
      <c r="C143" s="20">
        <f t="shared" si="4"/>
        <v>8.7912087912088276E-3</v>
      </c>
      <c r="H143" s="19">
        <v>43671</v>
      </c>
      <c r="I143" s="16">
        <v>32446.400000000001</v>
      </c>
      <c r="J143" s="20">
        <f t="shared" si="5"/>
        <v>1.3888288777645409E-3</v>
      </c>
    </row>
    <row r="144" spans="1:10" x14ac:dyDescent="0.3">
      <c r="A144" s="19">
        <v>43672</v>
      </c>
      <c r="B144" s="25">
        <v>95.05</v>
      </c>
      <c r="C144" s="20">
        <f t="shared" si="4"/>
        <v>-1.3901857039111976E-2</v>
      </c>
      <c r="H144" s="19">
        <v>43672</v>
      </c>
      <c r="I144" s="16">
        <v>32103.27</v>
      </c>
      <c r="J144" s="20">
        <f t="shared" si="5"/>
        <v>-1.0575287242960729E-2</v>
      </c>
    </row>
    <row r="145" spans="1:10" x14ac:dyDescent="0.3">
      <c r="A145" s="19">
        <v>43675</v>
      </c>
      <c r="B145" s="25">
        <v>94.59</v>
      </c>
      <c r="C145" s="20">
        <f t="shared" si="4"/>
        <v>-4.8395581273013542E-3</v>
      </c>
      <c r="H145" s="19">
        <v>43675</v>
      </c>
      <c r="I145" s="16">
        <v>31734.23</v>
      </c>
      <c r="J145" s="20">
        <f t="shared" si="5"/>
        <v>-1.1495402181771541E-2</v>
      </c>
    </row>
    <row r="146" spans="1:10" x14ac:dyDescent="0.3">
      <c r="A146" s="19">
        <v>43676</v>
      </c>
      <c r="B146" s="25">
        <v>93.97</v>
      </c>
      <c r="C146" s="20">
        <f t="shared" si="4"/>
        <v>-6.5546040807696855E-3</v>
      </c>
      <c r="H146" s="19">
        <v>43676</v>
      </c>
      <c r="I146" s="16">
        <v>31658.12</v>
      </c>
      <c r="J146" s="20">
        <f t="shared" si="5"/>
        <v>-2.3983566010582448E-3</v>
      </c>
    </row>
    <row r="147" spans="1:10" x14ac:dyDescent="0.3">
      <c r="A147" s="19">
        <v>43677</v>
      </c>
      <c r="B147" s="25">
        <v>95.26</v>
      </c>
      <c r="C147" s="20">
        <f t="shared" si="4"/>
        <v>1.3727785463445847E-2</v>
      </c>
      <c r="H147" s="19">
        <v>43677</v>
      </c>
      <c r="I147" s="16">
        <v>31938.48</v>
      </c>
      <c r="J147" s="20">
        <f t="shared" si="5"/>
        <v>8.8558638352498695E-3</v>
      </c>
    </row>
    <row r="148" spans="1:10" x14ac:dyDescent="0.3">
      <c r="A148" s="19">
        <v>43678</v>
      </c>
      <c r="B148" s="25">
        <v>94.56</v>
      </c>
      <c r="C148" s="20">
        <f t="shared" si="4"/>
        <v>-7.3483098887256225E-3</v>
      </c>
      <c r="H148" s="19">
        <v>43678</v>
      </c>
      <c r="I148" s="16">
        <v>31839.11</v>
      </c>
      <c r="J148" s="20">
        <f t="shared" si="5"/>
        <v>-3.1112939626431499E-3</v>
      </c>
    </row>
    <row r="149" spans="1:10" x14ac:dyDescent="0.3">
      <c r="A149" s="19">
        <v>43679</v>
      </c>
      <c r="B149" s="25">
        <v>94.39</v>
      </c>
      <c r="C149" s="20">
        <f t="shared" si="4"/>
        <v>-1.7978003384094934E-3</v>
      </c>
      <c r="H149" s="19">
        <v>43679</v>
      </c>
      <c r="I149" s="16">
        <v>31666.41</v>
      </c>
      <c r="J149" s="20">
        <f t="shared" si="5"/>
        <v>-5.4241465920373006E-3</v>
      </c>
    </row>
    <row r="150" spans="1:10" x14ac:dyDescent="0.3">
      <c r="A150" s="19">
        <v>43682</v>
      </c>
      <c r="B150" s="25">
        <v>94.19</v>
      </c>
      <c r="C150" s="20">
        <f t="shared" si="4"/>
        <v>-2.118868524208103E-3</v>
      </c>
      <c r="H150" s="19">
        <v>43682</v>
      </c>
      <c r="I150" s="16">
        <v>31180.799999999999</v>
      </c>
      <c r="J150" s="20">
        <f t="shared" si="5"/>
        <v>-1.5335176927223533E-2</v>
      </c>
    </row>
    <row r="151" spans="1:10" x14ac:dyDescent="0.3">
      <c r="A151" s="19">
        <v>43683</v>
      </c>
      <c r="B151" s="25">
        <v>95.43</v>
      </c>
      <c r="C151" s="20">
        <f t="shared" si="4"/>
        <v>1.3164879498885328E-2</v>
      </c>
      <c r="H151" s="19">
        <v>43683</v>
      </c>
      <c r="I151" s="16">
        <v>31000.67</v>
      </c>
      <c r="J151" s="20">
        <f t="shared" si="5"/>
        <v>-5.7769524835796712E-3</v>
      </c>
    </row>
    <row r="152" spans="1:10" x14ac:dyDescent="0.3">
      <c r="A152" s="19">
        <v>43684</v>
      </c>
      <c r="B152" s="25">
        <v>93.44</v>
      </c>
      <c r="C152" s="20">
        <f t="shared" si="4"/>
        <v>-2.0852981242795859E-2</v>
      </c>
      <c r="H152" s="19">
        <v>43684</v>
      </c>
      <c r="I152" s="16">
        <v>30277.45</v>
      </c>
      <c r="J152" s="20">
        <f t="shared" si="5"/>
        <v>-2.3329173208191875E-2</v>
      </c>
    </row>
    <row r="153" spans="1:10" x14ac:dyDescent="0.3">
      <c r="A153" s="19">
        <v>43685</v>
      </c>
      <c r="B153" s="25">
        <v>93.67</v>
      </c>
      <c r="C153" s="20">
        <f t="shared" si="4"/>
        <v>2.4614726027397688E-3</v>
      </c>
      <c r="H153" s="19">
        <v>43685</v>
      </c>
      <c r="I153" s="16">
        <v>29737.98</v>
      </c>
      <c r="J153" s="20">
        <f t="shared" si="5"/>
        <v>-1.7817550685411129E-2</v>
      </c>
    </row>
    <row r="154" spans="1:10" x14ac:dyDescent="0.3">
      <c r="A154" s="19">
        <v>43686</v>
      </c>
      <c r="B154" s="25">
        <v>93.47</v>
      </c>
      <c r="C154" s="20">
        <f t="shared" si="4"/>
        <v>-2.1351553325504734E-3</v>
      </c>
      <c r="H154" s="19">
        <v>43686</v>
      </c>
      <c r="I154" s="16">
        <v>29429.07</v>
      </c>
      <c r="J154" s="20">
        <f t="shared" si="5"/>
        <v>-1.0387726402398545E-2</v>
      </c>
    </row>
    <row r="155" spans="1:10" x14ac:dyDescent="0.3">
      <c r="A155" s="19">
        <v>43693</v>
      </c>
      <c r="B155" s="25">
        <v>90</v>
      </c>
      <c r="C155" s="20">
        <f t="shared" si="4"/>
        <v>-3.7124210976783985E-2</v>
      </c>
      <c r="H155" s="19">
        <v>43693</v>
      </c>
      <c r="I155" s="16">
        <v>28764.63</v>
      </c>
      <c r="J155" s="20">
        <f t="shared" si="5"/>
        <v>-2.2577675747143852E-2</v>
      </c>
    </row>
    <row r="156" spans="1:10" x14ac:dyDescent="0.3">
      <c r="A156" s="19">
        <v>43696</v>
      </c>
      <c r="B156" s="25">
        <v>90.54</v>
      </c>
      <c r="C156" s="20">
        <f t="shared" si="4"/>
        <v>6.0000000000000695E-3</v>
      </c>
      <c r="H156" s="19">
        <v>43696</v>
      </c>
      <c r="I156" s="16">
        <v>29562.42</v>
      </c>
      <c r="J156" s="20">
        <f t="shared" si="5"/>
        <v>2.7735103841071387E-2</v>
      </c>
    </row>
    <row r="157" spans="1:10" x14ac:dyDescent="0.3">
      <c r="A157" s="19">
        <v>43697</v>
      </c>
      <c r="B157" s="25">
        <v>91.15</v>
      </c>
      <c r="C157" s="20">
        <f t="shared" si="4"/>
        <v>6.737353655842715E-3</v>
      </c>
      <c r="H157" s="19">
        <v>43697</v>
      </c>
      <c r="I157" s="16">
        <v>30419.22</v>
      </c>
      <c r="J157" s="20">
        <f t="shared" si="5"/>
        <v>2.8982742278879842E-2</v>
      </c>
    </row>
    <row r="158" spans="1:10" x14ac:dyDescent="0.3">
      <c r="A158" s="19">
        <v>43698</v>
      </c>
      <c r="B158" s="25">
        <v>91.41</v>
      </c>
      <c r="C158" s="20">
        <f t="shared" si="4"/>
        <v>2.8524410312670422E-3</v>
      </c>
      <c r="H158" s="19">
        <v>43698</v>
      </c>
      <c r="I158" s="16">
        <v>30972.75</v>
      </c>
      <c r="J158" s="20">
        <f t="shared" si="5"/>
        <v>1.8196719048022888E-2</v>
      </c>
    </row>
    <row r="159" spans="1:10" x14ac:dyDescent="0.3">
      <c r="A159" s="19">
        <v>43699</v>
      </c>
      <c r="B159" s="25">
        <v>92.94</v>
      </c>
      <c r="C159" s="20">
        <f t="shared" si="4"/>
        <v>1.6737774860518556E-2</v>
      </c>
      <c r="H159" s="19">
        <v>43699</v>
      </c>
      <c r="I159" s="16">
        <v>31884.45</v>
      </c>
      <c r="J159" s="20">
        <f t="shared" si="5"/>
        <v>2.9435552219289559E-2</v>
      </c>
    </row>
    <row r="160" spans="1:10" x14ac:dyDescent="0.3">
      <c r="A160" s="19">
        <v>43700</v>
      </c>
      <c r="B160" s="25">
        <v>90.13</v>
      </c>
      <c r="C160" s="20">
        <f t="shared" si="4"/>
        <v>-3.0234559931138393E-2</v>
      </c>
      <c r="H160" s="19">
        <v>43700</v>
      </c>
      <c r="I160" s="16">
        <v>31350.01</v>
      </c>
      <c r="J160" s="20">
        <f t="shared" si="5"/>
        <v>-1.6761775724530369E-2</v>
      </c>
    </row>
    <row r="161" spans="1:10" x14ac:dyDescent="0.3">
      <c r="A161" s="19">
        <v>43703</v>
      </c>
      <c r="B161" s="25">
        <v>88.42</v>
      </c>
      <c r="C161" s="20">
        <f t="shared" si="4"/>
        <v>-1.8972595140352756E-2</v>
      </c>
      <c r="H161" s="19">
        <v>43703</v>
      </c>
      <c r="I161" s="16">
        <v>30520.6</v>
      </c>
      <c r="J161" s="20">
        <f t="shared" si="5"/>
        <v>-2.6456450891084241E-2</v>
      </c>
    </row>
    <row r="162" spans="1:10" x14ac:dyDescent="0.3">
      <c r="A162" s="19">
        <v>43704</v>
      </c>
      <c r="B162" s="25">
        <v>89.56</v>
      </c>
      <c r="C162" s="20">
        <f t="shared" si="4"/>
        <v>1.2893010631078948E-2</v>
      </c>
      <c r="H162" s="19">
        <v>43704</v>
      </c>
      <c r="I162" s="16">
        <v>30584.85</v>
      </c>
      <c r="J162" s="20">
        <f t="shared" si="5"/>
        <v>2.1051355477939493E-3</v>
      </c>
    </row>
    <row r="163" spans="1:10" x14ac:dyDescent="0.3">
      <c r="A163" s="19">
        <v>43705</v>
      </c>
      <c r="B163" s="25">
        <v>89.48</v>
      </c>
      <c r="C163" s="20">
        <f t="shared" si="4"/>
        <v>-8.9325591782043654E-4</v>
      </c>
      <c r="H163" s="19">
        <v>43705</v>
      </c>
      <c r="I163" s="16">
        <v>30637.71</v>
      </c>
      <c r="J163" s="20">
        <f t="shared" si="5"/>
        <v>1.7283066616315132E-3</v>
      </c>
    </row>
    <row r="164" spans="1:10" x14ac:dyDescent="0.3">
      <c r="A164" s="19">
        <v>43706</v>
      </c>
      <c r="B164" s="25">
        <v>93.91</v>
      </c>
      <c r="C164" s="20">
        <f t="shared" si="4"/>
        <v>4.9508270004470188E-2</v>
      </c>
      <c r="H164" s="19">
        <v>43706</v>
      </c>
      <c r="I164" s="16">
        <v>30158.959999999999</v>
      </c>
      <c r="J164" s="20">
        <f t="shared" si="5"/>
        <v>-1.5626167882651806E-2</v>
      </c>
    </row>
    <row r="165" spans="1:10" x14ac:dyDescent="0.3">
      <c r="A165" s="19">
        <v>43707</v>
      </c>
      <c r="B165" s="25">
        <v>91.31</v>
      </c>
      <c r="C165" s="20">
        <f t="shared" si="4"/>
        <v>-2.7686082419337604E-2</v>
      </c>
      <c r="H165" s="19">
        <v>43707</v>
      </c>
      <c r="I165" s="16">
        <v>29672.12</v>
      </c>
      <c r="J165" s="20">
        <f t="shared" si="5"/>
        <v>-1.6142466451097789E-2</v>
      </c>
    </row>
    <row r="166" spans="1:10" x14ac:dyDescent="0.3">
      <c r="A166" s="19">
        <v>43710</v>
      </c>
      <c r="B166" s="25">
        <v>93.07</v>
      </c>
      <c r="C166" s="20">
        <f t="shared" si="4"/>
        <v>1.9274997262074153E-2</v>
      </c>
      <c r="H166" s="19">
        <v>43710</v>
      </c>
      <c r="I166" s="16">
        <v>30057.29</v>
      </c>
      <c r="J166" s="20">
        <f t="shared" si="5"/>
        <v>1.2980872280106777E-2</v>
      </c>
    </row>
    <row r="167" spans="1:10" x14ac:dyDescent="0.3">
      <c r="A167" s="19">
        <v>43711</v>
      </c>
      <c r="B167" s="25">
        <v>92.55</v>
      </c>
      <c r="C167" s="20">
        <f t="shared" si="4"/>
        <v>-5.5871924358009677E-3</v>
      </c>
      <c r="H167" s="19">
        <v>43711</v>
      </c>
      <c r="I167" s="16">
        <v>29809.68</v>
      </c>
      <c r="J167" s="20">
        <f t="shared" si="5"/>
        <v>-8.2379349568773696E-3</v>
      </c>
    </row>
    <row r="168" spans="1:10" x14ac:dyDescent="0.3">
      <c r="A168" s="19">
        <v>43712</v>
      </c>
      <c r="B168" s="25">
        <v>91.4</v>
      </c>
      <c r="C168" s="20">
        <f t="shared" si="4"/>
        <v>-1.2425715829281378E-2</v>
      </c>
      <c r="H168" s="19">
        <v>43712</v>
      </c>
      <c r="I168" s="16">
        <v>30244.73</v>
      </c>
      <c r="J168" s="20">
        <f t="shared" si="5"/>
        <v>1.4594252605193992E-2</v>
      </c>
    </row>
    <row r="169" spans="1:10" x14ac:dyDescent="0.3">
      <c r="A169" s="19">
        <v>43713</v>
      </c>
      <c r="B169" s="25">
        <v>91.17</v>
      </c>
      <c r="C169" s="20">
        <f t="shared" si="4"/>
        <v>-2.5164113785558421E-3</v>
      </c>
      <c r="H169" s="19">
        <v>43713</v>
      </c>
      <c r="I169" s="16">
        <v>30214.77</v>
      </c>
      <c r="J169" s="20">
        <f t="shared" si="5"/>
        <v>-9.9058579792245228E-4</v>
      </c>
    </row>
    <row r="170" spans="1:10" x14ac:dyDescent="0.3">
      <c r="A170" s="19">
        <v>43714</v>
      </c>
      <c r="B170" s="25">
        <v>90.94</v>
      </c>
      <c r="C170" s="20">
        <f t="shared" si="4"/>
        <v>-2.5227596797192495E-3</v>
      </c>
      <c r="H170" s="19">
        <v>43714</v>
      </c>
      <c r="I170" s="16">
        <v>30467.200000000001</v>
      </c>
      <c r="J170" s="20">
        <f t="shared" si="5"/>
        <v>8.354523301021332E-3</v>
      </c>
    </row>
    <row r="171" spans="1:10" x14ac:dyDescent="0.3">
      <c r="A171" s="19">
        <v>43719</v>
      </c>
      <c r="B171" s="25">
        <v>92.99</v>
      </c>
      <c r="C171" s="20">
        <f t="shared" si="4"/>
        <v>2.2542335605893964E-2</v>
      </c>
      <c r="H171" s="19">
        <v>43719</v>
      </c>
      <c r="I171" s="16">
        <v>30954.83</v>
      </c>
      <c r="J171" s="20">
        <f t="shared" si="5"/>
        <v>1.6005080873857821E-2</v>
      </c>
    </row>
    <row r="172" spans="1:10" x14ac:dyDescent="0.3">
      <c r="A172" s="19">
        <v>43720</v>
      </c>
      <c r="B172" s="25">
        <v>92.88</v>
      </c>
      <c r="C172" s="20">
        <f t="shared" si="4"/>
        <v>-1.1829228949349331E-3</v>
      </c>
      <c r="H172" s="19">
        <v>43720</v>
      </c>
      <c r="I172" s="16">
        <v>31546.61</v>
      </c>
      <c r="J172" s="20">
        <f t="shared" si="5"/>
        <v>1.9117533515771168E-2</v>
      </c>
    </row>
    <row r="173" spans="1:10" x14ac:dyDescent="0.3">
      <c r="A173" s="19">
        <v>43721</v>
      </c>
      <c r="B173" s="25">
        <v>92.83</v>
      </c>
      <c r="C173" s="20">
        <f t="shared" si="4"/>
        <v>-5.3832902670108919E-4</v>
      </c>
      <c r="H173" s="19">
        <v>43721</v>
      </c>
      <c r="I173" s="16">
        <v>31481.31</v>
      </c>
      <c r="J173" s="20">
        <f t="shared" si="5"/>
        <v>-2.0699529997042243E-3</v>
      </c>
    </row>
    <row r="174" spans="1:10" x14ac:dyDescent="0.3">
      <c r="A174" s="19">
        <v>43724</v>
      </c>
      <c r="B174" s="25">
        <v>92.83</v>
      </c>
      <c r="C174" s="20">
        <f t="shared" si="4"/>
        <v>0</v>
      </c>
      <c r="H174" s="19">
        <v>43724</v>
      </c>
      <c r="I174" s="16">
        <v>31928.55</v>
      </c>
      <c r="J174" s="20">
        <f t="shared" si="5"/>
        <v>1.4206524442597781E-2</v>
      </c>
    </row>
    <row r="175" spans="1:10" x14ac:dyDescent="0.3">
      <c r="A175" s="19">
        <v>43725</v>
      </c>
      <c r="B175" s="25">
        <v>91.5</v>
      </c>
      <c r="C175" s="20">
        <f t="shared" si="4"/>
        <v>-1.4327264892814804E-2</v>
      </c>
      <c r="H175" s="19">
        <v>43725</v>
      </c>
      <c r="I175" s="16">
        <v>31908.92</v>
      </c>
      <c r="J175" s="20">
        <f t="shared" si="5"/>
        <v>-6.1481025602481228E-4</v>
      </c>
    </row>
    <row r="176" spans="1:10" x14ac:dyDescent="0.3">
      <c r="A176" s="19">
        <v>43726</v>
      </c>
      <c r="B176" s="25">
        <v>90.29</v>
      </c>
      <c r="C176" s="20">
        <f t="shared" si="4"/>
        <v>-1.3224043715846926E-2</v>
      </c>
      <c r="H176" s="19">
        <v>43726</v>
      </c>
      <c r="I176" s="16">
        <v>31555.47</v>
      </c>
      <c r="J176" s="20">
        <f t="shared" si="5"/>
        <v>-1.1076839955723889E-2</v>
      </c>
    </row>
    <row r="177" spans="1:10" x14ac:dyDescent="0.3">
      <c r="A177" s="19">
        <v>43727</v>
      </c>
      <c r="B177" s="25">
        <v>91.86</v>
      </c>
      <c r="C177" s="20">
        <f t="shared" si="4"/>
        <v>1.7388415106877761E-2</v>
      </c>
      <c r="H177" s="19">
        <v>43727</v>
      </c>
      <c r="I177" s="16">
        <v>32184.03</v>
      </c>
      <c r="J177" s="20">
        <f t="shared" si="5"/>
        <v>1.9919208935883309E-2</v>
      </c>
    </row>
    <row r="178" spans="1:10" x14ac:dyDescent="0.3">
      <c r="A178" s="19">
        <v>43728</v>
      </c>
      <c r="B178" s="25">
        <v>91.79</v>
      </c>
      <c r="C178" s="20">
        <f t="shared" si="4"/>
        <v>-7.6202917483119076E-4</v>
      </c>
      <c r="H178" s="19">
        <v>43728</v>
      </c>
      <c r="I178" s="16">
        <v>32111.1</v>
      </c>
      <c r="J178" s="20">
        <f t="shared" si="5"/>
        <v>-2.2660306990765389E-3</v>
      </c>
    </row>
    <row r="179" spans="1:10" x14ac:dyDescent="0.3">
      <c r="A179" s="19">
        <v>43731</v>
      </c>
      <c r="B179" s="25">
        <v>91.94</v>
      </c>
      <c r="C179" s="20">
        <f t="shared" si="4"/>
        <v>1.6341649417146908E-3</v>
      </c>
      <c r="H179" s="19">
        <v>43731</v>
      </c>
      <c r="I179" s="16">
        <v>31751.21</v>
      </c>
      <c r="J179" s="20">
        <f t="shared" si="5"/>
        <v>-1.1207650936903421E-2</v>
      </c>
    </row>
    <row r="180" spans="1:10" x14ac:dyDescent="0.3">
      <c r="A180" s="19">
        <v>43732</v>
      </c>
      <c r="B180" s="25">
        <v>92.16</v>
      </c>
      <c r="C180" s="20">
        <f t="shared" si="4"/>
        <v>2.3928649118990521E-3</v>
      </c>
      <c r="H180" s="19">
        <v>43732</v>
      </c>
      <c r="I180" s="16">
        <v>31829.24</v>
      </c>
      <c r="J180" s="20">
        <f t="shared" si="5"/>
        <v>2.4575441376880592E-3</v>
      </c>
    </row>
    <row r="181" spans="1:10" x14ac:dyDescent="0.3">
      <c r="A181" s="19">
        <v>43733</v>
      </c>
      <c r="B181" s="25">
        <v>92.07</v>
      </c>
      <c r="C181" s="20">
        <f t="shared" si="4"/>
        <v>-9.7656250000003708E-4</v>
      </c>
      <c r="H181" s="19">
        <v>43733</v>
      </c>
      <c r="I181" s="16">
        <v>31565.21</v>
      </c>
      <c r="J181" s="20">
        <f t="shared" si="5"/>
        <v>-8.295202775812506E-3</v>
      </c>
    </row>
    <row r="182" spans="1:10" x14ac:dyDescent="0.3">
      <c r="A182" s="19">
        <v>43734</v>
      </c>
      <c r="B182" s="25">
        <v>92.01</v>
      </c>
      <c r="C182" s="20">
        <f t="shared" si="4"/>
        <v>-6.5167807103278018E-4</v>
      </c>
      <c r="H182" s="19">
        <v>43734</v>
      </c>
      <c r="I182" s="16">
        <v>31433.89</v>
      </c>
      <c r="J182" s="20">
        <f t="shared" si="5"/>
        <v>-4.1602764562630725E-3</v>
      </c>
    </row>
    <row r="183" spans="1:10" x14ac:dyDescent="0.3">
      <c r="A183" s="19">
        <v>43735</v>
      </c>
      <c r="B183" s="25">
        <v>92.94</v>
      </c>
      <c r="C183" s="20">
        <f t="shared" si="4"/>
        <v>1.0107597000325971E-2</v>
      </c>
      <c r="H183" s="19">
        <v>43735</v>
      </c>
      <c r="I183" s="16">
        <v>32070.81</v>
      </c>
      <c r="J183" s="20">
        <f t="shared" si="5"/>
        <v>2.0262207445530984E-2</v>
      </c>
    </row>
    <row r="184" spans="1:10" x14ac:dyDescent="0.3">
      <c r="A184" s="19">
        <v>43738</v>
      </c>
      <c r="B184" s="25">
        <v>93.03</v>
      </c>
      <c r="C184" s="20">
        <f t="shared" si="4"/>
        <v>9.683666881859631E-4</v>
      </c>
      <c r="H184" s="19">
        <v>43738</v>
      </c>
      <c r="I184" s="16">
        <v>32078.85</v>
      </c>
      <c r="J184" s="20">
        <f t="shared" si="5"/>
        <v>2.5069525839843877E-4</v>
      </c>
    </row>
    <row r="185" spans="1:10" x14ac:dyDescent="0.3">
      <c r="A185" s="19">
        <v>43739</v>
      </c>
      <c r="B185" s="25">
        <v>92.44</v>
      </c>
      <c r="C185" s="20">
        <f t="shared" si="4"/>
        <v>-6.3420402020853851E-3</v>
      </c>
      <c r="H185" s="19">
        <v>43739</v>
      </c>
      <c r="I185" s="16">
        <v>32254.32</v>
      </c>
      <c r="J185" s="20">
        <f t="shared" si="5"/>
        <v>5.4699591787112437E-3</v>
      </c>
    </row>
    <row r="186" spans="1:10" x14ac:dyDescent="0.3">
      <c r="A186" s="19">
        <v>43740</v>
      </c>
      <c r="B186" s="25">
        <v>92.1</v>
      </c>
      <c r="C186" s="20">
        <f t="shared" si="4"/>
        <v>-3.6780614452618285E-3</v>
      </c>
      <c r="H186" s="19">
        <v>43740</v>
      </c>
      <c r="I186" s="16">
        <v>32363.35</v>
      </c>
      <c r="J186" s="20">
        <f t="shared" si="5"/>
        <v>3.3803223878227425E-3</v>
      </c>
    </row>
    <row r="187" spans="1:10" x14ac:dyDescent="0.3">
      <c r="A187" s="19">
        <v>43741</v>
      </c>
      <c r="B187" s="25">
        <v>93.4</v>
      </c>
      <c r="C187" s="20">
        <f t="shared" si="4"/>
        <v>1.4115092290988181E-2</v>
      </c>
      <c r="H187" s="19">
        <v>43741</v>
      </c>
      <c r="I187" s="16">
        <v>32752.25</v>
      </c>
      <c r="J187" s="20">
        <f t="shared" si="5"/>
        <v>1.2016679361067427E-2</v>
      </c>
    </row>
    <row r="188" spans="1:10" x14ac:dyDescent="0.3">
      <c r="A188" s="19">
        <v>43742</v>
      </c>
      <c r="B188" s="25">
        <v>93.53</v>
      </c>
      <c r="C188" s="20">
        <f t="shared" si="4"/>
        <v>1.3918629550320712E-3</v>
      </c>
      <c r="H188" s="19">
        <v>43742</v>
      </c>
      <c r="I188" s="16">
        <v>33033.32</v>
      </c>
      <c r="J188" s="20">
        <f t="shared" si="5"/>
        <v>8.5817004938591908E-3</v>
      </c>
    </row>
    <row r="189" spans="1:10" x14ac:dyDescent="0.3">
      <c r="A189" s="19">
        <v>43745</v>
      </c>
      <c r="B189" s="25">
        <v>95.68</v>
      </c>
      <c r="C189" s="20">
        <f t="shared" si="4"/>
        <v>2.2987276809579873E-2</v>
      </c>
      <c r="H189" s="19">
        <v>43745</v>
      </c>
      <c r="I189" s="16">
        <v>33636.82</v>
      </c>
      <c r="J189" s="20">
        <f t="shared" si="5"/>
        <v>1.8269432197550835E-2</v>
      </c>
    </row>
    <row r="190" spans="1:10" x14ac:dyDescent="0.3">
      <c r="A190" s="19">
        <v>43746</v>
      </c>
      <c r="B190" s="25">
        <v>96.59</v>
      </c>
      <c r="C190" s="20">
        <f t="shared" si="4"/>
        <v>9.5108695652173555E-3</v>
      </c>
      <c r="H190" s="19">
        <v>43746</v>
      </c>
      <c r="I190" s="16">
        <v>33476.620000000003</v>
      </c>
      <c r="J190" s="20">
        <f t="shared" si="5"/>
        <v>-4.7626380852885944E-3</v>
      </c>
    </row>
    <row r="191" spans="1:10" x14ac:dyDescent="0.3">
      <c r="A191" s="19">
        <v>43747</v>
      </c>
      <c r="B191" s="25">
        <v>96.3</v>
      </c>
      <c r="C191" s="20">
        <f t="shared" si="4"/>
        <v>-3.0023811988819367E-3</v>
      </c>
      <c r="H191" s="19">
        <v>43747</v>
      </c>
      <c r="I191" s="16">
        <v>33523.74</v>
      </c>
      <c r="J191" s="20">
        <f t="shared" si="5"/>
        <v>1.4075495076861207E-3</v>
      </c>
    </row>
    <row r="192" spans="1:10" x14ac:dyDescent="0.3">
      <c r="A192" s="19">
        <v>43748</v>
      </c>
      <c r="B192" s="25">
        <v>96.48</v>
      </c>
      <c r="C192" s="20">
        <f t="shared" si="4"/>
        <v>1.8691588785047439E-3</v>
      </c>
      <c r="H192" s="19">
        <v>43748</v>
      </c>
      <c r="I192" s="16">
        <v>34027.699999999997</v>
      </c>
      <c r="J192" s="20">
        <f t="shared" si="5"/>
        <v>1.5032928903517304E-2</v>
      </c>
    </row>
    <row r="193" spans="1:10" x14ac:dyDescent="0.3">
      <c r="A193" s="19">
        <v>43749</v>
      </c>
      <c r="B193" s="25">
        <v>95.95</v>
      </c>
      <c r="C193" s="20">
        <f t="shared" si="4"/>
        <v>-5.4933665008291988E-3</v>
      </c>
      <c r="H193" s="19">
        <v>43749</v>
      </c>
      <c r="I193" s="16">
        <v>34475.69</v>
      </c>
      <c r="J193" s="20">
        <f t="shared" si="5"/>
        <v>1.3165450500621708E-2</v>
      </c>
    </row>
    <row r="194" spans="1:10" x14ac:dyDescent="0.3">
      <c r="A194" s="19">
        <v>43752</v>
      </c>
      <c r="B194" s="25">
        <v>95.24</v>
      </c>
      <c r="C194" s="20">
        <f t="shared" si="4"/>
        <v>-7.3996873371548512E-3</v>
      </c>
      <c r="H194" s="19">
        <v>43752</v>
      </c>
      <c r="I194" s="16">
        <v>34186.26</v>
      </c>
      <c r="J194" s="20">
        <f t="shared" si="5"/>
        <v>-8.3951909301887874E-3</v>
      </c>
    </row>
    <row r="195" spans="1:10" x14ac:dyDescent="0.3">
      <c r="A195" s="19">
        <v>43753</v>
      </c>
      <c r="B195" s="25">
        <v>95.25</v>
      </c>
      <c r="C195" s="20">
        <f t="shared" si="4"/>
        <v>1.0499790004205287E-4</v>
      </c>
      <c r="H195" s="19">
        <v>43753</v>
      </c>
      <c r="I195" s="16">
        <v>34083.53</v>
      </c>
      <c r="J195" s="20">
        <f t="shared" si="5"/>
        <v>-3.0050084449133423E-3</v>
      </c>
    </row>
    <row r="196" spans="1:10" x14ac:dyDescent="0.3">
      <c r="A196" s="19">
        <v>43754</v>
      </c>
      <c r="B196" s="25">
        <v>96.2</v>
      </c>
      <c r="C196" s="20">
        <f t="shared" si="4"/>
        <v>9.9737532808399244E-3</v>
      </c>
      <c r="H196" s="19">
        <v>43754</v>
      </c>
      <c r="I196" s="16">
        <v>34281.089999999997</v>
      </c>
      <c r="J196" s="20">
        <f t="shared" si="5"/>
        <v>5.7963479721730021E-3</v>
      </c>
    </row>
    <row r="197" spans="1:10" x14ac:dyDescent="0.3">
      <c r="A197" s="19">
        <v>43755</v>
      </c>
      <c r="B197" s="25">
        <v>95.85</v>
      </c>
      <c r="C197" s="20">
        <f t="shared" ref="C197:C260" si="6">(B197-B196)/B196</f>
        <v>-3.6382536382537269E-3</v>
      </c>
      <c r="H197" s="19">
        <v>43755</v>
      </c>
      <c r="I197" s="16">
        <v>33898.559999999998</v>
      </c>
      <c r="J197" s="20">
        <f t="shared" ref="J197:J260" si="7">(I197-I196)/I196</f>
        <v>-1.1158630020223945E-2</v>
      </c>
    </row>
    <row r="198" spans="1:10" x14ac:dyDescent="0.3">
      <c r="A198" s="19">
        <v>43756</v>
      </c>
      <c r="B198" s="25">
        <v>96.54</v>
      </c>
      <c r="C198" s="20">
        <f t="shared" si="6"/>
        <v>7.1987480438185916E-3</v>
      </c>
      <c r="H198" s="19">
        <v>43756</v>
      </c>
      <c r="I198" s="16">
        <v>33870.15</v>
      </c>
      <c r="J198" s="20">
        <f t="shared" si="7"/>
        <v>-8.3808869757288267E-4</v>
      </c>
    </row>
    <row r="199" spans="1:10" x14ac:dyDescent="0.3">
      <c r="A199" s="19">
        <v>43759</v>
      </c>
      <c r="B199" s="25">
        <v>96.01</v>
      </c>
      <c r="C199" s="20">
        <f t="shared" si="6"/>
        <v>-5.489952351356962E-3</v>
      </c>
      <c r="H199" s="19">
        <v>43759</v>
      </c>
      <c r="I199" s="16">
        <v>33084.730000000003</v>
      </c>
      <c r="J199" s="20">
        <f t="shared" si="7"/>
        <v>-2.318915032853407E-2</v>
      </c>
    </row>
    <row r="200" spans="1:10" x14ac:dyDescent="0.3">
      <c r="A200" s="19">
        <v>43760</v>
      </c>
      <c r="B200" s="25">
        <v>96.28</v>
      </c>
      <c r="C200" s="20">
        <f t="shared" si="6"/>
        <v>2.8122070617643581E-3</v>
      </c>
      <c r="H200" s="19">
        <v>43760</v>
      </c>
      <c r="I200" s="16">
        <v>33198.959999999999</v>
      </c>
      <c r="J200" s="20">
        <f t="shared" si="7"/>
        <v>3.4526502105350692E-3</v>
      </c>
    </row>
    <row r="201" spans="1:10" x14ac:dyDescent="0.3">
      <c r="A201" s="19">
        <v>43761</v>
      </c>
      <c r="B201" s="25">
        <v>97.02</v>
      </c>
      <c r="C201" s="20">
        <f t="shared" si="6"/>
        <v>7.6859160781054727E-3</v>
      </c>
      <c r="H201" s="19">
        <v>43761</v>
      </c>
      <c r="I201" s="16">
        <v>33439.69</v>
      </c>
      <c r="J201" s="20">
        <f t="shared" si="7"/>
        <v>7.2511307583130076E-3</v>
      </c>
    </row>
    <row r="202" spans="1:10" x14ac:dyDescent="0.3">
      <c r="A202" s="19">
        <v>43762</v>
      </c>
      <c r="B202" s="25">
        <v>97.71</v>
      </c>
      <c r="C202" s="20">
        <f t="shared" si="6"/>
        <v>7.1119356833642313E-3</v>
      </c>
      <c r="H202" s="19">
        <v>43762</v>
      </c>
      <c r="I202" s="16">
        <v>33762.480000000003</v>
      </c>
      <c r="J202" s="20">
        <f t="shared" si="7"/>
        <v>9.65290049040529E-3</v>
      </c>
    </row>
    <row r="203" spans="1:10" x14ac:dyDescent="0.3">
      <c r="A203" s="19">
        <v>43763</v>
      </c>
      <c r="B203" s="25">
        <v>97.33</v>
      </c>
      <c r="C203" s="20">
        <f t="shared" si="6"/>
        <v>-3.8890594616722493E-3</v>
      </c>
      <c r="H203" s="19">
        <v>43763</v>
      </c>
      <c r="I203" s="16">
        <v>33657.46</v>
      </c>
      <c r="J203" s="20">
        <f t="shared" si="7"/>
        <v>-3.110553490146579E-3</v>
      </c>
    </row>
    <row r="204" spans="1:10" x14ac:dyDescent="0.3">
      <c r="A204" s="19">
        <v>43766</v>
      </c>
      <c r="B204" s="25">
        <v>96.2</v>
      </c>
      <c r="C204" s="20">
        <f t="shared" si="6"/>
        <v>-1.1609986643378152E-2</v>
      </c>
      <c r="H204" s="19">
        <v>43766</v>
      </c>
      <c r="I204" s="16">
        <v>33861.589999999997</v>
      </c>
      <c r="J204" s="20">
        <f t="shared" si="7"/>
        <v>6.0649258737883781E-3</v>
      </c>
    </row>
    <row r="205" spans="1:10" x14ac:dyDescent="0.3">
      <c r="A205" s="19">
        <v>43767</v>
      </c>
      <c r="B205" s="25">
        <v>95.67</v>
      </c>
      <c r="C205" s="20">
        <f t="shared" si="6"/>
        <v>-5.5093555093555209E-3</v>
      </c>
      <c r="H205" s="19">
        <v>43767</v>
      </c>
      <c r="I205" s="16">
        <v>33797.51</v>
      </c>
      <c r="J205" s="20">
        <f t="shared" si="7"/>
        <v>-1.8924096594399281E-3</v>
      </c>
    </row>
    <row r="206" spans="1:10" x14ac:dyDescent="0.3">
      <c r="A206" s="19">
        <v>43768</v>
      </c>
      <c r="B206" s="25">
        <v>94.9</v>
      </c>
      <c r="C206" s="20">
        <f t="shared" si="6"/>
        <v>-8.0485000522629458E-3</v>
      </c>
      <c r="H206" s="19">
        <v>43768</v>
      </c>
      <c r="I206" s="16">
        <v>33761.410000000003</v>
      </c>
      <c r="J206" s="20">
        <f t="shared" si="7"/>
        <v>-1.0681260246686382E-3</v>
      </c>
    </row>
    <row r="207" spans="1:10" x14ac:dyDescent="0.3">
      <c r="A207" s="19">
        <v>43769</v>
      </c>
      <c r="B207" s="25">
        <v>94.16</v>
      </c>
      <c r="C207" s="20">
        <f t="shared" si="6"/>
        <v>-7.7976817702846051E-3</v>
      </c>
      <c r="H207" s="19">
        <v>43769</v>
      </c>
      <c r="I207" s="16">
        <v>34203.68</v>
      </c>
      <c r="J207" s="20">
        <f t="shared" si="7"/>
        <v>1.3099867570696744E-2</v>
      </c>
    </row>
    <row r="208" spans="1:10" x14ac:dyDescent="0.3">
      <c r="A208" s="19">
        <v>43770</v>
      </c>
      <c r="B208" s="25">
        <v>94.61</v>
      </c>
      <c r="C208" s="20">
        <f t="shared" si="6"/>
        <v>4.7790994052676599E-3</v>
      </c>
      <c r="H208" s="19">
        <v>43770</v>
      </c>
      <c r="I208" s="16">
        <v>34377.61</v>
      </c>
      <c r="J208" s="20">
        <f t="shared" si="7"/>
        <v>5.0851253432379288E-3</v>
      </c>
    </row>
    <row r="209" spans="1:10" x14ac:dyDescent="0.3">
      <c r="A209" s="19">
        <v>43773</v>
      </c>
      <c r="B209" s="25">
        <v>97.49</v>
      </c>
      <c r="C209" s="20">
        <f t="shared" si="6"/>
        <v>3.044075679103684E-2</v>
      </c>
      <c r="H209" s="19">
        <v>43773</v>
      </c>
      <c r="I209" s="16">
        <v>35277.46</v>
      </c>
      <c r="J209" s="20">
        <f t="shared" si="7"/>
        <v>2.6175467113624201E-2</v>
      </c>
    </row>
    <row r="210" spans="1:10" x14ac:dyDescent="0.3">
      <c r="A210" s="19">
        <v>43774</v>
      </c>
      <c r="B210" s="25">
        <v>96.66</v>
      </c>
      <c r="C210" s="20">
        <f t="shared" si="6"/>
        <v>-8.5136937121755903E-3</v>
      </c>
      <c r="H210" s="19">
        <v>43774</v>
      </c>
      <c r="I210" s="16">
        <v>35358.31</v>
      </c>
      <c r="J210" s="20">
        <f t="shared" si="7"/>
        <v>2.2918316681529382E-3</v>
      </c>
    </row>
    <row r="211" spans="1:10" x14ac:dyDescent="0.3">
      <c r="A211" s="19">
        <v>43775</v>
      </c>
      <c r="B211" s="25">
        <v>96.22</v>
      </c>
      <c r="C211" s="20">
        <f t="shared" si="6"/>
        <v>-4.5520380715911206E-3</v>
      </c>
      <c r="H211" s="19">
        <v>43775</v>
      </c>
      <c r="I211" s="16">
        <v>35653.33</v>
      </c>
      <c r="J211" s="20">
        <f t="shared" si="7"/>
        <v>8.3437245728091667E-3</v>
      </c>
    </row>
    <row r="212" spans="1:10" x14ac:dyDescent="0.3">
      <c r="A212" s="19">
        <v>43776</v>
      </c>
      <c r="B212" s="25">
        <v>97.06</v>
      </c>
      <c r="C212" s="20">
        <f t="shared" si="6"/>
        <v>8.7299937642902042E-3</v>
      </c>
      <c r="H212" s="19">
        <v>43776</v>
      </c>
      <c r="I212" s="16">
        <v>35758.519999999997</v>
      </c>
      <c r="J212" s="20">
        <f t="shared" si="7"/>
        <v>2.9503555488363934E-3</v>
      </c>
    </row>
    <row r="213" spans="1:10" x14ac:dyDescent="0.3">
      <c r="A213" s="19">
        <v>43777</v>
      </c>
      <c r="B213" s="25">
        <v>97.81</v>
      </c>
      <c r="C213" s="20">
        <f t="shared" si="6"/>
        <v>7.7271790644961877E-3</v>
      </c>
      <c r="H213" s="19">
        <v>43777</v>
      </c>
      <c r="I213" s="16">
        <v>35978.160000000003</v>
      </c>
      <c r="J213" s="20">
        <f t="shared" si="7"/>
        <v>6.14231237758181E-3</v>
      </c>
    </row>
    <row r="214" spans="1:10" x14ac:dyDescent="0.3">
      <c r="A214" s="19">
        <v>43780</v>
      </c>
      <c r="B214" s="25">
        <v>98</v>
      </c>
      <c r="C214" s="20">
        <f t="shared" si="6"/>
        <v>1.9425416624066836E-3</v>
      </c>
      <c r="H214" s="19">
        <v>43780</v>
      </c>
      <c r="I214" s="16">
        <v>36803.1</v>
      </c>
      <c r="J214" s="20">
        <f t="shared" si="7"/>
        <v>2.2928910205524546E-2</v>
      </c>
    </row>
    <row r="215" spans="1:10" x14ac:dyDescent="0.3">
      <c r="A215" s="19">
        <v>43781</v>
      </c>
      <c r="B215" s="25">
        <v>95.75</v>
      </c>
      <c r="C215" s="20">
        <f t="shared" si="6"/>
        <v>-2.2959183673469389E-2</v>
      </c>
      <c r="H215" s="19">
        <v>43781</v>
      </c>
      <c r="I215" s="16">
        <v>36765.56</v>
      </c>
      <c r="J215" s="20">
        <f t="shared" si="7"/>
        <v>-1.0200227698210444E-3</v>
      </c>
    </row>
    <row r="216" spans="1:10" x14ac:dyDescent="0.3">
      <c r="A216" s="19">
        <v>43782</v>
      </c>
      <c r="B216" s="25">
        <v>95.78</v>
      </c>
      <c r="C216" s="20">
        <f t="shared" si="6"/>
        <v>3.1331592689296228E-4</v>
      </c>
      <c r="H216" s="19">
        <v>43782</v>
      </c>
      <c r="I216" s="16">
        <v>37166.959999999999</v>
      </c>
      <c r="J216" s="20">
        <f t="shared" si="7"/>
        <v>1.0917826357058113E-2</v>
      </c>
    </row>
    <row r="217" spans="1:10" x14ac:dyDescent="0.3">
      <c r="A217" s="19">
        <v>43783</v>
      </c>
      <c r="B217" s="25">
        <v>96.07</v>
      </c>
      <c r="C217" s="20">
        <f t="shared" si="6"/>
        <v>3.0277719774482359E-3</v>
      </c>
      <c r="H217" s="19">
        <v>43783</v>
      </c>
      <c r="I217" s="16">
        <v>37243.199999999997</v>
      </c>
      <c r="J217" s="20">
        <f t="shared" si="7"/>
        <v>2.0512842589223861E-3</v>
      </c>
    </row>
    <row r="218" spans="1:10" x14ac:dyDescent="0.3">
      <c r="A218" s="19">
        <v>43784</v>
      </c>
      <c r="B218" s="25">
        <v>95.76</v>
      </c>
      <c r="C218" s="20">
        <f t="shared" si="6"/>
        <v>-3.2268137816174464E-3</v>
      </c>
      <c r="H218" s="19">
        <v>43784</v>
      </c>
      <c r="I218" s="16">
        <v>37583.89</v>
      </c>
      <c r="J218" s="20">
        <f t="shared" si="7"/>
        <v>9.1477101860205981E-3</v>
      </c>
    </row>
    <row r="219" spans="1:10" x14ac:dyDescent="0.3">
      <c r="A219" s="19">
        <v>43787</v>
      </c>
      <c r="B219" s="25">
        <v>97.98</v>
      </c>
      <c r="C219" s="20">
        <f t="shared" si="6"/>
        <v>2.3182957393483698E-2</v>
      </c>
      <c r="H219" s="19">
        <v>43787</v>
      </c>
      <c r="I219" s="16">
        <v>38411.56</v>
      </c>
      <c r="J219" s="20">
        <f t="shared" si="7"/>
        <v>2.2021935462241887E-2</v>
      </c>
    </row>
    <row r="220" spans="1:10" x14ac:dyDescent="0.3">
      <c r="A220" s="19">
        <v>43788</v>
      </c>
      <c r="B220" s="25">
        <v>98.88</v>
      </c>
      <c r="C220" s="20">
        <f t="shared" si="6"/>
        <v>9.1855480710348169E-3</v>
      </c>
      <c r="H220" s="19">
        <v>43788</v>
      </c>
      <c r="I220" s="16">
        <v>38564.370000000003</v>
      </c>
      <c r="J220" s="20">
        <f t="shared" si="7"/>
        <v>3.9782294705032794E-3</v>
      </c>
    </row>
    <row r="221" spans="1:10" x14ac:dyDescent="0.3">
      <c r="A221" s="19">
        <v>43789</v>
      </c>
      <c r="B221" s="25">
        <v>100.41</v>
      </c>
      <c r="C221" s="20">
        <f t="shared" si="6"/>
        <v>1.5473300970873799E-2</v>
      </c>
      <c r="H221" s="19">
        <v>43789</v>
      </c>
      <c r="I221" s="16">
        <v>38037.68</v>
      </c>
      <c r="J221" s="20">
        <f t="shared" si="7"/>
        <v>-1.3657425234743944E-2</v>
      </c>
    </row>
    <row r="222" spans="1:10" x14ac:dyDescent="0.3">
      <c r="A222" s="19">
        <v>43790</v>
      </c>
      <c r="B222" s="25">
        <v>98.3</v>
      </c>
      <c r="C222" s="20">
        <f t="shared" si="6"/>
        <v>-2.1013843242704906E-2</v>
      </c>
      <c r="H222" s="19">
        <v>43790</v>
      </c>
      <c r="I222" s="16">
        <v>37101.31</v>
      </c>
      <c r="J222" s="20">
        <f t="shared" si="7"/>
        <v>-2.4616906183552799E-2</v>
      </c>
    </row>
    <row r="223" spans="1:10" x14ac:dyDescent="0.3">
      <c r="A223" s="19">
        <v>43791</v>
      </c>
      <c r="B223" s="25">
        <v>101.8</v>
      </c>
      <c r="C223" s="20">
        <f t="shared" si="6"/>
        <v>3.5605289928789419E-2</v>
      </c>
      <c r="H223" s="19">
        <v>43791</v>
      </c>
      <c r="I223" s="16">
        <v>37925.79</v>
      </c>
      <c r="J223" s="20">
        <f t="shared" si="7"/>
        <v>2.2222395920791026E-2</v>
      </c>
    </row>
    <row r="224" spans="1:10" x14ac:dyDescent="0.3">
      <c r="A224" s="19">
        <v>43794</v>
      </c>
      <c r="B224" s="25">
        <v>102.95</v>
      </c>
      <c r="C224" s="20">
        <f t="shared" si="6"/>
        <v>1.1296660117878249E-2</v>
      </c>
      <c r="H224" s="19">
        <v>43794</v>
      </c>
      <c r="I224" s="16">
        <v>38212.28</v>
      </c>
      <c r="J224" s="20">
        <f t="shared" si="7"/>
        <v>7.5539626201589459E-3</v>
      </c>
    </row>
    <row r="225" spans="1:10" x14ac:dyDescent="0.3">
      <c r="A225" s="19">
        <v>43795</v>
      </c>
      <c r="B225" s="25">
        <v>102.07</v>
      </c>
      <c r="C225" s="20">
        <f t="shared" si="6"/>
        <v>-8.547838756678092E-3</v>
      </c>
      <c r="H225" s="19">
        <v>43795</v>
      </c>
      <c r="I225" s="16">
        <v>37795.050000000003</v>
      </c>
      <c r="J225" s="20">
        <f t="shared" si="7"/>
        <v>-1.0918741305151013E-2</v>
      </c>
    </row>
    <row r="226" spans="1:10" x14ac:dyDescent="0.3">
      <c r="A226" s="19">
        <v>43796</v>
      </c>
      <c r="B226" s="25">
        <v>104.59</v>
      </c>
      <c r="C226" s="20">
        <f t="shared" si="6"/>
        <v>2.4688938963456555E-2</v>
      </c>
      <c r="H226" s="19">
        <v>43796</v>
      </c>
      <c r="I226" s="16">
        <v>38122.720000000001</v>
      </c>
      <c r="J226" s="20">
        <f t="shared" si="7"/>
        <v>8.6696538303295857E-3</v>
      </c>
    </row>
    <row r="227" spans="1:10" x14ac:dyDescent="0.3">
      <c r="A227" s="19">
        <v>43797</v>
      </c>
      <c r="B227" s="25">
        <v>105.79</v>
      </c>
      <c r="C227" s="20">
        <f t="shared" si="6"/>
        <v>1.1473372215316979E-2</v>
      </c>
      <c r="H227" s="19">
        <v>43797</v>
      </c>
      <c r="I227" s="16">
        <v>38706.269999999997</v>
      </c>
      <c r="J227" s="20">
        <f t="shared" si="7"/>
        <v>1.5307144925650521E-2</v>
      </c>
    </row>
    <row r="228" spans="1:10" x14ac:dyDescent="0.3">
      <c r="A228" s="19">
        <v>43798</v>
      </c>
      <c r="B228" s="25">
        <v>106.37</v>
      </c>
      <c r="C228" s="20">
        <f t="shared" si="6"/>
        <v>5.4825597882597436E-3</v>
      </c>
      <c r="H228" s="19">
        <v>43798</v>
      </c>
      <c r="I228" s="16">
        <v>39287.65</v>
      </c>
      <c r="J228" s="20">
        <f t="shared" si="7"/>
        <v>1.5020305495724716E-2</v>
      </c>
    </row>
    <row r="229" spans="1:10" x14ac:dyDescent="0.3">
      <c r="A229" s="19">
        <v>43801</v>
      </c>
      <c r="B229" s="25">
        <v>106.51</v>
      </c>
      <c r="C229" s="20">
        <f t="shared" si="6"/>
        <v>1.3161605715897393E-3</v>
      </c>
      <c r="H229" s="19">
        <v>43801</v>
      </c>
      <c r="I229" s="16">
        <v>40124.22</v>
      </c>
      <c r="J229" s="20">
        <f t="shared" si="7"/>
        <v>2.1293459904066538E-2</v>
      </c>
    </row>
    <row r="230" spans="1:10" x14ac:dyDescent="0.3">
      <c r="A230" s="19">
        <v>43802</v>
      </c>
      <c r="B230" s="25">
        <v>105.93</v>
      </c>
      <c r="C230" s="20">
        <f t="shared" si="6"/>
        <v>-5.4454980752980777E-3</v>
      </c>
      <c r="H230" s="19">
        <v>43802</v>
      </c>
      <c r="I230" s="16">
        <v>39788.730000000003</v>
      </c>
      <c r="J230" s="20">
        <f t="shared" si="7"/>
        <v>-8.3612840324372145E-3</v>
      </c>
    </row>
    <row r="231" spans="1:10" x14ac:dyDescent="0.3">
      <c r="A231" s="19">
        <v>43803</v>
      </c>
      <c r="B231" s="25">
        <v>104.64</v>
      </c>
      <c r="C231" s="20">
        <f t="shared" si="6"/>
        <v>-1.2177853299348685E-2</v>
      </c>
      <c r="H231" s="19">
        <v>43803</v>
      </c>
      <c r="I231" s="16">
        <v>40270.519999999997</v>
      </c>
      <c r="J231" s="20">
        <f t="shared" si="7"/>
        <v>1.2108705153444041E-2</v>
      </c>
    </row>
    <row r="232" spans="1:10" x14ac:dyDescent="0.3">
      <c r="A232" s="19">
        <v>43804</v>
      </c>
      <c r="B232" s="25">
        <v>105.18</v>
      </c>
      <c r="C232" s="20">
        <f t="shared" si="6"/>
        <v>5.1605504587156565E-3</v>
      </c>
      <c r="H232" s="19">
        <v>43804</v>
      </c>
      <c r="I232" s="16">
        <v>40641.1</v>
      </c>
      <c r="J232" s="20">
        <f t="shared" si="7"/>
        <v>9.2022650812555139E-3</v>
      </c>
    </row>
    <row r="233" spans="1:10" x14ac:dyDescent="0.3">
      <c r="A233" s="19">
        <v>43805</v>
      </c>
      <c r="B233" s="25">
        <v>104.71</v>
      </c>
      <c r="C233" s="20">
        <f t="shared" si="6"/>
        <v>-4.4685301388097841E-3</v>
      </c>
      <c r="H233" s="19">
        <v>43805</v>
      </c>
      <c r="I233" s="16">
        <v>40732.25</v>
      </c>
      <c r="J233" s="20">
        <f t="shared" si="7"/>
        <v>2.2428034674258682E-3</v>
      </c>
    </row>
    <row r="234" spans="1:10" x14ac:dyDescent="0.3">
      <c r="A234" s="19">
        <v>43808</v>
      </c>
      <c r="B234" s="25">
        <v>104.94</v>
      </c>
      <c r="C234" s="20">
        <f t="shared" si="6"/>
        <v>2.1965428325852734E-3</v>
      </c>
      <c r="H234" s="19">
        <v>43808</v>
      </c>
      <c r="I234" s="16">
        <v>40442.800000000003</v>
      </c>
      <c r="J234" s="20">
        <f t="shared" si="7"/>
        <v>-7.1061628071122287E-3</v>
      </c>
    </row>
    <row r="235" spans="1:10" x14ac:dyDescent="0.3">
      <c r="A235" s="19">
        <v>43809</v>
      </c>
      <c r="B235" s="25">
        <v>104.84</v>
      </c>
      <c r="C235" s="20">
        <f t="shared" si="6"/>
        <v>-9.5292548122731383E-4</v>
      </c>
      <c r="H235" s="19">
        <v>43809</v>
      </c>
      <c r="I235" s="16">
        <v>40664.6</v>
      </c>
      <c r="J235" s="20">
        <f t="shared" si="7"/>
        <v>5.4842889216373649E-3</v>
      </c>
    </row>
    <row r="236" spans="1:10" x14ac:dyDescent="0.3">
      <c r="A236" s="19">
        <v>43810</v>
      </c>
      <c r="B236" s="25">
        <v>105.71</v>
      </c>
      <c r="C236" s="20">
        <f t="shared" si="6"/>
        <v>8.2983594048072328E-3</v>
      </c>
      <c r="H236" s="19">
        <v>43810</v>
      </c>
      <c r="I236" s="16">
        <v>40531.42</v>
      </c>
      <c r="J236" s="20">
        <f t="shared" si="7"/>
        <v>-3.2750844715059364E-3</v>
      </c>
    </row>
    <row r="237" spans="1:10" x14ac:dyDescent="0.3">
      <c r="A237" s="19">
        <v>43811</v>
      </c>
      <c r="B237" s="25">
        <v>105.87</v>
      </c>
      <c r="C237" s="20">
        <f t="shared" si="6"/>
        <v>1.513574874657183E-3</v>
      </c>
      <c r="H237" s="19">
        <v>43811</v>
      </c>
      <c r="I237" s="16">
        <v>40514.17</v>
      </c>
      <c r="J237" s="20">
        <f t="shared" si="7"/>
        <v>-4.2559574769401122E-4</v>
      </c>
    </row>
    <row r="238" spans="1:10" x14ac:dyDescent="0.3">
      <c r="A238" s="19">
        <v>43812</v>
      </c>
      <c r="B238" s="25">
        <v>105.29</v>
      </c>
      <c r="C238" s="20">
        <f t="shared" si="6"/>
        <v>-5.4784169264191773E-3</v>
      </c>
      <c r="H238" s="19">
        <v>43812</v>
      </c>
      <c r="I238" s="16">
        <v>40916.589999999997</v>
      </c>
      <c r="J238" s="20">
        <f t="shared" si="7"/>
        <v>9.9328210352081329E-3</v>
      </c>
    </row>
    <row r="239" spans="1:10" x14ac:dyDescent="0.3">
      <c r="A239" s="19">
        <v>43815</v>
      </c>
      <c r="B239" s="25">
        <v>106.32</v>
      </c>
      <c r="C239" s="20">
        <f t="shared" si="6"/>
        <v>9.7825054611072933E-3</v>
      </c>
      <c r="H239" s="19">
        <v>43815</v>
      </c>
      <c r="I239" s="16">
        <v>41644.879999999997</v>
      </c>
      <c r="J239" s="20">
        <f t="shared" si="7"/>
        <v>1.7799381620022609E-2</v>
      </c>
    </row>
    <row r="240" spans="1:10" x14ac:dyDescent="0.3">
      <c r="A240" s="19">
        <v>43816</v>
      </c>
      <c r="B240" s="25">
        <v>103.24</v>
      </c>
      <c r="C240" s="20">
        <f t="shared" si="6"/>
        <v>-2.8969149736644079E-2</v>
      </c>
      <c r="H240" s="19">
        <v>43816</v>
      </c>
      <c r="I240" s="16">
        <v>41768.660000000003</v>
      </c>
      <c r="J240" s="20">
        <f t="shared" si="7"/>
        <v>2.9722741427038839E-3</v>
      </c>
    </row>
    <row r="241" spans="1:10" x14ac:dyDescent="0.3">
      <c r="A241" s="19">
        <v>43817</v>
      </c>
      <c r="B241" s="25">
        <v>103.55</v>
      </c>
      <c r="C241" s="20">
        <f t="shared" si="6"/>
        <v>3.0027121270825483E-3</v>
      </c>
      <c r="H241" s="19">
        <v>43817</v>
      </c>
      <c r="I241" s="16">
        <v>41603.71</v>
      </c>
      <c r="J241" s="20">
        <f t="shared" si="7"/>
        <v>-3.9491331539006601E-3</v>
      </c>
    </row>
    <row r="242" spans="1:10" x14ac:dyDescent="0.3">
      <c r="A242" s="19">
        <v>43818</v>
      </c>
      <c r="B242" s="25">
        <v>101.93</v>
      </c>
      <c r="C242" s="20">
        <f t="shared" si="6"/>
        <v>-1.5644616127474559E-2</v>
      </c>
      <c r="H242" s="19">
        <v>43818</v>
      </c>
      <c r="I242" s="16">
        <v>40655.370000000003</v>
      </c>
      <c r="J242" s="20">
        <f t="shared" si="7"/>
        <v>-2.2794601731432041E-2</v>
      </c>
    </row>
    <row r="243" spans="1:10" x14ac:dyDescent="0.3">
      <c r="A243" s="19">
        <v>43819</v>
      </c>
      <c r="B243" s="25">
        <v>103.09</v>
      </c>
      <c r="C243" s="20">
        <f t="shared" si="6"/>
        <v>1.1380359069949931E-2</v>
      </c>
      <c r="H243" s="19">
        <v>43819</v>
      </c>
      <c r="I243" s="16">
        <v>40832.99</v>
      </c>
      <c r="J243" s="20">
        <f t="shared" si="7"/>
        <v>4.3689185463075438E-3</v>
      </c>
    </row>
    <row r="244" spans="1:10" x14ac:dyDescent="0.3">
      <c r="A244" s="19">
        <v>43822</v>
      </c>
      <c r="B244" s="25">
        <v>101.85</v>
      </c>
      <c r="C244" s="20">
        <f t="shared" si="6"/>
        <v>-1.2028324764768736E-2</v>
      </c>
      <c r="H244" s="19">
        <v>43822</v>
      </c>
      <c r="I244" s="16">
        <v>40008.29</v>
      </c>
      <c r="J244" s="20">
        <f t="shared" si="7"/>
        <v>-2.0196904512748078E-2</v>
      </c>
    </row>
    <row r="245" spans="1:10" x14ac:dyDescent="0.3">
      <c r="A245" s="19">
        <v>43823</v>
      </c>
      <c r="B245" s="25">
        <v>101.93</v>
      </c>
      <c r="C245" s="20">
        <f t="shared" si="6"/>
        <v>7.8546882670606298E-4</v>
      </c>
      <c r="H245" s="19">
        <v>43823</v>
      </c>
      <c r="I245" s="16">
        <v>40328.32</v>
      </c>
      <c r="J245" s="20">
        <f t="shared" si="7"/>
        <v>7.9990921881439771E-3</v>
      </c>
    </row>
    <row r="246" spans="1:10" x14ac:dyDescent="0.3">
      <c r="A246" s="19">
        <v>43825</v>
      </c>
      <c r="B246" s="25">
        <v>102.65</v>
      </c>
      <c r="C246" s="20">
        <f t="shared" si="6"/>
        <v>7.0636711468654847E-3</v>
      </c>
      <c r="H246" s="19">
        <v>43825</v>
      </c>
      <c r="I246" s="16">
        <v>41127.79</v>
      </c>
      <c r="J246" s="20">
        <f t="shared" si="7"/>
        <v>1.9824034326250167E-2</v>
      </c>
    </row>
    <row r="247" spans="1:10" x14ac:dyDescent="0.3">
      <c r="A247" s="19">
        <v>43826</v>
      </c>
      <c r="B247" s="25">
        <v>101.04</v>
      </c>
      <c r="C247" s="20">
        <f t="shared" si="6"/>
        <v>-1.5684364344861174E-2</v>
      </c>
      <c r="H247" s="19">
        <v>43826</v>
      </c>
      <c r="I247" s="16">
        <v>40848.53</v>
      </c>
      <c r="J247" s="20">
        <f t="shared" si="7"/>
        <v>-6.7900560667130917E-3</v>
      </c>
    </row>
    <row r="248" spans="1:10" x14ac:dyDescent="0.3">
      <c r="A248" s="19">
        <v>43829</v>
      </c>
      <c r="B248" s="25">
        <v>99.28</v>
      </c>
      <c r="C248" s="20">
        <f t="shared" si="6"/>
        <v>-1.7418844022169488E-2</v>
      </c>
      <c r="H248" s="19">
        <v>43829</v>
      </c>
      <c r="I248" s="16">
        <v>40887.620000000003</v>
      </c>
      <c r="J248" s="20">
        <f t="shared" si="7"/>
        <v>9.5694998081947589E-4</v>
      </c>
    </row>
    <row r="249" spans="1:10" x14ac:dyDescent="0.3">
      <c r="A249" s="19">
        <v>43830</v>
      </c>
      <c r="B249" s="25">
        <v>101.47</v>
      </c>
      <c r="C249" s="20">
        <f t="shared" si="6"/>
        <v>2.2058823529411742E-2</v>
      </c>
      <c r="H249" s="19">
        <v>43830</v>
      </c>
      <c r="I249" s="16">
        <v>40735.08</v>
      </c>
      <c r="J249" s="20">
        <f t="shared" si="7"/>
        <v>-3.7307135998622776E-3</v>
      </c>
    </row>
    <row r="250" spans="1:10" x14ac:dyDescent="0.3">
      <c r="A250" s="19">
        <v>43831</v>
      </c>
      <c r="B250" s="25">
        <v>102.35</v>
      </c>
      <c r="C250" s="20">
        <f t="shared" si="6"/>
        <v>8.6725140435596274E-3</v>
      </c>
      <c r="H250" s="19">
        <v>43831</v>
      </c>
      <c r="I250" s="16">
        <v>41400</v>
      </c>
      <c r="J250" s="20">
        <f t="shared" si="7"/>
        <v>1.6323031647415404E-2</v>
      </c>
    </row>
    <row r="251" spans="1:10" x14ac:dyDescent="0.3">
      <c r="A251" s="19">
        <v>43832</v>
      </c>
      <c r="B251" s="25">
        <v>102.46</v>
      </c>
      <c r="C251" s="20">
        <f t="shared" si="6"/>
        <v>1.0747435271128425E-3</v>
      </c>
      <c r="H251" s="19">
        <v>43832</v>
      </c>
      <c r="I251" s="16">
        <v>42480.76</v>
      </c>
      <c r="J251" s="20">
        <f t="shared" si="7"/>
        <v>2.6105314009661883E-2</v>
      </c>
    </row>
    <row r="252" spans="1:10" x14ac:dyDescent="0.3">
      <c r="A252" s="19">
        <v>43833</v>
      </c>
      <c r="B252" s="25">
        <v>102.12</v>
      </c>
      <c r="C252" s="20">
        <f t="shared" si="6"/>
        <v>-3.3183681436657155E-3</v>
      </c>
      <c r="H252" s="19">
        <v>43833</v>
      </c>
      <c r="I252" s="16">
        <v>42323.3</v>
      </c>
      <c r="J252" s="20">
        <f t="shared" si="7"/>
        <v>-3.7066191847791594E-3</v>
      </c>
    </row>
    <row r="253" spans="1:10" x14ac:dyDescent="0.3">
      <c r="A253" s="19">
        <v>43836</v>
      </c>
      <c r="B253" s="25">
        <v>99.84</v>
      </c>
      <c r="C253" s="20">
        <f t="shared" si="6"/>
        <v>-2.2326674500587555E-2</v>
      </c>
      <c r="H253" s="19">
        <v>43836</v>
      </c>
      <c r="I253" s="16">
        <v>41296.239999999998</v>
      </c>
      <c r="J253" s="20">
        <f t="shared" si="7"/>
        <v>-2.4267011315280352E-2</v>
      </c>
    </row>
    <row r="254" spans="1:10" x14ac:dyDescent="0.3">
      <c r="A254" s="19">
        <v>43837</v>
      </c>
      <c r="B254" s="25">
        <v>101.23</v>
      </c>
      <c r="C254" s="20">
        <f t="shared" si="6"/>
        <v>1.3922275641025647E-2</v>
      </c>
      <c r="H254" s="19">
        <v>43837</v>
      </c>
      <c r="I254" s="16">
        <v>41904.47</v>
      </c>
      <c r="J254" s="20">
        <f t="shared" si="7"/>
        <v>1.4728459540142232E-2</v>
      </c>
    </row>
    <row r="255" spans="1:10" x14ac:dyDescent="0.3">
      <c r="A255" s="19">
        <v>43838</v>
      </c>
      <c r="B255" s="25">
        <v>98.88</v>
      </c>
      <c r="C255" s="20">
        <f t="shared" si="6"/>
        <v>-2.3214462115973607E-2</v>
      </c>
      <c r="H255" s="19">
        <v>43838</v>
      </c>
      <c r="I255" s="16">
        <v>41357.56</v>
      </c>
      <c r="J255" s="20">
        <f t="shared" si="7"/>
        <v>-1.305135227816993E-2</v>
      </c>
    </row>
    <row r="256" spans="1:10" x14ac:dyDescent="0.3">
      <c r="A256" s="19">
        <v>43839</v>
      </c>
      <c r="B256" s="25">
        <v>101.71</v>
      </c>
      <c r="C256" s="20">
        <f t="shared" si="6"/>
        <v>2.862055016181228E-2</v>
      </c>
      <c r="H256" s="19">
        <v>43839</v>
      </c>
      <c r="I256" s="16">
        <v>42523.07</v>
      </c>
      <c r="J256" s="20">
        <f t="shared" si="7"/>
        <v>2.8181304699793751E-2</v>
      </c>
    </row>
    <row r="257" spans="1:10" x14ac:dyDescent="0.3">
      <c r="A257" s="19">
        <v>43840</v>
      </c>
      <c r="B257" s="25">
        <v>103.05</v>
      </c>
      <c r="C257" s="20">
        <f t="shared" si="6"/>
        <v>1.3174712417658082E-2</v>
      </c>
      <c r="H257" s="19">
        <v>43840</v>
      </c>
      <c r="I257" s="16">
        <v>43207.05</v>
      </c>
      <c r="J257" s="20">
        <f t="shared" si="7"/>
        <v>1.6084915788065236E-2</v>
      </c>
    </row>
    <row r="258" spans="1:10" x14ac:dyDescent="0.3">
      <c r="A258" s="19">
        <v>43843</v>
      </c>
      <c r="B258" s="25">
        <v>102.48</v>
      </c>
      <c r="C258" s="20">
        <f t="shared" si="6"/>
        <v>-5.5312954876272991E-3</v>
      </c>
      <c r="H258" s="19">
        <v>43843</v>
      </c>
      <c r="I258" s="16">
        <v>43218.67</v>
      </c>
      <c r="J258" s="20">
        <f t="shared" si="7"/>
        <v>2.6893759236039816E-4</v>
      </c>
    </row>
    <row r="259" spans="1:10" x14ac:dyDescent="0.3">
      <c r="A259" s="19">
        <v>43844</v>
      </c>
      <c r="B259" s="25">
        <v>102.57</v>
      </c>
      <c r="C259" s="20">
        <f t="shared" si="6"/>
        <v>8.782201405151171E-4</v>
      </c>
      <c r="H259" s="19">
        <v>43844</v>
      </c>
      <c r="I259" s="16">
        <v>43207.040000000001</v>
      </c>
      <c r="J259" s="20">
        <f t="shared" si="7"/>
        <v>-2.6909666586216979E-4</v>
      </c>
    </row>
    <row r="260" spans="1:10" x14ac:dyDescent="0.3">
      <c r="A260" s="19">
        <v>43845</v>
      </c>
      <c r="B260" s="25">
        <v>101.94</v>
      </c>
      <c r="C260" s="20">
        <f t="shared" si="6"/>
        <v>-6.1421468265574286E-3</v>
      </c>
      <c r="H260" s="19">
        <v>43845</v>
      </c>
      <c r="I260" s="16">
        <v>42993.03</v>
      </c>
      <c r="J260" s="20">
        <f t="shared" si="7"/>
        <v>-4.9531280087689884E-3</v>
      </c>
    </row>
    <row r="261" spans="1:10" x14ac:dyDescent="0.3">
      <c r="A261" s="19">
        <v>43846</v>
      </c>
      <c r="B261" s="25">
        <v>103.06</v>
      </c>
      <c r="C261" s="20">
        <f t="shared" ref="C261:C324" si="8">(B261-B260)/B260</f>
        <v>1.0986855012752645E-2</v>
      </c>
      <c r="H261" s="19">
        <v>43846</v>
      </c>
      <c r="I261" s="16">
        <v>43065.1</v>
      </c>
      <c r="J261" s="20">
        <f t="shared" ref="J261:J324" si="9">(I261-I260)/I260</f>
        <v>1.676318231117921E-3</v>
      </c>
    </row>
    <row r="262" spans="1:10" x14ac:dyDescent="0.3">
      <c r="A262" s="19">
        <v>43847</v>
      </c>
      <c r="B262" s="25">
        <v>103</v>
      </c>
      <c r="C262" s="20">
        <f t="shared" si="8"/>
        <v>-5.821851348729116E-4</v>
      </c>
      <c r="H262" s="19">
        <v>43847</v>
      </c>
      <c r="I262" s="16">
        <v>43167.77</v>
      </c>
      <c r="J262" s="20">
        <f t="shared" si="9"/>
        <v>2.3840650549980902E-3</v>
      </c>
    </row>
    <row r="263" spans="1:10" x14ac:dyDescent="0.3">
      <c r="A263" s="19">
        <v>43850</v>
      </c>
      <c r="B263" s="25">
        <v>106.64</v>
      </c>
      <c r="C263" s="20">
        <f t="shared" si="8"/>
        <v>3.5339805825242723E-2</v>
      </c>
      <c r="H263" s="19">
        <v>43850</v>
      </c>
      <c r="I263" s="16">
        <v>42747.63</v>
      </c>
      <c r="J263" s="20">
        <f t="shared" si="9"/>
        <v>-9.7327242060453768E-3</v>
      </c>
    </row>
    <row r="264" spans="1:10" x14ac:dyDescent="0.3">
      <c r="A264" s="19">
        <v>43851</v>
      </c>
      <c r="B264" s="25">
        <v>105.46</v>
      </c>
      <c r="C264" s="20">
        <f t="shared" si="8"/>
        <v>-1.1065266316579208E-2</v>
      </c>
      <c r="H264" s="19">
        <v>43851</v>
      </c>
      <c r="I264" s="16">
        <v>42626.48</v>
      </c>
      <c r="J264" s="20">
        <f t="shared" si="9"/>
        <v>-2.8340752458088131E-3</v>
      </c>
    </row>
    <row r="265" spans="1:10" x14ac:dyDescent="0.3">
      <c r="A265" s="19">
        <v>43852</v>
      </c>
      <c r="B265" s="25">
        <v>106.78</v>
      </c>
      <c r="C265" s="20">
        <f t="shared" si="8"/>
        <v>1.2516593969277522E-2</v>
      </c>
      <c r="H265" s="19">
        <v>43852</v>
      </c>
      <c r="I265" s="16">
        <v>42561.27</v>
      </c>
      <c r="J265" s="20">
        <f t="shared" si="9"/>
        <v>-1.5298002556159082E-3</v>
      </c>
    </row>
    <row r="266" spans="1:10" x14ac:dyDescent="0.3">
      <c r="A266" s="19">
        <v>43853</v>
      </c>
      <c r="B266" s="25">
        <v>106.16</v>
      </c>
      <c r="C266" s="20">
        <f t="shared" si="8"/>
        <v>-5.8063307735531427E-3</v>
      </c>
      <c r="H266" s="19">
        <v>43853</v>
      </c>
      <c r="I266" s="16">
        <v>42506.95</v>
      </c>
      <c r="J266" s="20">
        <f t="shared" si="9"/>
        <v>-1.2762777050590764E-3</v>
      </c>
    </row>
    <row r="267" spans="1:10" x14ac:dyDescent="0.3">
      <c r="A267" s="19">
        <v>43854</v>
      </c>
      <c r="B267" s="25">
        <v>106.63</v>
      </c>
      <c r="C267" s="20">
        <f t="shared" si="8"/>
        <v>4.4272795779954676E-3</v>
      </c>
      <c r="H267" s="19">
        <v>43854</v>
      </c>
      <c r="I267" s="16">
        <v>42633.03</v>
      </c>
      <c r="J267" s="20">
        <f t="shared" si="9"/>
        <v>2.9661031901842346E-3</v>
      </c>
    </row>
    <row r="268" spans="1:10" x14ac:dyDescent="0.3">
      <c r="A268" s="19">
        <v>43857</v>
      </c>
      <c r="B268" s="25">
        <v>107.58</v>
      </c>
      <c r="C268" s="20">
        <f t="shared" si="8"/>
        <v>8.9093125761980953E-3</v>
      </c>
      <c r="H268" s="19">
        <v>43857</v>
      </c>
      <c r="I268" s="16">
        <v>42539.23</v>
      </c>
      <c r="J268" s="20">
        <f t="shared" si="9"/>
        <v>-2.2001720262433996E-3</v>
      </c>
    </row>
    <row r="269" spans="1:10" x14ac:dyDescent="0.3">
      <c r="A269" s="19">
        <v>43858</v>
      </c>
      <c r="B269" s="25">
        <v>106.48</v>
      </c>
      <c r="C269" s="20">
        <f t="shared" si="8"/>
        <v>-1.022494887525557E-2</v>
      </c>
      <c r="H269" s="19">
        <v>43858</v>
      </c>
      <c r="I269" s="16">
        <v>42299.19</v>
      </c>
      <c r="J269" s="20">
        <f t="shared" si="9"/>
        <v>-5.6427913716350971E-3</v>
      </c>
    </row>
    <row r="270" spans="1:10" x14ac:dyDescent="0.3">
      <c r="A270" s="19">
        <v>43859</v>
      </c>
      <c r="B270" s="25">
        <v>105.55</v>
      </c>
      <c r="C270" s="20">
        <f t="shared" si="8"/>
        <v>-8.7340345604809046E-3</v>
      </c>
      <c r="H270" s="19">
        <v>43859</v>
      </c>
      <c r="I270" s="16">
        <v>41898.699999999997</v>
      </c>
      <c r="J270" s="20">
        <f t="shared" si="9"/>
        <v>-9.4680300024658909E-3</v>
      </c>
    </row>
    <row r="271" spans="1:10" x14ac:dyDescent="0.3">
      <c r="A271" s="19">
        <v>43860</v>
      </c>
      <c r="B271" s="25">
        <v>105.51</v>
      </c>
      <c r="C271" s="20">
        <f t="shared" si="8"/>
        <v>-3.7896731406908613E-4</v>
      </c>
      <c r="H271" s="19">
        <v>43860</v>
      </c>
      <c r="I271" s="16">
        <v>41903.51</v>
      </c>
      <c r="J271" s="20">
        <f t="shared" si="9"/>
        <v>1.1480069787379914E-4</v>
      </c>
    </row>
    <row r="272" spans="1:10" x14ac:dyDescent="0.3">
      <c r="A272" s="19">
        <v>43861</v>
      </c>
      <c r="B272" s="25">
        <v>105.14</v>
      </c>
      <c r="C272" s="20">
        <f t="shared" si="8"/>
        <v>-3.5067766088522846E-3</v>
      </c>
      <c r="H272" s="19">
        <v>43861</v>
      </c>
      <c r="I272" s="16">
        <v>41630.94</v>
      </c>
      <c r="J272" s="20">
        <f t="shared" si="9"/>
        <v>-6.5047056917188961E-3</v>
      </c>
    </row>
    <row r="273" spans="1:10" x14ac:dyDescent="0.3">
      <c r="A273" s="19">
        <v>43864</v>
      </c>
      <c r="B273" s="25">
        <v>104.43</v>
      </c>
      <c r="C273" s="20">
        <f t="shared" si="8"/>
        <v>-6.7529008940459745E-3</v>
      </c>
      <c r="H273" s="19">
        <v>43864</v>
      </c>
      <c r="I273" s="16">
        <v>40409.379999999997</v>
      </c>
      <c r="J273" s="20">
        <f t="shared" si="9"/>
        <v>-2.9342599518531288E-2</v>
      </c>
    </row>
    <row r="274" spans="1:10" x14ac:dyDescent="0.3">
      <c r="A274" s="19">
        <v>43865</v>
      </c>
      <c r="B274" s="25">
        <v>104.55</v>
      </c>
      <c r="C274" s="20">
        <f t="shared" si="8"/>
        <v>1.1490950876184079E-3</v>
      </c>
      <c r="H274" s="19">
        <v>43865</v>
      </c>
      <c r="I274" s="16">
        <v>40884.25</v>
      </c>
      <c r="J274" s="20">
        <f t="shared" si="9"/>
        <v>1.1751479483228959E-2</v>
      </c>
    </row>
    <row r="275" spans="1:10" x14ac:dyDescent="0.3">
      <c r="A275" s="19">
        <v>43867</v>
      </c>
      <c r="B275" s="25">
        <v>105.21</v>
      </c>
      <c r="C275" s="20">
        <f t="shared" si="8"/>
        <v>6.3127690100430092E-3</v>
      </c>
      <c r="H275" s="19">
        <v>43867</v>
      </c>
      <c r="I275" s="16">
        <v>40724.410000000003</v>
      </c>
      <c r="J275" s="20">
        <f t="shared" si="9"/>
        <v>-3.9095739802001142E-3</v>
      </c>
    </row>
    <row r="276" spans="1:10" x14ac:dyDescent="0.3">
      <c r="A276" s="19">
        <v>43868</v>
      </c>
      <c r="B276" s="25">
        <v>105.71</v>
      </c>
      <c r="C276" s="20">
        <f t="shared" si="8"/>
        <v>4.7523999619808006E-3</v>
      </c>
      <c r="H276" s="19">
        <v>43868</v>
      </c>
      <c r="I276" s="16">
        <v>40143.629999999997</v>
      </c>
      <c r="J276" s="20">
        <f t="shared" si="9"/>
        <v>-1.4261225638382632E-2</v>
      </c>
    </row>
    <row r="277" spans="1:10" x14ac:dyDescent="0.3">
      <c r="A277" s="19">
        <v>43871</v>
      </c>
      <c r="B277" s="25">
        <v>105.04</v>
      </c>
      <c r="C277" s="20">
        <f t="shared" si="8"/>
        <v>-6.3380947876264075E-3</v>
      </c>
      <c r="H277" s="19">
        <v>43871</v>
      </c>
      <c r="I277" s="16">
        <v>39296.699999999997</v>
      </c>
      <c r="J277" s="20">
        <f t="shared" si="9"/>
        <v>-2.109749417279903E-2</v>
      </c>
    </row>
    <row r="278" spans="1:10" x14ac:dyDescent="0.3">
      <c r="A278" s="19">
        <v>43872</v>
      </c>
      <c r="B278" s="25">
        <v>105.53</v>
      </c>
      <c r="C278" s="20">
        <f t="shared" si="8"/>
        <v>4.6648895658796159E-3</v>
      </c>
      <c r="H278" s="19">
        <v>43872</v>
      </c>
      <c r="I278" s="16">
        <v>39714.46</v>
      </c>
      <c r="J278" s="20">
        <f t="shared" si="9"/>
        <v>1.0630918117806382E-2</v>
      </c>
    </row>
    <row r="279" spans="1:10" x14ac:dyDescent="0.3">
      <c r="A279" s="19">
        <v>43873</v>
      </c>
      <c r="B279" s="25">
        <v>105.51</v>
      </c>
      <c r="C279" s="20">
        <f t="shared" si="8"/>
        <v>-1.895195678953475E-4</v>
      </c>
      <c r="H279" s="19">
        <v>43873</v>
      </c>
      <c r="I279" s="16">
        <v>40531.129999999997</v>
      </c>
      <c r="J279" s="20">
        <f t="shared" si="9"/>
        <v>2.0563542850639244E-2</v>
      </c>
    </row>
    <row r="280" spans="1:10" x14ac:dyDescent="0.3">
      <c r="A280" s="19">
        <v>43874</v>
      </c>
      <c r="B280" s="25">
        <v>105.34</v>
      </c>
      <c r="C280" s="20">
        <f t="shared" si="8"/>
        <v>-1.6112216851483434E-3</v>
      </c>
      <c r="H280" s="19">
        <v>43874</v>
      </c>
      <c r="I280" s="16">
        <v>40455.440000000002</v>
      </c>
      <c r="J280" s="20">
        <f t="shared" si="9"/>
        <v>-1.867453485752681E-3</v>
      </c>
    </row>
    <row r="281" spans="1:10" x14ac:dyDescent="0.3">
      <c r="A281" s="19">
        <v>43875</v>
      </c>
      <c r="B281" s="25">
        <v>105.45</v>
      </c>
      <c r="C281" s="20">
        <f t="shared" si="8"/>
        <v>1.0442377064742684E-3</v>
      </c>
      <c r="H281" s="19">
        <v>43875</v>
      </c>
      <c r="I281" s="16">
        <v>40243.26</v>
      </c>
      <c r="J281" s="20">
        <f t="shared" si="9"/>
        <v>-5.2447829018792101E-3</v>
      </c>
    </row>
    <row r="282" spans="1:10" x14ac:dyDescent="0.3">
      <c r="A282" s="19">
        <v>43878</v>
      </c>
      <c r="B282" s="25">
        <v>105.5</v>
      </c>
      <c r="C282" s="20">
        <f t="shared" si="8"/>
        <v>4.7415836889518401E-4</v>
      </c>
      <c r="H282" s="19">
        <v>43878</v>
      </c>
      <c r="I282" s="16">
        <v>40276.93</v>
      </c>
      <c r="J282" s="20">
        <f t="shared" si="9"/>
        <v>8.3666184101383067E-4</v>
      </c>
    </row>
    <row r="283" spans="1:10" x14ac:dyDescent="0.3">
      <c r="A283" s="19">
        <v>43879</v>
      </c>
      <c r="B283" s="25">
        <v>106.64</v>
      </c>
      <c r="C283" s="20">
        <f t="shared" si="8"/>
        <v>1.0805687203791475E-2</v>
      </c>
      <c r="H283" s="19">
        <v>43879</v>
      </c>
      <c r="I283" s="16">
        <v>40175.35</v>
      </c>
      <c r="J283" s="20">
        <f t="shared" si="9"/>
        <v>-2.5220392914753371E-3</v>
      </c>
    </row>
    <row r="284" spans="1:10" x14ac:dyDescent="0.3">
      <c r="A284" s="19">
        <v>43880</v>
      </c>
      <c r="B284" s="25">
        <v>107.98</v>
      </c>
      <c r="C284" s="20">
        <f t="shared" si="8"/>
        <v>1.2565641410352621E-2</v>
      </c>
      <c r="H284" s="19">
        <v>43880</v>
      </c>
      <c r="I284" s="16">
        <v>40574.519999999997</v>
      </c>
      <c r="J284" s="20">
        <f t="shared" si="9"/>
        <v>9.9356943996753797E-3</v>
      </c>
    </row>
    <row r="285" spans="1:10" x14ac:dyDescent="0.3">
      <c r="A285" s="19">
        <v>43881</v>
      </c>
      <c r="B285" s="25">
        <v>108.03</v>
      </c>
      <c r="C285" s="20">
        <f t="shared" si="8"/>
        <v>4.6304871272455231E-4</v>
      </c>
      <c r="H285" s="19">
        <v>43881</v>
      </c>
      <c r="I285" s="16">
        <v>40481.65</v>
      </c>
      <c r="J285" s="20">
        <f t="shared" si="9"/>
        <v>-2.2888748899554537E-3</v>
      </c>
    </row>
    <row r="286" spans="1:10" x14ac:dyDescent="0.3">
      <c r="A286" s="19">
        <v>43882</v>
      </c>
      <c r="B286" s="25">
        <v>107.01</v>
      </c>
      <c r="C286" s="20">
        <f t="shared" si="8"/>
        <v>-9.4418217161899107E-3</v>
      </c>
      <c r="H286" s="19">
        <v>43882</v>
      </c>
      <c r="I286" s="16">
        <v>40249.22</v>
      </c>
      <c r="J286" s="20">
        <f t="shared" si="9"/>
        <v>-5.7416137929160562E-3</v>
      </c>
    </row>
    <row r="287" spans="1:10" x14ac:dyDescent="0.3">
      <c r="A287" s="19">
        <v>43885</v>
      </c>
      <c r="B287" s="25">
        <v>105.03</v>
      </c>
      <c r="C287" s="20">
        <f t="shared" si="8"/>
        <v>-1.8502943650126193E-2</v>
      </c>
      <c r="H287" s="19">
        <v>43885</v>
      </c>
      <c r="I287" s="16">
        <v>39143.730000000003</v>
      </c>
      <c r="J287" s="20">
        <f t="shared" si="9"/>
        <v>-2.7466122324854941E-2</v>
      </c>
    </row>
    <row r="288" spans="1:10" x14ac:dyDescent="0.3">
      <c r="A288" s="19">
        <v>43886</v>
      </c>
      <c r="B288" s="25">
        <v>104.21</v>
      </c>
      <c r="C288" s="20">
        <f t="shared" si="8"/>
        <v>-7.8072931543369268E-3</v>
      </c>
      <c r="H288" s="19">
        <v>43886</v>
      </c>
      <c r="I288" s="16">
        <v>38858.449999999997</v>
      </c>
      <c r="J288" s="20">
        <f t="shared" si="9"/>
        <v>-7.2880126651191923E-3</v>
      </c>
    </row>
    <row r="289" spans="1:10" x14ac:dyDescent="0.3">
      <c r="A289" s="19">
        <v>43887</v>
      </c>
      <c r="B289" s="25">
        <v>103.47</v>
      </c>
      <c r="C289" s="20">
        <f t="shared" si="8"/>
        <v>-7.1010459648785619E-3</v>
      </c>
      <c r="H289" s="19">
        <v>43887</v>
      </c>
      <c r="I289" s="16">
        <v>38338.33</v>
      </c>
      <c r="J289" s="20">
        <f t="shared" si="9"/>
        <v>-1.3384990909313043E-2</v>
      </c>
    </row>
    <row r="290" spans="1:10" x14ac:dyDescent="0.3">
      <c r="A290" s="19">
        <v>43888</v>
      </c>
      <c r="B290" s="25">
        <v>102.39</v>
      </c>
      <c r="C290" s="20">
        <f t="shared" si="8"/>
        <v>-1.043780806030732E-2</v>
      </c>
      <c r="H290" s="19">
        <v>43888</v>
      </c>
      <c r="I290" s="16">
        <v>38087.32</v>
      </c>
      <c r="J290" s="20">
        <f t="shared" si="9"/>
        <v>-6.5472335388631177E-3</v>
      </c>
    </row>
    <row r="291" spans="1:10" x14ac:dyDescent="0.3">
      <c r="A291" s="19">
        <v>43889</v>
      </c>
      <c r="B291" s="25">
        <v>103.56</v>
      </c>
      <c r="C291" s="20">
        <f t="shared" si="8"/>
        <v>1.1426897157925595E-2</v>
      </c>
      <c r="H291" s="19">
        <v>43889</v>
      </c>
      <c r="I291" s="16">
        <v>37983.620000000003</v>
      </c>
      <c r="J291" s="20">
        <f t="shared" si="9"/>
        <v>-2.7226909113058383E-3</v>
      </c>
    </row>
    <row r="292" spans="1:10" x14ac:dyDescent="0.3">
      <c r="A292" s="19">
        <v>43892</v>
      </c>
      <c r="B292" s="25">
        <v>105.79</v>
      </c>
      <c r="C292" s="20">
        <f t="shared" si="8"/>
        <v>2.1533410583236809E-2</v>
      </c>
      <c r="H292" s="19">
        <v>43892</v>
      </c>
      <c r="I292" s="16">
        <v>39296.300000000003</v>
      </c>
      <c r="J292" s="20">
        <f t="shared" si="9"/>
        <v>3.4559107320471301E-2</v>
      </c>
    </row>
    <row r="293" spans="1:10" x14ac:dyDescent="0.3">
      <c r="A293" s="19">
        <v>43893</v>
      </c>
      <c r="B293" s="25">
        <v>102.92</v>
      </c>
      <c r="C293" s="20">
        <f t="shared" si="8"/>
        <v>-2.7129218262595751E-2</v>
      </c>
      <c r="H293" s="19">
        <v>43893</v>
      </c>
      <c r="I293" s="16">
        <v>39199.68</v>
      </c>
      <c r="J293" s="20">
        <f t="shared" si="9"/>
        <v>-2.4587556589297874E-3</v>
      </c>
    </row>
    <row r="294" spans="1:10" x14ac:dyDescent="0.3">
      <c r="A294" s="19">
        <v>43894</v>
      </c>
      <c r="B294" s="25">
        <v>104.21</v>
      </c>
      <c r="C294" s="20">
        <f t="shared" si="8"/>
        <v>1.2534006995724756E-2</v>
      </c>
      <c r="H294" s="19">
        <v>43894</v>
      </c>
      <c r="I294" s="16">
        <v>38906.400000000001</v>
      </c>
      <c r="J294" s="20">
        <f t="shared" si="9"/>
        <v>-7.4816937281120361E-3</v>
      </c>
    </row>
    <row r="295" spans="1:10" x14ac:dyDescent="0.3">
      <c r="A295" s="19">
        <v>43895</v>
      </c>
      <c r="B295" s="25">
        <v>106.68</v>
      </c>
      <c r="C295" s="20">
        <f t="shared" si="8"/>
        <v>2.3702139909797651E-2</v>
      </c>
      <c r="H295" s="19">
        <v>43895</v>
      </c>
      <c r="I295" s="16">
        <v>39382.11</v>
      </c>
      <c r="J295" s="20">
        <f t="shared" si="9"/>
        <v>1.2227037196965001E-2</v>
      </c>
    </row>
    <row r="296" spans="1:10" x14ac:dyDescent="0.3">
      <c r="A296" s="19">
        <v>43896</v>
      </c>
      <c r="B296" s="25">
        <v>100.94</v>
      </c>
      <c r="C296" s="20">
        <f t="shared" si="8"/>
        <v>-5.3805774278215306E-2</v>
      </c>
      <c r="H296" s="19">
        <v>43896</v>
      </c>
      <c r="I296" s="16">
        <v>38219.67</v>
      </c>
      <c r="J296" s="20">
        <f t="shared" si="9"/>
        <v>-2.9516955795410717E-2</v>
      </c>
    </row>
    <row r="297" spans="1:10" x14ac:dyDescent="0.3">
      <c r="A297" s="19">
        <v>43899</v>
      </c>
      <c r="B297" s="25">
        <v>98.74</v>
      </c>
      <c r="C297" s="20">
        <f t="shared" si="8"/>
        <v>-2.1795125817317247E-2</v>
      </c>
      <c r="H297" s="19">
        <v>43899</v>
      </c>
      <c r="I297" s="16">
        <v>37058.949999999997</v>
      </c>
      <c r="J297" s="20">
        <f t="shared" si="9"/>
        <v>-3.0369702302505523E-2</v>
      </c>
    </row>
    <row r="298" spans="1:10" x14ac:dyDescent="0.3">
      <c r="A298" s="19">
        <v>43900</v>
      </c>
      <c r="B298" s="25">
        <v>101.4</v>
      </c>
      <c r="C298" s="20">
        <f t="shared" si="8"/>
        <v>2.6939436905003149E-2</v>
      </c>
      <c r="H298" s="19">
        <v>43900</v>
      </c>
      <c r="I298" s="16">
        <v>37695.75</v>
      </c>
      <c r="J298" s="20">
        <f t="shared" si="9"/>
        <v>1.7183433421616181E-2</v>
      </c>
    </row>
    <row r="299" spans="1:10" x14ac:dyDescent="0.3">
      <c r="A299" s="19">
        <v>43901</v>
      </c>
      <c r="B299" s="25">
        <v>100.27</v>
      </c>
      <c r="C299" s="20">
        <f t="shared" si="8"/>
        <v>-1.1143984220907392E-2</v>
      </c>
      <c r="H299" s="19">
        <v>43901</v>
      </c>
      <c r="I299" s="16">
        <v>37673.25</v>
      </c>
      <c r="J299" s="20">
        <f t="shared" si="9"/>
        <v>-5.9688426414118299E-4</v>
      </c>
    </row>
    <row r="300" spans="1:10" x14ac:dyDescent="0.3">
      <c r="A300" s="19">
        <v>43902</v>
      </c>
      <c r="B300" s="25">
        <v>96.36</v>
      </c>
      <c r="C300" s="20">
        <f t="shared" si="8"/>
        <v>-3.8994714271467008E-2</v>
      </c>
      <c r="H300" s="19">
        <v>43902</v>
      </c>
      <c r="I300" s="16">
        <v>35956.69</v>
      </c>
      <c r="J300" s="20">
        <f t="shared" si="9"/>
        <v>-4.55644256866609E-2</v>
      </c>
    </row>
    <row r="301" spans="1:10" x14ac:dyDescent="0.3">
      <c r="A301" s="19">
        <v>43903</v>
      </c>
      <c r="B301" s="25">
        <v>95.31</v>
      </c>
      <c r="C301" s="20">
        <f t="shared" si="8"/>
        <v>-1.0896637608966347E-2</v>
      </c>
      <c r="H301" s="19">
        <v>43903</v>
      </c>
      <c r="I301" s="16">
        <v>36060.879999999997</v>
      </c>
      <c r="J301" s="20">
        <f t="shared" si="9"/>
        <v>2.8976527038499663E-3</v>
      </c>
    </row>
    <row r="302" spans="1:10" x14ac:dyDescent="0.3">
      <c r="A302" s="19">
        <v>43906</v>
      </c>
      <c r="B302" s="25">
        <v>88.79</v>
      </c>
      <c r="C302" s="20">
        <f t="shared" si="8"/>
        <v>-6.8408351694470626E-2</v>
      </c>
      <c r="H302" s="19">
        <v>43906</v>
      </c>
      <c r="I302" s="16">
        <v>33684.910000000003</v>
      </c>
      <c r="J302" s="20">
        <f t="shared" si="9"/>
        <v>-6.5887743172102123E-2</v>
      </c>
    </row>
    <row r="303" spans="1:10" x14ac:dyDescent="0.3">
      <c r="A303" s="19">
        <v>43907</v>
      </c>
      <c r="B303" s="25">
        <v>89.61</v>
      </c>
      <c r="C303" s="20">
        <f t="shared" si="8"/>
        <v>9.2352742425948087E-3</v>
      </c>
      <c r="H303" s="19">
        <v>43907</v>
      </c>
      <c r="I303" s="16">
        <v>32616.93</v>
      </c>
      <c r="J303" s="20">
        <f t="shared" si="9"/>
        <v>-3.1704997875903577E-2</v>
      </c>
    </row>
    <row r="304" spans="1:10" x14ac:dyDescent="0.3">
      <c r="A304" s="19">
        <v>43908</v>
      </c>
      <c r="B304" s="25">
        <v>83.1</v>
      </c>
      <c r="C304" s="20">
        <f t="shared" si="8"/>
        <v>-7.2648141948443309E-2</v>
      </c>
      <c r="H304" s="19">
        <v>43908</v>
      </c>
      <c r="I304" s="16">
        <v>30416.05</v>
      </c>
      <c r="J304" s="20">
        <f t="shared" si="9"/>
        <v>-6.7476614138731045E-2</v>
      </c>
    </row>
    <row r="305" spans="1:10" x14ac:dyDescent="0.3">
      <c r="A305" s="19">
        <v>43909</v>
      </c>
      <c r="B305" s="25">
        <v>89</v>
      </c>
      <c r="C305" s="20">
        <f t="shared" si="8"/>
        <v>7.0998796630565658E-2</v>
      </c>
      <c r="H305" s="19">
        <v>43909</v>
      </c>
      <c r="I305" s="16">
        <v>30129.83</v>
      </c>
      <c r="J305" s="20">
        <f t="shared" si="9"/>
        <v>-9.4101633841342826E-3</v>
      </c>
    </row>
    <row r="306" spans="1:10" x14ac:dyDescent="0.3">
      <c r="A306" s="19">
        <v>43910</v>
      </c>
      <c r="B306" s="25">
        <v>89.41</v>
      </c>
      <c r="C306" s="20">
        <f t="shared" si="8"/>
        <v>4.6067415730336693E-3</v>
      </c>
      <c r="H306" s="19">
        <v>43910</v>
      </c>
      <c r="I306" s="16">
        <v>30667.41</v>
      </c>
      <c r="J306" s="20">
        <f t="shared" si="9"/>
        <v>1.7842118591442371E-2</v>
      </c>
    </row>
    <row r="307" spans="1:10" x14ac:dyDescent="0.3">
      <c r="A307" s="19">
        <v>43914</v>
      </c>
      <c r="B307" s="25">
        <v>82.71</v>
      </c>
      <c r="C307" s="20">
        <f t="shared" si="8"/>
        <v>-7.4935689520187934E-2</v>
      </c>
      <c r="H307" s="19">
        <v>43914</v>
      </c>
      <c r="I307" s="16">
        <v>28564.83</v>
      </c>
      <c r="J307" s="20">
        <f t="shared" si="9"/>
        <v>-6.8560729451883878E-2</v>
      </c>
    </row>
    <row r="308" spans="1:10" x14ac:dyDescent="0.3">
      <c r="A308" s="19">
        <v>43915</v>
      </c>
      <c r="B308" s="25">
        <v>85.29</v>
      </c>
      <c r="C308" s="20">
        <f t="shared" si="8"/>
        <v>3.1193326079071607E-2</v>
      </c>
      <c r="H308" s="19">
        <v>43915</v>
      </c>
      <c r="I308" s="16">
        <v>27228.799999999999</v>
      </c>
      <c r="J308" s="20">
        <f t="shared" si="9"/>
        <v>-4.6771851959210062E-2</v>
      </c>
    </row>
    <row r="309" spans="1:10" x14ac:dyDescent="0.3">
      <c r="A309" s="19">
        <v>43916</v>
      </c>
      <c r="B309" s="25">
        <v>85.75</v>
      </c>
      <c r="C309" s="20">
        <f t="shared" si="8"/>
        <v>5.3933638175635325E-3</v>
      </c>
      <c r="H309" s="19">
        <v>43916</v>
      </c>
      <c r="I309" s="16">
        <v>27267.200000000001</v>
      </c>
      <c r="J309" s="20">
        <f t="shared" si="9"/>
        <v>1.4102714772594258E-3</v>
      </c>
    </row>
    <row r="310" spans="1:10" x14ac:dyDescent="0.3">
      <c r="A310" s="19">
        <v>43917</v>
      </c>
      <c r="B310" s="25">
        <v>88.58</v>
      </c>
      <c r="C310" s="20">
        <f t="shared" si="8"/>
        <v>3.3002915451895022E-2</v>
      </c>
      <c r="H310" s="19">
        <v>43917</v>
      </c>
      <c r="I310" s="16">
        <v>28109.57</v>
      </c>
      <c r="J310" s="20">
        <f t="shared" si="9"/>
        <v>3.089316101396546E-2</v>
      </c>
    </row>
    <row r="311" spans="1:10" x14ac:dyDescent="0.3">
      <c r="A311" s="19">
        <v>43920</v>
      </c>
      <c r="B311" s="25">
        <v>91</v>
      </c>
      <c r="C311" s="20">
        <f t="shared" si="8"/>
        <v>2.7319936780311603E-2</v>
      </c>
      <c r="H311" s="19">
        <v>43920</v>
      </c>
      <c r="I311" s="16">
        <v>28023.39</v>
      </c>
      <c r="J311" s="20">
        <f t="shared" si="9"/>
        <v>-3.0658597765814378E-3</v>
      </c>
    </row>
    <row r="312" spans="1:10" x14ac:dyDescent="0.3">
      <c r="A312" s="19">
        <v>43921</v>
      </c>
      <c r="B312" s="25">
        <v>93.01</v>
      </c>
      <c r="C312" s="20">
        <f t="shared" si="8"/>
        <v>2.2087912087912144E-2</v>
      </c>
      <c r="H312" s="19">
        <v>43921</v>
      </c>
      <c r="I312" s="16">
        <v>29231.63</v>
      </c>
      <c r="J312" s="20">
        <f t="shared" si="9"/>
        <v>4.3115411804210753E-2</v>
      </c>
    </row>
    <row r="313" spans="1:10" x14ac:dyDescent="0.3">
      <c r="A313" s="19">
        <v>43922</v>
      </c>
      <c r="B313" s="25">
        <v>94.06</v>
      </c>
      <c r="C313" s="20">
        <f t="shared" si="8"/>
        <v>1.1289108697989433E-2</v>
      </c>
      <c r="H313" s="19">
        <v>43922</v>
      </c>
      <c r="I313" s="16">
        <v>29505.57</v>
      </c>
      <c r="J313" s="20">
        <f t="shared" si="9"/>
        <v>9.3713556171858593E-3</v>
      </c>
    </row>
    <row r="314" spans="1:10" x14ac:dyDescent="0.3">
      <c r="A314" s="19">
        <v>43923</v>
      </c>
      <c r="B314" s="25">
        <v>93.5</v>
      </c>
      <c r="C314" s="20">
        <f t="shared" si="8"/>
        <v>-5.9536466085477599E-3</v>
      </c>
      <c r="H314" s="19">
        <v>43923</v>
      </c>
      <c r="I314" s="16">
        <v>30782.66</v>
      </c>
      <c r="J314" s="20">
        <f t="shared" si="9"/>
        <v>4.3283014020742527E-2</v>
      </c>
    </row>
    <row r="315" spans="1:10" x14ac:dyDescent="0.3">
      <c r="A315" s="19">
        <v>43924</v>
      </c>
      <c r="B315" s="25">
        <v>92.96</v>
      </c>
      <c r="C315" s="20">
        <f t="shared" si="8"/>
        <v>-5.7754010695187834E-3</v>
      </c>
      <c r="H315" s="19">
        <v>43924</v>
      </c>
      <c r="I315" s="16">
        <v>31621.79</v>
      </c>
      <c r="J315" s="20">
        <f t="shared" si="9"/>
        <v>2.7259827448310219E-2</v>
      </c>
    </row>
    <row r="316" spans="1:10" x14ac:dyDescent="0.3">
      <c r="A316" s="19">
        <v>43927</v>
      </c>
      <c r="B316" s="25">
        <v>90.11</v>
      </c>
      <c r="C316" s="20">
        <f t="shared" si="8"/>
        <v>-3.0658347676419905E-2</v>
      </c>
      <c r="H316" s="19">
        <v>43927</v>
      </c>
      <c r="I316" s="16">
        <v>30579.15</v>
      </c>
      <c r="J316" s="20">
        <f t="shared" si="9"/>
        <v>-3.2972200498453737E-2</v>
      </c>
    </row>
    <row r="317" spans="1:10" x14ac:dyDescent="0.3">
      <c r="A317" s="19">
        <v>43928</v>
      </c>
      <c r="B317" s="25">
        <v>91</v>
      </c>
      <c r="C317" s="20">
        <f t="shared" si="8"/>
        <v>9.8768172233936365E-3</v>
      </c>
      <c r="H317" s="19">
        <v>43928</v>
      </c>
      <c r="I317" s="16">
        <v>31231.55</v>
      </c>
      <c r="J317" s="20">
        <f t="shared" si="9"/>
        <v>2.1334798383866059E-2</v>
      </c>
    </row>
    <row r="318" spans="1:10" x14ac:dyDescent="0.3">
      <c r="A318" s="19">
        <v>43929</v>
      </c>
      <c r="B318" s="25">
        <v>91.36</v>
      </c>
      <c r="C318" s="20">
        <f t="shared" si="8"/>
        <v>3.95604395604395E-3</v>
      </c>
      <c r="H318" s="19">
        <v>43929</v>
      </c>
      <c r="I318" s="16">
        <v>30971.27</v>
      </c>
      <c r="J318" s="20">
        <f t="shared" si="9"/>
        <v>-8.3338803229426276E-3</v>
      </c>
    </row>
    <row r="319" spans="1:10" x14ac:dyDescent="0.3">
      <c r="A319" s="19">
        <v>43930</v>
      </c>
      <c r="B319" s="25">
        <v>94.56</v>
      </c>
      <c r="C319" s="20">
        <f t="shared" si="8"/>
        <v>3.5026269702276736E-2</v>
      </c>
      <c r="H319" s="19">
        <v>43930</v>
      </c>
      <c r="I319" s="16">
        <v>31837.3</v>
      </c>
      <c r="J319" s="20">
        <f t="shared" si="9"/>
        <v>2.7962366412484823E-2</v>
      </c>
    </row>
    <row r="320" spans="1:10" x14ac:dyDescent="0.3">
      <c r="A320" s="19">
        <v>43931</v>
      </c>
      <c r="B320" s="25">
        <v>95.71</v>
      </c>
      <c r="C320" s="20">
        <f t="shared" si="8"/>
        <v>1.2161590524534596E-2</v>
      </c>
      <c r="H320" s="19">
        <v>43931</v>
      </c>
      <c r="I320" s="16">
        <v>32033.200000000001</v>
      </c>
      <c r="J320" s="20">
        <f t="shared" si="9"/>
        <v>6.1531599727364271E-3</v>
      </c>
    </row>
    <row r="321" spans="1:10" x14ac:dyDescent="0.3">
      <c r="A321" s="19">
        <v>43934</v>
      </c>
      <c r="B321" s="25">
        <v>94.15</v>
      </c>
      <c r="C321" s="20">
        <f t="shared" si="8"/>
        <v>-1.6299237279281037E-2</v>
      </c>
      <c r="H321" s="19">
        <v>43934</v>
      </c>
      <c r="I321" s="16">
        <v>31032.99</v>
      </c>
      <c r="J321" s="20">
        <f t="shared" si="9"/>
        <v>-3.1224167426295191E-2</v>
      </c>
    </row>
    <row r="322" spans="1:10" x14ac:dyDescent="0.3">
      <c r="A322" s="19">
        <v>43935</v>
      </c>
      <c r="B322" s="25">
        <v>94.53</v>
      </c>
      <c r="C322" s="20">
        <f t="shared" si="8"/>
        <v>4.0361125862984114E-3</v>
      </c>
      <c r="H322" s="19">
        <v>43935</v>
      </c>
      <c r="I322" s="16">
        <v>31222.74</v>
      </c>
      <c r="J322" s="20">
        <f t="shared" si="9"/>
        <v>6.1144607722298109E-3</v>
      </c>
    </row>
    <row r="323" spans="1:10" x14ac:dyDescent="0.3">
      <c r="A323" s="19">
        <v>43936</v>
      </c>
      <c r="B323" s="25">
        <v>95.44</v>
      </c>
      <c r="C323" s="20">
        <f t="shared" si="8"/>
        <v>9.6265735745265698E-3</v>
      </c>
      <c r="H323" s="19">
        <v>43936</v>
      </c>
      <c r="I323" s="16">
        <v>31242.19</v>
      </c>
      <c r="J323" s="20">
        <f t="shared" si="9"/>
        <v>6.2294340599182158E-4</v>
      </c>
    </row>
    <row r="324" spans="1:10" x14ac:dyDescent="0.3">
      <c r="A324" s="19">
        <v>43937</v>
      </c>
      <c r="B324" s="25">
        <v>96.68</v>
      </c>
      <c r="C324" s="20">
        <f t="shared" si="8"/>
        <v>1.2992455993294311E-2</v>
      </c>
      <c r="H324" s="19">
        <v>43937</v>
      </c>
      <c r="I324" s="16">
        <v>31329.46</v>
      </c>
      <c r="J324" s="20">
        <f t="shared" si="9"/>
        <v>2.7933381110607303E-3</v>
      </c>
    </row>
    <row r="325" spans="1:10" x14ac:dyDescent="0.3">
      <c r="A325" s="19">
        <v>43938</v>
      </c>
      <c r="B325" s="25">
        <v>103.93</v>
      </c>
      <c r="C325" s="20">
        <f t="shared" ref="C325:C388" si="10">(B325-B324)/B324</f>
        <v>7.498965659908978E-2</v>
      </c>
      <c r="H325" s="19">
        <v>43938</v>
      </c>
      <c r="I325" s="16">
        <v>32831.83</v>
      </c>
      <c r="J325" s="20">
        <f t="shared" ref="J325:J388" si="11">(I325-I324)/I324</f>
        <v>4.7953906642502063E-2</v>
      </c>
    </row>
    <row r="326" spans="1:10" x14ac:dyDescent="0.3">
      <c r="A326" s="19">
        <v>43941</v>
      </c>
      <c r="B326" s="25">
        <v>108.44</v>
      </c>
      <c r="C326" s="20">
        <f t="shared" si="10"/>
        <v>4.3394592514192157E-2</v>
      </c>
      <c r="H326" s="19">
        <v>43941</v>
      </c>
      <c r="I326" s="16">
        <v>33499.65</v>
      </c>
      <c r="J326" s="20">
        <f t="shared" si="11"/>
        <v>2.0340626763722877E-2</v>
      </c>
    </row>
    <row r="327" spans="1:10" x14ac:dyDescent="0.3">
      <c r="A327" s="19">
        <v>43942</v>
      </c>
      <c r="B327" s="25">
        <v>104.43</v>
      </c>
      <c r="C327" s="20">
        <f t="shared" si="10"/>
        <v>-3.6978974548137138E-2</v>
      </c>
      <c r="H327" s="19">
        <v>43942</v>
      </c>
      <c r="I327" s="16">
        <v>32422.83</v>
      </c>
      <c r="J327" s="20">
        <f t="shared" si="11"/>
        <v>-3.2144216432111967E-2</v>
      </c>
    </row>
    <row r="328" spans="1:10" x14ac:dyDescent="0.3">
      <c r="A328" s="19">
        <v>43943</v>
      </c>
      <c r="B328" s="25">
        <v>105.31</v>
      </c>
      <c r="C328" s="20">
        <f t="shared" si="10"/>
        <v>8.4266973092022926E-3</v>
      </c>
      <c r="H328" s="19">
        <v>43943</v>
      </c>
      <c r="I328" s="16">
        <v>32464.23</v>
      </c>
      <c r="J328" s="20">
        <f t="shared" si="11"/>
        <v>1.2768780516690806E-3</v>
      </c>
    </row>
    <row r="329" spans="1:10" x14ac:dyDescent="0.3">
      <c r="A329" s="19">
        <v>43944</v>
      </c>
      <c r="B329" s="25">
        <v>104.99</v>
      </c>
      <c r="C329" s="20">
        <f t="shared" si="10"/>
        <v>-3.0386478017283012E-3</v>
      </c>
      <c r="H329" s="19">
        <v>43944</v>
      </c>
      <c r="I329" s="16">
        <v>32850.83</v>
      </c>
      <c r="J329" s="20">
        <f t="shared" si="11"/>
        <v>1.190849128409952E-2</v>
      </c>
    </row>
    <row r="330" spans="1:10" x14ac:dyDescent="0.3">
      <c r="A330" s="19">
        <v>43945</v>
      </c>
      <c r="B330" s="25">
        <v>106.66</v>
      </c>
      <c r="C330" s="20">
        <f t="shared" si="10"/>
        <v>1.5906276788265568E-2</v>
      </c>
      <c r="H330" s="19">
        <v>43945</v>
      </c>
      <c r="I330" s="16">
        <v>32806.379999999997</v>
      </c>
      <c r="J330" s="20">
        <f t="shared" si="11"/>
        <v>-1.3530860559688861E-3</v>
      </c>
    </row>
    <row r="331" spans="1:10" x14ac:dyDescent="0.3">
      <c r="A331" s="19">
        <v>43948</v>
      </c>
      <c r="B331" s="25">
        <v>107.08</v>
      </c>
      <c r="C331" s="20">
        <f t="shared" si="10"/>
        <v>3.937746109131837E-3</v>
      </c>
      <c r="H331" s="19">
        <v>43948</v>
      </c>
      <c r="I331" s="16">
        <v>32314.57</v>
      </c>
      <c r="J331" s="20">
        <f t="shared" si="11"/>
        <v>-1.4991291328089162E-2</v>
      </c>
    </row>
    <row r="332" spans="1:10" x14ac:dyDescent="0.3">
      <c r="A332" s="19">
        <v>43949</v>
      </c>
      <c r="B332" s="25">
        <v>107.07</v>
      </c>
      <c r="C332" s="20">
        <f t="shared" si="10"/>
        <v>-9.3388121031052633E-5</v>
      </c>
      <c r="H332" s="19">
        <v>43949</v>
      </c>
      <c r="I332" s="16">
        <v>32553.39</v>
      </c>
      <c r="J332" s="20">
        <f t="shared" si="11"/>
        <v>7.3904743278341541E-3</v>
      </c>
    </row>
    <row r="333" spans="1:10" x14ac:dyDescent="0.3">
      <c r="A333" s="19">
        <v>43950</v>
      </c>
      <c r="B333" s="25">
        <v>110.01</v>
      </c>
      <c r="C333" s="20">
        <f t="shared" si="10"/>
        <v>2.7458671896889997E-2</v>
      </c>
      <c r="H333" s="19">
        <v>43950</v>
      </c>
      <c r="I333" s="16">
        <v>33158.839999999997</v>
      </c>
      <c r="J333" s="20">
        <f t="shared" si="11"/>
        <v>1.859867743420876E-2</v>
      </c>
    </row>
    <row r="334" spans="1:10" x14ac:dyDescent="0.3">
      <c r="A334" s="19">
        <v>43951</v>
      </c>
      <c r="B334" s="25">
        <v>111.79</v>
      </c>
      <c r="C334" s="20">
        <f t="shared" si="10"/>
        <v>1.6180347241159906E-2</v>
      </c>
      <c r="H334" s="19">
        <v>43951</v>
      </c>
      <c r="I334" s="16">
        <v>34111.64</v>
      </c>
      <c r="J334" s="20">
        <f t="shared" si="11"/>
        <v>2.873441893624756E-2</v>
      </c>
    </row>
    <row r="335" spans="1:10" x14ac:dyDescent="0.3">
      <c r="A335" s="19">
        <v>43955</v>
      </c>
      <c r="B335" s="25">
        <v>109.33</v>
      </c>
      <c r="C335" s="20">
        <f t="shared" si="10"/>
        <v>-2.2005546113248124E-2</v>
      </c>
      <c r="H335" s="19">
        <v>43955</v>
      </c>
      <c r="I335" s="16">
        <v>33916.639999999999</v>
      </c>
      <c r="J335" s="20">
        <f t="shared" si="11"/>
        <v>-5.7165237438012361E-3</v>
      </c>
    </row>
    <row r="336" spans="1:10" x14ac:dyDescent="0.3">
      <c r="A336" s="19">
        <v>43956</v>
      </c>
      <c r="B336" s="25">
        <v>109.33</v>
      </c>
      <c r="C336" s="20">
        <f t="shared" si="10"/>
        <v>0</v>
      </c>
      <c r="H336" s="19">
        <v>43956</v>
      </c>
      <c r="I336" s="16">
        <v>33992.75</v>
      </c>
      <c r="J336" s="20">
        <f t="shared" si="11"/>
        <v>2.2440312483783943E-3</v>
      </c>
    </row>
    <row r="337" spans="1:10" x14ac:dyDescent="0.3">
      <c r="A337" s="19">
        <v>43957</v>
      </c>
      <c r="B337" s="25">
        <v>108.23</v>
      </c>
      <c r="C337" s="20">
        <f t="shared" si="10"/>
        <v>-1.0061282356169344E-2</v>
      </c>
      <c r="H337" s="19">
        <v>43957</v>
      </c>
      <c r="I337" s="16">
        <v>33728.18</v>
      </c>
      <c r="J337" s="20">
        <f t="shared" si="11"/>
        <v>-7.7831302262982459E-3</v>
      </c>
    </row>
    <row r="338" spans="1:10" x14ac:dyDescent="0.3">
      <c r="A338" s="19">
        <v>43958</v>
      </c>
      <c r="B338" s="25">
        <v>107.53</v>
      </c>
      <c r="C338" s="20">
        <f t="shared" si="10"/>
        <v>-6.4677076596138111E-3</v>
      </c>
      <c r="H338" s="19">
        <v>43958</v>
      </c>
      <c r="I338" s="16">
        <v>33304.160000000003</v>
      </c>
      <c r="J338" s="20">
        <f t="shared" si="11"/>
        <v>-1.2571683381670662E-2</v>
      </c>
    </row>
    <row r="339" spans="1:10" x14ac:dyDescent="0.3">
      <c r="A339" s="19">
        <v>43959</v>
      </c>
      <c r="B339" s="25">
        <v>107.5</v>
      </c>
      <c r="C339" s="20">
        <f t="shared" si="10"/>
        <v>-2.7899190923464279E-4</v>
      </c>
      <c r="H339" s="19">
        <v>43959</v>
      </c>
      <c r="I339" s="16">
        <v>33267.69</v>
      </c>
      <c r="J339" s="20">
        <f t="shared" si="11"/>
        <v>-1.0950583951074328E-3</v>
      </c>
    </row>
    <row r="340" spans="1:10" x14ac:dyDescent="0.3">
      <c r="A340" s="19">
        <v>43962</v>
      </c>
      <c r="B340" s="25">
        <v>107.75</v>
      </c>
      <c r="C340" s="20">
        <f t="shared" si="10"/>
        <v>2.3255813953488372E-3</v>
      </c>
      <c r="H340" s="19">
        <v>43962</v>
      </c>
      <c r="I340" s="16">
        <v>33283.79</v>
      </c>
      <c r="J340" s="20">
        <f t="shared" si="11"/>
        <v>4.8395304873883769E-4</v>
      </c>
    </row>
    <row r="341" spans="1:10" x14ac:dyDescent="0.3">
      <c r="A341" s="19">
        <v>43963</v>
      </c>
      <c r="B341" s="25">
        <v>107.99</v>
      </c>
      <c r="C341" s="20">
        <f t="shared" si="10"/>
        <v>2.2273781902551731E-3</v>
      </c>
      <c r="H341" s="19">
        <v>43963</v>
      </c>
      <c r="I341" s="16">
        <v>33603.019999999997</v>
      </c>
      <c r="J341" s="20">
        <f t="shared" si="11"/>
        <v>9.5911553341730595E-3</v>
      </c>
    </row>
    <row r="342" spans="1:10" x14ac:dyDescent="0.3">
      <c r="A342" s="19">
        <v>43964</v>
      </c>
      <c r="B342" s="25">
        <v>108.25</v>
      </c>
      <c r="C342" s="20">
        <f t="shared" si="10"/>
        <v>2.4076303361422829E-3</v>
      </c>
      <c r="H342" s="19">
        <v>43964</v>
      </c>
      <c r="I342" s="16">
        <v>33693.040000000001</v>
      </c>
      <c r="J342" s="20">
        <f t="shared" si="11"/>
        <v>2.6789258822571328E-3</v>
      </c>
    </row>
    <row r="343" spans="1:10" x14ac:dyDescent="0.3">
      <c r="A343" s="19">
        <v>43965</v>
      </c>
      <c r="B343" s="25">
        <v>111.25</v>
      </c>
      <c r="C343" s="20">
        <f t="shared" si="10"/>
        <v>2.771362586605081E-2</v>
      </c>
      <c r="H343" s="19">
        <v>43965</v>
      </c>
      <c r="I343" s="16">
        <v>33804.9</v>
      </c>
      <c r="J343" s="20">
        <f t="shared" si="11"/>
        <v>3.3199735019458195E-3</v>
      </c>
    </row>
    <row r="344" spans="1:10" x14ac:dyDescent="0.3">
      <c r="A344" s="19">
        <v>43966</v>
      </c>
      <c r="B344" s="25">
        <v>111.95</v>
      </c>
      <c r="C344" s="20">
        <f t="shared" si="10"/>
        <v>6.2921348314606993E-3</v>
      </c>
      <c r="H344" s="19">
        <v>43966</v>
      </c>
      <c r="I344" s="16">
        <v>34008.33</v>
      </c>
      <c r="J344" s="20">
        <f t="shared" si="11"/>
        <v>6.017766655129886E-3</v>
      </c>
    </row>
    <row r="345" spans="1:10" x14ac:dyDescent="0.3">
      <c r="A345" s="19">
        <v>43969</v>
      </c>
      <c r="B345" s="25">
        <v>110.1</v>
      </c>
      <c r="C345" s="20">
        <f t="shared" si="10"/>
        <v>-1.6525234479678505E-2</v>
      </c>
      <c r="H345" s="19">
        <v>43969</v>
      </c>
      <c r="I345" s="16">
        <v>33804.97</v>
      </c>
      <c r="J345" s="20">
        <f t="shared" si="11"/>
        <v>-5.9797114412851373E-3</v>
      </c>
    </row>
    <row r="346" spans="1:10" x14ac:dyDescent="0.3">
      <c r="A346" s="19">
        <v>43970</v>
      </c>
      <c r="B346" s="25">
        <v>110.5</v>
      </c>
      <c r="C346" s="20">
        <f t="shared" si="10"/>
        <v>3.6330608537693525E-3</v>
      </c>
      <c r="H346" s="19">
        <v>43970</v>
      </c>
      <c r="I346" s="16">
        <v>34158.550000000003</v>
      </c>
      <c r="J346" s="20">
        <f t="shared" si="11"/>
        <v>1.0459408779241683E-2</v>
      </c>
    </row>
    <row r="347" spans="1:10" x14ac:dyDescent="0.3">
      <c r="A347" s="19">
        <v>43971</v>
      </c>
      <c r="B347" s="25">
        <v>108.5</v>
      </c>
      <c r="C347" s="20">
        <f t="shared" si="10"/>
        <v>-1.8099547511312219E-2</v>
      </c>
      <c r="H347" s="19">
        <v>43971</v>
      </c>
      <c r="I347" s="16">
        <v>33932.81</v>
      </c>
      <c r="J347" s="20">
        <f t="shared" si="11"/>
        <v>-6.6085943343615356E-3</v>
      </c>
    </row>
    <row r="348" spans="1:10" x14ac:dyDescent="0.3">
      <c r="A348" s="19">
        <v>43972</v>
      </c>
      <c r="B348" s="25">
        <v>109</v>
      </c>
      <c r="C348" s="20">
        <f t="shared" si="10"/>
        <v>4.608294930875576E-3</v>
      </c>
      <c r="H348" s="19">
        <v>43972</v>
      </c>
      <c r="I348" s="16">
        <v>33836.61</v>
      </c>
      <c r="J348" s="20">
        <f t="shared" si="11"/>
        <v>-2.8350142531666871E-3</v>
      </c>
    </row>
    <row r="349" spans="1:10" x14ac:dyDescent="0.3">
      <c r="A349" s="19">
        <v>43979</v>
      </c>
      <c r="B349" s="25">
        <v>108.6</v>
      </c>
      <c r="C349" s="20">
        <f t="shared" si="10"/>
        <v>-3.6697247706422541E-3</v>
      </c>
      <c r="H349" s="19">
        <v>43979</v>
      </c>
      <c r="I349" s="16">
        <v>33695.42</v>
      </c>
      <c r="J349" s="20">
        <f t="shared" si="11"/>
        <v>-4.1726993336508094E-3</v>
      </c>
    </row>
    <row r="350" spans="1:10" x14ac:dyDescent="0.3">
      <c r="A350" s="19">
        <v>43980</v>
      </c>
      <c r="B350" s="25">
        <v>108.9</v>
      </c>
      <c r="C350" s="20">
        <f t="shared" si="10"/>
        <v>2.7624309392266242E-3</v>
      </c>
      <c r="H350" s="19">
        <v>43980</v>
      </c>
      <c r="I350" s="16">
        <v>33931.230000000003</v>
      </c>
      <c r="J350" s="20">
        <f t="shared" si="11"/>
        <v>6.9982804784746696E-3</v>
      </c>
    </row>
    <row r="351" spans="1:10" x14ac:dyDescent="0.3">
      <c r="A351" s="19">
        <v>43983</v>
      </c>
      <c r="B351" s="25">
        <v>109.25</v>
      </c>
      <c r="C351" s="20">
        <f t="shared" si="10"/>
        <v>3.2139577594122526E-3</v>
      </c>
      <c r="H351" s="19">
        <v>43983</v>
      </c>
      <c r="I351" s="16">
        <v>34021.97</v>
      </c>
      <c r="J351" s="20">
        <f t="shared" si="11"/>
        <v>2.6742325580298137E-3</v>
      </c>
    </row>
    <row r="352" spans="1:10" x14ac:dyDescent="0.3">
      <c r="A352" s="19">
        <v>43984</v>
      </c>
      <c r="B352" s="25">
        <v>108</v>
      </c>
      <c r="C352" s="20">
        <f t="shared" si="10"/>
        <v>-1.1441647597254004E-2</v>
      </c>
      <c r="H352" s="19">
        <v>43984</v>
      </c>
      <c r="I352" s="16">
        <v>34408.050000000003</v>
      </c>
      <c r="J352" s="20">
        <f t="shared" si="11"/>
        <v>1.1347961332045197E-2</v>
      </c>
    </row>
    <row r="353" spans="1:10" x14ac:dyDescent="0.3">
      <c r="A353" s="19">
        <v>43985</v>
      </c>
      <c r="B353" s="25">
        <v>108.24</v>
      </c>
      <c r="C353" s="20">
        <f t="shared" si="10"/>
        <v>2.2222222222221749E-3</v>
      </c>
      <c r="H353" s="19">
        <v>43985</v>
      </c>
      <c r="I353" s="16">
        <v>34401.42</v>
      </c>
      <c r="J353" s="20">
        <f t="shared" si="11"/>
        <v>-1.9268746703183284E-4</v>
      </c>
    </row>
    <row r="354" spans="1:10" x14ac:dyDescent="0.3">
      <c r="A354" s="19">
        <v>43986</v>
      </c>
      <c r="B354" s="25">
        <v>108.5</v>
      </c>
      <c r="C354" s="20">
        <f t="shared" si="10"/>
        <v>2.4020694752402544E-3</v>
      </c>
      <c r="H354" s="19">
        <v>43986</v>
      </c>
      <c r="I354" s="16">
        <v>34119.39</v>
      </c>
      <c r="J354" s="20">
        <f t="shared" si="11"/>
        <v>-8.1982080972238594E-3</v>
      </c>
    </row>
    <row r="355" spans="1:10" x14ac:dyDescent="0.3">
      <c r="A355" s="19">
        <v>43987</v>
      </c>
      <c r="B355" s="25">
        <v>108.32</v>
      </c>
      <c r="C355" s="20">
        <f t="shared" si="10"/>
        <v>-1.6589861751152703E-3</v>
      </c>
      <c r="H355" s="19">
        <v>43987</v>
      </c>
      <c r="I355" s="16">
        <v>34350.42</v>
      </c>
      <c r="J355" s="20">
        <f t="shared" si="11"/>
        <v>6.7712230494155626E-3</v>
      </c>
    </row>
    <row r="356" spans="1:10" x14ac:dyDescent="0.3">
      <c r="A356" s="19">
        <v>43990</v>
      </c>
      <c r="B356" s="25">
        <v>108.24</v>
      </c>
      <c r="C356" s="20">
        <f t="shared" si="10"/>
        <v>-7.3855243722302716E-4</v>
      </c>
      <c r="H356" s="19">
        <v>43990</v>
      </c>
      <c r="I356" s="16">
        <v>34749.57</v>
      </c>
      <c r="J356" s="20">
        <f t="shared" si="11"/>
        <v>1.1619945258311296E-2</v>
      </c>
    </row>
    <row r="357" spans="1:10" x14ac:dyDescent="0.3">
      <c r="A357" s="19">
        <v>43991</v>
      </c>
      <c r="B357" s="25">
        <v>108.01</v>
      </c>
      <c r="C357" s="20">
        <f t="shared" si="10"/>
        <v>-2.1249076127123965E-3</v>
      </c>
      <c r="H357" s="19">
        <v>43991</v>
      </c>
      <c r="I357" s="16">
        <v>34803.599999999999</v>
      </c>
      <c r="J357" s="20">
        <f t="shared" si="11"/>
        <v>1.554839383623994E-3</v>
      </c>
    </row>
    <row r="358" spans="1:10" x14ac:dyDescent="0.3">
      <c r="A358" s="19">
        <v>43992</v>
      </c>
      <c r="B358" s="25">
        <v>108.4</v>
      </c>
      <c r="C358" s="20">
        <f t="shared" si="10"/>
        <v>3.6107767799277895E-3</v>
      </c>
      <c r="H358" s="19">
        <v>43992</v>
      </c>
      <c r="I358" s="16">
        <v>35065.08</v>
      </c>
      <c r="J358" s="20">
        <f t="shared" si="11"/>
        <v>7.5130158949075158E-3</v>
      </c>
    </row>
    <row r="359" spans="1:10" x14ac:dyDescent="0.3">
      <c r="A359" s="19">
        <v>43993</v>
      </c>
      <c r="B359" s="25">
        <v>110.02</v>
      </c>
      <c r="C359" s="20">
        <f t="shared" si="10"/>
        <v>1.4944649446494375E-2</v>
      </c>
      <c r="H359" s="19">
        <v>43993</v>
      </c>
      <c r="I359" s="16">
        <v>35128.58</v>
      </c>
      <c r="J359" s="20">
        <f t="shared" si="11"/>
        <v>1.8109184407963704E-3</v>
      </c>
    </row>
    <row r="360" spans="1:10" x14ac:dyDescent="0.3">
      <c r="A360" s="19">
        <v>43994</v>
      </c>
      <c r="B360" s="25">
        <v>108</v>
      </c>
      <c r="C360" s="20">
        <f t="shared" si="10"/>
        <v>-1.8360298127613126E-2</v>
      </c>
      <c r="H360" s="19">
        <v>43994</v>
      </c>
      <c r="I360" s="16">
        <v>34609.089999999997</v>
      </c>
      <c r="J360" s="20">
        <f t="shared" si="11"/>
        <v>-1.4788243646626342E-2</v>
      </c>
    </row>
    <row r="361" spans="1:10" x14ac:dyDescent="0.3">
      <c r="A361" s="19">
        <v>43997</v>
      </c>
      <c r="B361" s="25">
        <v>106.95</v>
      </c>
      <c r="C361" s="20">
        <f t="shared" si="10"/>
        <v>-9.7222222222221964E-3</v>
      </c>
      <c r="H361" s="19">
        <v>43997</v>
      </c>
      <c r="I361" s="16">
        <v>33824.51</v>
      </c>
      <c r="J361" s="20">
        <f t="shared" si="11"/>
        <v>-2.2669766815596553E-2</v>
      </c>
    </row>
    <row r="362" spans="1:10" x14ac:dyDescent="0.3">
      <c r="A362" s="19">
        <v>43998</v>
      </c>
      <c r="B362" s="25">
        <v>106.22</v>
      </c>
      <c r="C362" s="20">
        <f t="shared" si="10"/>
        <v>-6.8256194483403828E-3</v>
      </c>
      <c r="H362" s="19">
        <v>43998</v>
      </c>
      <c r="I362" s="16">
        <v>34019.120000000003</v>
      </c>
      <c r="J362" s="20">
        <f t="shared" si="11"/>
        <v>5.7535201544678862E-3</v>
      </c>
    </row>
    <row r="363" spans="1:10" x14ac:dyDescent="0.3">
      <c r="A363" s="19">
        <v>43999</v>
      </c>
      <c r="B363" s="25">
        <v>105</v>
      </c>
      <c r="C363" s="20">
        <f t="shared" si="10"/>
        <v>-1.1485595932969299E-2</v>
      </c>
      <c r="H363" s="19">
        <v>43999</v>
      </c>
      <c r="I363" s="16">
        <v>33848.68</v>
      </c>
      <c r="J363" s="20">
        <f t="shared" si="11"/>
        <v>-5.0101237186618089E-3</v>
      </c>
    </row>
    <row r="364" spans="1:10" x14ac:dyDescent="0.3">
      <c r="A364" s="19">
        <v>44000</v>
      </c>
      <c r="B364" s="25">
        <v>103.41</v>
      </c>
      <c r="C364" s="20">
        <f t="shared" si="10"/>
        <v>-1.5142857142857175E-2</v>
      </c>
      <c r="H364" s="19">
        <v>44000</v>
      </c>
      <c r="I364" s="16">
        <v>33539.85</v>
      </c>
      <c r="J364" s="20">
        <f t="shared" si="11"/>
        <v>-9.1238417569016496E-3</v>
      </c>
    </row>
    <row r="365" spans="1:10" x14ac:dyDescent="0.3">
      <c r="A365" s="19">
        <v>44001</v>
      </c>
      <c r="B365" s="25">
        <v>103.5</v>
      </c>
      <c r="C365" s="20">
        <f t="shared" si="10"/>
        <v>8.7032201914711746E-4</v>
      </c>
      <c r="H365" s="19">
        <v>44001</v>
      </c>
      <c r="I365" s="16">
        <v>33438.94</v>
      </c>
      <c r="J365" s="20">
        <f t="shared" si="11"/>
        <v>-3.0086598479121471E-3</v>
      </c>
    </row>
    <row r="366" spans="1:10" x14ac:dyDescent="0.3">
      <c r="A366" s="19">
        <v>44004</v>
      </c>
      <c r="B366" s="25">
        <v>106.75</v>
      </c>
      <c r="C366" s="20">
        <f t="shared" si="10"/>
        <v>3.140096618357488E-2</v>
      </c>
      <c r="H366" s="19">
        <v>44004</v>
      </c>
      <c r="I366" s="16">
        <v>33737.919999999998</v>
      </c>
      <c r="J366" s="20">
        <f t="shared" si="11"/>
        <v>8.9410728928607155E-3</v>
      </c>
    </row>
    <row r="367" spans="1:10" x14ac:dyDescent="0.3">
      <c r="A367" s="19">
        <v>44005</v>
      </c>
      <c r="B367" s="25">
        <v>107.5</v>
      </c>
      <c r="C367" s="20">
        <f t="shared" si="10"/>
        <v>7.0257611241217799E-3</v>
      </c>
      <c r="H367" s="19">
        <v>44005</v>
      </c>
      <c r="I367" s="16">
        <v>34052.61</v>
      </c>
      <c r="J367" s="20">
        <f t="shared" si="11"/>
        <v>9.3274866974609686E-3</v>
      </c>
    </row>
    <row r="368" spans="1:10" x14ac:dyDescent="0.3">
      <c r="A368" s="19">
        <v>44006</v>
      </c>
      <c r="B368" s="25">
        <v>106.75</v>
      </c>
      <c r="C368" s="20">
        <f t="shared" si="10"/>
        <v>-6.9767441860465115E-3</v>
      </c>
      <c r="H368" s="19">
        <v>44006</v>
      </c>
      <c r="I368" s="16">
        <v>34034.65</v>
      </c>
      <c r="J368" s="20">
        <f t="shared" si="11"/>
        <v>-5.2741919048199617E-4</v>
      </c>
    </row>
    <row r="369" spans="1:10" x14ac:dyDescent="0.3">
      <c r="A369" s="19">
        <v>44007</v>
      </c>
      <c r="B369" s="25">
        <v>105.9</v>
      </c>
      <c r="C369" s="20">
        <f t="shared" si="10"/>
        <v>-7.9625292740046309E-3</v>
      </c>
      <c r="H369" s="19">
        <v>44007</v>
      </c>
      <c r="I369" s="16">
        <v>33709.629999999997</v>
      </c>
      <c r="J369" s="20">
        <f t="shared" si="11"/>
        <v>-9.5496795177856704E-3</v>
      </c>
    </row>
    <row r="370" spans="1:10" x14ac:dyDescent="0.3">
      <c r="A370" s="19">
        <v>44008</v>
      </c>
      <c r="B370" s="25">
        <v>109.5</v>
      </c>
      <c r="C370" s="20">
        <f t="shared" si="10"/>
        <v>3.3994334277620344E-2</v>
      </c>
      <c r="H370" s="19">
        <v>44008</v>
      </c>
      <c r="I370" s="16">
        <v>33939.49</v>
      </c>
      <c r="J370" s="20">
        <f t="shared" si="11"/>
        <v>6.8188229891577154E-3</v>
      </c>
    </row>
    <row r="371" spans="1:10" x14ac:dyDescent="0.3">
      <c r="A371" s="19">
        <v>44011</v>
      </c>
      <c r="B371" s="25">
        <v>109.03</v>
      </c>
      <c r="C371" s="20">
        <f t="shared" si="10"/>
        <v>-4.2922374429223637E-3</v>
      </c>
      <c r="H371" s="19">
        <v>44011</v>
      </c>
      <c r="I371" s="16">
        <v>34181.800000000003</v>
      </c>
      <c r="J371" s="20">
        <f t="shared" si="11"/>
        <v>7.1394708641763609E-3</v>
      </c>
    </row>
    <row r="372" spans="1:10" x14ac:dyDescent="0.3">
      <c r="A372" s="19">
        <v>44012</v>
      </c>
      <c r="B372" s="25">
        <v>110.05</v>
      </c>
      <c r="C372" s="20">
        <f t="shared" si="10"/>
        <v>9.3552233330275701E-3</v>
      </c>
      <c r="H372" s="19">
        <v>44012</v>
      </c>
      <c r="I372" s="16">
        <v>34421.919999999998</v>
      </c>
      <c r="J372" s="20">
        <f t="shared" si="11"/>
        <v>7.0247909706333579E-3</v>
      </c>
    </row>
    <row r="373" spans="1:10" x14ac:dyDescent="0.3">
      <c r="A373" s="19">
        <v>44013</v>
      </c>
      <c r="B373" s="25">
        <v>111.01</v>
      </c>
      <c r="C373" s="20">
        <f t="shared" si="10"/>
        <v>8.7233075874603178E-3</v>
      </c>
      <c r="H373" s="19">
        <v>44013</v>
      </c>
      <c r="I373" s="16">
        <v>34889.410000000003</v>
      </c>
      <c r="J373" s="20">
        <f t="shared" si="11"/>
        <v>1.3581171532558476E-2</v>
      </c>
    </row>
    <row r="374" spans="1:10" x14ac:dyDescent="0.3">
      <c r="A374" s="19">
        <v>44014</v>
      </c>
      <c r="B374" s="25">
        <v>110.21</v>
      </c>
      <c r="C374" s="20">
        <f t="shared" si="10"/>
        <v>-7.2065579677507551E-3</v>
      </c>
      <c r="H374" s="19">
        <v>44014</v>
      </c>
      <c r="I374" s="16">
        <v>34978.18</v>
      </c>
      <c r="J374" s="20">
        <f t="shared" si="11"/>
        <v>2.5443250545078518E-3</v>
      </c>
    </row>
    <row r="375" spans="1:10" x14ac:dyDescent="0.3">
      <c r="A375" s="19">
        <v>44015</v>
      </c>
      <c r="B375" s="25">
        <v>112</v>
      </c>
      <c r="C375" s="20">
        <f t="shared" si="10"/>
        <v>1.6241720352055226E-2</v>
      </c>
      <c r="H375" s="19">
        <v>44015</v>
      </c>
      <c r="I375" s="16">
        <v>35051.379999999997</v>
      </c>
      <c r="J375" s="20">
        <f t="shared" si="11"/>
        <v>2.0927332411233828E-3</v>
      </c>
    </row>
    <row r="376" spans="1:10" x14ac:dyDescent="0.3">
      <c r="A376" s="19">
        <v>44018</v>
      </c>
      <c r="B376" s="25">
        <v>110.9</v>
      </c>
      <c r="C376" s="20">
        <f t="shared" si="10"/>
        <v>-9.8214285714285209E-3</v>
      </c>
      <c r="H376" s="19">
        <v>44018</v>
      </c>
      <c r="I376" s="16">
        <v>35202.769999999997</v>
      </c>
      <c r="J376" s="20">
        <f t="shared" si="11"/>
        <v>4.3190881500243198E-3</v>
      </c>
    </row>
    <row r="377" spans="1:10" x14ac:dyDescent="0.3">
      <c r="A377" s="19">
        <v>44019</v>
      </c>
      <c r="B377" s="25">
        <v>111</v>
      </c>
      <c r="C377" s="20">
        <f t="shared" si="10"/>
        <v>9.0171325518479989E-4</v>
      </c>
      <c r="H377" s="19">
        <v>44019</v>
      </c>
      <c r="I377" s="16">
        <v>35373.35</v>
      </c>
      <c r="J377" s="20">
        <f t="shared" si="11"/>
        <v>4.8456414083324056E-3</v>
      </c>
    </row>
    <row r="378" spans="1:10" x14ac:dyDescent="0.3">
      <c r="A378" s="19">
        <v>44020</v>
      </c>
      <c r="B378" s="25">
        <v>111</v>
      </c>
      <c r="C378" s="20">
        <f t="shared" si="10"/>
        <v>0</v>
      </c>
      <c r="H378" s="19">
        <v>44020</v>
      </c>
      <c r="I378" s="16">
        <v>35694.89</v>
      </c>
      <c r="J378" s="20">
        <f t="shared" si="11"/>
        <v>9.0898939455833529E-3</v>
      </c>
    </row>
    <row r="379" spans="1:10" x14ac:dyDescent="0.3">
      <c r="A379" s="19">
        <v>44021</v>
      </c>
      <c r="B379" s="25">
        <v>110.57</v>
      </c>
      <c r="C379" s="20">
        <f t="shared" si="10"/>
        <v>-3.8738738738739354E-3</v>
      </c>
      <c r="H379" s="19">
        <v>44021</v>
      </c>
      <c r="I379" s="16">
        <v>36142.17</v>
      </c>
      <c r="J379" s="20">
        <f t="shared" si="11"/>
        <v>1.2530645142764099E-2</v>
      </c>
    </row>
    <row r="380" spans="1:10" x14ac:dyDescent="0.3">
      <c r="A380" s="19">
        <v>44022</v>
      </c>
      <c r="B380" s="25">
        <v>110.49</v>
      </c>
      <c r="C380" s="20">
        <f t="shared" si="10"/>
        <v>-7.2352355973589848E-4</v>
      </c>
      <c r="H380" s="19">
        <v>44022</v>
      </c>
      <c r="I380" s="16">
        <v>36190.400000000001</v>
      </c>
      <c r="J380" s="20">
        <f t="shared" si="11"/>
        <v>1.3344522478866987E-3</v>
      </c>
    </row>
    <row r="381" spans="1:10" x14ac:dyDescent="0.3">
      <c r="A381" s="19">
        <v>44025</v>
      </c>
      <c r="B381" s="25">
        <v>111.05</v>
      </c>
      <c r="C381" s="20">
        <f t="shared" si="10"/>
        <v>5.068331975744432E-3</v>
      </c>
      <c r="H381" s="19">
        <v>44025</v>
      </c>
      <c r="I381" s="16">
        <v>36618.57</v>
      </c>
      <c r="J381" s="20">
        <f t="shared" si="11"/>
        <v>1.1831038065343247E-2</v>
      </c>
    </row>
    <row r="382" spans="1:10" x14ac:dyDescent="0.3">
      <c r="A382" s="19">
        <v>44026</v>
      </c>
      <c r="B382" s="25">
        <v>111.5</v>
      </c>
      <c r="C382" s="20">
        <f t="shared" si="10"/>
        <v>4.0522287257992156E-3</v>
      </c>
      <c r="H382" s="19">
        <v>44026</v>
      </c>
      <c r="I382" s="16">
        <v>36745.22</v>
      </c>
      <c r="J382" s="20">
        <f t="shared" si="11"/>
        <v>3.4586276853520348E-3</v>
      </c>
    </row>
    <row r="383" spans="1:10" x14ac:dyDescent="0.3">
      <c r="A383" s="19">
        <v>44027</v>
      </c>
      <c r="B383" s="25">
        <v>111.3</v>
      </c>
      <c r="C383" s="20">
        <f t="shared" si="10"/>
        <v>-1.7937219730941958E-3</v>
      </c>
      <c r="H383" s="19">
        <v>44027</v>
      </c>
      <c r="I383" s="16">
        <v>36679.03</v>
      </c>
      <c r="J383" s="20">
        <f t="shared" si="11"/>
        <v>-1.801322729868057E-3</v>
      </c>
    </row>
    <row r="384" spans="1:10" x14ac:dyDescent="0.3">
      <c r="A384" s="19">
        <v>44028</v>
      </c>
      <c r="B384" s="25">
        <v>111.09</v>
      </c>
      <c r="C384" s="20">
        <f t="shared" si="10"/>
        <v>-1.8867924528301325E-3</v>
      </c>
      <c r="H384" s="19">
        <v>44028</v>
      </c>
      <c r="I384" s="16">
        <v>37001.440000000002</v>
      </c>
      <c r="J384" s="20">
        <f t="shared" si="11"/>
        <v>8.790036159625909E-3</v>
      </c>
    </row>
    <row r="385" spans="1:10" x14ac:dyDescent="0.3">
      <c r="A385" s="19">
        <v>44029</v>
      </c>
      <c r="B385" s="25">
        <v>111.1</v>
      </c>
      <c r="C385" s="20">
        <f t="shared" si="10"/>
        <v>9.0017103249535551E-5</v>
      </c>
      <c r="H385" s="19">
        <v>44029</v>
      </c>
      <c r="I385" s="16">
        <v>37330.85</v>
      </c>
      <c r="J385" s="20">
        <f t="shared" si="11"/>
        <v>8.9026264923742476E-3</v>
      </c>
    </row>
    <row r="386" spans="1:10" x14ac:dyDescent="0.3">
      <c r="A386" s="19">
        <v>44032</v>
      </c>
      <c r="B386" s="25">
        <v>110.95</v>
      </c>
      <c r="C386" s="20">
        <f t="shared" si="10"/>
        <v>-1.3501350135012734E-3</v>
      </c>
      <c r="H386" s="19">
        <v>44032</v>
      </c>
      <c r="I386" s="16">
        <v>37650.57</v>
      </c>
      <c r="J386" s="20">
        <f t="shared" si="11"/>
        <v>8.5644982635005949E-3</v>
      </c>
    </row>
    <row r="387" spans="1:10" x14ac:dyDescent="0.3">
      <c r="A387" s="19">
        <v>44033</v>
      </c>
      <c r="B387" s="25">
        <v>111.12</v>
      </c>
      <c r="C387" s="20">
        <f t="shared" si="10"/>
        <v>1.5322217214961847E-3</v>
      </c>
      <c r="H387" s="19">
        <v>44033</v>
      </c>
      <c r="I387" s="16">
        <v>37700.31</v>
      </c>
      <c r="J387" s="20">
        <f t="shared" si="11"/>
        <v>1.3210955371989843E-3</v>
      </c>
    </row>
    <row r="388" spans="1:10" x14ac:dyDescent="0.3">
      <c r="A388" s="19">
        <v>44034</v>
      </c>
      <c r="B388" s="25">
        <v>110.51</v>
      </c>
      <c r="C388" s="20">
        <f t="shared" si="10"/>
        <v>-5.4895608351331841E-3</v>
      </c>
      <c r="H388" s="19">
        <v>44034</v>
      </c>
      <c r="I388" s="16">
        <v>37804.61</v>
      </c>
      <c r="J388" s="20">
        <f t="shared" si="11"/>
        <v>2.7665555004720895E-3</v>
      </c>
    </row>
    <row r="389" spans="1:10" x14ac:dyDescent="0.3">
      <c r="A389" s="19">
        <v>44035</v>
      </c>
      <c r="B389" s="25">
        <v>111.3</v>
      </c>
      <c r="C389" s="20">
        <f t="shared" ref="C389:C452" si="12">(B389-B388)/B388</f>
        <v>7.1486743281150306E-3</v>
      </c>
      <c r="H389" s="19">
        <v>44035</v>
      </c>
      <c r="I389" s="16">
        <v>37578.21</v>
      </c>
      <c r="J389" s="20">
        <f t="shared" ref="J389:J452" si="13">(I389-I388)/I388</f>
        <v>-5.9886876230174427E-3</v>
      </c>
    </row>
    <row r="390" spans="1:10" x14ac:dyDescent="0.3">
      <c r="A390" s="19">
        <v>44036</v>
      </c>
      <c r="B390" s="25">
        <v>111</v>
      </c>
      <c r="C390" s="20">
        <f t="shared" si="12"/>
        <v>-2.695417789757387E-3</v>
      </c>
      <c r="H390" s="19">
        <v>44036</v>
      </c>
      <c r="I390" s="16">
        <v>37607.620000000003</v>
      </c>
      <c r="J390" s="20">
        <f t="shared" si="13"/>
        <v>7.8263440435304111E-4</v>
      </c>
    </row>
    <row r="391" spans="1:10" x14ac:dyDescent="0.3">
      <c r="A391" s="19">
        <v>44039</v>
      </c>
      <c r="B391" s="25">
        <v>112.49</v>
      </c>
      <c r="C391" s="20">
        <f t="shared" si="12"/>
        <v>1.3423423423423377E-2</v>
      </c>
      <c r="H391" s="19">
        <v>44039</v>
      </c>
      <c r="I391" s="16">
        <v>38221.160000000003</v>
      </c>
      <c r="J391" s="20">
        <f t="shared" si="13"/>
        <v>1.6314246953144092E-2</v>
      </c>
    </row>
    <row r="392" spans="1:10" x14ac:dyDescent="0.3">
      <c r="A392" s="19">
        <v>44040</v>
      </c>
      <c r="B392" s="25">
        <v>111.75</v>
      </c>
      <c r="C392" s="20">
        <f t="shared" si="12"/>
        <v>-6.5783625211129427E-3</v>
      </c>
      <c r="H392" s="19">
        <v>44040</v>
      </c>
      <c r="I392" s="16">
        <v>38627.269999999997</v>
      </c>
      <c r="J392" s="20">
        <f t="shared" si="13"/>
        <v>1.0625266213793439E-2</v>
      </c>
    </row>
    <row r="393" spans="1:10" x14ac:dyDescent="0.3">
      <c r="A393" s="19">
        <v>44041</v>
      </c>
      <c r="B393" s="25">
        <v>110.6</v>
      </c>
      <c r="C393" s="20">
        <f t="shared" si="12"/>
        <v>-1.029082774049222E-2</v>
      </c>
      <c r="H393" s="19">
        <v>44041</v>
      </c>
      <c r="I393" s="16">
        <v>38836.269999999997</v>
      </c>
      <c r="J393" s="20">
        <f t="shared" si="13"/>
        <v>5.4106852490481468E-3</v>
      </c>
    </row>
    <row r="394" spans="1:10" x14ac:dyDescent="0.3">
      <c r="A394" s="19">
        <v>44042</v>
      </c>
      <c r="B394" s="25">
        <v>110.35</v>
      </c>
      <c r="C394" s="20">
        <f t="shared" si="12"/>
        <v>-2.2603978300180833E-3</v>
      </c>
      <c r="H394" s="19">
        <v>44042</v>
      </c>
      <c r="I394" s="16">
        <v>39258.44</v>
      </c>
      <c r="J394" s="20">
        <f t="shared" si="13"/>
        <v>1.0870508419063046E-2</v>
      </c>
    </row>
    <row r="395" spans="1:10" x14ac:dyDescent="0.3">
      <c r="A395" s="19">
        <v>44046</v>
      </c>
      <c r="B395" s="25">
        <v>111</v>
      </c>
      <c r="C395" s="20">
        <f t="shared" si="12"/>
        <v>5.8903488898958377E-3</v>
      </c>
      <c r="H395" s="19">
        <v>44046</v>
      </c>
      <c r="I395" s="16">
        <v>39871.61</v>
      </c>
      <c r="J395" s="20">
        <f t="shared" si="13"/>
        <v>1.5618807064162464E-2</v>
      </c>
    </row>
    <row r="396" spans="1:10" x14ac:dyDescent="0.3">
      <c r="A396" s="19">
        <v>44047</v>
      </c>
      <c r="B396" s="25">
        <v>109.5</v>
      </c>
      <c r="C396" s="20">
        <f t="shared" si="12"/>
        <v>-1.3513513513513514E-2</v>
      </c>
      <c r="H396" s="19">
        <v>44047</v>
      </c>
      <c r="I396" s="16">
        <v>39577.620000000003</v>
      </c>
      <c r="J396" s="20">
        <f t="shared" si="13"/>
        <v>-7.3734168246528788E-3</v>
      </c>
    </row>
    <row r="397" spans="1:10" x14ac:dyDescent="0.3">
      <c r="A397" s="19">
        <v>44048</v>
      </c>
      <c r="B397" s="25">
        <v>108.95</v>
      </c>
      <c r="C397" s="20">
        <f t="shared" si="12"/>
        <v>-5.0228310502282844E-3</v>
      </c>
      <c r="H397" s="19">
        <v>44048</v>
      </c>
      <c r="I397" s="16">
        <v>39882.78</v>
      </c>
      <c r="J397" s="20">
        <f t="shared" si="13"/>
        <v>7.7104181605664058E-3</v>
      </c>
    </row>
    <row r="398" spans="1:10" x14ac:dyDescent="0.3">
      <c r="A398" s="19">
        <v>44049</v>
      </c>
      <c r="B398" s="25">
        <v>109</v>
      </c>
      <c r="C398" s="20">
        <f t="shared" si="12"/>
        <v>4.5892611289579765E-4</v>
      </c>
      <c r="H398" s="19">
        <v>44049</v>
      </c>
      <c r="I398" s="16">
        <v>40166.120000000003</v>
      </c>
      <c r="J398" s="20">
        <f t="shared" si="13"/>
        <v>7.1043192074374904E-3</v>
      </c>
    </row>
    <row r="399" spans="1:10" x14ac:dyDescent="0.3">
      <c r="A399" s="19">
        <v>44050</v>
      </c>
      <c r="B399" s="25">
        <v>108.59</v>
      </c>
      <c r="C399" s="20">
        <f t="shared" si="12"/>
        <v>-3.7614678899082258E-3</v>
      </c>
      <c r="H399" s="19">
        <v>44050</v>
      </c>
      <c r="I399" s="16">
        <v>40029.69</v>
      </c>
      <c r="J399" s="20">
        <f t="shared" si="13"/>
        <v>-3.3966437385537932E-3</v>
      </c>
    </row>
    <row r="400" spans="1:10" x14ac:dyDescent="0.3">
      <c r="A400" s="19">
        <v>44053</v>
      </c>
      <c r="B400" s="25">
        <v>109.75</v>
      </c>
      <c r="C400" s="20">
        <f t="shared" si="12"/>
        <v>1.068238327654477E-2</v>
      </c>
      <c r="H400" s="19">
        <v>44053</v>
      </c>
      <c r="I400" s="16">
        <v>39914.76</v>
      </c>
      <c r="J400" s="20">
        <f t="shared" si="13"/>
        <v>-2.8711189119875842E-3</v>
      </c>
    </row>
    <row r="401" spans="1:10" x14ac:dyDescent="0.3">
      <c r="A401" s="19">
        <v>44054</v>
      </c>
      <c r="B401" s="25">
        <v>110.35</v>
      </c>
      <c r="C401" s="20">
        <f t="shared" si="12"/>
        <v>5.466970387243684E-3</v>
      </c>
      <c r="H401" s="19">
        <v>44054</v>
      </c>
      <c r="I401" s="16">
        <v>40559.15</v>
      </c>
      <c r="J401" s="20">
        <f t="shared" si="13"/>
        <v>1.6144153190448832E-2</v>
      </c>
    </row>
    <row r="402" spans="1:10" x14ac:dyDescent="0.3">
      <c r="A402" s="19">
        <v>44055</v>
      </c>
      <c r="B402" s="25">
        <v>114.24</v>
      </c>
      <c r="C402" s="20">
        <f t="shared" si="12"/>
        <v>3.5251472587222478E-2</v>
      </c>
      <c r="H402" s="19">
        <v>44055</v>
      </c>
      <c r="I402" s="16">
        <v>40473.18</v>
      </c>
      <c r="J402" s="20">
        <f t="shared" si="13"/>
        <v>-2.1196203569355167E-3</v>
      </c>
    </row>
    <row r="403" spans="1:10" x14ac:dyDescent="0.3">
      <c r="A403" s="19">
        <v>44056</v>
      </c>
      <c r="B403" s="25">
        <v>107.25</v>
      </c>
      <c r="C403" s="20">
        <f t="shared" si="12"/>
        <v>-6.1186974789915922E-2</v>
      </c>
      <c r="H403" s="19">
        <v>44056</v>
      </c>
      <c r="I403" s="16">
        <v>40290.74</v>
      </c>
      <c r="J403" s="20">
        <f t="shared" si="13"/>
        <v>-4.507676441534921E-3</v>
      </c>
    </row>
    <row r="404" spans="1:10" x14ac:dyDescent="0.3">
      <c r="A404" s="19">
        <v>44060</v>
      </c>
      <c r="B404" s="25">
        <v>108.4</v>
      </c>
      <c r="C404" s="20">
        <f t="shared" si="12"/>
        <v>1.0722610722610776E-2</v>
      </c>
      <c r="H404" s="19">
        <v>44060</v>
      </c>
      <c r="I404" s="16">
        <v>40122.5</v>
      </c>
      <c r="J404" s="20">
        <f t="shared" si="13"/>
        <v>-4.1756492931129575E-3</v>
      </c>
    </row>
    <row r="405" spans="1:10" x14ac:dyDescent="0.3">
      <c r="A405" s="19">
        <v>44061</v>
      </c>
      <c r="B405" s="25">
        <v>108</v>
      </c>
      <c r="C405" s="20">
        <f t="shared" si="12"/>
        <v>-3.6900369003690561E-3</v>
      </c>
      <c r="H405" s="19">
        <v>44061</v>
      </c>
      <c r="I405" s="16">
        <v>40184.01</v>
      </c>
      <c r="J405" s="20">
        <f t="shared" si="13"/>
        <v>1.5330550190043501E-3</v>
      </c>
    </row>
    <row r="406" spans="1:10" x14ac:dyDescent="0.3">
      <c r="A406" s="19">
        <v>44062</v>
      </c>
      <c r="B406" s="25">
        <v>108.8</v>
      </c>
      <c r="C406" s="20">
        <f t="shared" si="12"/>
        <v>7.4074074074073808E-3</v>
      </c>
      <c r="H406" s="19">
        <v>44062</v>
      </c>
      <c r="I406" s="16">
        <v>40154.11</v>
      </c>
      <c r="J406" s="20">
        <f t="shared" si="13"/>
        <v>-7.4407705950703905E-4</v>
      </c>
    </row>
    <row r="407" spans="1:10" x14ac:dyDescent="0.3">
      <c r="A407" s="19">
        <v>44063</v>
      </c>
      <c r="B407" s="25">
        <v>109</v>
      </c>
      <c r="C407" s="20">
        <f t="shared" si="12"/>
        <v>1.8382352941176733E-3</v>
      </c>
      <c r="H407" s="19">
        <v>44063</v>
      </c>
      <c r="I407" s="16">
        <v>39868.550000000003</v>
      </c>
      <c r="J407" s="20">
        <f t="shared" si="13"/>
        <v>-7.1116007800944327E-3</v>
      </c>
    </row>
    <row r="408" spans="1:10" x14ac:dyDescent="0.3">
      <c r="A408" s="19">
        <v>44064</v>
      </c>
      <c r="B408" s="25">
        <v>109.3</v>
      </c>
      <c r="C408" s="20">
        <f t="shared" si="12"/>
        <v>2.7522935779816255E-3</v>
      </c>
      <c r="H408" s="19">
        <v>44064</v>
      </c>
      <c r="I408" s="16">
        <v>39621.589999999997</v>
      </c>
      <c r="J408" s="20">
        <f t="shared" si="13"/>
        <v>-6.1943562030725065E-3</v>
      </c>
    </row>
    <row r="409" spans="1:10" x14ac:dyDescent="0.3">
      <c r="A409" s="19">
        <v>44067</v>
      </c>
      <c r="B409" s="25">
        <v>108</v>
      </c>
      <c r="C409" s="20">
        <f t="shared" si="12"/>
        <v>-1.1893870082342151E-2</v>
      </c>
      <c r="H409" s="19">
        <v>44067</v>
      </c>
      <c r="I409" s="16">
        <v>39802.6</v>
      </c>
      <c r="J409" s="20">
        <f t="shared" si="13"/>
        <v>4.568468857509304E-3</v>
      </c>
    </row>
    <row r="410" spans="1:10" x14ac:dyDescent="0.3">
      <c r="A410" s="19">
        <v>44068</v>
      </c>
      <c r="B410" s="25">
        <v>108.5</v>
      </c>
      <c r="C410" s="20">
        <f t="shared" si="12"/>
        <v>4.6296296296296294E-3</v>
      </c>
      <c r="H410" s="19">
        <v>44068</v>
      </c>
      <c r="I410" s="16">
        <v>40292.82</v>
      </c>
      <c r="J410" s="20">
        <f t="shared" si="13"/>
        <v>1.2316280845974916E-2</v>
      </c>
    </row>
    <row r="411" spans="1:10" x14ac:dyDescent="0.3">
      <c r="A411" s="19">
        <v>44069</v>
      </c>
      <c r="B411" s="25">
        <v>108.3</v>
      </c>
      <c r="C411" s="20">
        <f t="shared" si="12"/>
        <v>-1.8433179723502567E-3</v>
      </c>
      <c r="H411" s="19">
        <v>44069</v>
      </c>
      <c r="I411" s="16">
        <v>40862.589999999997</v>
      </c>
      <c r="J411" s="20">
        <f t="shared" si="13"/>
        <v>1.4140732765787969E-2</v>
      </c>
    </row>
    <row r="412" spans="1:10" x14ac:dyDescent="0.3">
      <c r="A412" s="19">
        <v>44070</v>
      </c>
      <c r="B412" s="25">
        <v>108.64</v>
      </c>
      <c r="C412" s="20">
        <f t="shared" si="12"/>
        <v>3.1394275161588498E-3</v>
      </c>
      <c r="H412" s="19">
        <v>44070</v>
      </c>
      <c r="I412" s="16">
        <v>41081.94</v>
      </c>
      <c r="J412" s="20">
        <f t="shared" si="13"/>
        <v>5.367990624187205E-3</v>
      </c>
    </row>
    <row r="413" spans="1:10" x14ac:dyDescent="0.3">
      <c r="A413" s="19">
        <v>44071</v>
      </c>
      <c r="B413" s="25">
        <v>108.99</v>
      </c>
      <c r="C413" s="20">
        <f t="shared" si="12"/>
        <v>3.2216494845360303E-3</v>
      </c>
      <c r="H413" s="19">
        <v>44071</v>
      </c>
      <c r="I413" s="16">
        <v>41056.22</v>
      </c>
      <c r="J413" s="20">
        <f t="shared" si="13"/>
        <v>-6.2606585764939928E-4</v>
      </c>
    </row>
    <row r="414" spans="1:10" x14ac:dyDescent="0.3">
      <c r="A414" s="19">
        <v>44074</v>
      </c>
      <c r="B414" s="25">
        <v>108</v>
      </c>
      <c r="C414" s="20">
        <f t="shared" si="12"/>
        <v>-9.0834021469859156E-3</v>
      </c>
      <c r="H414" s="19">
        <v>44074</v>
      </c>
      <c r="I414" s="16">
        <v>41110.93</v>
      </c>
      <c r="J414" s="20">
        <f t="shared" si="13"/>
        <v>1.3325630075052971E-3</v>
      </c>
    </row>
    <row r="415" spans="1:10" x14ac:dyDescent="0.3">
      <c r="A415" s="19">
        <v>44075</v>
      </c>
      <c r="B415" s="25">
        <v>107.7</v>
      </c>
      <c r="C415" s="20">
        <f t="shared" si="12"/>
        <v>-2.7777777777777514E-3</v>
      </c>
      <c r="H415" s="19">
        <v>44075</v>
      </c>
      <c r="I415" s="16">
        <v>41377.26</v>
      </c>
      <c r="J415" s="20">
        <f t="shared" si="13"/>
        <v>6.4783258369489997E-3</v>
      </c>
    </row>
    <row r="416" spans="1:10" x14ac:dyDescent="0.3">
      <c r="A416" s="19">
        <v>44076</v>
      </c>
      <c r="B416" s="25">
        <v>108.4</v>
      </c>
      <c r="C416" s="20">
        <f t="shared" si="12"/>
        <v>6.4995357474466374E-3</v>
      </c>
      <c r="H416" s="19">
        <v>44076</v>
      </c>
      <c r="I416" s="16">
        <v>41834.85</v>
      </c>
      <c r="J416" s="20">
        <f t="shared" si="13"/>
        <v>1.1058972972110684E-2</v>
      </c>
    </row>
    <row r="417" spans="1:10" x14ac:dyDescent="0.3">
      <c r="A417" s="19">
        <v>44077</v>
      </c>
      <c r="B417" s="25">
        <v>109.45</v>
      </c>
      <c r="C417" s="20">
        <f t="shared" si="12"/>
        <v>9.6863468634686076E-3</v>
      </c>
      <c r="H417" s="19">
        <v>44077</v>
      </c>
      <c r="I417" s="16">
        <v>42188.11</v>
      </c>
      <c r="J417" s="20">
        <f t="shared" si="13"/>
        <v>8.4441560086865874E-3</v>
      </c>
    </row>
    <row r="418" spans="1:10" x14ac:dyDescent="0.3">
      <c r="A418" s="19">
        <v>44078</v>
      </c>
      <c r="B418" s="25">
        <v>109</v>
      </c>
      <c r="C418" s="20">
        <f t="shared" si="12"/>
        <v>-4.1114664230242374E-3</v>
      </c>
      <c r="H418" s="19">
        <v>44078</v>
      </c>
      <c r="I418" s="16">
        <v>42023</v>
      </c>
      <c r="J418" s="20">
        <f t="shared" si="13"/>
        <v>-3.9136619298660354E-3</v>
      </c>
    </row>
    <row r="419" spans="1:10" x14ac:dyDescent="0.3">
      <c r="A419" s="19">
        <v>44081</v>
      </c>
      <c r="B419" s="25">
        <v>110.5</v>
      </c>
      <c r="C419" s="20">
        <f t="shared" si="12"/>
        <v>1.3761467889908258E-2</v>
      </c>
      <c r="H419" s="19">
        <v>44081</v>
      </c>
      <c r="I419" s="16">
        <v>42295.75</v>
      </c>
      <c r="J419" s="20">
        <f t="shared" si="13"/>
        <v>6.49049330128739E-3</v>
      </c>
    </row>
    <row r="420" spans="1:10" x14ac:dyDescent="0.3">
      <c r="A420" s="19">
        <v>44082</v>
      </c>
      <c r="B420" s="25">
        <v>111.01</v>
      </c>
      <c r="C420" s="20">
        <f t="shared" si="12"/>
        <v>4.6153846153846618E-3</v>
      </c>
      <c r="H420" s="19">
        <v>44082</v>
      </c>
      <c r="I420" s="16">
        <v>41985.19</v>
      </c>
      <c r="J420" s="20">
        <f t="shared" si="13"/>
        <v>-7.3425817014711329E-3</v>
      </c>
    </row>
    <row r="421" spans="1:10" x14ac:dyDescent="0.3">
      <c r="A421" s="19">
        <v>44083</v>
      </c>
      <c r="B421" s="25">
        <v>110.75</v>
      </c>
      <c r="C421" s="20">
        <f t="shared" si="12"/>
        <v>-2.3421313395190083E-3</v>
      </c>
      <c r="H421" s="19">
        <v>44083</v>
      </c>
      <c r="I421" s="16">
        <v>42022.25</v>
      </c>
      <c r="J421" s="20">
        <f t="shared" si="13"/>
        <v>8.8269220646608167E-4</v>
      </c>
    </row>
    <row r="422" spans="1:10" x14ac:dyDescent="0.3">
      <c r="A422" s="19">
        <v>44084</v>
      </c>
      <c r="B422" s="25">
        <v>109</v>
      </c>
      <c r="C422" s="20">
        <f t="shared" si="12"/>
        <v>-1.580135440180587E-2</v>
      </c>
      <c r="H422" s="19">
        <v>44084</v>
      </c>
      <c r="I422" s="16">
        <v>42647.35</v>
      </c>
      <c r="J422" s="20">
        <f t="shared" si="13"/>
        <v>1.4875452885078704E-2</v>
      </c>
    </row>
    <row r="423" spans="1:10" x14ac:dyDescent="0.3">
      <c r="A423" s="19">
        <v>44085</v>
      </c>
      <c r="B423" s="25">
        <v>109.5</v>
      </c>
      <c r="C423" s="20">
        <f t="shared" si="12"/>
        <v>4.5871559633027525E-3</v>
      </c>
      <c r="H423" s="19">
        <v>44085</v>
      </c>
      <c r="I423" s="16">
        <v>42530.67</v>
      </c>
      <c r="J423" s="20">
        <f t="shared" si="13"/>
        <v>-2.735926147814584E-3</v>
      </c>
    </row>
    <row r="424" spans="1:10" x14ac:dyDescent="0.3">
      <c r="A424" s="19">
        <v>44088</v>
      </c>
      <c r="B424" s="25">
        <v>109.74</v>
      </c>
      <c r="C424" s="20">
        <f t="shared" si="12"/>
        <v>2.1917808219177617E-3</v>
      </c>
      <c r="H424" s="19">
        <v>44088</v>
      </c>
      <c r="I424" s="16">
        <v>42531.31</v>
      </c>
      <c r="J424" s="20">
        <f t="shared" si="13"/>
        <v>1.5047964210284436E-5</v>
      </c>
    </row>
    <row r="425" spans="1:10" x14ac:dyDescent="0.3">
      <c r="A425" s="19">
        <v>44089</v>
      </c>
      <c r="B425" s="25">
        <v>109.9</v>
      </c>
      <c r="C425" s="20">
        <f t="shared" si="12"/>
        <v>1.4579916165483034E-3</v>
      </c>
      <c r="H425" s="19">
        <v>44089</v>
      </c>
      <c r="I425" s="16">
        <v>42346.42</v>
      </c>
      <c r="J425" s="20">
        <f t="shared" si="13"/>
        <v>-4.3471503699274586E-3</v>
      </c>
    </row>
    <row r="426" spans="1:10" x14ac:dyDescent="0.3">
      <c r="A426" s="19">
        <v>44090</v>
      </c>
      <c r="B426" s="25">
        <v>110.02</v>
      </c>
      <c r="C426" s="20">
        <f t="shared" si="12"/>
        <v>1.091901728844316E-3</v>
      </c>
      <c r="H426" s="19">
        <v>44090</v>
      </c>
      <c r="I426" s="16">
        <v>42282.28</v>
      </c>
      <c r="J426" s="20">
        <f t="shared" si="13"/>
        <v>-1.5146498806746691E-3</v>
      </c>
    </row>
    <row r="427" spans="1:10" x14ac:dyDescent="0.3">
      <c r="A427" s="19">
        <v>44091</v>
      </c>
      <c r="B427" s="25">
        <v>109.6</v>
      </c>
      <c r="C427" s="20">
        <f t="shared" si="12"/>
        <v>-3.8174877295037422E-3</v>
      </c>
      <c r="H427" s="19">
        <v>44091</v>
      </c>
      <c r="I427" s="16">
        <v>42334.76</v>
      </c>
      <c r="J427" s="20">
        <f t="shared" si="13"/>
        <v>1.2411818851775071E-3</v>
      </c>
    </row>
    <row r="428" spans="1:10" x14ac:dyDescent="0.3">
      <c r="A428" s="19">
        <v>44092</v>
      </c>
      <c r="B428" s="25">
        <v>111.66</v>
      </c>
      <c r="C428" s="20">
        <f t="shared" si="12"/>
        <v>1.8795620437956226E-2</v>
      </c>
      <c r="H428" s="19">
        <v>44092</v>
      </c>
      <c r="I428" s="16">
        <v>42504.76</v>
      </c>
      <c r="J428" s="20">
        <f t="shared" si="13"/>
        <v>4.0156127021860992E-3</v>
      </c>
    </row>
    <row r="429" spans="1:10" x14ac:dyDescent="0.3">
      <c r="A429" s="19">
        <v>44095</v>
      </c>
      <c r="B429" s="25">
        <v>110.41</v>
      </c>
      <c r="C429" s="20">
        <f t="shared" si="12"/>
        <v>-1.1194698190936773E-2</v>
      </c>
      <c r="H429" s="19">
        <v>44095</v>
      </c>
      <c r="I429" s="16">
        <v>42174.13</v>
      </c>
      <c r="J429" s="20">
        <f t="shared" si="13"/>
        <v>-7.7786582020461861E-3</v>
      </c>
    </row>
    <row r="430" spans="1:10" x14ac:dyDescent="0.3">
      <c r="A430" s="19">
        <v>44096</v>
      </c>
      <c r="B430" s="25">
        <v>109.25</v>
      </c>
      <c r="C430" s="20">
        <f t="shared" si="12"/>
        <v>-1.0506294719681158E-2</v>
      </c>
      <c r="H430" s="19">
        <v>44096</v>
      </c>
      <c r="I430" s="16">
        <v>41828.910000000003</v>
      </c>
      <c r="J430" s="20">
        <f t="shared" si="13"/>
        <v>-8.1855867566205612E-3</v>
      </c>
    </row>
    <row r="431" spans="1:10" x14ac:dyDescent="0.3">
      <c r="A431" s="19">
        <v>44097</v>
      </c>
      <c r="B431" s="25">
        <v>109.1</v>
      </c>
      <c r="C431" s="20">
        <f t="shared" si="12"/>
        <v>-1.3729977116705326E-3</v>
      </c>
      <c r="H431" s="19">
        <v>44097</v>
      </c>
      <c r="I431" s="16">
        <v>41876.26</v>
      </c>
      <c r="J431" s="20">
        <f t="shared" si="13"/>
        <v>1.1319922034783727E-3</v>
      </c>
    </row>
    <row r="432" spans="1:10" x14ac:dyDescent="0.3">
      <c r="A432" s="19">
        <v>44098</v>
      </c>
      <c r="B432" s="25">
        <v>110</v>
      </c>
      <c r="C432" s="20">
        <f t="shared" si="12"/>
        <v>8.2493125572869457E-3</v>
      </c>
      <c r="H432" s="19">
        <v>44098</v>
      </c>
      <c r="I432" s="16">
        <v>41806.370000000003</v>
      </c>
      <c r="J432" s="20">
        <f t="shared" si="13"/>
        <v>-1.6689647069723851E-3</v>
      </c>
    </row>
    <row r="433" spans="1:10" x14ac:dyDescent="0.3">
      <c r="A433" s="19">
        <v>44099</v>
      </c>
      <c r="B433" s="25">
        <v>110.05</v>
      </c>
      <c r="C433" s="20">
        <f t="shared" si="12"/>
        <v>4.5454545454542869E-4</v>
      </c>
      <c r="H433" s="19">
        <v>44099</v>
      </c>
      <c r="I433" s="16">
        <v>41701.230000000003</v>
      </c>
      <c r="J433" s="20">
        <f t="shared" si="13"/>
        <v>-2.5149277490487554E-3</v>
      </c>
    </row>
    <row r="434" spans="1:10" x14ac:dyDescent="0.3">
      <c r="A434" s="19">
        <v>44102</v>
      </c>
      <c r="B434" s="25">
        <v>109</v>
      </c>
      <c r="C434" s="20">
        <f t="shared" si="12"/>
        <v>-9.5411176737846184E-3</v>
      </c>
      <c r="H434" s="19">
        <v>44102</v>
      </c>
      <c r="I434" s="16">
        <v>40740.949999999997</v>
      </c>
      <c r="J434" s="20">
        <f t="shared" si="13"/>
        <v>-2.3027618130208774E-2</v>
      </c>
    </row>
    <row r="435" spans="1:10" x14ac:dyDescent="0.3">
      <c r="A435" s="19">
        <v>44103</v>
      </c>
      <c r="B435" s="25">
        <v>109.8</v>
      </c>
      <c r="C435" s="20">
        <f t="shared" si="12"/>
        <v>7.3394495412843772E-3</v>
      </c>
      <c r="H435" s="19">
        <v>44103</v>
      </c>
      <c r="I435" s="16">
        <v>41204.36</v>
      </c>
      <c r="J435" s="20">
        <f t="shared" si="13"/>
        <v>1.1374550667080751E-2</v>
      </c>
    </row>
    <row r="436" spans="1:10" x14ac:dyDescent="0.3">
      <c r="A436" s="19">
        <v>44104</v>
      </c>
      <c r="B436" s="25">
        <v>108</v>
      </c>
      <c r="C436" s="20">
        <f t="shared" si="12"/>
        <v>-1.6393442622950793E-2</v>
      </c>
      <c r="H436" s="19">
        <v>44104</v>
      </c>
      <c r="I436" s="16">
        <v>40571.480000000003</v>
      </c>
      <c r="J436" s="20">
        <f t="shared" si="13"/>
        <v>-1.5359539621535133E-2</v>
      </c>
    </row>
    <row r="437" spans="1:10" x14ac:dyDescent="0.3">
      <c r="A437" s="19">
        <v>44105</v>
      </c>
      <c r="B437" s="25">
        <v>107.73</v>
      </c>
      <c r="C437" s="20">
        <f t="shared" si="12"/>
        <v>-2.4999999999999632E-3</v>
      </c>
      <c r="H437" s="19">
        <v>44105</v>
      </c>
      <c r="I437" s="16">
        <v>40676.92</v>
      </c>
      <c r="J437" s="20">
        <f t="shared" si="13"/>
        <v>2.5988699450943138E-3</v>
      </c>
    </row>
    <row r="438" spans="1:10" x14ac:dyDescent="0.3">
      <c r="A438" s="19">
        <v>44106</v>
      </c>
      <c r="B438" s="25">
        <v>107.49</v>
      </c>
      <c r="C438" s="20">
        <f t="shared" si="12"/>
        <v>-2.2277917014759964E-3</v>
      </c>
      <c r="H438" s="19">
        <v>44106</v>
      </c>
      <c r="I438" s="16">
        <v>40070.83</v>
      </c>
      <c r="J438" s="20">
        <f t="shared" si="13"/>
        <v>-1.490009568079384E-2</v>
      </c>
    </row>
    <row r="439" spans="1:10" x14ac:dyDescent="0.3">
      <c r="A439" s="19">
        <v>44109</v>
      </c>
      <c r="B439" s="25">
        <v>105.85</v>
      </c>
      <c r="C439" s="20">
        <f t="shared" si="12"/>
        <v>-1.5257233230998238E-2</v>
      </c>
      <c r="H439" s="19">
        <v>44109</v>
      </c>
      <c r="I439" s="16">
        <v>39072.47</v>
      </c>
      <c r="J439" s="20">
        <f t="shared" si="13"/>
        <v>-2.4914881972746772E-2</v>
      </c>
    </row>
    <row r="440" spans="1:10" x14ac:dyDescent="0.3">
      <c r="A440" s="19">
        <v>44110</v>
      </c>
      <c r="B440" s="25">
        <v>105.99</v>
      </c>
      <c r="C440" s="20">
        <f t="shared" si="12"/>
        <v>1.3226263580538552E-3</v>
      </c>
      <c r="H440" s="19">
        <v>44110</v>
      </c>
      <c r="I440" s="16">
        <v>39127.480000000003</v>
      </c>
      <c r="J440" s="20">
        <f t="shared" si="13"/>
        <v>1.4078966597197986E-3</v>
      </c>
    </row>
    <row r="441" spans="1:10" x14ac:dyDescent="0.3">
      <c r="A441" s="19">
        <v>44111</v>
      </c>
      <c r="B441" s="25">
        <v>105.04</v>
      </c>
      <c r="C441" s="20">
        <f t="shared" si="12"/>
        <v>-8.9631097273326597E-3</v>
      </c>
      <c r="H441" s="19">
        <v>44111</v>
      </c>
      <c r="I441" s="16">
        <v>39849.96</v>
      </c>
      <c r="J441" s="20">
        <f t="shared" si="13"/>
        <v>1.8464772073233337E-2</v>
      </c>
    </row>
    <row r="442" spans="1:10" x14ac:dyDescent="0.3">
      <c r="A442" s="19">
        <v>44112</v>
      </c>
      <c r="B442" s="25">
        <v>107.15</v>
      </c>
      <c r="C442" s="20">
        <f t="shared" si="12"/>
        <v>2.0087585681645082E-2</v>
      </c>
      <c r="H442" s="19">
        <v>44112</v>
      </c>
      <c r="I442" s="16">
        <v>40353.620000000003</v>
      </c>
      <c r="J442" s="20">
        <f t="shared" si="13"/>
        <v>1.2638908545955969E-2</v>
      </c>
    </row>
    <row r="443" spans="1:10" x14ac:dyDescent="0.3">
      <c r="A443" s="19">
        <v>44113</v>
      </c>
      <c r="B443" s="25">
        <v>107.35</v>
      </c>
      <c r="C443" s="20">
        <f t="shared" si="12"/>
        <v>1.8665422305178593E-3</v>
      </c>
      <c r="H443" s="19">
        <v>44113</v>
      </c>
      <c r="I443" s="16">
        <v>40798.43</v>
      </c>
      <c r="J443" s="20">
        <f t="shared" si="13"/>
        <v>1.1022802910866426E-2</v>
      </c>
    </row>
    <row r="444" spans="1:10" x14ac:dyDescent="0.3">
      <c r="A444" s="19">
        <v>44116</v>
      </c>
      <c r="B444" s="25">
        <v>106.38</v>
      </c>
      <c r="C444" s="20">
        <f t="shared" si="12"/>
        <v>-9.0358639962738602E-3</v>
      </c>
      <c r="H444" s="19">
        <v>44116</v>
      </c>
      <c r="I444" s="16">
        <v>40209.82</v>
      </c>
      <c r="J444" s="20">
        <f t="shared" si="13"/>
        <v>-1.4427270853314713E-2</v>
      </c>
    </row>
    <row r="445" spans="1:10" x14ac:dyDescent="0.3">
      <c r="A445" s="19">
        <v>44117</v>
      </c>
      <c r="B445" s="25">
        <v>106</v>
      </c>
      <c r="C445" s="20">
        <f t="shared" si="12"/>
        <v>-3.5721000188004837E-3</v>
      </c>
      <c r="H445" s="19">
        <v>44117</v>
      </c>
      <c r="I445" s="16">
        <v>40006.67</v>
      </c>
      <c r="J445" s="20">
        <f t="shared" si="13"/>
        <v>-5.0522484308559816E-3</v>
      </c>
    </row>
    <row r="446" spans="1:10" x14ac:dyDescent="0.3">
      <c r="A446" s="19">
        <v>44118</v>
      </c>
      <c r="B446" s="25">
        <v>106.44</v>
      </c>
      <c r="C446" s="20">
        <f t="shared" si="12"/>
        <v>4.1509433962263935E-3</v>
      </c>
      <c r="H446" s="19">
        <v>44118</v>
      </c>
      <c r="I446" s="16">
        <v>40144.29</v>
      </c>
      <c r="J446" s="20">
        <f t="shared" si="13"/>
        <v>3.439926392274154E-3</v>
      </c>
    </row>
    <row r="447" spans="1:10" x14ac:dyDescent="0.3">
      <c r="A447" s="19">
        <v>44119</v>
      </c>
      <c r="B447" s="25">
        <v>106.5</v>
      </c>
      <c r="C447" s="20">
        <f t="shared" si="12"/>
        <v>5.6369785794816113E-4</v>
      </c>
      <c r="H447" s="19">
        <v>44119</v>
      </c>
      <c r="I447" s="16">
        <v>40068.49</v>
      </c>
      <c r="J447" s="20">
        <f t="shared" si="13"/>
        <v>-1.8881888308400251E-3</v>
      </c>
    </row>
    <row r="448" spans="1:10" x14ac:dyDescent="0.3">
      <c r="A448" s="19">
        <v>44120</v>
      </c>
      <c r="B448" s="25">
        <v>106</v>
      </c>
      <c r="C448" s="20">
        <f t="shared" si="12"/>
        <v>-4.6948356807511738E-3</v>
      </c>
      <c r="H448" s="19">
        <v>44120</v>
      </c>
      <c r="I448" s="16">
        <v>40164.019999999997</v>
      </c>
      <c r="J448" s="20">
        <f t="shared" si="13"/>
        <v>2.3841677088405088E-3</v>
      </c>
    </row>
    <row r="449" spans="1:10" x14ac:dyDescent="0.3">
      <c r="A449" s="19">
        <v>44123</v>
      </c>
      <c r="B449" s="25">
        <v>105.8</v>
      </c>
      <c r="C449" s="20">
        <f t="shared" si="12"/>
        <v>-1.8867924528302156E-3</v>
      </c>
      <c r="H449" s="19">
        <v>44123</v>
      </c>
      <c r="I449" s="16">
        <v>40340.17</v>
      </c>
      <c r="J449" s="20">
        <f t="shared" si="13"/>
        <v>4.3857661658370222E-3</v>
      </c>
    </row>
    <row r="450" spans="1:10" x14ac:dyDescent="0.3">
      <c r="A450" s="19">
        <v>44124</v>
      </c>
      <c r="B450" s="25">
        <v>106.9</v>
      </c>
      <c r="C450" s="20">
        <f t="shared" si="12"/>
        <v>1.0396975425330893E-2</v>
      </c>
      <c r="H450" s="19">
        <v>44124</v>
      </c>
      <c r="I450" s="16">
        <v>40956.58</v>
      </c>
      <c r="J450" s="20">
        <f t="shared" si="13"/>
        <v>1.5280302487570169E-2</v>
      </c>
    </row>
    <row r="451" spans="1:10" x14ac:dyDescent="0.3">
      <c r="A451" s="19">
        <v>44125</v>
      </c>
      <c r="B451" s="25">
        <v>108</v>
      </c>
      <c r="C451" s="20">
        <f t="shared" si="12"/>
        <v>1.0289990645462996E-2</v>
      </c>
      <c r="H451" s="19">
        <v>44125</v>
      </c>
      <c r="I451" s="16">
        <v>41535.919999999998</v>
      </c>
      <c r="J451" s="20">
        <f t="shared" si="13"/>
        <v>1.4145224039702448E-2</v>
      </c>
    </row>
    <row r="452" spans="1:10" x14ac:dyDescent="0.3">
      <c r="A452" s="19">
        <v>44126</v>
      </c>
      <c r="B452" s="25">
        <v>108.35</v>
      </c>
      <c r="C452" s="20">
        <f t="shared" si="12"/>
        <v>3.2407407407406882E-3</v>
      </c>
      <c r="H452" s="19">
        <v>44126</v>
      </c>
      <c r="I452" s="16">
        <v>41199.019999999997</v>
      </c>
      <c r="J452" s="20">
        <f t="shared" si="13"/>
        <v>-8.1110518317639643E-3</v>
      </c>
    </row>
    <row r="453" spans="1:10" x14ac:dyDescent="0.3">
      <c r="A453" s="19">
        <v>44127</v>
      </c>
      <c r="B453" s="25">
        <v>108.3</v>
      </c>
      <c r="C453" s="20">
        <f t="shared" ref="C453:C516" si="14">(B453-B452)/B452</f>
        <v>-4.6146746654358249E-4</v>
      </c>
      <c r="H453" s="19">
        <v>44127</v>
      </c>
      <c r="I453" s="16">
        <v>41266</v>
      </c>
      <c r="J453" s="20">
        <f t="shared" ref="J453:J516" si="15">(I453-I452)/I452</f>
        <v>1.6257668264925526E-3</v>
      </c>
    </row>
    <row r="454" spans="1:10" x14ac:dyDescent="0.3">
      <c r="A454" s="19">
        <v>44130</v>
      </c>
      <c r="B454" s="25">
        <v>108</v>
      </c>
      <c r="C454" s="20">
        <f t="shared" si="14"/>
        <v>-2.7700831024930488E-3</v>
      </c>
      <c r="H454" s="19">
        <v>44130</v>
      </c>
      <c r="I454" s="16">
        <v>41850.47</v>
      </c>
      <c r="J454" s="20">
        <f t="shared" si="15"/>
        <v>1.4163475985072485E-2</v>
      </c>
    </row>
    <row r="455" spans="1:10" x14ac:dyDescent="0.3">
      <c r="A455" s="19">
        <v>44131</v>
      </c>
      <c r="B455" s="25">
        <v>108.01</v>
      </c>
      <c r="C455" s="20">
        <f t="shared" si="14"/>
        <v>9.2592592592639968E-5</v>
      </c>
      <c r="H455" s="19">
        <v>44131</v>
      </c>
      <c r="I455" s="16">
        <v>41381.83</v>
      </c>
      <c r="J455" s="20">
        <f t="shared" si="15"/>
        <v>-1.119796265131549E-2</v>
      </c>
    </row>
    <row r="456" spans="1:10" x14ac:dyDescent="0.3">
      <c r="A456" s="19">
        <v>44132</v>
      </c>
      <c r="B456" s="25">
        <v>107.95</v>
      </c>
      <c r="C456" s="20">
        <f t="shared" si="14"/>
        <v>-5.5550411998891091E-4</v>
      </c>
      <c r="H456" s="19">
        <v>44132</v>
      </c>
      <c r="I456" s="16">
        <v>41186.86</v>
      </c>
      <c r="J456" s="20">
        <f t="shared" si="15"/>
        <v>-4.7114881096365522E-3</v>
      </c>
    </row>
    <row r="457" spans="1:10" x14ac:dyDescent="0.3">
      <c r="A457" s="19">
        <v>44133</v>
      </c>
      <c r="B457" s="25">
        <v>105.98</v>
      </c>
      <c r="C457" s="20">
        <f t="shared" si="14"/>
        <v>-1.8249189439555339E-2</v>
      </c>
      <c r="H457" s="19">
        <v>44133</v>
      </c>
      <c r="I457" s="16">
        <v>39888</v>
      </c>
      <c r="J457" s="20">
        <f t="shared" si="15"/>
        <v>-3.153578592784205E-2</v>
      </c>
    </row>
    <row r="458" spans="1:10" x14ac:dyDescent="0.3">
      <c r="A458" s="19">
        <v>44137</v>
      </c>
      <c r="B458" s="25">
        <v>104.5</v>
      </c>
      <c r="C458" s="20">
        <f t="shared" si="14"/>
        <v>-1.3964899037554292E-2</v>
      </c>
      <c r="H458" s="19">
        <v>44137</v>
      </c>
      <c r="I458" s="16">
        <v>39112.18</v>
      </c>
      <c r="J458" s="20">
        <f t="shared" si="15"/>
        <v>-1.9449959887685511E-2</v>
      </c>
    </row>
    <row r="459" spans="1:10" x14ac:dyDescent="0.3">
      <c r="A459" s="19">
        <v>44138</v>
      </c>
      <c r="B459" s="25">
        <v>104.7</v>
      </c>
      <c r="C459" s="20">
        <f t="shared" si="14"/>
        <v>1.9138755980861516E-3</v>
      </c>
      <c r="H459" s="19">
        <v>44138</v>
      </c>
      <c r="I459" s="16">
        <v>40480.879999999997</v>
      </c>
      <c r="J459" s="20">
        <f t="shared" si="15"/>
        <v>3.4994214078581075E-2</v>
      </c>
    </row>
    <row r="460" spans="1:10" x14ac:dyDescent="0.3">
      <c r="A460" s="19">
        <v>44139</v>
      </c>
      <c r="B460" s="25">
        <v>104.84</v>
      </c>
      <c r="C460" s="20">
        <f t="shared" si="14"/>
        <v>1.3371537726838639E-3</v>
      </c>
      <c r="H460" s="19">
        <v>44139</v>
      </c>
      <c r="I460" s="16">
        <v>40281.96</v>
      </c>
      <c r="J460" s="20">
        <f t="shared" si="15"/>
        <v>-4.9139247961012275E-3</v>
      </c>
    </row>
    <row r="461" spans="1:10" x14ac:dyDescent="0.3">
      <c r="A461" s="19">
        <v>44140</v>
      </c>
      <c r="B461" s="25">
        <v>105.5</v>
      </c>
      <c r="C461" s="20">
        <f t="shared" si="14"/>
        <v>6.2953071346813867E-3</v>
      </c>
      <c r="H461" s="19">
        <v>44140</v>
      </c>
      <c r="I461" s="16">
        <v>41071.300000000003</v>
      </c>
      <c r="J461" s="20">
        <f t="shared" si="15"/>
        <v>1.9595372221212767E-2</v>
      </c>
    </row>
    <row r="462" spans="1:10" x14ac:dyDescent="0.3">
      <c r="A462" s="19">
        <v>44141</v>
      </c>
      <c r="B462" s="25">
        <v>105.25</v>
      </c>
      <c r="C462" s="20">
        <f t="shared" si="14"/>
        <v>-2.3696682464454978E-3</v>
      </c>
      <c r="H462" s="19">
        <v>44141</v>
      </c>
      <c r="I462" s="16">
        <v>40731.61</v>
      </c>
      <c r="J462" s="20">
        <f t="shared" si="15"/>
        <v>-8.2707389344871558E-3</v>
      </c>
    </row>
    <row r="463" spans="1:10" x14ac:dyDescent="0.3">
      <c r="A463" s="19">
        <v>44144</v>
      </c>
      <c r="B463" s="25">
        <v>105.1</v>
      </c>
      <c r="C463" s="20">
        <f t="shared" si="14"/>
        <v>-1.4251781472684627E-3</v>
      </c>
      <c r="H463" s="19">
        <v>44144</v>
      </c>
      <c r="I463" s="16">
        <v>40784.04</v>
      </c>
      <c r="J463" s="20">
        <f t="shared" si="15"/>
        <v>1.2872066682362983E-3</v>
      </c>
    </row>
    <row r="464" spans="1:10" x14ac:dyDescent="0.3">
      <c r="A464" s="19">
        <v>44145</v>
      </c>
      <c r="B464" s="25">
        <v>104.83</v>
      </c>
      <c r="C464" s="20">
        <f t="shared" si="14"/>
        <v>-2.5689819219790297E-3</v>
      </c>
      <c r="H464" s="19">
        <v>44145</v>
      </c>
      <c r="I464" s="16">
        <v>41153.050000000003</v>
      </c>
      <c r="J464" s="20">
        <f t="shared" si="15"/>
        <v>9.0479020714966454E-3</v>
      </c>
    </row>
    <row r="465" spans="1:10" x14ac:dyDescent="0.3">
      <c r="A465" s="19">
        <v>44146</v>
      </c>
      <c r="B465" s="25">
        <v>105.25</v>
      </c>
      <c r="C465" s="20">
        <f t="shared" si="14"/>
        <v>4.0064866927406444E-3</v>
      </c>
      <c r="H465" s="19">
        <v>44146</v>
      </c>
      <c r="I465" s="16">
        <v>41197.32</v>
      </c>
      <c r="J465" s="20">
        <f t="shared" si="15"/>
        <v>1.0757404372214647E-3</v>
      </c>
    </row>
    <row r="466" spans="1:10" x14ac:dyDescent="0.3">
      <c r="A466" s="19">
        <v>44147</v>
      </c>
      <c r="B466" s="25">
        <v>104.7</v>
      </c>
      <c r="C466" s="20">
        <f t="shared" si="14"/>
        <v>-5.2256532066508043E-3</v>
      </c>
      <c r="H466" s="19">
        <v>44147</v>
      </c>
      <c r="I466" s="16">
        <v>40564.550000000003</v>
      </c>
      <c r="J466" s="20">
        <f t="shared" si="15"/>
        <v>-1.5359494258364302E-2</v>
      </c>
    </row>
    <row r="467" spans="1:10" x14ac:dyDescent="0.3">
      <c r="A467" s="19">
        <v>44148</v>
      </c>
      <c r="B467" s="25">
        <v>104.6</v>
      </c>
      <c r="C467" s="20">
        <f t="shared" si="14"/>
        <v>-9.55109837631409E-4</v>
      </c>
      <c r="H467" s="19">
        <v>44148</v>
      </c>
      <c r="I467" s="16">
        <v>40569.35</v>
      </c>
      <c r="J467" s="20">
        <f t="shared" si="15"/>
        <v>1.1832992107630022E-4</v>
      </c>
    </row>
    <row r="468" spans="1:10" x14ac:dyDescent="0.3">
      <c r="A468" s="19">
        <v>44151</v>
      </c>
      <c r="B468" s="25">
        <v>105.25</v>
      </c>
      <c r="C468" s="20">
        <f t="shared" si="14"/>
        <v>6.2141491395794049E-3</v>
      </c>
      <c r="H468" s="19">
        <v>44151</v>
      </c>
      <c r="I468" s="16">
        <v>40504.75</v>
      </c>
      <c r="J468" s="20">
        <f t="shared" si="15"/>
        <v>-1.5923351002665447E-3</v>
      </c>
    </row>
    <row r="469" spans="1:10" x14ac:dyDescent="0.3">
      <c r="A469" s="19">
        <v>44152</v>
      </c>
      <c r="B469" s="25">
        <v>104.3</v>
      </c>
      <c r="C469" s="20">
        <f t="shared" si="14"/>
        <v>-9.0261282660332818E-3</v>
      </c>
      <c r="H469" s="19">
        <v>44152</v>
      </c>
      <c r="I469" s="16">
        <v>40652.67</v>
      </c>
      <c r="J469" s="20">
        <f t="shared" si="15"/>
        <v>3.6519173677160891E-3</v>
      </c>
    </row>
    <row r="470" spans="1:10" x14ac:dyDescent="0.3">
      <c r="A470" s="19">
        <v>44153</v>
      </c>
      <c r="B470" s="25">
        <v>104.85</v>
      </c>
      <c r="C470" s="20">
        <f t="shared" si="14"/>
        <v>5.2732502396931656E-3</v>
      </c>
      <c r="H470" s="19">
        <v>44153</v>
      </c>
      <c r="I470" s="16">
        <v>40514.67</v>
      </c>
      <c r="J470" s="20">
        <f t="shared" si="15"/>
        <v>-3.3946109812713408E-3</v>
      </c>
    </row>
    <row r="471" spans="1:10" x14ac:dyDescent="0.3">
      <c r="A471" s="19">
        <v>44154</v>
      </c>
      <c r="B471" s="25">
        <v>104.18</v>
      </c>
      <c r="C471" s="20">
        <f t="shared" si="14"/>
        <v>-6.3900810681925373E-3</v>
      </c>
      <c r="H471" s="19">
        <v>44154</v>
      </c>
      <c r="I471" s="16">
        <v>40540.699999999997</v>
      </c>
      <c r="J471" s="20">
        <f t="shared" si="15"/>
        <v>6.4248332764400742E-4</v>
      </c>
    </row>
    <row r="472" spans="1:10" x14ac:dyDescent="0.3">
      <c r="A472" s="19">
        <v>44155</v>
      </c>
      <c r="B472" s="25">
        <v>103.4</v>
      </c>
      <c r="C472" s="20">
        <f t="shared" si="14"/>
        <v>-7.4870416586677009E-3</v>
      </c>
      <c r="H472" s="19">
        <v>44155</v>
      </c>
      <c r="I472" s="16">
        <v>40187.18</v>
      </c>
      <c r="J472" s="20">
        <f t="shared" si="15"/>
        <v>-8.7201257008388319E-3</v>
      </c>
    </row>
    <row r="473" spans="1:10" x14ac:dyDescent="0.3">
      <c r="A473" s="19">
        <v>44158</v>
      </c>
      <c r="B473" s="25">
        <v>103.48</v>
      </c>
      <c r="C473" s="20">
        <f t="shared" si="14"/>
        <v>7.7369439071565081E-4</v>
      </c>
      <c r="H473" s="19">
        <v>44158</v>
      </c>
      <c r="I473" s="16">
        <v>39632.519999999997</v>
      </c>
      <c r="J473" s="20">
        <f t="shared" si="15"/>
        <v>-1.380191394370054E-2</v>
      </c>
    </row>
    <row r="474" spans="1:10" x14ac:dyDescent="0.3">
      <c r="A474" s="19">
        <v>44159</v>
      </c>
      <c r="B474" s="25">
        <v>104.29</v>
      </c>
      <c r="C474" s="20">
        <f t="shared" si="14"/>
        <v>7.8275995361422705E-3</v>
      </c>
      <c r="H474" s="19">
        <v>44159</v>
      </c>
      <c r="I474" s="16">
        <v>39863.360000000001</v>
      </c>
      <c r="J474" s="20">
        <f t="shared" si="15"/>
        <v>5.824509771268741E-3</v>
      </c>
    </row>
    <row r="475" spans="1:10" x14ac:dyDescent="0.3">
      <c r="A475" s="19">
        <v>44160</v>
      </c>
      <c r="B475" s="25">
        <v>104.4</v>
      </c>
      <c r="C475" s="20">
        <f t="shared" si="14"/>
        <v>1.0547511746092572E-3</v>
      </c>
      <c r="H475" s="19">
        <v>44160</v>
      </c>
      <c r="I475" s="16">
        <v>40377.53</v>
      </c>
      <c r="J475" s="20">
        <f t="shared" si="15"/>
        <v>1.2898310629108992E-2</v>
      </c>
    </row>
    <row r="476" spans="1:10" x14ac:dyDescent="0.3">
      <c r="A476" s="19">
        <v>44161</v>
      </c>
      <c r="B476" s="25">
        <v>105</v>
      </c>
      <c r="C476" s="20">
        <f t="shared" si="14"/>
        <v>5.7471264367815545E-3</v>
      </c>
      <c r="H476" s="19">
        <v>44161</v>
      </c>
      <c r="I476" s="16">
        <v>41031.03</v>
      </c>
      <c r="J476" s="20">
        <f t="shared" si="15"/>
        <v>1.6184744336763542E-2</v>
      </c>
    </row>
    <row r="477" spans="1:10" x14ac:dyDescent="0.3">
      <c r="A477" s="19">
        <v>44162</v>
      </c>
      <c r="B477" s="25">
        <v>104.12</v>
      </c>
      <c r="C477" s="20">
        <f t="shared" si="14"/>
        <v>-8.3809523809523379E-3</v>
      </c>
      <c r="H477" s="19">
        <v>44162</v>
      </c>
      <c r="I477" s="16">
        <v>40807.089999999997</v>
      </c>
      <c r="J477" s="20">
        <f t="shared" si="15"/>
        <v>-5.4578205811553438E-3</v>
      </c>
    </row>
    <row r="478" spans="1:10" x14ac:dyDescent="0.3">
      <c r="A478" s="19">
        <v>44165</v>
      </c>
      <c r="B478" s="25">
        <v>103.25</v>
      </c>
      <c r="C478" s="20">
        <f t="shared" si="14"/>
        <v>-8.3557433730311621E-3</v>
      </c>
      <c r="H478" s="19">
        <v>44165</v>
      </c>
      <c r="I478" s="16">
        <v>41068.82</v>
      </c>
      <c r="J478" s="20">
        <f t="shared" si="15"/>
        <v>6.4138364191125424E-3</v>
      </c>
    </row>
    <row r="479" spans="1:10" x14ac:dyDescent="0.3">
      <c r="A479" s="19">
        <v>44166</v>
      </c>
      <c r="B479" s="25">
        <v>104</v>
      </c>
      <c r="C479" s="20">
        <f t="shared" si="14"/>
        <v>7.2639225181598066E-3</v>
      </c>
      <c r="H479" s="19">
        <v>44166</v>
      </c>
      <c r="I479" s="16">
        <v>41665.269999999997</v>
      </c>
      <c r="J479" s="20">
        <f t="shared" si="15"/>
        <v>1.4523183281136325E-2</v>
      </c>
    </row>
    <row r="480" spans="1:10" x14ac:dyDescent="0.3">
      <c r="A480" s="19">
        <v>44167</v>
      </c>
      <c r="B480" s="25">
        <v>103.7</v>
      </c>
      <c r="C480" s="20">
        <f t="shared" si="14"/>
        <v>-2.8846153846153575E-3</v>
      </c>
      <c r="H480" s="19">
        <v>44167</v>
      </c>
      <c r="I480" s="16">
        <v>42027.38</v>
      </c>
      <c r="J480" s="20">
        <f t="shared" si="15"/>
        <v>8.6909313200178619E-3</v>
      </c>
    </row>
    <row r="481" spans="1:10" x14ac:dyDescent="0.3">
      <c r="A481" s="19">
        <v>44168</v>
      </c>
      <c r="B481" s="25">
        <v>102.35</v>
      </c>
      <c r="C481" s="20">
        <f t="shared" si="14"/>
        <v>-1.3018322082931615E-2</v>
      </c>
      <c r="H481" s="19">
        <v>44168</v>
      </c>
      <c r="I481" s="16">
        <v>42047.72</v>
      </c>
      <c r="J481" s="20">
        <f t="shared" si="15"/>
        <v>4.8397021180011186E-4</v>
      </c>
    </row>
    <row r="482" spans="1:10" x14ac:dyDescent="0.3">
      <c r="A482" s="19">
        <v>44169</v>
      </c>
      <c r="B482" s="25">
        <v>101.7</v>
      </c>
      <c r="C482" s="20">
        <f t="shared" si="14"/>
        <v>-6.3507572056667469E-3</v>
      </c>
      <c r="H482" s="19">
        <v>44169</v>
      </c>
      <c r="I482" s="16">
        <v>42207</v>
      </c>
      <c r="J482" s="20">
        <f t="shared" si="15"/>
        <v>3.7880769753984005E-3</v>
      </c>
    </row>
    <row r="483" spans="1:10" x14ac:dyDescent="0.3">
      <c r="A483" s="19">
        <v>44172</v>
      </c>
      <c r="B483" s="25">
        <v>101.25</v>
      </c>
      <c r="C483" s="20">
        <f t="shared" si="14"/>
        <v>-4.4247787610619746E-3</v>
      </c>
      <c r="H483" s="19">
        <v>44172</v>
      </c>
      <c r="I483" s="16">
        <v>42115.31</v>
      </c>
      <c r="J483" s="20">
        <f t="shared" si="15"/>
        <v>-2.1723884663681931E-3</v>
      </c>
    </row>
    <row r="484" spans="1:10" x14ac:dyDescent="0.3">
      <c r="A484" s="19">
        <v>44173</v>
      </c>
      <c r="B484" s="25">
        <v>100.4</v>
      </c>
      <c r="C484" s="20">
        <f t="shared" si="14"/>
        <v>-8.3950617283950063E-3</v>
      </c>
      <c r="H484" s="19">
        <v>44173</v>
      </c>
      <c r="I484" s="16">
        <v>42101.78</v>
      </c>
      <c r="J484" s="20">
        <f t="shared" si="15"/>
        <v>-3.2126084314703697E-4</v>
      </c>
    </row>
    <row r="485" spans="1:10" x14ac:dyDescent="0.3">
      <c r="A485" s="19">
        <v>44174</v>
      </c>
      <c r="B485" s="25">
        <v>100</v>
      </c>
      <c r="C485" s="20">
        <f t="shared" si="14"/>
        <v>-3.9840637450199766E-3</v>
      </c>
      <c r="H485" s="19">
        <v>44174</v>
      </c>
      <c r="I485" s="16">
        <v>42204.03</v>
      </c>
      <c r="J485" s="20">
        <f t="shared" si="15"/>
        <v>2.428638409112394E-3</v>
      </c>
    </row>
    <row r="486" spans="1:10" x14ac:dyDescent="0.3">
      <c r="A486" s="19">
        <v>44175</v>
      </c>
      <c r="B486" s="25">
        <v>102.24</v>
      </c>
      <c r="C486" s="20">
        <f t="shared" si="14"/>
        <v>2.2399999999999948E-2</v>
      </c>
      <c r="H486" s="19">
        <v>44175</v>
      </c>
      <c r="I486" s="16">
        <v>42305.84</v>
      </c>
      <c r="J486" s="20">
        <f t="shared" si="15"/>
        <v>2.4123288700154386E-3</v>
      </c>
    </row>
    <row r="487" spans="1:10" x14ac:dyDescent="0.3">
      <c r="A487" s="19">
        <v>44176</v>
      </c>
      <c r="B487" s="25">
        <v>102.1</v>
      </c>
      <c r="C487" s="20">
        <f t="shared" si="14"/>
        <v>-1.3693270735524313E-3</v>
      </c>
      <c r="H487" s="19">
        <v>44176</v>
      </c>
      <c r="I487" s="16">
        <v>42470.39</v>
      </c>
      <c r="J487" s="20">
        <f t="shared" si="15"/>
        <v>3.8895339272309194E-3</v>
      </c>
    </row>
    <row r="488" spans="1:10" x14ac:dyDescent="0.3">
      <c r="A488" s="19">
        <v>44179</v>
      </c>
      <c r="B488" s="25">
        <v>106.5</v>
      </c>
      <c r="C488" s="20">
        <f t="shared" si="14"/>
        <v>4.3095004897159707E-2</v>
      </c>
      <c r="H488" s="19">
        <v>44179</v>
      </c>
      <c r="I488" s="16">
        <v>43266.22</v>
      </c>
      <c r="J488" s="20">
        <f t="shared" si="15"/>
        <v>1.8738466964866623E-2</v>
      </c>
    </row>
    <row r="489" spans="1:10" x14ac:dyDescent="0.3">
      <c r="A489" s="19">
        <v>44180</v>
      </c>
      <c r="B489" s="25">
        <v>107.2</v>
      </c>
      <c r="C489" s="20">
        <f t="shared" si="14"/>
        <v>6.5727699530516697E-3</v>
      </c>
      <c r="H489" s="19">
        <v>44180</v>
      </c>
      <c r="I489" s="16">
        <v>43250.84</v>
      </c>
      <c r="J489" s="20">
        <f t="shared" si="15"/>
        <v>-3.5547362353366337E-4</v>
      </c>
    </row>
    <row r="490" spans="1:10" x14ac:dyDescent="0.3">
      <c r="A490" s="19">
        <v>44181</v>
      </c>
      <c r="B490" s="25">
        <v>108</v>
      </c>
      <c r="C490" s="20">
        <f t="shared" si="14"/>
        <v>7.4626865671641521E-3</v>
      </c>
      <c r="H490" s="19">
        <v>44181</v>
      </c>
      <c r="I490" s="16">
        <v>43360.19</v>
      </c>
      <c r="J490" s="20">
        <f t="shared" si="15"/>
        <v>2.5282745953605947E-3</v>
      </c>
    </row>
    <row r="491" spans="1:10" x14ac:dyDescent="0.3">
      <c r="A491" s="19">
        <v>44182</v>
      </c>
      <c r="B491" s="25">
        <v>108.5</v>
      </c>
      <c r="C491" s="20">
        <f t="shared" si="14"/>
        <v>4.6296296296296294E-3</v>
      </c>
      <c r="H491" s="19">
        <v>44182</v>
      </c>
      <c r="I491" s="16">
        <v>43766.69</v>
      </c>
      <c r="J491" s="20">
        <f t="shared" si="15"/>
        <v>9.3749589196910794E-3</v>
      </c>
    </row>
    <row r="492" spans="1:10" x14ac:dyDescent="0.3">
      <c r="A492" s="19">
        <v>44183</v>
      </c>
      <c r="B492" s="25">
        <v>108.97</v>
      </c>
      <c r="C492" s="20">
        <f t="shared" si="14"/>
        <v>4.3317972350230306E-3</v>
      </c>
      <c r="H492" s="19">
        <v>44183</v>
      </c>
      <c r="I492" s="16">
        <v>43740.55</v>
      </c>
      <c r="J492" s="20">
        <f t="shared" si="15"/>
        <v>-5.9725786894095523E-4</v>
      </c>
    </row>
    <row r="493" spans="1:10" x14ac:dyDescent="0.3">
      <c r="A493" s="19">
        <v>44186</v>
      </c>
      <c r="B493" s="25">
        <v>108.5</v>
      </c>
      <c r="C493" s="20">
        <f t="shared" si="14"/>
        <v>-4.3131137010186185E-3</v>
      </c>
      <c r="H493" s="19">
        <v>44186</v>
      </c>
      <c r="I493" s="16">
        <v>43333.760000000002</v>
      </c>
      <c r="J493" s="20">
        <f t="shared" si="15"/>
        <v>-9.3000659571038959E-3</v>
      </c>
    </row>
    <row r="494" spans="1:10" x14ac:dyDescent="0.3">
      <c r="A494" s="19">
        <v>44187</v>
      </c>
      <c r="B494" s="25">
        <v>109.4</v>
      </c>
      <c r="C494" s="20">
        <f t="shared" si="14"/>
        <v>8.2949308755760898E-3</v>
      </c>
      <c r="H494" s="19">
        <v>44187</v>
      </c>
      <c r="I494" s="16">
        <v>42906.94</v>
      </c>
      <c r="J494" s="20">
        <f t="shared" si="15"/>
        <v>-9.8495953270613876E-3</v>
      </c>
    </row>
    <row r="495" spans="1:10" x14ac:dyDescent="0.3">
      <c r="A495" s="19">
        <v>44188</v>
      </c>
      <c r="B495" s="25">
        <v>109.01</v>
      </c>
      <c r="C495" s="20">
        <f t="shared" si="14"/>
        <v>-3.5648994515539356E-3</v>
      </c>
      <c r="H495" s="19">
        <v>44188</v>
      </c>
      <c r="I495" s="16">
        <v>43087.7</v>
      </c>
      <c r="J495" s="20">
        <f t="shared" si="15"/>
        <v>4.2128382960890422E-3</v>
      </c>
    </row>
    <row r="496" spans="1:10" x14ac:dyDescent="0.3">
      <c r="A496" s="19">
        <v>44189</v>
      </c>
      <c r="B496" s="25">
        <v>108.75</v>
      </c>
      <c r="C496" s="20">
        <f t="shared" si="14"/>
        <v>-2.3851022841941574E-3</v>
      </c>
      <c r="H496" s="19">
        <v>44189</v>
      </c>
      <c r="I496" s="16">
        <v>43416.77</v>
      </c>
      <c r="J496" s="20">
        <f t="shared" si="15"/>
        <v>7.6372143326285625E-3</v>
      </c>
    </row>
    <row r="497" spans="1:10" x14ac:dyDescent="0.3">
      <c r="A497" s="19">
        <v>44193</v>
      </c>
      <c r="B497" s="25">
        <v>109.01</v>
      </c>
      <c r="C497" s="20">
        <f t="shared" si="14"/>
        <v>2.3908045977011965E-3</v>
      </c>
      <c r="H497" s="19">
        <v>44193</v>
      </c>
      <c r="I497" s="16">
        <v>43674.28</v>
      </c>
      <c r="J497" s="20">
        <f t="shared" si="15"/>
        <v>5.9311183213307224E-3</v>
      </c>
    </row>
    <row r="498" spans="1:10" x14ac:dyDescent="0.3">
      <c r="A498" s="19">
        <v>44194</v>
      </c>
      <c r="B498" s="25">
        <v>107.56</v>
      </c>
      <c r="C498" s="20">
        <f t="shared" si="14"/>
        <v>-1.3301531969544103E-2</v>
      </c>
      <c r="H498" s="19">
        <v>44194</v>
      </c>
      <c r="I498" s="16">
        <v>43255.55</v>
      </c>
      <c r="J498" s="20">
        <f t="shared" si="15"/>
        <v>-9.5875650382787284E-3</v>
      </c>
    </row>
    <row r="499" spans="1:10" x14ac:dyDescent="0.3">
      <c r="A499" s="19">
        <v>44195</v>
      </c>
      <c r="B499" s="25">
        <v>108.49</v>
      </c>
      <c r="C499" s="20">
        <f t="shared" si="14"/>
        <v>8.646336928226037E-3</v>
      </c>
      <c r="H499" s="19">
        <v>44195</v>
      </c>
      <c r="I499" s="16">
        <v>43694.76</v>
      </c>
      <c r="J499" s="20">
        <f t="shared" si="15"/>
        <v>1.0153841530162005E-2</v>
      </c>
    </row>
    <row r="500" spans="1:10" x14ac:dyDescent="0.3">
      <c r="A500" s="19">
        <v>44196</v>
      </c>
      <c r="B500" s="25">
        <v>108.85</v>
      </c>
      <c r="C500" s="20">
        <f t="shared" si="14"/>
        <v>3.3182781823209461E-3</v>
      </c>
      <c r="H500" s="19">
        <v>44196</v>
      </c>
      <c r="I500" s="16">
        <v>43755.38</v>
      </c>
      <c r="J500" s="20">
        <f t="shared" si="15"/>
        <v>1.3873517099074429E-3</v>
      </c>
    </row>
    <row r="501" spans="1:10" x14ac:dyDescent="0.3">
      <c r="A501" s="19">
        <v>44197</v>
      </c>
      <c r="B501" s="25">
        <v>109.11</v>
      </c>
      <c r="C501" s="20">
        <f t="shared" si="14"/>
        <v>2.3886081763895739E-3</v>
      </c>
      <c r="H501" s="19">
        <v>44197</v>
      </c>
      <c r="I501" s="16">
        <v>44434.8</v>
      </c>
      <c r="J501" s="20">
        <f t="shared" si="15"/>
        <v>1.552769053771229E-2</v>
      </c>
    </row>
    <row r="502" spans="1:10" x14ac:dyDescent="0.3">
      <c r="A502" s="19">
        <v>44200</v>
      </c>
      <c r="B502" s="25">
        <v>110.5</v>
      </c>
      <c r="C502" s="20">
        <f t="shared" si="14"/>
        <v>1.2739437265145271E-2</v>
      </c>
      <c r="H502" s="19">
        <v>44200</v>
      </c>
      <c r="I502" s="16">
        <v>44686.46</v>
      </c>
      <c r="J502" s="20">
        <f t="shared" si="15"/>
        <v>5.6635789966421862E-3</v>
      </c>
    </row>
    <row r="503" spans="1:10" x14ac:dyDescent="0.3">
      <c r="A503" s="19">
        <v>44201</v>
      </c>
      <c r="B503" s="25">
        <v>110.99</v>
      </c>
      <c r="C503" s="20">
        <f t="shared" si="14"/>
        <v>4.4343891402714468E-3</v>
      </c>
      <c r="H503" s="19">
        <v>44201</v>
      </c>
      <c r="I503" s="16">
        <v>44650.43</v>
      </c>
      <c r="J503" s="20">
        <f t="shared" si="15"/>
        <v>-8.0628449870495081E-4</v>
      </c>
    </row>
    <row r="504" spans="1:10" x14ac:dyDescent="0.3">
      <c r="A504" s="19">
        <v>44202</v>
      </c>
      <c r="B504" s="25">
        <v>111</v>
      </c>
      <c r="C504" s="20">
        <f t="shared" si="14"/>
        <v>9.0098207045725891E-5</v>
      </c>
      <c r="H504" s="19">
        <v>44202</v>
      </c>
      <c r="I504" s="16">
        <v>45153.42</v>
      </c>
      <c r="J504" s="20">
        <f t="shared" si="15"/>
        <v>1.1265065084479544E-2</v>
      </c>
    </row>
    <row r="505" spans="1:10" x14ac:dyDescent="0.3">
      <c r="A505" s="19">
        <v>44203</v>
      </c>
      <c r="B505" s="25">
        <v>112.9</v>
      </c>
      <c r="C505" s="20">
        <f t="shared" si="14"/>
        <v>1.7117117117117168E-2</v>
      </c>
      <c r="H505" s="19">
        <v>44203</v>
      </c>
      <c r="I505" s="16">
        <v>45344.54</v>
      </c>
      <c r="J505" s="20">
        <f t="shared" si="15"/>
        <v>4.2326804924190152E-3</v>
      </c>
    </row>
    <row r="506" spans="1:10" x14ac:dyDescent="0.3">
      <c r="A506" s="19">
        <v>44204</v>
      </c>
      <c r="B506" s="25">
        <v>112.35</v>
      </c>
      <c r="C506" s="20">
        <f t="shared" si="14"/>
        <v>-4.871567759078931E-3</v>
      </c>
      <c r="H506" s="19">
        <v>44204</v>
      </c>
      <c r="I506" s="16">
        <v>45654.34</v>
      </c>
      <c r="J506" s="20">
        <f t="shared" si="15"/>
        <v>6.8321345855530922E-3</v>
      </c>
    </row>
    <row r="507" spans="1:10" x14ac:dyDescent="0.3">
      <c r="A507" s="19">
        <v>44207</v>
      </c>
      <c r="B507" s="25">
        <v>112.15</v>
      </c>
      <c r="C507" s="20">
        <f t="shared" si="14"/>
        <v>-1.7801513128614921E-3</v>
      </c>
      <c r="H507" s="19">
        <v>44207</v>
      </c>
      <c r="I507" s="16">
        <v>45605.42</v>
      </c>
      <c r="J507" s="20">
        <f t="shared" si="15"/>
        <v>-1.0715301108284176E-3</v>
      </c>
    </row>
    <row r="508" spans="1:10" x14ac:dyDescent="0.3">
      <c r="A508" s="19">
        <v>44208</v>
      </c>
      <c r="B508" s="25">
        <v>112</v>
      </c>
      <c r="C508" s="20">
        <f t="shared" si="14"/>
        <v>-1.3374944271066043E-3</v>
      </c>
      <c r="H508" s="19">
        <v>44208</v>
      </c>
      <c r="I508" s="16">
        <v>45922.04</v>
      </c>
      <c r="J508" s="20">
        <f t="shared" si="15"/>
        <v>6.9425958581239384E-3</v>
      </c>
    </row>
    <row r="509" spans="1:10" x14ac:dyDescent="0.3">
      <c r="A509" s="19">
        <v>44209</v>
      </c>
      <c r="B509" s="25">
        <v>111.65</v>
      </c>
      <c r="C509" s="20">
        <f t="shared" si="14"/>
        <v>-3.1249999999999494E-3</v>
      </c>
      <c r="H509" s="19">
        <v>44209</v>
      </c>
      <c r="I509" s="16">
        <v>46091.96</v>
      </c>
      <c r="J509" s="20">
        <f t="shared" si="15"/>
        <v>3.7001840510569269E-3</v>
      </c>
    </row>
    <row r="510" spans="1:10" x14ac:dyDescent="0.3">
      <c r="A510" s="19">
        <v>44210</v>
      </c>
      <c r="B510" s="25">
        <v>111.4</v>
      </c>
      <c r="C510" s="20">
        <f t="shared" si="14"/>
        <v>-2.2391401701746527E-3</v>
      </c>
      <c r="H510" s="19">
        <v>44210</v>
      </c>
      <c r="I510" s="16">
        <v>45989.35</v>
      </c>
      <c r="J510" s="20">
        <f t="shared" si="15"/>
        <v>-2.2262017063279711E-3</v>
      </c>
    </row>
    <row r="511" spans="1:10" x14ac:dyDescent="0.3">
      <c r="A511" s="19">
        <v>44211</v>
      </c>
      <c r="B511" s="25">
        <v>111.45</v>
      </c>
      <c r="C511" s="20">
        <f t="shared" si="14"/>
        <v>4.4883303411128508E-4</v>
      </c>
      <c r="H511" s="19">
        <v>44211</v>
      </c>
      <c r="I511" s="16">
        <v>45931</v>
      </c>
      <c r="J511" s="20">
        <f t="shared" si="15"/>
        <v>-1.268772009171657E-3</v>
      </c>
    </row>
    <row r="512" spans="1:10" x14ac:dyDescent="0.3">
      <c r="A512" s="19">
        <v>44214</v>
      </c>
      <c r="B512" s="25">
        <v>111.03</v>
      </c>
      <c r="C512" s="20">
        <f t="shared" si="14"/>
        <v>-3.768506056527606E-3</v>
      </c>
      <c r="H512" s="19">
        <v>44214</v>
      </c>
      <c r="I512" s="16">
        <v>45726.68</v>
      </c>
      <c r="J512" s="20">
        <f t="shared" si="15"/>
        <v>-4.4484117480568615E-3</v>
      </c>
    </row>
    <row r="513" spans="1:10" x14ac:dyDescent="0.3">
      <c r="A513" s="19">
        <v>44215</v>
      </c>
      <c r="B513" s="25">
        <v>111.52</v>
      </c>
      <c r="C513" s="20">
        <f t="shared" si="14"/>
        <v>4.4132216518057718E-3</v>
      </c>
      <c r="H513" s="19">
        <v>44215</v>
      </c>
      <c r="I513" s="16">
        <v>45903.23</v>
      </c>
      <c r="J513" s="20">
        <f t="shared" si="15"/>
        <v>3.8609844405936076E-3</v>
      </c>
    </row>
    <row r="514" spans="1:10" x14ac:dyDescent="0.3">
      <c r="A514" s="19">
        <v>44216</v>
      </c>
      <c r="B514" s="25">
        <v>111</v>
      </c>
      <c r="C514" s="20">
        <f t="shared" si="14"/>
        <v>-4.6628407460544835E-3</v>
      </c>
      <c r="H514" s="19">
        <v>44216</v>
      </c>
      <c r="I514" s="16">
        <v>45676.94</v>
      </c>
      <c r="J514" s="20">
        <f t="shared" si="15"/>
        <v>-4.9297184533637576E-3</v>
      </c>
    </row>
    <row r="515" spans="1:10" x14ac:dyDescent="0.3">
      <c r="A515" s="19">
        <v>44217</v>
      </c>
      <c r="B515" s="25">
        <v>111</v>
      </c>
      <c r="C515" s="20">
        <f t="shared" si="14"/>
        <v>0</v>
      </c>
      <c r="H515" s="19">
        <v>44217</v>
      </c>
      <c r="I515" s="16">
        <v>45984.46</v>
      </c>
      <c r="J515" s="20">
        <f t="shared" si="15"/>
        <v>6.7325000317446128E-3</v>
      </c>
    </row>
    <row r="516" spans="1:10" x14ac:dyDescent="0.3">
      <c r="A516" s="19">
        <v>44218</v>
      </c>
      <c r="B516" s="25">
        <v>110.91</v>
      </c>
      <c r="C516" s="20">
        <f t="shared" si="14"/>
        <v>-8.1081081081084156E-4</v>
      </c>
      <c r="H516" s="19">
        <v>44218</v>
      </c>
      <c r="I516" s="16">
        <v>45868.04</v>
      </c>
      <c r="J516" s="20">
        <f t="shared" si="15"/>
        <v>-2.5317248479159752E-3</v>
      </c>
    </row>
    <row r="517" spans="1:10" x14ac:dyDescent="0.3">
      <c r="A517" s="19">
        <v>44221</v>
      </c>
      <c r="B517" s="25">
        <v>111.99</v>
      </c>
      <c r="C517" s="20">
        <f t="shared" ref="C517:C580" si="16">(B517-B516)/B516</f>
        <v>9.73762510143358E-3</v>
      </c>
      <c r="H517" s="19">
        <v>44221</v>
      </c>
      <c r="I517" s="16">
        <v>46087.64</v>
      </c>
      <c r="J517" s="20">
        <f t="shared" ref="J517:J580" si="17">(I517-I516)/I516</f>
        <v>4.7876473466055783E-3</v>
      </c>
    </row>
    <row r="518" spans="1:10" x14ac:dyDescent="0.3">
      <c r="A518" s="19">
        <v>44222</v>
      </c>
      <c r="B518" s="25">
        <v>112.5</v>
      </c>
      <c r="C518" s="20">
        <f t="shared" si="16"/>
        <v>4.5539780337530596E-3</v>
      </c>
      <c r="H518" s="19">
        <v>44222</v>
      </c>
      <c r="I518" s="16">
        <v>46287.38</v>
      </c>
      <c r="J518" s="20">
        <f t="shared" si="17"/>
        <v>4.3339168592706843E-3</v>
      </c>
    </row>
    <row r="519" spans="1:10" x14ac:dyDescent="0.3">
      <c r="A519" s="19">
        <v>44223</v>
      </c>
      <c r="B519" s="25">
        <v>113.57</v>
      </c>
      <c r="C519" s="20">
        <f t="shared" si="16"/>
        <v>9.5111111111110501E-3</v>
      </c>
      <c r="H519" s="19">
        <v>44223</v>
      </c>
      <c r="I519" s="16">
        <v>46458.13</v>
      </c>
      <c r="J519" s="20">
        <f t="shared" si="17"/>
        <v>3.6889104546422805E-3</v>
      </c>
    </row>
    <row r="520" spans="1:10" x14ac:dyDescent="0.3">
      <c r="A520" s="19">
        <v>44224</v>
      </c>
      <c r="B520" s="25">
        <v>111.45</v>
      </c>
      <c r="C520" s="20">
        <f t="shared" si="16"/>
        <v>-1.8666901470458665E-2</v>
      </c>
      <c r="H520" s="19">
        <v>44224</v>
      </c>
      <c r="I520" s="16">
        <v>46166.05</v>
      </c>
      <c r="J520" s="20">
        <f t="shared" si="17"/>
        <v>-6.2869512828001147E-3</v>
      </c>
    </row>
    <row r="521" spans="1:10" x14ac:dyDescent="0.3">
      <c r="A521" s="19">
        <v>44225</v>
      </c>
      <c r="B521" s="25">
        <v>110.11</v>
      </c>
      <c r="C521" s="20">
        <f t="shared" si="16"/>
        <v>-1.202332884701663E-2</v>
      </c>
      <c r="H521" s="19">
        <v>44225</v>
      </c>
      <c r="I521" s="16">
        <v>46385.54</v>
      </c>
      <c r="J521" s="20">
        <f t="shared" si="17"/>
        <v>4.7543595347663047E-3</v>
      </c>
    </row>
    <row r="522" spans="1:10" x14ac:dyDescent="0.3">
      <c r="A522" s="19">
        <v>44228</v>
      </c>
      <c r="B522" s="25">
        <v>110.45</v>
      </c>
      <c r="C522" s="20">
        <f t="shared" si="16"/>
        <v>3.0878212696394823E-3</v>
      </c>
      <c r="H522" s="19">
        <v>44228</v>
      </c>
      <c r="I522" s="16">
        <v>46248.45</v>
      </c>
      <c r="J522" s="20">
        <f t="shared" si="17"/>
        <v>-2.9554468914235726E-3</v>
      </c>
    </row>
    <row r="523" spans="1:10" x14ac:dyDescent="0.3">
      <c r="A523" s="19">
        <v>44229</v>
      </c>
      <c r="B523" s="25">
        <v>110.4</v>
      </c>
      <c r="C523" s="20">
        <f t="shared" si="16"/>
        <v>-4.5269352648254555E-4</v>
      </c>
      <c r="H523" s="19">
        <v>44229</v>
      </c>
      <c r="I523" s="16">
        <v>46580.34</v>
      </c>
      <c r="J523" s="20">
        <f t="shared" si="17"/>
        <v>7.1762405010329959E-3</v>
      </c>
    </row>
    <row r="524" spans="1:10" x14ac:dyDescent="0.3">
      <c r="A524" s="19">
        <v>44230</v>
      </c>
      <c r="B524" s="25">
        <v>110.51</v>
      </c>
      <c r="C524" s="20">
        <f t="shared" si="16"/>
        <v>9.9637681159419765E-4</v>
      </c>
      <c r="H524" s="19">
        <v>44230</v>
      </c>
      <c r="I524" s="16">
        <v>46933.63</v>
      </c>
      <c r="J524" s="20">
        <f t="shared" si="17"/>
        <v>7.5845302975461517E-3</v>
      </c>
    </row>
    <row r="525" spans="1:10" x14ac:dyDescent="0.3">
      <c r="A525" s="19">
        <v>44231</v>
      </c>
      <c r="B525" s="25">
        <v>110.71</v>
      </c>
      <c r="C525" s="20">
        <f t="shared" si="16"/>
        <v>1.8097909691429611E-3</v>
      </c>
      <c r="H525" s="19">
        <v>44231</v>
      </c>
      <c r="I525" s="16">
        <v>46905.79</v>
      </c>
      <c r="J525" s="20">
        <f t="shared" si="17"/>
        <v>-5.9317806868969031E-4</v>
      </c>
    </row>
    <row r="526" spans="1:10" x14ac:dyDescent="0.3">
      <c r="A526" s="19">
        <v>44235</v>
      </c>
      <c r="B526" s="25">
        <v>109.5</v>
      </c>
      <c r="C526" s="20">
        <f t="shared" si="16"/>
        <v>-1.0929455333754799E-2</v>
      </c>
      <c r="H526" s="19">
        <v>44235</v>
      </c>
      <c r="I526" s="16">
        <v>46721.87</v>
      </c>
      <c r="J526" s="20">
        <f t="shared" si="17"/>
        <v>-3.9210511111740839E-3</v>
      </c>
    </row>
    <row r="527" spans="1:10" x14ac:dyDescent="0.3">
      <c r="A527" s="19">
        <v>44236</v>
      </c>
      <c r="B527" s="25">
        <v>109.7</v>
      </c>
      <c r="C527" s="20">
        <f t="shared" si="16"/>
        <v>1.8264840182648661E-3</v>
      </c>
      <c r="H527" s="19">
        <v>44236</v>
      </c>
      <c r="I527" s="16">
        <v>46674.77</v>
      </c>
      <c r="J527" s="20">
        <f t="shared" si="17"/>
        <v>-1.0080932120226742E-3</v>
      </c>
    </row>
    <row r="528" spans="1:10" x14ac:dyDescent="0.3">
      <c r="A528" s="19">
        <v>44237</v>
      </c>
      <c r="B528" s="25">
        <v>109</v>
      </c>
      <c r="C528" s="20">
        <f t="shared" si="16"/>
        <v>-6.3810391978122412E-3</v>
      </c>
      <c r="H528" s="19">
        <v>44237</v>
      </c>
      <c r="I528" s="16">
        <v>46644.29</v>
      </c>
      <c r="J528" s="20">
        <f t="shared" si="17"/>
        <v>-6.5302946324097429E-4</v>
      </c>
    </row>
    <row r="529" spans="1:10" x14ac:dyDescent="0.3">
      <c r="A529" s="19">
        <v>44238</v>
      </c>
      <c r="B529" s="25">
        <v>108.98</v>
      </c>
      <c r="C529" s="20">
        <f t="shared" si="16"/>
        <v>-1.8348623853207358E-4</v>
      </c>
      <c r="H529" s="19">
        <v>44238</v>
      </c>
      <c r="I529" s="16">
        <v>46055.519999999997</v>
      </c>
      <c r="J529" s="20">
        <f t="shared" si="17"/>
        <v>-1.2622552513930517E-2</v>
      </c>
    </row>
    <row r="530" spans="1:10" x14ac:dyDescent="0.3">
      <c r="A530" s="19">
        <v>44239</v>
      </c>
      <c r="B530" s="25">
        <v>108.21</v>
      </c>
      <c r="C530" s="20">
        <f t="shared" si="16"/>
        <v>-7.0655166085521219E-3</v>
      </c>
      <c r="H530" s="19">
        <v>44239</v>
      </c>
      <c r="I530" s="16">
        <v>45808.36</v>
      </c>
      <c r="J530" s="20">
        <f t="shared" si="17"/>
        <v>-5.3665662661065653E-3</v>
      </c>
    </row>
    <row r="531" spans="1:10" x14ac:dyDescent="0.3">
      <c r="A531" s="19">
        <v>44242</v>
      </c>
      <c r="B531" s="25">
        <v>108</v>
      </c>
      <c r="C531" s="20">
        <f t="shared" si="16"/>
        <v>-1.9406709176600476E-3</v>
      </c>
      <c r="H531" s="19">
        <v>44242</v>
      </c>
      <c r="I531" s="16">
        <v>46375.59</v>
      </c>
      <c r="J531" s="20">
        <f t="shared" si="17"/>
        <v>1.238267425421901E-2</v>
      </c>
    </row>
    <row r="532" spans="1:10" x14ac:dyDescent="0.3">
      <c r="A532" s="19">
        <v>44243</v>
      </c>
      <c r="B532" s="25">
        <v>108.7</v>
      </c>
      <c r="C532" s="20">
        <f t="shared" si="16"/>
        <v>6.4814814814815082E-3</v>
      </c>
      <c r="H532" s="19">
        <v>44243</v>
      </c>
      <c r="I532" s="16">
        <v>46867.95</v>
      </c>
      <c r="J532" s="20">
        <f t="shared" si="17"/>
        <v>1.0616792152940816E-2</v>
      </c>
    </row>
    <row r="533" spans="1:10" x14ac:dyDescent="0.3">
      <c r="A533" s="19">
        <v>44244</v>
      </c>
      <c r="B533" s="25">
        <v>109.02</v>
      </c>
      <c r="C533" s="20">
        <f t="shared" si="16"/>
        <v>2.9438822447101489E-3</v>
      </c>
      <c r="H533" s="19">
        <v>44244</v>
      </c>
      <c r="I533" s="16">
        <v>46768.14</v>
      </c>
      <c r="J533" s="20">
        <f t="shared" si="17"/>
        <v>-2.1296002918838497E-3</v>
      </c>
    </row>
    <row r="534" spans="1:10" x14ac:dyDescent="0.3">
      <c r="A534" s="19">
        <v>44245</v>
      </c>
      <c r="B534" s="25">
        <v>109</v>
      </c>
      <c r="C534" s="20">
        <f t="shared" si="16"/>
        <v>-1.8345257750867751E-4</v>
      </c>
      <c r="H534" s="19">
        <v>44245</v>
      </c>
      <c r="I534" s="16">
        <v>46142.74</v>
      </c>
      <c r="J534" s="20">
        <f t="shared" si="17"/>
        <v>-1.3372351348589049E-2</v>
      </c>
    </row>
    <row r="535" spans="1:10" x14ac:dyDescent="0.3">
      <c r="A535" s="19">
        <v>44246</v>
      </c>
      <c r="B535" s="25">
        <v>109.34</v>
      </c>
      <c r="C535" s="20">
        <f t="shared" si="16"/>
        <v>3.119266055045903E-3</v>
      </c>
      <c r="H535" s="19">
        <v>44246</v>
      </c>
      <c r="I535" s="16">
        <v>46227.65</v>
      </c>
      <c r="J535" s="20">
        <f t="shared" si="17"/>
        <v>1.8401594703739634E-3</v>
      </c>
    </row>
    <row r="536" spans="1:10" x14ac:dyDescent="0.3">
      <c r="A536" s="19">
        <v>44249</v>
      </c>
      <c r="B536" s="25">
        <v>109</v>
      </c>
      <c r="C536" s="20">
        <f t="shared" si="16"/>
        <v>-3.1095664898482113E-3</v>
      </c>
      <c r="H536" s="19">
        <v>44249</v>
      </c>
      <c r="I536" s="16">
        <v>45890.04</v>
      </c>
      <c r="J536" s="20">
        <f t="shared" si="17"/>
        <v>-7.3032049000976811E-3</v>
      </c>
    </row>
    <row r="537" spans="1:10" x14ac:dyDescent="0.3">
      <c r="A537" s="19">
        <v>44250</v>
      </c>
      <c r="B537" s="25">
        <v>109.4</v>
      </c>
      <c r="C537" s="20">
        <f t="shared" si="16"/>
        <v>3.6697247706422541E-3</v>
      </c>
      <c r="H537" s="19">
        <v>44250</v>
      </c>
      <c r="I537" s="16">
        <v>45728.75</v>
      </c>
      <c r="J537" s="20">
        <f t="shared" si="17"/>
        <v>-3.5147060233549779E-3</v>
      </c>
    </row>
    <row r="538" spans="1:10" x14ac:dyDescent="0.3">
      <c r="A538" s="19">
        <v>44251</v>
      </c>
      <c r="B538" s="25">
        <v>108.5</v>
      </c>
      <c r="C538" s="20">
        <f t="shared" si="16"/>
        <v>-8.2266910420475837E-3</v>
      </c>
      <c r="H538" s="19">
        <v>44251</v>
      </c>
      <c r="I538" s="16">
        <v>45362.58</v>
      </c>
      <c r="J538" s="20">
        <f t="shared" si="17"/>
        <v>-8.0074351474728311E-3</v>
      </c>
    </row>
    <row r="539" spans="1:10" x14ac:dyDescent="0.3">
      <c r="A539" s="19">
        <v>44252</v>
      </c>
      <c r="B539" s="25">
        <v>109.4</v>
      </c>
      <c r="C539" s="20">
        <f t="shared" si="16"/>
        <v>8.2949308755760898E-3</v>
      </c>
      <c r="H539" s="19">
        <v>44252</v>
      </c>
      <c r="I539" s="16">
        <v>45965.62</v>
      </c>
      <c r="J539" s="20">
        <f t="shared" si="17"/>
        <v>1.329377650036662E-2</v>
      </c>
    </row>
    <row r="540" spans="1:10" x14ac:dyDescent="0.3">
      <c r="A540" s="19">
        <v>44253</v>
      </c>
      <c r="B540" s="25">
        <v>110.75</v>
      </c>
      <c r="C540" s="20">
        <f t="shared" si="16"/>
        <v>1.2340036563071245E-2</v>
      </c>
      <c r="H540" s="19">
        <v>44253</v>
      </c>
      <c r="I540" s="16">
        <v>45865.02</v>
      </c>
      <c r="J540" s="20">
        <f t="shared" si="17"/>
        <v>-2.1885922565605732E-3</v>
      </c>
    </row>
    <row r="541" spans="1:10" x14ac:dyDescent="0.3">
      <c r="A541" s="19">
        <v>44256</v>
      </c>
      <c r="B541" s="25">
        <v>110.5</v>
      </c>
      <c r="C541" s="20">
        <f t="shared" si="16"/>
        <v>-2.257336343115124E-3</v>
      </c>
      <c r="H541" s="19">
        <v>44256</v>
      </c>
      <c r="I541" s="16">
        <v>45593.43</v>
      </c>
      <c r="J541" s="20">
        <f t="shared" si="17"/>
        <v>-5.9215061936089101E-3</v>
      </c>
    </row>
    <row r="542" spans="1:10" x14ac:dyDescent="0.3">
      <c r="A542" s="19">
        <v>44257</v>
      </c>
      <c r="B542" s="25">
        <v>110.5</v>
      </c>
      <c r="C542" s="20">
        <f t="shared" si="16"/>
        <v>0</v>
      </c>
      <c r="H542" s="19">
        <v>44257</v>
      </c>
      <c r="I542" s="16">
        <v>45964.27</v>
      </c>
      <c r="J542" s="20">
        <f t="shared" si="17"/>
        <v>8.133628024914916E-3</v>
      </c>
    </row>
    <row r="543" spans="1:10" x14ac:dyDescent="0.3">
      <c r="A543" s="19">
        <v>44258</v>
      </c>
      <c r="B543" s="25">
        <v>110.5</v>
      </c>
      <c r="C543" s="20">
        <f t="shared" si="16"/>
        <v>0</v>
      </c>
      <c r="H543" s="19">
        <v>44258</v>
      </c>
      <c r="I543" s="16">
        <v>46160.78</v>
      </c>
      <c r="J543" s="20">
        <f t="shared" si="17"/>
        <v>4.275277296909144E-3</v>
      </c>
    </row>
    <row r="544" spans="1:10" x14ac:dyDescent="0.3">
      <c r="A544" s="19">
        <v>44259</v>
      </c>
      <c r="B544" s="25">
        <v>108.51</v>
      </c>
      <c r="C544" s="20">
        <f t="shared" si="16"/>
        <v>-1.8009049773755611E-2</v>
      </c>
      <c r="H544" s="19">
        <v>44259</v>
      </c>
      <c r="I544" s="16">
        <v>45278.53</v>
      </c>
      <c r="J544" s="20">
        <f t="shared" si="17"/>
        <v>-1.9112545325273966E-2</v>
      </c>
    </row>
    <row r="545" spans="1:10" x14ac:dyDescent="0.3">
      <c r="A545" s="19">
        <v>44260</v>
      </c>
      <c r="B545" s="25">
        <v>109.73</v>
      </c>
      <c r="C545" s="20">
        <f t="shared" si="16"/>
        <v>1.1243203391392488E-2</v>
      </c>
      <c r="H545" s="19">
        <v>44260</v>
      </c>
      <c r="I545" s="16">
        <v>45837.35</v>
      </c>
      <c r="J545" s="20">
        <f t="shared" si="17"/>
        <v>1.2341831768831711E-2</v>
      </c>
    </row>
    <row r="546" spans="1:10" x14ac:dyDescent="0.3">
      <c r="A546" s="19">
        <v>44263</v>
      </c>
      <c r="B546" s="25">
        <v>109</v>
      </c>
      <c r="C546" s="20">
        <f t="shared" si="16"/>
        <v>-6.6526929736626626E-3</v>
      </c>
      <c r="H546" s="19">
        <v>44263</v>
      </c>
      <c r="I546" s="16">
        <v>45051.05</v>
      </c>
      <c r="J546" s="20">
        <f t="shared" si="17"/>
        <v>-1.7154133037795501E-2</v>
      </c>
    </row>
    <row r="547" spans="1:10" x14ac:dyDescent="0.3">
      <c r="A547" s="19">
        <v>44264</v>
      </c>
      <c r="B547" s="25">
        <v>107.99</v>
      </c>
      <c r="C547" s="20">
        <f t="shared" si="16"/>
        <v>-9.2660550458716073E-3</v>
      </c>
      <c r="H547" s="19">
        <v>44264</v>
      </c>
      <c r="I547" s="16">
        <v>44222.91</v>
      </c>
      <c r="J547" s="20">
        <f t="shared" si="17"/>
        <v>-1.8382257461257826E-2</v>
      </c>
    </row>
    <row r="548" spans="1:10" x14ac:dyDescent="0.3">
      <c r="A548" s="19">
        <v>44265</v>
      </c>
      <c r="B548" s="25">
        <v>103.49</v>
      </c>
      <c r="C548" s="20">
        <f t="shared" si="16"/>
        <v>-4.1670525048615611E-2</v>
      </c>
      <c r="H548" s="19">
        <v>44265</v>
      </c>
      <c r="I548" s="16">
        <v>43691.68</v>
      </c>
      <c r="J548" s="20">
        <f t="shared" si="17"/>
        <v>-1.2012551865085385E-2</v>
      </c>
    </row>
    <row r="549" spans="1:10" x14ac:dyDescent="0.3">
      <c r="A549" s="19">
        <v>44266</v>
      </c>
      <c r="B549" s="25">
        <v>102.25</v>
      </c>
      <c r="C549" s="20">
        <f t="shared" si="16"/>
        <v>-1.1981833993622524E-2</v>
      </c>
      <c r="H549" s="19">
        <v>44266</v>
      </c>
      <c r="I549" s="16">
        <v>42779.76</v>
      </c>
      <c r="J549" s="20">
        <f t="shared" si="17"/>
        <v>-2.0871708297781139E-2</v>
      </c>
    </row>
    <row r="550" spans="1:10" x14ac:dyDescent="0.3">
      <c r="A550" s="19">
        <v>44267</v>
      </c>
      <c r="B550" s="25">
        <v>103.5</v>
      </c>
      <c r="C550" s="20">
        <f t="shared" si="16"/>
        <v>1.2224938875305624E-2</v>
      </c>
      <c r="H550" s="19">
        <v>44267</v>
      </c>
      <c r="I550" s="16">
        <v>43788.08</v>
      </c>
      <c r="J550" s="20">
        <f t="shared" si="17"/>
        <v>2.3570024703270884E-2</v>
      </c>
    </row>
    <row r="551" spans="1:10" x14ac:dyDescent="0.3">
      <c r="A551" s="19">
        <v>44270</v>
      </c>
      <c r="B551" s="25">
        <v>103.75</v>
      </c>
      <c r="C551" s="20">
        <f t="shared" si="16"/>
        <v>2.4154589371980675E-3</v>
      </c>
      <c r="H551" s="19">
        <v>44270</v>
      </c>
      <c r="I551" s="16">
        <v>44766.59</v>
      </c>
      <c r="J551" s="20">
        <f t="shared" si="17"/>
        <v>2.2346492470096763E-2</v>
      </c>
    </row>
    <row r="552" spans="1:10" x14ac:dyDescent="0.3">
      <c r="A552" s="19">
        <v>44271</v>
      </c>
      <c r="B552" s="25">
        <v>104.02</v>
      </c>
      <c r="C552" s="20">
        <f t="shared" si="16"/>
        <v>2.6024096385541787E-3</v>
      </c>
      <c r="H552" s="19">
        <v>44271</v>
      </c>
      <c r="I552" s="16">
        <v>44857.06</v>
      </c>
      <c r="J552" s="20">
        <f t="shared" si="17"/>
        <v>2.0209267670376761E-3</v>
      </c>
    </row>
    <row r="553" spans="1:10" x14ac:dyDescent="0.3">
      <c r="A553" s="19">
        <v>44272</v>
      </c>
      <c r="B553" s="25">
        <v>104.8</v>
      </c>
      <c r="C553" s="20">
        <f t="shared" si="16"/>
        <v>7.4985579696212378E-3</v>
      </c>
      <c r="H553" s="19">
        <v>44272</v>
      </c>
      <c r="I553" s="16">
        <v>45450.31</v>
      </c>
      <c r="J553" s="20">
        <f t="shared" si="17"/>
        <v>1.3225342900314912E-2</v>
      </c>
    </row>
    <row r="554" spans="1:10" x14ac:dyDescent="0.3">
      <c r="A554" s="19">
        <v>44273</v>
      </c>
      <c r="B554" s="25">
        <v>106</v>
      </c>
      <c r="C554" s="20">
        <f t="shared" si="16"/>
        <v>1.1450381679389341E-2</v>
      </c>
      <c r="H554" s="19">
        <v>44273</v>
      </c>
      <c r="I554" s="16">
        <v>44724.09</v>
      </c>
      <c r="J554" s="20">
        <f t="shared" si="17"/>
        <v>-1.5978328860683264E-2</v>
      </c>
    </row>
    <row r="555" spans="1:10" x14ac:dyDescent="0.3">
      <c r="A555" s="19">
        <v>44274</v>
      </c>
      <c r="B555" s="25">
        <v>104.95</v>
      </c>
      <c r="C555" s="20">
        <f t="shared" si="16"/>
        <v>-9.9056603773584641E-3</v>
      </c>
      <c r="H555" s="19">
        <v>44274</v>
      </c>
      <c r="I555" s="16">
        <v>44901.31</v>
      </c>
      <c r="J555" s="20">
        <f t="shared" si="17"/>
        <v>3.9625177393212739E-3</v>
      </c>
    </row>
    <row r="556" spans="1:10" x14ac:dyDescent="0.3">
      <c r="A556" s="19">
        <v>44277</v>
      </c>
      <c r="B556" s="25">
        <v>104.99</v>
      </c>
      <c r="C556" s="20">
        <f t="shared" si="16"/>
        <v>3.8113387327291131E-4</v>
      </c>
      <c r="H556" s="19">
        <v>44277</v>
      </c>
      <c r="I556" s="16">
        <v>45407.33</v>
      </c>
      <c r="J556" s="20">
        <f t="shared" si="17"/>
        <v>1.1269604383480217E-2</v>
      </c>
    </row>
    <row r="557" spans="1:10" x14ac:dyDescent="0.3">
      <c r="A557" s="19">
        <v>44279</v>
      </c>
      <c r="B557" s="25">
        <v>105.01</v>
      </c>
      <c r="C557" s="20">
        <f t="shared" si="16"/>
        <v>1.9049433279369685E-4</v>
      </c>
      <c r="H557" s="19">
        <v>44279</v>
      </c>
      <c r="I557" s="16">
        <v>45544.19</v>
      </c>
      <c r="J557" s="20">
        <f t="shared" si="17"/>
        <v>3.014050815143735E-3</v>
      </c>
    </row>
    <row r="558" spans="1:10" x14ac:dyDescent="0.3">
      <c r="A558" s="19">
        <v>44280</v>
      </c>
      <c r="B558" s="25">
        <v>104.5</v>
      </c>
      <c r="C558" s="20">
        <f t="shared" si="16"/>
        <v>-4.8566803161604142E-3</v>
      </c>
      <c r="H558" s="19">
        <v>44280</v>
      </c>
      <c r="I558" s="16">
        <v>45726.16</v>
      </c>
      <c r="J558" s="20">
        <f t="shared" si="17"/>
        <v>3.9954602332372396E-3</v>
      </c>
    </row>
    <row r="559" spans="1:10" x14ac:dyDescent="0.3">
      <c r="A559" s="19">
        <v>44281</v>
      </c>
      <c r="B559" s="25">
        <v>105.43</v>
      </c>
      <c r="C559" s="20">
        <f t="shared" si="16"/>
        <v>8.8995215311005443E-3</v>
      </c>
      <c r="H559" s="19">
        <v>44281</v>
      </c>
      <c r="I559" s="16">
        <v>45521.63</v>
      </c>
      <c r="J559" s="20">
        <f t="shared" si="17"/>
        <v>-4.4729319059375657E-3</v>
      </c>
    </row>
    <row r="560" spans="1:10" x14ac:dyDescent="0.3">
      <c r="A560" s="19">
        <v>44284</v>
      </c>
      <c r="B560" s="25">
        <v>103.85</v>
      </c>
      <c r="C560" s="20">
        <f t="shared" si="16"/>
        <v>-1.4986246798823983E-2</v>
      </c>
      <c r="H560" s="19">
        <v>44284</v>
      </c>
      <c r="I560" s="16">
        <v>44431.8</v>
      </c>
      <c r="J560" s="20">
        <f t="shared" si="17"/>
        <v>-2.3940926544150431E-2</v>
      </c>
    </row>
    <row r="561" spans="1:10" x14ac:dyDescent="0.3">
      <c r="A561" s="19">
        <v>44285</v>
      </c>
      <c r="B561" s="25">
        <v>105.28</v>
      </c>
      <c r="C561" s="20">
        <f t="shared" si="16"/>
        <v>1.3769860375541712E-2</v>
      </c>
      <c r="H561" s="19">
        <v>44285</v>
      </c>
      <c r="I561" s="16">
        <v>44491.03</v>
      </c>
      <c r="J561" s="20">
        <f t="shared" si="17"/>
        <v>1.3330542539351528E-3</v>
      </c>
    </row>
    <row r="562" spans="1:10" x14ac:dyDescent="0.3">
      <c r="A562" s="19">
        <v>44286</v>
      </c>
      <c r="B562" s="25">
        <v>104</v>
      </c>
      <c r="C562" s="20">
        <f t="shared" si="16"/>
        <v>-1.2158054711246211E-2</v>
      </c>
      <c r="H562" s="19">
        <v>44286</v>
      </c>
      <c r="I562" s="16">
        <v>44587.85</v>
      </c>
      <c r="J562" s="20">
        <f t="shared" si="17"/>
        <v>2.1761689940646397E-3</v>
      </c>
    </row>
    <row r="563" spans="1:10" x14ac:dyDescent="0.3">
      <c r="A563" s="19">
        <v>44287</v>
      </c>
      <c r="B563" s="25">
        <v>104.5</v>
      </c>
      <c r="C563" s="20">
        <f t="shared" si="16"/>
        <v>4.807692307692308E-3</v>
      </c>
      <c r="H563" s="19">
        <v>44287</v>
      </c>
      <c r="I563" s="16">
        <v>44428.1</v>
      </c>
      <c r="J563" s="20">
        <f t="shared" si="17"/>
        <v>-3.5828146008385696E-3</v>
      </c>
    </row>
    <row r="564" spans="1:10" x14ac:dyDescent="0.3">
      <c r="A564" s="19">
        <v>44288</v>
      </c>
      <c r="B564" s="25">
        <v>104.45</v>
      </c>
      <c r="C564" s="20">
        <f t="shared" si="16"/>
        <v>-4.784688995215039E-4</v>
      </c>
      <c r="H564" s="19">
        <v>44288</v>
      </c>
      <c r="I564" s="16">
        <v>44300.95</v>
      </c>
      <c r="J564" s="20">
        <f t="shared" si="17"/>
        <v>-2.8619274738285335E-3</v>
      </c>
    </row>
    <row r="565" spans="1:10" x14ac:dyDescent="0.3">
      <c r="A565" s="19">
        <v>44291</v>
      </c>
      <c r="B565" s="25">
        <v>103</v>
      </c>
      <c r="C565" s="20">
        <f t="shared" si="16"/>
        <v>-1.3882240306366709E-2</v>
      </c>
      <c r="H565" s="19">
        <v>44291</v>
      </c>
      <c r="I565" s="16">
        <v>43548.21</v>
      </c>
      <c r="J565" s="20">
        <f t="shared" si="17"/>
        <v>-1.69915092114277E-2</v>
      </c>
    </row>
    <row r="566" spans="1:10" x14ac:dyDescent="0.3">
      <c r="A566" s="19">
        <v>44292</v>
      </c>
      <c r="B566" s="25">
        <v>104</v>
      </c>
      <c r="C566" s="20">
        <f t="shared" si="16"/>
        <v>9.7087378640776691E-3</v>
      </c>
      <c r="H566" s="19">
        <v>44292</v>
      </c>
      <c r="I566" s="16">
        <v>44404.7</v>
      </c>
      <c r="J566" s="20">
        <f t="shared" si="17"/>
        <v>1.9667628129835829E-2</v>
      </c>
    </row>
    <row r="567" spans="1:10" x14ac:dyDescent="0.3">
      <c r="A567" s="19">
        <v>44293</v>
      </c>
      <c r="B567" s="25">
        <v>102</v>
      </c>
      <c r="C567" s="20">
        <f t="shared" si="16"/>
        <v>-1.9230769230769232E-2</v>
      </c>
      <c r="H567" s="19">
        <v>44293</v>
      </c>
      <c r="I567" s="16">
        <v>43953.58</v>
      </c>
      <c r="J567" s="20">
        <f t="shared" si="17"/>
        <v>-1.015928494055799E-2</v>
      </c>
    </row>
    <row r="568" spans="1:10" x14ac:dyDescent="0.3">
      <c r="A568" s="19">
        <v>44294</v>
      </c>
      <c r="B568" s="25">
        <v>102.5</v>
      </c>
      <c r="C568" s="20">
        <f t="shared" si="16"/>
        <v>4.9019607843137254E-3</v>
      </c>
      <c r="H568" s="19">
        <v>44294</v>
      </c>
      <c r="I568" s="16">
        <v>44741.36</v>
      </c>
      <c r="J568" s="20">
        <f t="shared" si="17"/>
        <v>1.7922999673746685E-2</v>
      </c>
    </row>
    <row r="569" spans="1:10" x14ac:dyDescent="0.3">
      <c r="A569" s="19">
        <v>44295</v>
      </c>
      <c r="B569" s="25">
        <v>102.5</v>
      </c>
      <c r="C569" s="20">
        <f t="shared" si="16"/>
        <v>0</v>
      </c>
      <c r="H569" s="19">
        <v>44295</v>
      </c>
      <c r="I569" s="16">
        <v>45186.48</v>
      </c>
      <c r="J569" s="20">
        <f t="shared" si="17"/>
        <v>9.948736471131021E-3</v>
      </c>
    </row>
    <row r="570" spans="1:10" x14ac:dyDescent="0.3">
      <c r="A570" s="19">
        <v>44298</v>
      </c>
      <c r="B570" s="25">
        <v>103.99</v>
      </c>
      <c r="C570" s="20">
        <f t="shared" si="16"/>
        <v>1.4536585365853609E-2</v>
      </c>
      <c r="H570" s="19">
        <v>44298</v>
      </c>
      <c r="I570" s="16">
        <v>44978.05</v>
      </c>
      <c r="J570" s="20">
        <f t="shared" si="17"/>
        <v>-4.6126629027089579E-3</v>
      </c>
    </row>
    <row r="571" spans="1:10" x14ac:dyDescent="0.3">
      <c r="A571" s="19">
        <v>44299</v>
      </c>
      <c r="B571" s="25">
        <v>104.25</v>
      </c>
      <c r="C571" s="20">
        <f t="shared" si="16"/>
        <v>2.500240407731562E-3</v>
      </c>
      <c r="H571" s="19">
        <v>44299</v>
      </c>
      <c r="I571" s="16">
        <v>45048.57</v>
      </c>
      <c r="J571" s="20">
        <f t="shared" si="17"/>
        <v>1.5678758861266062E-3</v>
      </c>
    </row>
    <row r="572" spans="1:10" x14ac:dyDescent="0.3">
      <c r="A572" s="19">
        <v>44300</v>
      </c>
      <c r="B572" s="25">
        <v>105.1</v>
      </c>
      <c r="C572" s="20">
        <f t="shared" si="16"/>
        <v>8.1534772182253658E-3</v>
      </c>
      <c r="H572" s="19">
        <v>44300</v>
      </c>
      <c r="I572" s="16">
        <v>45311.22</v>
      </c>
      <c r="J572" s="20">
        <f t="shared" si="17"/>
        <v>5.8303737499326054E-3</v>
      </c>
    </row>
    <row r="573" spans="1:10" x14ac:dyDescent="0.3">
      <c r="A573" s="19">
        <v>44301</v>
      </c>
      <c r="B573" s="25">
        <v>106</v>
      </c>
      <c r="C573" s="20">
        <f t="shared" si="16"/>
        <v>8.5632730732636136E-3</v>
      </c>
      <c r="H573" s="19">
        <v>44301</v>
      </c>
      <c r="I573" s="16">
        <v>45230.18</v>
      </c>
      <c r="J573" s="20">
        <f t="shared" si="17"/>
        <v>-1.7885194881091455E-3</v>
      </c>
    </row>
    <row r="574" spans="1:10" x14ac:dyDescent="0.3">
      <c r="A574" s="19">
        <v>44302</v>
      </c>
      <c r="B574" s="25">
        <v>106</v>
      </c>
      <c r="C574" s="20">
        <f t="shared" si="16"/>
        <v>0</v>
      </c>
      <c r="H574" s="19">
        <v>44302</v>
      </c>
      <c r="I574" s="16">
        <v>45305.63</v>
      </c>
      <c r="J574" s="20">
        <f t="shared" si="17"/>
        <v>1.6681339760309839E-3</v>
      </c>
    </row>
    <row r="575" spans="1:10" x14ac:dyDescent="0.3">
      <c r="A575" s="19">
        <v>44305</v>
      </c>
      <c r="B575" s="25">
        <v>104</v>
      </c>
      <c r="C575" s="20">
        <f t="shared" si="16"/>
        <v>-1.8867924528301886E-2</v>
      </c>
      <c r="H575" s="19">
        <v>44305</v>
      </c>
      <c r="I575" s="16">
        <v>44913.57</v>
      </c>
      <c r="J575" s="20">
        <f t="shared" si="17"/>
        <v>-8.653670636519074E-3</v>
      </c>
    </row>
    <row r="576" spans="1:10" x14ac:dyDescent="0.3">
      <c r="A576" s="19">
        <v>44306</v>
      </c>
      <c r="B576" s="25">
        <v>105</v>
      </c>
      <c r="C576" s="20">
        <f t="shared" si="16"/>
        <v>9.6153846153846159E-3</v>
      </c>
      <c r="H576" s="19">
        <v>44306</v>
      </c>
      <c r="I576" s="16">
        <v>45399.78</v>
      </c>
      <c r="J576" s="20">
        <f t="shared" si="17"/>
        <v>1.0825458764466934E-2</v>
      </c>
    </row>
    <row r="577" spans="1:10" x14ac:dyDescent="0.3">
      <c r="A577" s="19">
        <v>44307</v>
      </c>
      <c r="B577" s="25">
        <v>104.4</v>
      </c>
      <c r="C577" s="20">
        <f t="shared" si="16"/>
        <v>-5.7142857142856605E-3</v>
      </c>
      <c r="H577" s="19">
        <v>44307</v>
      </c>
      <c r="I577" s="16">
        <v>45306.54</v>
      </c>
      <c r="J577" s="20">
        <f t="shared" si="17"/>
        <v>-2.0537544455060787E-3</v>
      </c>
    </row>
    <row r="578" spans="1:10" x14ac:dyDescent="0.3">
      <c r="A578" s="19">
        <v>44308</v>
      </c>
      <c r="B578" s="25">
        <v>103.6</v>
      </c>
      <c r="C578" s="20">
        <f t="shared" si="16"/>
        <v>-7.6628352490422545E-3</v>
      </c>
      <c r="H578" s="19">
        <v>44308</v>
      </c>
      <c r="I578" s="16">
        <v>44929.61</v>
      </c>
      <c r="J578" s="20">
        <f t="shared" si="17"/>
        <v>-8.3195494513595668E-3</v>
      </c>
    </row>
    <row r="579" spans="1:10" x14ac:dyDescent="0.3">
      <c r="A579" s="19">
        <v>44309</v>
      </c>
      <c r="B579" s="25">
        <v>103.5</v>
      </c>
      <c r="C579" s="20">
        <f t="shared" si="16"/>
        <v>-9.6525096525091041E-4</v>
      </c>
      <c r="H579" s="19">
        <v>44309</v>
      </c>
      <c r="I579" s="16">
        <v>44706.76</v>
      </c>
      <c r="J579" s="20">
        <f t="shared" si="17"/>
        <v>-4.9599807343085897E-3</v>
      </c>
    </row>
    <row r="580" spans="1:10" x14ac:dyDescent="0.3">
      <c r="A580" s="19">
        <v>44312</v>
      </c>
      <c r="B580" s="25">
        <v>104.8</v>
      </c>
      <c r="C580" s="20">
        <f t="shared" si="16"/>
        <v>1.2560386473429924E-2</v>
      </c>
      <c r="H580" s="19">
        <v>44312</v>
      </c>
      <c r="I580" s="16">
        <v>45682.77</v>
      </c>
      <c r="J580" s="20">
        <f t="shared" si="17"/>
        <v>2.1831374047235692E-2</v>
      </c>
    </row>
    <row r="581" spans="1:10" x14ac:dyDescent="0.3">
      <c r="A581" s="19">
        <v>44313</v>
      </c>
      <c r="B581" s="25">
        <v>104.24</v>
      </c>
      <c r="C581" s="20">
        <f t="shared" ref="C581:C644" si="18">(B581-B580)/B580</f>
        <v>-5.3435114503817011E-3</v>
      </c>
      <c r="H581" s="19">
        <v>44313</v>
      </c>
      <c r="I581" s="16">
        <v>45292.87</v>
      </c>
      <c r="J581" s="20">
        <f t="shared" ref="J581:J644" si="19">(I581-I580)/I580</f>
        <v>-8.5349465454917506E-3</v>
      </c>
    </row>
    <row r="582" spans="1:10" x14ac:dyDescent="0.3">
      <c r="A582" s="19">
        <v>44314</v>
      </c>
      <c r="B582" s="25">
        <v>105.5</v>
      </c>
      <c r="C582" s="20">
        <f t="shared" si="18"/>
        <v>1.2087490406753694E-2</v>
      </c>
      <c r="H582" s="19">
        <v>44314</v>
      </c>
      <c r="I582" s="16">
        <v>45059.12</v>
      </c>
      <c r="J582" s="20">
        <f t="shared" si="19"/>
        <v>-5.1608564438508754E-3</v>
      </c>
    </row>
    <row r="583" spans="1:10" x14ac:dyDescent="0.3">
      <c r="A583" s="19">
        <v>44315</v>
      </c>
      <c r="B583" s="25">
        <v>105.01</v>
      </c>
      <c r="C583" s="20">
        <f t="shared" si="18"/>
        <v>-4.6445497630331267E-3</v>
      </c>
      <c r="H583" s="19">
        <v>44315</v>
      </c>
      <c r="I583" s="16">
        <v>44863.11</v>
      </c>
      <c r="J583" s="20">
        <f t="shared" si="19"/>
        <v>-4.3500627619891827E-3</v>
      </c>
    </row>
    <row r="584" spans="1:10" x14ac:dyDescent="0.3">
      <c r="A584" s="19">
        <v>44316</v>
      </c>
      <c r="B584" s="25">
        <v>105</v>
      </c>
      <c r="C584" s="20">
        <f t="shared" si="18"/>
        <v>-9.5229025807114711E-5</v>
      </c>
      <c r="H584" s="19">
        <v>44316</v>
      </c>
      <c r="I584" s="16">
        <v>44262.35</v>
      </c>
      <c r="J584" s="20">
        <f t="shared" si="19"/>
        <v>-1.3390957514982845E-2</v>
      </c>
    </row>
    <row r="585" spans="1:10" x14ac:dyDescent="0.3">
      <c r="A585" s="19">
        <v>44319</v>
      </c>
      <c r="B585" s="25">
        <v>106.25</v>
      </c>
      <c r="C585" s="20">
        <f t="shared" si="18"/>
        <v>1.1904761904761904E-2</v>
      </c>
      <c r="H585" s="19">
        <v>44319</v>
      </c>
      <c r="I585" s="16">
        <v>44076.2</v>
      </c>
      <c r="J585" s="20">
        <f t="shared" si="19"/>
        <v>-4.2056058930445735E-3</v>
      </c>
    </row>
    <row r="586" spans="1:10" x14ac:dyDescent="0.3">
      <c r="A586" s="19">
        <v>44320</v>
      </c>
      <c r="B586" s="25">
        <v>107.45</v>
      </c>
      <c r="C586" s="20">
        <f t="shared" si="18"/>
        <v>1.129411764705885E-2</v>
      </c>
      <c r="H586" s="19">
        <v>44320</v>
      </c>
      <c r="I586" s="16">
        <v>44563.59</v>
      </c>
      <c r="J586" s="20">
        <f t="shared" si="19"/>
        <v>1.1057895190601718E-2</v>
      </c>
    </row>
    <row r="587" spans="1:10" x14ac:dyDescent="0.3">
      <c r="A587" s="19">
        <v>44321</v>
      </c>
      <c r="B587" s="25">
        <v>108.04</v>
      </c>
      <c r="C587" s="20">
        <f t="shared" si="18"/>
        <v>5.4909260120986824E-3</v>
      </c>
      <c r="H587" s="19">
        <v>44321</v>
      </c>
      <c r="I587" s="16">
        <v>44943.61</v>
      </c>
      <c r="J587" s="20">
        <f t="shared" si="19"/>
        <v>8.5275894513885467E-3</v>
      </c>
    </row>
    <row r="588" spans="1:10" x14ac:dyDescent="0.3">
      <c r="A588" s="19">
        <v>44322</v>
      </c>
      <c r="B588" s="25">
        <v>108</v>
      </c>
      <c r="C588" s="20">
        <f t="shared" si="18"/>
        <v>-3.7023324694563357E-4</v>
      </c>
      <c r="H588" s="19">
        <v>44322</v>
      </c>
      <c r="I588" s="16">
        <v>45174.67</v>
      </c>
      <c r="J588" s="20">
        <f t="shared" si="19"/>
        <v>5.1411090475375178E-3</v>
      </c>
    </row>
    <row r="589" spans="1:10" x14ac:dyDescent="0.3">
      <c r="A589" s="19">
        <v>44333</v>
      </c>
      <c r="B589" s="25">
        <v>109.25</v>
      </c>
      <c r="C589" s="20">
        <f t="shared" si="18"/>
        <v>1.1574074074074073E-2</v>
      </c>
      <c r="H589" s="19">
        <v>44333</v>
      </c>
      <c r="I589" s="16">
        <v>45796.31</v>
      </c>
      <c r="J589" s="20">
        <f t="shared" si="19"/>
        <v>1.376080887807259E-2</v>
      </c>
    </row>
    <row r="590" spans="1:10" x14ac:dyDescent="0.3">
      <c r="A590" s="19">
        <v>44334</v>
      </c>
      <c r="B590" s="25">
        <v>109.49</v>
      </c>
      <c r="C590" s="20">
        <f t="shared" si="18"/>
        <v>2.1967963386727222E-3</v>
      </c>
      <c r="H590" s="19">
        <v>44334</v>
      </c>
      <c r="I590" s="16">
        <v>45981.82</v>
      </c>
      <c r="J590" s="20">
        <f t="shared" si="19"/>
        <v>4.0507630418259036E-3</v>
      </c>
    </row>
    <row r="591" spans="1:10" x14ac:dyDescent="0.3">
      <c r="A591" s="19">
        <v>44335</v>
      </c>
      <c r="B591" s="25">
        <v>108.6</v>
      </c>
      <c r="C591" s="20">
        <f t="shared" si="18"/>
        <v>-8.1285962188327749E-3</v>
      </c>
      <c r="H591" s="19">
        <v>44335</v>
      </c>
      <c r="I591" s="16">
        <v>45682.11</v>
      </c>
      <c r="J591" s="20">
        <f t="shared" si="19"/>
        <v>-6.5180108138390156E-3</v>
      </c>
    </row>
    <row r="592" spans="1:10" x14ac:dyDescent="0.3">
      <c r="A592" s="19">
        <v>44336</v>
      </c>
      <c r="B592" s="25">
        <v>108.6</v>
      </c>
      <c r="C592" s="20">
        <f t="shared" si="18"/>
        <v>0</v>
      </c>
      <c r="H592" s="19">
        <v>44336</v>
      </c>
      <c r="I592" s="16">
        <v>45574.07</v>
      </c>
      <c r="J592" s="20">
        <f t="shared" si="19"/>
        <v>-2.3650396183539E-3</v>
      </c>
    </row>
    <row r="593" spans="1:10" x14ac:dyDescent="0.3">
      <c r="A593" s="19">
        <v>44337</v>
      </c>
      <c r="B593" s="25">
        <v>108.66</v>
      </c>
      <c r="C593" s="20">
        <f t="shared" si="18"/>
        <v>5.5248618784532483E-4</v>
      </c>
      <c r="H593" s="19">
        <v>44337</v>
      </c>
      <c r="I593" s="16">
        <v>45914.98</v>
      </c>
      <c r="J593" s="20">
        <f t="shared" si="19"/>
        <v>7.4803501201451501E-3</v>
      </c>
    </row>
    <row r="594" spans="1:10" x14ac:dyDescent="0.3">
      <c r="A594" s="19">
        <v>44340</v>
      </c>
      <c r="B594" s="25">
        <v>109.23</v>
      </c>
      <c r="C594" s="20">
        <f t="shared" si="18"/>
        <v>5.2457205963556729E-3</v>
      </c>
      <c r="H594" s="19">
        <v>44340</v>
      </c>
      <c r="I594" s="16">
        <v>46097.11</v>
      </c>
      <c r="J594" s="20">
        <f t="shared" si="19"/>
        <v>3.966679284189983E-3</v>
      </c>
    </row>
    <row r="595" spans="1:10" x14ac:dyDescent="0.3">
      <c r="A595" s="19">
        <v>44341</v>
      </c>
      <c r="B595" s="25">
        <v>109.1</v>
      </c>
      <c r="C595" s="20">
        <f t="shared" si="18"/>
        <v>-1.1901492264030913E-3</v>
      </c>
      <c r="H595" s="19">
        <v>44341</v>
      </c>
      <c r="I595" s="16">
        <v>46300.66</v>
      </c>
      <c r="J595" s="20">
        <f t="shared" si="19"/>
        <v>4.4156781195177509E-3</v>
      </c>
    </row>
    <row r="596" spans="1:10" x14ac:dyDescent="0.3">
      <c r="A596" s="19">
        <v>44342</v>
      </c>
      <c r="B596" s="25">
        <v>107.65</v>
      </c>
      <c r="C596" s="20">
        <f t="shared" si="18"/>
        <v>-1.3290559120073224E-2</v>
      </c>
      <c r="H596" s="19">
        <v>44342</v>
      </c>
      <c r="I596" s="16">
        <v>46812.31</v>
      </c>
      <c r="J596" s="20">
        <f t="shared" si="19"/>
        <v>1.1050598414795689E-2</v>
      </c>
    </row>
    <row r="597" spans="1:10" x14ac:dyDescent="0.3">
      <c r="A597" s="19">
        <v>44343</v>
      </c>
      <c r="B597" s="25">
        <v>106.5</v>
      </c>
      <c r="C597" s="20">
        <f t="shared" si="18"/>
        <v>-1.0682768230376271E-2</v>
      </c>
      <c r="H597" s="19">
        <v>44343</v>
      </c>
      <c r="I597" s="16">
        <v>46790.75</v>
      </c>
      <c r="J597" s="20">
        <f t="shared" si="19"/>
        <v>-4.6056261696971742E-4</v>
      </c>
    </row>
    <row r="598" spans="1:10" x14ac:dyDescent="0.3">
      <c r="A598" s="19">
        <v>44344</v>
      </c>
      <c r="B598" s="25">
        <v>107.99</v>
      </c>
      <c r="C598" s="20">
        <f t="shared" si="18"/>
        <v>1.399061032863845E-2</v>
      </c>
      <c r="H598" s="19">
        <v>44344</v>
      </c>
      <c r="I598" s="16">
        <v>47126.29</v>
      </c>
      <c r="J598" s="20">
        <f t="shared" si="19"/>
        <v>7.171075479662131E-3</v>
      </c>
    </row>
    <row r="599" spans="1:10" x14ac:dyDescent="0.3">
      <c r="A599" s="19">
        <v>44347</v>
      </c>
      <c r="B599" s="25">
        <v>107.39</v>
      </c>
      <c r="C599" s="20">
        <f t="shared" si="18"/>
        <v>-5.5560700064820291E-3</v>
      </c>
      <c r="H599" s="19">
        <v>44347</v>
      </c>
      <c r="I599" s="16">
        <v>47896.34</v>
      </c>
      <c r="J599" s="20">
        <f t="shared" si="19"/>
        <v>1.6340136259399916E-2</v>
      </c>
    </row>
    <row r="600" spans="1:10" x14ac:dyDescent="0.3">
      <c r="A600" s="19">
        <v>44348</v>
      </c>
      <c r="B600" s="25">
        <v>108</v>
      </c>
      <c r="C600" s="20">
        <f t="shared" si="18"/>
        <v>5.6802309339789503E-3</v>
      </c>
      <c r="H600" s="19">
        <v>44348</v>
      </c>
      <c r="I600" s="16">
        <v>48191.26</v>
      </c>
      <c r="J600" s="20">
        <f t="shared" si="19"/>
        <v>6.157464223780054E-3</v>
      </c>
    </row>
    <row r="601" spans="1:10" x14ac:dyDescent="0.3">
      <c r="A601" s="19">
        <v>44349</v>
      </c>
      <c r="B601" s="25">
        <v>107.99</v>
      </c>
      <c r="C601" s="20">
        <f t="shared" si="18"/>
        <v>-9.2592592592639968E-5</v>
      </c>
      <c r="H601" s="19">
        <v>44349</v>
      </c>
      <c r="I601" s="16">
        <v>48126.9</v>
      </c>
      <c r="J601" s="20">
        <f t="shared" si="19"/>
        <v>-1.3355118749748519E-3</v>
      </c>
    </row>
    <row r="602" spans="1:10" x14ac:dyDescent="0.3">
      <c r="A602" s="19">
        <v>44350</v>
      </c>
      <c r="B602" s="25">
        <v>107.48</v>
      </c>
      <c r="C602" s="20">
        <f t="shared" si="18"/>
        <v>-4.722659505509685E-3</v>
      </c>
      <c r="H602" s="19">
        <v>44350</v>
      </c>
      <c r="I602" s="16">
        <v>48093.53</v>
      </c>
      <c r="J602" s="20">
        <f t="shared" si="19"/>
        <v>-6.9337522258866905E-4</v>
      </c>
    </row>
    <row r="603" spans="1:10" x14ac:dyDescent="0.3">
      <c r="A603" s="19">
        <v>44351</v>
      </c>
      <c r="B603" s="25">
        <v>107.5</v>
      </c>
      <c r="C603" s="20">
        <f t="shared" si="18"/>
        <v>1.8608113137324171E-4</v>
      </c>
      <c r="H603" s="19">
        <v>44351</v>
      </c>
      <c r="I603" s="16">
        <v>48211.7</v>
      </c>
      <c r="J603" s="20">
        <f t="shared" si="19"/>
        <v>2.4570872630891986E-3</v>
      </c>
    </row>
    <row r="604" spans="1:10" x14ac:dyDescent="0.3">
      <c r="A604" s="19">
        <v>44354</v>
      </c>
      <c r="B604" s="25">
        <v>107.99</v>
      </c>
      <c r="C604" s="20">
        <f t="shared" si="18"/>
        <v>4.5581395348836731E-3</v>
      </c>
      <c r="H604" s="19">
        <v>44354</v>
      </c>
      <c r="I604" s="16">
        <v>48302.66</v>
      </c>
      <c r="J604" s="20">
        <f t="shared" si="19"/>
        <v>1.8866789596717478E-3</v>
      </c>
    </row>
    <row r="605" spans="1:10" x14ac:dyDescent="0.3">
      <c r="A605" s="19">
        <v>44355</v>
      </c>
      <c r="B605" s="25">
        <v>108</v>
      </c>
      <c r="C605" s="20">
        <f t="shared" si="18"/>
        <v>9.2601166774748745E-5</v>
      </c>
      <c r="H605" s="19">
        <v>44355</v>
      </c>
      <c r="I605" s="16">
        <v>48147.98</v>
      </c>
      <c r="J605" s="20">
        <f t="shared" si="19"/>
        <v>-3.2023081130521649E-3</v>
      </c>
    </row>
    <row r="606" spans="1:10" x14ac:dyDescent="0.3">
      <c r="A606" s="19">
        <v>44356</v>
      </c>
      <c r="B606" s="25">
        <v>108.2</v>
      </c>
      <c r="C606" s="20">
        <f t="shared" si="18"/>
        <v>1.8518518518518782E-3</v>
      </c>
      <c r="H606" s="19">
        <v>44356</v>
      </c>
      <c r="I606" s="16">
        <v>47777.62</v>
      </c>
      <c r="J606" s="20">
        <f t="shared" si="19"/>
        <v>-7.6921191709392704E-3</v>
      </c>
    </row>
    <row r="607" spans="1:10" x14ac:dyDescent="0.3">
      <c r="A607" s="19">
        <v>44357</v>
      </c>
      <c r="B607" s="25">
        <v>105.89</v>
      </c>
      <c r="C607" s="20">
        <f t="shared" si="18"/>
        <v>-2.13493530499076E-2</v>
      </c>
      <c r="H607" s="19">
        <v>44357</v>
      </c>
      <c r="I607" s="16">
        <v>48251.49</v>
      </c>
      <c r="J607" s="20">
        <f t="shared" si="19"/>
        <v>9.9182420555899466E-3</v>
      </c>
    </row>
    <row r="608" spans="1:10" x14ac:dyDescent="0.3">
      <c r="A608" s="19">
        <v>44358</v>
      </c>
      <c r="B608" s="25">
        <v>106.82</v>
      </c>
      <c r="C608" s="20">
        <f t="shared" si="18"/>
        <v>8.7826990272924042E-3</v>
      </c>
      <c r="H608" s="19">
        <v>44358</v>
      </c>
      <c r="I608" s="16">
        <v>48304.72</v>
      </c>
      <c r="J608" s="20">
        <f t="shared" si="19"/>
        <v>1.1031783681706658E-3</v>
      </c>
    </row>
    <row r="609" spans="1:10" x14ac:dyDescent="0.3">
      <c r="A609" s="19">
        <v>44361</v>
      </c>
      <c r="B609" s="25">
        <v>105.67</v>
      </c>
      <c r="C609" s="20">
        <f t="shared" si="18"/>
        <v>-1.0765774199588013E-2</v>
      </c>
      <c r="H609" s="19">
        <v>44361</v>
      </c>
      <c r="I609" s="16">
        <v>48726.080000000002</v>
      </c>
      <c r="J609" s="20">
        <f t="shared" si="19"/>
        <v>8.7229570940479638E-3</v>
      </c>
    </row>
    <row r="610" spans="1:10" x14ac:dyDescent="0.3">
      <c r="A610" s="19">
        <v>44362</v>
      </c>
      <c r="B610" s="25">
        <v>106.4</v>
      </c>
      <c r="C610" s="20">
        <f t="shared" si="18"/>
        <v>6.9082994227311813E-3</v>
      </c>
      <c r="H610" s="19">
        <v>44362</v>
      </c>
      <c r="I610" s="16">
        <v>48632.56</v>
      </c>
      <c r="J610" s="20">
        <f t="shared" si="19"/>
        <v>-1.9193007112413736E-3</v>
      </c>
    </row>
    <row r="611" spans="1:10" x14ac:dyDescent="0.3">
      <c r="A611" s="19">
        <v>44363</v>
      </c>
      <c r="B611" s="25">
        <v>106.96</v>
      </c>
      <c r="C611" s="20">
        <f t="shared" si="18"/>
        <v>5.2631578947367292E-3</v>
      </c>
      <c r="H611" s="19">
        <v>44363</v>
      </c>
      <c r="I611" s="16">
        <v>48480.9</v>
      </c>
      <c r="J611" s="20">
        <f t="shared" si="19"/>
        <v>-3.1184868738145027E-3</v>
      </c>
    </row>
    <row r="612" spans="1:10" x14ac:dyDescent="0.3">
      <c r="A612" s="19">
        <v>44364</v>
      </c>
      <c r="B612" s="25">
        <v>106.01</v>
      </c>
      <c r="C612" s="20">
        <f t="shared" si="18"/>
        <v>-8.8818249813013145E-3</v>
      </c>
      <c r="H612" s="19">
        <v>44364</v>
      </c>
      <c r="I612" s="16">
        <v>48131.25</v>
      </c>
      <c r="J612" s="20">
        <f t="shared" si="19"/>
        <v>-7.2121185869074515E-3</v>
      </c>
    </row>
    <row r="613" spans="1:10" x14ac:dyDescent="0.3">
      <c r="A613" s="19">
        <v>44365</v>
      </c>
      <c r="B613" s="25">
        <v>106.93</v>
      </c>
      <c r="C613" s="20">
        <f t="shared" si="18"/>
        <v>8.6784265635317572E-3</v>
      </c>
      <c r="H613" s="19">
        <v>44365</v>
      </c>
      <c r="I613" s="16">
        <v>48238.67</v>
      </c>
      <c r="J613" s="20">
        <f t="shared" si="19"/>
        <v>2.2318140501233243E-3</v>
      </c>
    </row>
    <row r="614" spans="1:10" x14ac:dyDescent="0.3">
      <c r="A614" s="19">
        <v>44368</v>
      </c>
      <c r="B614" s="25">
        <v>106.02</v>
      </c>
      <c r="C614" s="20">
        <f t="shared" si="18"/>
        <v>-8.5102403441504795E-3</v>
      </c>
      <c r="H614" s="19">
        <v>44368</v>
      </c>
      <c r="I614" s="16">
        <v>48012.52</v>
      </c>
      <c r="J614" s="20">
        <f t="shared" si="19"/>
        <v>-4.6881474966038962E-3</v>
      </c>
    </row>
    <row r="615" spans="1:10" x14ac:dyDescent="0.3">
      <c r="A615" s="19">
        <v>44369</v>
      </c>
      <c r="B615" s="25">
        <v>106.01</v>
      </c>
      <c r="C615" s="20">
        <f t="shared" si="18"/>
        <v>-9.4321826070466948E-5</v>
      </c>
      <c r="H615" s="19">
        <v>44369</v>
      </c>
      <c r="I615" s="16">
        <v>47987.14</v>
      </c>
      <c r="J615" s="20">
        <f t="shared" si="19"/>
        <v>-5.2861212033855718E-4</v>
      </c>
    </row>
    <row r="616" spans="1:10" x14ac:dyDescent="0.3">
      <c r="A616" s="19">
        <v>44370</v>
      </c>
      <c r="B616" s="25">
        <v>106.51</v>
      </c>
      <c r="C616" s="20">
        <f t="shared" si="18"/>
        <v>4.7165361758324687E-3</v>
      </c>
      <c r="H616" s="19">
        <v>44370</v>
      </c>
      <c r="I616" s="16">
        <v>47900.7</v>
      </c>
      <c r="J616" s="20">
        <f t="shared" si="19"/>
        <v>-1.8013159358945402E-3</v>
      </c>
    </row>
    <row r="617" spans="1:10" x14ac:dyDescent="0.3">
      <c r="A617" s="19">
        <v>44371</v>
      </c>
      <c r="B617" s="25">
        <v>107</v>
      </c>
      <c r="C617" s="20">
        <f t="shared" si="18"/>
        <v>4.6005069946483419E-3</v>
      </c>
      <c r="H617" s="19">
        <v>44371</v>
      </c>
      <c r="I617" s="16">
        <v>47962.54</v>
      </c>
      <c r="J617" s="20">
        <f t="shared" si="19"/>
        <v>1.2910040980612764E-3</v>
      </c>
    </row>
    <row r="618" spans="1:10" x14ac:dyDescent="0.3">
      <c r="A618" s="19">
        <v>44372</v>
      </c>
      <c r="B618" s="25">
        <v>107</v>
      </c>
      <c r="C618" s="20">
        <f t="shared" si="18"/>
        <v>0</v>
      </c>
      <c r="H618" s="19">
        <v>44372</v>
      </c>
      <c r="I618" s="16">
        <v>47703.94</v>
      </c>
      <c r="J618" s="20">
        <f t="shared" si="19"/>
        <v>-5.3917077786121946E-3</v>
      </c>
    </row>
    <row r="619" spans="1:10" x14ac:dyDescent="0.3">
      <c r="A619" s="19">
        <v>44375</v>
      </c>
      <c r="B619" s="25">
        <v>107</v>
      </c>
      <c r="C619" s="20">
        <f t="shared" si="18"/>
        <v>0</v>
      </c>
      <c r="H619" s="19">
        <v>44375</v>
      </c>
      <c r="I619" s="16">
        <v>47002.35</v>
      </c>
      <c r="J619" s="20">
        <f t="shared" si="19"/>
        <v>-1.4707170938081923E-2</v>
      </c>
    </row>
    <row r="620" spans="1:10" x14ac:dyDescent="0.3">
      <c r="A620" s="19">
        <v>44376</v>
      </c>
      <c r="B620" s="25">
        <v>106.32</v>
      </c>
      <c r="C620" s="20">
        <f t="shared" si="18"/>
        <v>-6.3551401869159519E-3</v>
      </c>
      <c r="H620" s="19">
        <v>44376</v>
      </c>
      <c r="I620" s="16">
        <v>47137.77</v>
      </c>
      <c r="J620" s="20">
        <f t="shared" si="19"/>
        <v>2.8811325391176878E-3</v>
      </c>
    </row>
    <row r="621" spans="1:10" x14ac:dyDescent="0.3">
      <c r="A621" s="19">
        <v>44377</v>
      </c>
      <c r="B621" s="25">
        <v>106.03</v>
      </c>
      <c r="C621" s="20">
        <f t="shared" si="18"/>
        <v>-2.7276147479307002E-3</v>
      </c>
      <c r="H621" s="19">
        <v>44377</v>
      </c>
      <c r="I621" s="16">
        <v>47356.02</v>
      </c>
      <c r="J621" s="20">
        <f t="shared" si="19"/>
        <v>4.6300450785007443E-3</v>
      </c>
    </row>
    <row r="622" spans="1:10" x14ac:dyDescent="0.3">
      <c r="A622" s="19">
        <v>44378</v>
      </c>
      <c r="B622" s="25">
        <v>106.55</v>
      </c>
      <c r="C622" s="20">
        <f t="shared" si="18"/>
        <v>4.9042723757426769E-3</v>
      </c>
      <c r="H622" s="19">
        <v>44378</v>
      </c>
      <c r="I622" s="16">
        <v>47800.57</v>
      </c>
      <c r="J622" s="20">
        <f t="shared" si="19"/>
        <v>9.3874020663054659E-3</v>
      </c>
    </row>
    <row r="623" spans="1:10" x14ac:dyDescent="0.3">
      <c r="A623" s="19">
        <v>44379</v>
      </c>
      <c r="B623" s="25">
        <v>106.9</v>
      </c>
      <c r="C623" s="20">
        <f t="shared" si="18"/>
        <v>3.2848427968090901E-3</v>
      </c>
      <c r="H623" s="19">
        <v>44379</v>
      </c>
      <c r="I623" s="16">
        <v>47686.18</v>
      </c>
      <c r="J623" s="20">
        <f t="shared" si="19"/>
        <v>-2.3930676977282784E-3</v>
      </c>
    </row>
    <row r="624" spans="1:10" x14ac:dyDescent="0.3">
      <c r="A624" s="19">
        <v>44382</v>
      </c>
      <c r="B624" s="25">
        <v>106.9</v>
      </c>
      <c r="C624" s="20">
        <f t="shared" si="18"/>
        <v>0</v>
      </c>
      <c r="H624" s="19">
        <v>44382</v>
      </c>
      <c r="I624" s="16">
        <v>47429.120000000003</v>
      </c>
      <c r="J624" s="20">
        <f t="shared" si="19"/>
        <v>-5.3906603548448976E-3</v>
      </c>
    </row>
    <row r="625" spans="1:10" x14ac:dyDescent="0.3">
      <c r="A625" s="19">
        <v>44383</v>
      </c>
      <c r="B625" s="25">
        <v>106.5</v>
      </c>
      <c r="C625" s="20">
        <f t="shared" si="18"/>
        <v>-3.7418147801684346E-3</v>
      </c>
      <c r="H625" s="19">
        <v>44383</v>
      </c>
      <c r="I625" s="16">
        <v>47346.16</v>
      </c>
      <c r="J625" s="20">
        <f t="shared" si="19"/>
        <v>-1.7491363955308285E-3</v>
      </c>
    </row>
    <row r="626" spans="1:10" x14ac:dyDescent="0.3">
      <c r="A626" s="19">
        <v>44384</v>
      </c>
      <c r="B626" s="25">
        <v>106</v>
      </c>
      <c r="C626" s="20">
        <f t="shared" si="18"/>
        <v>-4.6948356807511738E-3</v>
      </c>
      <c r="H626" s="19">
        <v>44384</v>
      </c>
      <c r="I626" s="16">
        <v>47247.92</v>
      </c>
      <c r="J626" s="20">
        <f t="shared" si="19"/>
        <v>-2.0749306807564803E-3</v>
      </c>
    </row>
    <row r="627" spans="1:10" x14ac:dyDescent="0.3">
      <c r="A627" s="19">
        <v>44385</v>
      </c>
      <c r="B627" s="25">
        <v>107</v>
      </c>
      <c r="C627" s="20">
        <f t="shared" si="18"/>
        <v>9.433962264150943E-3</v>
      </c>
      <c r="H627" s="19">
        <v>44385</v>
      </c>
      <c r="I627" s="16">
        <v>48053.17</v>
      </c>
      <c r="J627" s="20">
        <f t="shared" si="19"/>
        <v>1.7043078298473246E-2</v>
      </c>
    </row>
    <row r="628" spans="1:10" x14ac:dyDescent="0.3">
      <c r="A628" s="19">
        <v>44386</v>
      </c>
      <c r="B628" s="25">
        <v>107</v>
      </c>
      <c r="C628" s="20">
        <f t="shared" si="18"/>
        <v>0</v>
      </c>
      <c r="H628" s="19">
        <v>44386</v>
      </c>
      <c r="I628" s="16">
        <v>47563.45</v>
      </c>
      <c r="J628" s="20">
        <f t="shared" si="19"/>
        <v>-1.0191211110526135E-2</v>
      </c>
    </row>
    <row r="629" spans="1:10" x14ac:dyDescent="0.3">
      <c r="A629" s="19">
        <v>44389</v>
      </c>
      <c r="B629" s="25">
        <v>107.3</v>
      </c>
      <c r="C629" s="20">
        <f t="shared" si="18"/>
        <v>2.8037383177569827E-3</v>
      </c>
      <c r="H629" s="19">
        <v>44389</v>
      </c>
      <c r="I629" s="16">
        <v>47447.08</v>
      </c>
      <c r="J629" s="20">
        <f t="shared" si="19"/>
        <v>-2.4466265588386745E-3</v>
      </c>
    </row>
    <row r="630" spans="1:10" x14ac:dyDescent="0.3">
      <c r="A630" s="19">
        <v>44390</v>
      </c>
      <c r="B630" s="25">
        <v>107.5</v>
      </c>
      <c r="C630" s="20">
        <f t="shared" si="18"/>
        <v>1.8639328984156836E-3</v>
      </c>
      <c r="H630" s="19">
        <v>44390</v>
      </c>
      <c r="I630" s="16">
        <v>47480.49</v>
      </c>
      <c r="J630" s="20">
        <f t="shared" si="19"/>
        <v>7.0415292152849478E-4</v>
      </c>
    </row>
    <row r="631" spans="1:10" x14ac:dyDescent="0.3">
      <c r="A631" s="19">
        <v>44391</v>
      </c>
      <c r="B631" s="25">
        <v>107</v>
      </c>
      <c r="C631" s="20">
        <f t="shared" si="18"/>
        <v>-4.6511627906976744E-3</v>
      </c>
      <c r="H631" s="19">
        <v>44391</v>
      </c>
      <c r="I631" s="16">
        <v>47491.47</v>
      </c>
      <c r="J631" s="20">
        <f t="shared" si="19"/>
        <v>2.3125287881408136E-4</v>
      </c>
    </row>
    <row r="632" spans="1:10" x14ac:dyDescent="0.3">
      <c r="A632" s="19">
        <v>44392</v>
      </c>
      <c r="B632" s="25">
        <v>106.5</v>
      </c>
      <c r="C632" s="20">
        <f t="shared" si="18"/>
        <v>-4.6728971962616819E-3</v>
      </c>
      <c r="H632" s="19">
        <v>44392</v>
      </c>
      <c r="I632" s="16">
        <v>47628.26</v>
      </c>
      <c r="J632" s="20">
        <f t="shared" si="19"/>
        <v>2.8803067161324099E-3</v>
      </c>
    </row>
    <row r="633" spans="1:10" x14ac:dyDescent="0.3">
      <c r="A633" s="19">
        <v>44393</v>
      </c>
      <c r="B633" s="25">
        <v>106.95</v>
      </c>
      <c r="C633" s="20">
        <f t="shared" si="18"/>
        <v>4.2253521126760828E-3</v>
      </c>
      <c r="H633" s="19">
        <v>44393</v>
      </c>
      <c r="I633" s="16">
        <v>47834.33</v>
      </c>
      <c r="J633" s="20">
        <f t="shared" si="19"/>
        <v>4.3266329695856977E-3</v>
      </c>
    </row>
    <row r="634" spans="1:10" x14ac:dyDescent="0.3">
      <c r="A634" s="19">
        <v>44396</v>
      </c>
      <c r="B634" s="25">
        <v>107.75</v>
      </c>
      <c r="C634" s="20">
        <f t="shared" si="18"/>
        <v>7.4801309022907636E-3</v>
      </c>
      <c r="H634" s="19">
        <v>44396</v>
      </c>
      <c r="I634" s="16">
        <v>47873.26</v>
      </c>
      <c r="J634" s="20">
        <f t="shared" si="19"/>
        <v>8.1385063823409445E-4</v>
      </c>
    </row>
    <row r="635" spans="1:10" x14ac:dyDescent="0.3">
      <c r="A635" s="19">
        <v>44400</v>
      </c>
      <c r="B635" s="25">
        <v>107.85</v>
      </c>
      <c r="C635" s="20">
        <f t="shared" si="18"/>
        <v>9.2807424593962238E-4</v>
      </c>
      <c r="H635" s="19">
        <v>44400</v>
      </c>
      <c r="I635" s="16">
        <v>47793.07</v>
      </c>
      <c r="J635" s="20">
        <f t="shared" si="19"/>
        <v>-1.6750478241925101E-3</v>
      </c>
    </row>
    <row r="636" spans="1:10" x14ac:dyDescent="0.3">
      <c r="A636" s="19">
        <v>44403</v>
      </c>
      <c r="B636" s="25">
        <v>107.82</v>
      </c>
      <c r="C636" s="20">
        <f t="shared" si="18"/>
        <v>-2.781641168289396E-4</v>
      </c>
      <c r="H636" s="19">
        <v>44403</v>
      </c>
      <c r="I636" s="16">
        <v>47672.68</v>
      </c>
      <c r="J636" s="20">
        <f t="shared" si="19"/>
        <v>-2.5189844469082948E-3</v>
      </c>
    </row>
    <row r="637" spans="1:10" x14ac:dyDescent="0.3">
      <c r="A637" s="19">
        <v>44404</v>
      </c>
      <c r="B637" s="25">
        <v>109.49</v>
      </c>
      <c r="C637" s="20">
        <f t="shared" si="18"/>
        <v>1.5488777592283452E-2</v>
      </c>
      <c r="H637" s="19">
        <v>44404</v>
      </c>
      <c r="I637" s="16">
        <v>47686.99</v>
      </c>
      <c r="J637" s="20">
        <f t="shared" si="19"/>
        <v>3.0017192236722737E-4</v>
      </c>
    </row>
    <row r="638" spans="1:10" x14ac:dyDescent="0.3">
      <c r="A638" s="19">
        <v>44405</v>
      </c>
      <c r="B638" s="25">
        <v>109.3</v>
      </c>
      <c r="C638" s="20">
        <f t="shared" si="18"/>
        <v>-1.7353182939080988E-3</v>
      </c>
      <c r="H638" s="19">
        <v>44405</v>
      </c>
      <c r="I638" s="16">
        <v>47318.03</v>
      </c>
      <c r="J638" s="20">
        <f t="shared" si="19"/>
        <v>-7.7371207534801239E-3</v>
      </c>
    </row>
    <row r="639" spans="1:10" x14ac:dyDescent="0.3">
      <c r="A639" s="19">
        <v>44406</v>
      </c>
      <c r="B639" s="25">
        <v>109.26</v>
      </c>
      <c r="C639" s="20">
        <f t="shared" si="18"/>
        <v>-3.6596523330276344E-4</v>
      </c>
      <c r="H639" s="19">
        <v>44406</v>
      </c>
      <c r="I639" s="16">
        <v>47312.33</v>
      </c>
      <c r="J639" s="20">
        <f t="shared" si="19"/>
        <v>-1.2046148159585447E-4</v>
      </c>
    </row>
    <row r="640" spans="1:10" x14ac:dyDescent="0.3">
      <c r="A640" s="19">
        <v>44407</v>
      </c>
      <c r="B640" s="25">
        <v>106.5</v>
      </c>
      <c r="C640" s="20">
        <f t="shared" si="18"/>
        <v>-2.5260845689181813E-2</v>
      </c>
      <c r="H640" s="19">
        <v>44407</v>
      </c>
      <c r="I640" s="16">
        <v>47055.29</v>
      </c>
      <c r="J640" s="20">
        <f t="shared" si="19"/>
        <v>-5.4328332593216368E-3</v>
      </c>
    </row>
    <row r="641" spans="1:10" x14ac:dyDescent="0.3">
      <c r="A641" s="19">
        <v>44410</v>
      </c>
      <c r="B641" s="25">
        <v>106.5</v>
      </c>
      <c r="C641" s="20">
        <f t="shared" si="18"/>
        <v>0</v>
      </c>
      <c r="H641" s="19">
        <v>44410</v>
      </c>
      <c r="I641" s="16">
        <v>47453.25</v>
      </c>
      <c r="J641" s="20">
        <f t="shared" si="19"/>
        <v>8.4572850363901515E-3</v>
      </c>
    </row>
    <row r="642" spans="1:10" x14ac:dyDescent="0.3">
      <c r="A642" s="19">
        <v>44411</v>
      </c>
      <c r="B642" s="25">
        <v>106.41</v>
      </c>
      <c r="C642" s="20">
        <f t="shared" si="18"/>
        <v>-8.450704225352433E-4</v>
      </c>
      <c r="H642" s="19">
        <v>44411</v>
      </c>
      <c r="I642" s="16">
        <v>47758.32</v>
      </c>
      <c r="J642" s="20">
        <f t="shared" si="19"/>
        <v>6.428853661234999E-3</v>
      </c>
    </row>
    <row r="643" spans="1:10" x14ac:dyDescent="0.3">
      <c r="A643" s="19">
        <v>44412</v>
      </c>
      <c r="B643" s="25">
        <v>106.37</v>
      </c>
      <c r="C643" s="20">
        <f t="shared" si="18"/>
        <v>-3.7590452025178126E-4</v>
      </c>
      <c r="H643" s="19">
        <v>44412</v>
      </c>
      <c r="I643" s="16">
        <v>47789.88</v>
      </c>
      <c r="J643" s="20">
        <f t="shared" si="19"/>
        <v>6.6082726528063948E-4</v>
      </c>
    </row>
    <row r="644" spans="1:10" x14ac:dyDescent="0.3">
      <c r="A644" s="19">
        <v>44413</v>
      </c>
      <c r="B644" s="25">
        <v>106.3</v>
      </c>
      <c r="C644" s="20">
        <f t="shared" si="18"/>
        <v>-6.5808028579493645E-4</v>
      </c>
      <c r="H644" s="19">
        <v>44413</v>
      </c>
      <c r="I644" s="16">
        <v>47640.88</v>
      </c>
      <c r="J644" s="20">
        <f t="shared" si="19"/>
        <v>-3.1178149013975347E-3</v>
      </c>
    </row>
    <row r="645" spans="1:10" x14ac:dyDescent="0.3">
      <c r="A645" s="19">
        <v>44414</v>
      </c>
      <c r="B645" s="25">
        <v>106.45</v>
      </c>
      <c r="C645" s="20">
        <f t="shared" ref="C645:C708" si="20">(B645-B644)/B644</f>
        <v>1.4111006585136941E-3</v>
      </c>
      <c r="H645" s="19">
        <v>44414</v>
      </c>
      <c r="I645" s="16">
        <v>47489.95</v>
      </c>
      <c r="J645" s="20">
        <f t="shared" ref="J645:J708" si="21">(I645-I644)/I644</f>
        <v>-3.1680774998278853E-3</v>
      </c>
    </row>
    <row r="646" spans="1:10" x14ac:dyDescent="0.3">
      <c r="A646" s="19">
        <v>44417</v>
      </c>
      <c r="B646" s="25">
        <v>106.51</v>
      </c>
      <c r="C646" s="20">
        <f t="shared" si="20"/>
        <v>5.6364490371068362E-4</v>
      </c>
      <c r="H646" s="19">
        <v>44417</v>
      </c>
      <c r="I646" s="16">
        <v>47123.62</v>
      </c>
      <c r="J646" s="20">
        <f t="shared" si="21"/>
        <v>-7.7138426130159013E-3</v>
      </c>
    </row>
    <row r="647" spans="1:10" x14ac:dyDescent="0.3">
      <c r="A647" s="19">
        <v>44418</v>
      </c>
      <c r="B647" s="25">
        <v>106.05</v>
      </c>
      <c r="C647" s="20">
        <f t="shared" si="20"/>
        <v>-4.3188433010985629E-3</v>
      </c>
      <c r="H647" s="19">
        <v>44418</v>
      </c>
      <c r="I647" s="16">
        <v>47135.48</v>
      </c>
      <c r="J647" s="20">
        <f t="shared" si="21"/>
        <v>2.5167845763972676E-4</v>
      </c>
    </row>
    <row r="648" spans="1:10" x14ac:dyDescent="0.3">
      <c r="A648" s="19">
        <v>44419</v>
      </c>
      <c r="B648" s="25">
        <v>106.25</v>
      </c>
      <c r="C648" s="20">
        <f t="shared" si="20"/>
        <v>1.8859028760019128E-3</v>
      </c>
      <c r="H648" s="19">
        <v>44419</v>
      </c>
      <c r="I648" s="16">
        <v>47377.38</v>
      </c>
      <c r="J648" s="20">
        <f t="shared" si="21"/>
        <v>5.1320152038335908E-3</v>
      </c>
    </row>
    <row r="649" spans="1:10" x14ac:dyDescent="0.3">
      <c r="A649" s="19">
        <v>44420</v>
      </c>
      <c r="B649" s="25">
        <v>106</v>
      </c>
      <c r="C649" s="20">
        <f t="shared" si="20"/>
        <v>-2.352941176470588E-3</v>
      </c>
      <c r="H649" s="19">
        <v>44420</v>
      </c>
      <c r="I649" s="16">
        <v>47270.76</v>
      </c>
      <c r="J649" s="20">
        <f t="shared" si="21"/>
        <v>-2.2504410332524795E-3</v>
      </c>
    </row>
    <row r="650" spans="1:10" x14ac:dyDescent="0.3">
      <c r="A650" s="19">
        <v>44421</v>
      </c>
      <c r="B650" s="25">
        <v>106.2</v>
      </c>
      <c r="C650" s="20">
        <f t="shared" si="20"/>
        <v>1.8867924528302156E-3</v>
      </c>
      <c r="H650" s="19">
        <v>44421</v>
      </c>
      <c r="I650" s="16">
        <v>47169.84</v>
      </c>
      <c r="J650" s="20">
        <f t="shared" si="21"/>
        <v>-2.1349349999874243E-3</v>
      </c>
    </row>
    <row r="651" spans="1:10" x14ac:dyDescent="0.3">
      <c r="A651" s="19">
        <v>44424</v>
      </c>
      <c r="B651" s="25">
        <v>105.65</v>
      </c>
      <c r="C651" s="20">
        <f t="shared" si="20"/>
        <v>-5.178907721280576E-3</v>
      </c>
      <c r="H651" s="19">
        <v>44424</v>
      </c>
      <c r="I651" s="16">
        <v>46912.79</v>
      </c>
      <c r="J651" s="20">
        <f t="shared" si="21"/>
        <v>-5.4494566867302422E-3</v>
      </c>
    </row>
    <row r="652" spans="1:10" x14ac:dyDescent="0.3">
      <c r="A652" s="19">
        <v>44425</v>
      </c>
      <c r="B652" s="25">
        <v>105.53</v>
      </c>
      <c r="C652" s="20">
        <f t="shared" si="20"/>
        <v>-1.1358258400379038E-3</v>
      </c>
      <c r="H652" s="19">
        <v>44425</v>
      </c>
      <c r="I652" s="16">
        <v>47258.45</v>
      </c>
      <c r="J652" s="20">
        <f t="shared" si="21"/>
        <v>7.3681399038512995E-3</v>
      </c>
    </row>
    <row r="653" spans="1:10" x14ac:dyDescent="0.3">
      <c r="A653" s="19">
        <v>44428</v>
      </c>
      <c r="B653" s="25">
        <v>107</v>
      </c>
      <c r="C653" s="20">
        <f t="shared" si="20"/>
        <v>1.3929688240310802E-2</v>
      </c>
      <c r="H653" s="19">
        <v>44428</v>
      </c>
      <c r="I653" s="16">
        <v>47599.82</v>
      </c>
      <c r="J653" s="20">
        <f t="shared" si="21"/>
        <v>7.2234700884181062E-3</v>
      </c>
    </row>
    <row r="654" spans="1:10" x14ac:dyDescent="0.3">
      <c r="A654" s="19">
        <v>44431</v>
      </c>
      <c r="B654" s="25">
        <v>106</v>
      </c>
      <c r="C654" s="20">
        <f t="shared" si="20"/>
        <v>-9.3457943925233638E-3</v>
      </c>
      <c r="H654" s="19">
        <v>44431</v>
      </c>
      <c r="I654" s="16">
        <v>48112.21</v>
      </c>
      <c r="J654" s="20">
        <f t="shared" si="21"/>
        <v>1.0764536504549794E-2</v>
      </c>
    </row>
    <row r="655" spans="1:10" x14ac:dyDescent="0.3">
      <c r="A655" s="19">
        <v>44432</v>
      </c>
      <c r="B655" s="25">
        <v>106</v>
      </c>
      <c r="C655" s="20">
        <f t="shared" si="20"/>
        <v>0</v>
      </c>
      <c r="H655" s="19">
        <v>44432</v>
      </c>
      <c r="I655" s="16">
        <v>47828.71</v>
      </c>
      <c r="J655" s="20">
        <f t="shared" si="21"/>
        <v>-5.8924751118271225E-3</v>
      </c>
    </row>
    <row r="656" spans="1:10" x14ac:dyDescent="0.3">
      <c r="A656" s="19">
        <v>44433</v>
      </c>
      <c r="B656" s="25">
        <v>106.1</v>
      </c>
      <c r="C656" s="20">
        <f t="shared" si="20"/>
        <v>9.4339622641504068E-4</v>
      </c>
      <c r="H656" s="19">
        <v>44433</v>
      </c>
      <c r="I656" s="16">
        <v>47635.9</v>
      </c>
      <c r="J656" s="20">
        <f t="shared" si="21"/>
        <v>-4.0312607218550879E-3</v>
      </c>
    </row>
    <row r="657" spans="1:10" x14ac:dyDescent="0.3">
      <c r="A657" s="19">
        <v>44434</v>
      </c>
      <c r="B657" s="25">
        <v>106</v>
      </c>
      <c r="C657" s="20">
        <f t="shared" si="20"/>
        <v>-9.4250706880296255E-4</v>
      </c>
      <c r="H657" s="19">
        <v>44434</v>
      </c>
      <c r="I657" s="16">
        <v>47363.27</v>
      </c>
      <c r="J657" s="20">
        <f t="shared" si="21"/>
        <v>-5.7232045579070547E-3</v>
      </c>
    </row>
    <row r="658" spans="1:10" x14ac:dyDescent="0.3">
      <c r="A658" s="19">
        <v>44435</v>
      </c>
      <c r="B658" s="25">
        <v>105.35</v>
      </c>
      <c r="C658" s="20">
        <f t="shared" si="20"/>
        <v>-6.1320754716981665E-3</v>
      </c>
      <c r="H658" s="19">
        <v>44435</v>
      </c>
      <c r="I658" s="16">
        <v>47136.53</v>
      </c>
      <c r="J658" s="20">
        <f t="shared" si="21"/>
        <v>-4.7872539206013009E-3</v>
      </c>
    </row>
    <row r="659" spans="1:10" x14ac:dyDescent="0.3">
      <c r="A659" s="19">
        <v>44438</v>
      </c>
      <c r="B659" s="25">
        <v>105.7</v>
      </c>
      <c r="C659" s="20">
        <f t="shared" si="20"/>
        <v>3.3222591362127058E-3</v>
      </c>
      <c r="H659" s="19">
        <v>44438</v>
      </c>
      <c r="I659" s="16">
        <v>47365.7</v>
      </c>
      <c r="J659" s="20">
        <f t="shared" si="21"/>
        <v>4.8618343352809009E-3</v>
      </c>
    </row>
    <row r="660" spans="1:10" x14ac:dyDescent="0.3">
      <c r="A660" s="19">
        <v>44439</v>
      </c>
      <c r="B660" s="25">
        <v>105.95</v>
      </c>
      <c r="C660" s="20">
        <f t="shared" si="20"/>
        <v>2.3651844843897824E-3</v>
      </c>
      <c r="H660" s="19">
        <v>44439</v>
      </c>
      <c r="I660" s="16">
        <v>47419.74</v>
      </c>
      <c r="J660" s="20">
        <f t="shared" si="21"/>
        <v>1.1409099833846197E-3</v>
      </c>
    </row>
    <row r="661" spans="1:10" x14ac:dyDescent="0.3">
      <c r="A661" s="19">
        <v>44440</v>
      </c>
      <c r="B661" s="25">
        <v>105.9</v>
      </c>
      <c r="C661" s="20">
        <f t="shared" si="20"/>
        <v>-4.7192071731946351E-4</v>
      </c>
      <c r="H661" s="19">
        <v>44440</v>
      </c>
      <c r="I661" s="16">
        <v>47413.46</v>
      </c>
      <c r="J661" s="20">
        <f t="shared" si="21"/>
        <v>-1.3243429845880293E-4</v>
      </c>
    </row>
    <row r="662" spans="1:10" x14ac:dyDescent="0.3">
      <c r="A662" s="19">
        <v>44441</v>
      </c>
      <c r="B662" s="25">
        <v>105.9</v>
      </c>
      <c r="C662" s="20">
        <f t="shared" si="20"/>
        <v>0</v>
      </c>
      <c r="H662" s="19">
        <v>44441</v>
      </c>
      <c r="I662" s="16">
        <v>46903.06</v>
      </c>
      <c r="J662" s="20">
        <f t="shared" si="21"/>
        <v>-1.0764875628144445E-2</v>
      </c>
    </row>
    <row r="663" spans="1:10" x14ac:dyDescent="0.3">
      <c r="A663" s="19">
        <v>44442</v>
      </c>
      <c r="B663" s="25">
        <v>105.76</v>
      </c>
      <c r="C663" s="20">
        <f t="shared" si="20"/>
        <v>-1.3220018885741318E-3</v>
      </c>
      <c r="H663" s="19">
        <v>44442</v>
      </c>
      <c r="I663" s="16">
        <v>46957.47</v>
      </c>
      <c r="J663" s="20">
        <f t="shared" si="21"/>
        <v>1.1600522439261637E-3</v>
      </c>
    </row>
    <row r="664" spans="1:10" x14ac:dyDescent="0.3">
      <c r="A664" s="19">
        <v>44445</v>
      </c>
      <c r="B664" s="25">
        <v>105.53</v>
      </c>
      <c r="C664" s="20">
        <f t="shared" si="20"/>
        <v>-2.1747352496218229E-3</v>
      </c>
      <c r="H664" s="19">
        <v>44445</v>
      </c>
      <c r="I664" s="16">
        <v>46918.52</v>
      </c>
      <c r="J664" s="20">
        <f t="shared" si="21"/>
        <v>-8.2947398997442509E-4</v>
      </c>
    </row>
    <row r="665" spans="1:10" x14ac:dyDescent="0.3">
      <c r="A665" s="19">
        <v>44446</v>
      </c>
      <c r="B665" s="25">
        <v>105.89</v>
      </c>
      <c r="C665" s="20">
        <f t="shared" si="20"/>
        <v>3.411352222116928E-3</v>
      </c>
      <c r="H665" s="19">
        <v>44446</v>
      </c>
      <c r="I665" s="16">
        <v>46729.96</v>
      </c>
      <c r="J665" s="20">
        <f t="shared" si="21"/>
        <v>-4.018882096025145E-3</v>
      </c>
    </row>
    <row r="666" spans="1:10" x14ac:dyDescent="0.3">
      <c r="A666" s="19">
        <v>44447</v>
      </c>
      <c r="B666" s="25">
        <v>105.5</v>
      </c>
      <c r="C666" s="20">
        <f t="shared" si="20"/>
        <v>-3.6830673340258811E-3</v>
      </c>
      <c r="H666" s="19">
        <v>44447</v>
      </c>
      <c r="I666" s="16">
        <v>46396.71</v>
      </c>
      <c r="J666" s="20">
        <f t="shared" si="21"/>
        <v>-7.1313992136950262E-3</v>
      </c>
    </row>
    <row r="667" spans="1:10" x14ac:dyDescent="0.3">
      <c r="A667" s="19">
        <v>44448</v>
      </c>
      <c r="B667" s="25">
        <v>107</v>
      </c>
      <c r="C667" s="20">
        <f t="shared" si="20"/>
        <v>1.4218009478672985E-2</v>
      </c>
      <c r="H667" s="19">
        <v>44448</v>
      </c>
      <c r="I667" s="16">
        <v>46625.120000000003</v>
      </c>
      <c r="J667" s="20">
        <f t="shared" si="21"/>
        <v>4.9229783749753699E-3</v>
      </c>
    </row>
    <row r="668" spans="1:10" x14ac:dyDescent="0.3">
      <c r="A668" s="19">
        <v>44449</v>
      </c>
      <c r="B668" s="25">
        <v>106.05</v>
      </c>
      <c r="C668" s="20">
        <f t="shared" si="20"/>
        <v>-8.8785046728972229E-3</v>
      </c>
      <c r="H668" s="19">
        <v>44449</v>
      </c>
      <c r="I668" s="16">
        <v>47198.29</v>
      </c>
      <c r="J668" s="20">
        <f t="shared" si="21"/>
        <v>1.2293158709296582E-2</v>
      </c>
    </row>
    <row r="669" spans="1:10" x14ac:dyDescent="0.3">
      <c r="A669" s="19">
        <v>44452</v>
      </c>
      <c r="B669" s="25">
        <v>106.1</v>
      </c>
      <c r="C669" s="20">
        <f t="shared" si="20"/>
        <v>4.7147571900044469E-4</v>
      </c>
      <c r="H669" s="19">
        <v>44452</v>
      </c>
      <c r="I669" s="16">
        <v>47270.46</v>
      </c>
      <c r="J669" s="20">
        <f t="shared" si="21"/>
        <v>1.5290808205127399E-3</v>
      </c>
    </row>
    <row r="670" spans="1:10" x14ac:dyDescent="0.3">
      <c r="A670" s="19">
        <v>44453</v>
      </c>
      <c r="B670" s="25">
        <v>106.5</v>
      </c>
      <c r="C670" s="20">
        <f t="shared" si="20"/>
        <v>3.7700282752121178E-3</v>
      </c>
      <c r="H670" s="19">
        <v>44453</v>
      </c>
      <c r="I670" s="16">
        <v>46891.34</v>
      </c>
      <c r="J670" s="20">
        <f t="shared" si="21"/>
        <v>-8.0202308164549832E-3</v>
      </c>
    </row>
    <row r="671" spans="1:10" x14ac:dyDescent="0.3">
      <c r="A671" s="19">
        <v>44454</v>
      </c>
      <c r="B671" s="25">
        <v>106.4</v>
      </c>
      <c r="C671" s="20">
        <f t="shared" si="20"/>
        <v>-9.3896713615018138E-4</v>
      </c>
      <c r="H671" s="19">
        <v>44454</v>
      </c>
      <c r="I671" s="16">
        <v>46716.72</v>
      </c>
      <c r="J671" s="20">
        <f t="shared" si="21"/>
        <v>-3.7239285548247365E-3</v>
      </c>
    </row>
    <row r="672" spans="1:10" x14ac:dyDescent="0.3">
      <c r="A672" s="19">
        <v>44455</v>
      </c>
      <c r="B672" s="25">
        <v>106.5</v>
      </c>
      <c r="C672" s="20">
        <f t="shared" si="20"/>
        <v>9.3984962406009687E-4</v>
      </c>
      <c r="H672" s="19">
        <v>44455</v>
      </c>
      <c r="I672" s="16">
        <v>46920.46</v>
      </c>
      <c r="J672" s="20">
        <f t="shared" si="21"/>
        <v>4.3611794663666022E-3</v>
      </c>
    </row>
    <row r="673" spans="1:10" x14ac:dyDescent="0.3">
      <c r="A673" s="19">
        <v>44456</v>
      </c>
      <c r="B673" s="25">
        <v>109.04</v>
      </c>
      <c r="C673" s="20">
        <f t="shared" si="20"/>
        <v>2.384976525821602E-2</v>
      </c>
      <c r="H673" s="19">
        <v>44456</v>
      </c>
      <c r="I673" s="16">
        <v>46636.08</v>
      </c>
      <c r="J673" s="20">
        <f t="shared" si="21"/>
        <v>-6.0608953961661374E-3</v>
      </c>
    </row>
    <row r="674" spans="1:10" x14ac:dyDescent="0.3">
      <c r="A674" s="19">
        <v>44459</v>
      </c>
      <c r="B674" s="25">
        <v>106</v>
      </c>
      <c r="C674" s="20">
        <f t="shared" si="20"/>
        <v>-2.787967718268531E-2</v>
      </c>
      <c r="H674" s="19">
        <v>44459</v>
      </c>
      <c r="I674" s="16">
        <v>46528.21</v>
      </c>
      <c r="J674" s="20">
        <f t="shared" si="21"/>
        <v>-2.3130160167836281E-3</v>
      </c>
    </row>
    <row r="675" spans="1:10" x14ac:dyDescent="0.3">
      <c r="A675" s="19">
        <v>44460</v>
      </c>
      <c r="B675" s="25">
        <v>105.01</v>
      </c>
      <c r="C675" s="20">
        <f t="shared" si="20"/>
        <v>-9.3396226415093861E-3</v>
      </c>
      <c r="H675" s="19">
        <v>44460</v>
      </c>
      <c r="I675" s="16">
        <v>46008.85</v>
      </c>
      <c r="J675" s="20">
        <f t="shared" si="21"/>
        <v>-1.1162260486702595E-2</v>
      </c>
    </row>
    <row r="676" spans="1:10" x14ac:dyDescent="0.3">
      <c r="A676" s="19">
        <v>44461</v>
      </c>
      <c r="B676" s="25">
        <v>104.12</v>
      </c>
      <c r="C676" s="20">
        <f t="shared" si="20"/>
        <v>-8.4753832968288787E-3</v>
      </c>
      <c r="H676" s="19">
        <v>44461</v>
      </c>
      <c r="I676" s="16">
        <v>45597.24</v>
      </c>
      <c r="J676" s="20">
        <f t="shared" si="21"/>
        <v>-8.9463222836476154E-3</v>
      </c>
    </row>
    <row r="677" spans="1:10" x14ac:dyDescent="0.3">
      <c r="A677" s="19">
        <v>44462</v>
      </c>
      <c r="B677" s="25">
        <v>104.9</v>
      </c>
      <c r="C677" s="20">
        <f t="shared" si="20"/>
        <v>7.4913561275451509E-3</v>
      </c>
      <c r="H677" s="19">
        <v>44462</v>
      </c>
      <c r="I677" s="16">
        <v>45296.88</v>
      </c>
      <c r="J677" s="20">
        <f t="shared" si="21"/>
        <v>-6.5872408066804172E-3</v>
      </c>
    </row>
    <row r="678" spans="1:10" x14ac:dyDescent="0.3">
      <c r="A678" s="19">
        <v>44463</v>
      </c>
      <c r="B678" s="25">
        <v>104.01</v>
      </c>
      <c r="C678" s="20">
        <f t="shared" si="20"/>
        <v>-8.4842707340324168E-3</v>
      </c>
      <c r="H678" s="19">
        <v>44463</v>
      </c>
      <c r="I678" s="16">
        <v>45073.52</v>
      </c>
      <c r="J678" s="20">
        <f t="shared" si="21"/>
        <v>-4.9310239469031996E-3</v>
      </c>
    </row>
    <row r="679" spans="1:10" x14ac:dyDescent="0.3">
      <c r="A679" s="19">
        <v>44466</v>
      </c>
      <c r="B679" s="25">
        <v>105</v>
      </c>
      <c r="C679" s="20">
        <f t="shared" si="20"/>
        <v>9.51831554658201E-3</v>
      </c>
      <c r="H679" s="19">
        <v>44466</v>
      </c>
      <c r="I679" s="16">
        <v>44817.760000000002</v>
      </c>
      <c r="J679" s="20">
        <f t="shared" si="21"/>
        <v>-5.6742850347608698E-3</v>
      </c>
    </row>
    <row r="680" spans="1:10" x14ac:dyDescent="0.3">
      <c r="A680" s="19">
        <v>44467</v>
      </c>
      <c r="B680" s="25">
        <v>104.6</v>
      </c>
      <c r="C680" s="20">
        <f t="shared" si="20"/>
        <v>-3.8095238095238637E-3</v>
      </c>
      <c r="H680" s="19">
        <v>44467</v>
      </c>
      <c r="I680" s="16">
        <v>45274.93</v>
      </c>
      <c r="J680" s="20">
        <f t="shared" si="21"/>
        <v>1.0200643673400862E-2</v>
      </c>
    </row>
    <row r="681" spans="1:10" x14ac:dyDescent="0.3">
      <c r="A681" s="19">
        <v>44468</v>
      </c>
      <c r="B681" s="25">
        <v>103.75</v>
      </c>
      <c r="C681" s="20">
        <f t="shared" si="20"/>
        <v>-8.1261950286806352E-3</v>
      </c>
      <c r="H681" s="19">
        <v>44468</v>
      </c>
      <c r="I681" s="16">
        <v>44366.74</v>
      </c>
      <c r="J681" s="20">
        <f t="shared" si="21"/>
        <v>-2.0059445702069606E-2</v>
      </c>
    </row>
    <row r="682" spans="1:10" x14ac:dyDescent="0.3">
      <c r="A682" s="19">
        <v>44469</v>
      </c>
      <c r="B682" s="25">
        <v>101.99</v>
      </c>
      <c r="C682" s="20">
        <f t="shared" si="20"/>
        <v>-1.6963855421686796E-2</v>
      </c>
      <c r="H682" s="19">
        <v>44469</v>
      </c>
      <c r="I682" s="16">
        <v>44899.6</v>
      </c>
      <c r="J682" s="20">
        <f t="shared" si="21"/>
        <v>1.2010348292437096E-2</v>
      </c>
    </row>
    <row r="683" spans="1:10" x14ac:dyDescent="0.3">
      <c r="A683" s="19">
        <v>44470</v>
      </c>
      <c r="B683" s="25">
        <v>101.5</v>
      </c>
      <c r="C683" s="20">
        <f t="shared" si="20"/>
        <v>-4.804392587508529E-3</v>
      </c>
      <c r="H683" s="19">
        <v>44470</v>
      </c>
      <c r="I683" s="16">
        <v>44871.7</v>
      </c>
      <c r="J683" s="20">
        <f t="shared" si="21"/>
        <v>-6.2138638206134255E-4</v>
      </c>
    </row>
    <row r="684" spans="1:10" x14ac:dyDescent="0.3">
      <c r="A684" s="19">
        <v>44473</v>
      </c>
      <c r="B684" s="25">
        <v>100.95</v>
      </c>
      <c r="C684" s="20">
        <f t="shared" si="20"/>
        <v>-5.4187192118226321E-3</v>
      </c>
      <c r="H684" s="19">
        <v>44473</v>
      </c>
      <c r="I684" s="16">
        <v>45044.5</v>
      </c>
      <c r="J684" s="20">
        <f t="shared" si="21"/>
        <v>3.8509795706425857E-3</v>
      </c>
    </row>
    <row r="685" spans="1:10" x14ac:dyDescent="0.3">
      <c r="A685" s="19">
        <v>44474</v>
      </c>
      <c r="B685" s="25">
        <v>99.7</v>
      </c>
      <c r="C685" s="20">
        <f t="shared" si="20"/>
        <v>-1.2382367508667657E-2</v>
      </c>
      <c r="H685" s="19">
        <v>44474</v>
      </c>
      <c r="I685" s="16">
        <v>44666.57</v>
      </c>
      <c r="J685" s="20">
        <f t="shared" si="21"/>
        <v>-8.3901475207850077E-3</v>
      </c>
    </row>
    <row r="686" spans="1:10" x14ac:dyDescent="0.3">
      <c r="A686" s="19">
        <v>44475</v>
      </c>
      <c r="B686" s="25">
        <v>99.25</v>
      </c>
      <c r="C686" s="20">
        <f t="shared" si="20"/>
        <v>-4.5135406218656249E-3</v>
      </c>
      <c r="H686" s="19">
        <v>44475</v>
      </c>
      <c r="I686" s="16">
        <v>44373.23</v>
      </c>
      <c r="J686" s="20">
        <f t="shared" si="21"/>
        <v>-6.5673276457090058E-3</v>
      </c>
    </row>
    <row r="687" spans="1:10" x14ac:dyDescent="0.3">
      <c r="A687" s="19">
        <v>44476</v>
      </c>
      <c r="B687" s="25">
        <v>99.9</v>
      </c>
      <c r="C687" s="20">
        <f t="shared" si="20"/>
        <v>6.549118387909377E-3</v>
      </c>
      <c r="H687" s="19">
        <v>44476</v>
      </c>
      <c r="I687" s="16">
        <v>44586.04</v>
      </c>
      <c r="J687" s="20">
        <f t="shared" si="21"/>
        <v>4.7959096058591555E-3</v>
      </c>
    </row>
    <row r="688" spans="1:10" x14ac:dyDescent="0.3">
      <c r="A688" s="19">
        <v>44477</v>
      </c>
      <c r="B688" s="25">
        <v>98.9</v>
      </c>
      <c r="C688" s="20">
        <f t="shared" si="20"/>
        <v>-1.001001001001001E-2</v>
      </c>
      <c r="H688" s="19">
        <v>44477</v>
      </c>
      <c r="I688" s="16">
        <v>44477.23</v>
      </c>
      <c r="J688" s="20">
        <f t="shared" si="21"/>
        <v>-2.4404499704391257E-3</v>
      </c>
    </row>
    <row r="689" spans="1:10" x14ac:dyDescent="0.3">
      <c r="A689" s="19">
        <v>44480</v>
      </c>
      <c r="B689" s="25">
        <v>97.7</v>
      </c>
      <c r="C689" s="20">
        <f t="shared" si="20"/>
        <v>-1.2133468149646135E-2</v>
      </c>
      <c r="H689" s="19">
        <v>44480</v>
      </c>
      <c r="I689" s="16">
        <v>43829.35</v>
      </c>
      <c r="J689" s="20">
        <f t="shared" si="21"/>
        <v>-1.4566554616823138E-2</v>
      </c>
    </row>
    <row r="690" spans="1:10" x14ac:dyDescent="0.3">
      <c r="A690" s="19">
        <v>44481</v>
      </c>
      <c r="B690" s="25">
        <v>96.49</v>
      </c>
      <c r="C690" s="20">
        <f t="shared" si="20"/>
        <v>-1.2384851586489333E-2</v>
      </c>
      <c r="H690" s="19">
        <v>44481</v>
      </c>
      <c r="I690" s="16">
        <v>43883.08</v>
      </c>
      <c r="J690" s="20">
        <f t="shared" si="21"/>
        <v>1.2258908699308386E-3</v>
      </c>
    </row>
    <row r="691" spans="1:10" x14ac:dyDescent="0.3">
      <c r="A691" s="19">
        <v>44482</v>
      </c>
      <c r="B691" s="25">
        <v>96.01</v>
      </c>
      <c r="C691" s="20">
        <f t="shared" si="20"/>
        <v>-4.9746087677478472E-3</v>
      </c>
      <c r="H691" s="19">
        <v>44482</v>
      </c>
      <c r="I691" s="16">
        <v>43221.78</v>
      </c>
      <c r="J691" s="20">
        <f t="shared" si="21"/>
        <v>-1.5069589463638443E-2</v>
      </c>
    </row>
    <row r="692" spans="1:10" x14ac:dyDescent="0.3">
      <c r="A692" s="19">
        <v>44483</v>
      </c>
      <c r="B692" s="25">
        <v>98.85</v>
      </c>
      <c r="C692" s="20">
        <f t="shared" si="20"/>
        <v>2.9580252057077275E-2</v>
      </c>
      <c r="H692" s="19">
        <v>44483</v>
      </c>
      <c r="I692" s="16">
        <v>44333.68</v>
      </c>
      <c r="J692" s="20">
        <f t="shared" si="21"/>
        <v>2.5725456008521663E-2</v>
      </c>
    </row>
    <row r="693" spans="1:10" x14ac:dyDescent="0.3">
      <c r="A693" s="19">
        <v>44484</v>
      </c>
      <c r="B693" s="25">
        <v>100.4</v>
      </c>
      <c r="C693" s="20">
        <f t="shared" si="20"/>
        <v>1.5680323722812459E-2</v>
      </c>
      <c r="H693" s="19">
        <v>44484</v>
      </c>
      <c r="I693" s="16">
        <v>44821.53</v>
      </c>
      <c r="J693" s="20">
        <f t="shared" si="21"/>
        <v>1.1004049291644604E-2</v>
      </c>
    </row>
    <row r="694" spans="1:10" x14ac:dyDescent="0.3">
      <c r="A694" s="19">
        <v>44487</v>
      </c>
      <c r="B694" s="25">
        <v>99.1</v>
      </c>
      <c r="C694" s="20">
        <f t="shared" si="20"/>
        <v>-1.2948207171314853E-2</v>
      </c>
      <c r="H694" s="19">
        <v>44487</v>
      </c>
      <c r="I694" s="16">
        <v>44629.45</v>
      </c>
      <c r="J694" s="20">
        <f t="shared" si="21"/>
        <v>-4.2854405014733261E-3</v>
      </c>
    </row>
    <row r="695" spans="1:10" x14ac:dyDescent="0.3">
      <c r="A695" s="19">
        <v>44489</v>
      </c>
      <c r="B695" s="25">
        <v>99.62</v>
      </c>
      <c r="C695" s="20">
        <f t="shared" si="20"/>
        <v>5.2472250252271471E-3</v>
      </c>
      <c r="H695" s="19">
        <v>44489</v>
      </c>
      <c r="I695" s="16">
        <v>45499.46</v>
      </c>
      <c r="J695" s="20">
        <f t="shared" si="21"/>
        <v>1.9494078461643648E-2</v>
      </c>
    </row>
    <row r="696" spans="1:10" x14ac:dyDescent="0.3">
      <c r="A696" s="19">
        <v>44490</v>
      </c>
      <c r="B696" s="25">
        <v>100.02</v>
      </c>
      <c r="C696" s="20">
        <f t="shared" si="20"/>
        <v>4.0152579803251504E-3</v>
      </c>
      <c r="H696" s="19">
        <v>44490</v>
      </c>
      <c r="I696" s="16">
        <v>45821.4</v>
      </c>
      <c r="J696" s="20">
        <f t="shared" si="21"/>
        <v>7.0756883708070891E-3</v>
      </c>
    </row>
    <row r="697" spans="1:10" x14ac:dyDescent="0.3">
      <c r="A697" s="19">
        <v>44491</v>
      </c>
      <c r="B697" s="25">
        <v>99.55</v>
      </c>
      <c r="C697" s="20">
        <f t="shared" si="20"/>
        <v>-4.6990601879623962E-3</v>
      </c>
      <c r="H697" s="19">
        <v>44491</v>
      </c>
      <c r="I697" s="16">
        <v>45578.36</v>
      </c>
      <c r="J697" s="20">
        <f t="shared" si="21"/>
        <v>-5.3040718965374446E-3</v>
      </c>
    </row>
    <row r="698" spans="1:10" x14ac:dyDescent="0.3">
      <c r="A698" s="19">
        <v>44494</v>
      </c>
      <c r="B698" s="25">
        <v>99.9</v>
      </c>
      <c r="C698" s="20">
        <f t="shared" si="20"/>
        <v>3.5158211953792923E-3</v>
      </c>
      <c r="H698" s="19">
        <v>44494</v>
      </c>
      <c r="I698" s="16">
        <v>45429.22</v>
      </c>
      <c r="J698" s="20">
        <f t="shared" si="21"/>
        <v>-3.2721668791944121E-3</v>
      </c>
    </row>
    <row r="699" spans="1:10" x14ac:dyDescent="0.3">
      <c r="A699" s="19">
        <v>44495</v>
      </c>
      <c r="B699" s="25">
        <v>99.96</v>
      </c>
      <c r="C699" s="20">
        <f t="shared" si="20"/>
        <v>6.0060060060048109E-4</v>
      </c>
      <c r="H699" s="19">
        <v>44495</v>
      </c>
      <c r="I699" s="16">
        <v>45255.98</v>
      </c>
      <c r="J699" s="20">
        <f t="shared" si="21"/>
        <v>-3.8134046765495415E-3</v>
      </c>
    </row>
    <row r="700" spans="1:10" x14ac:dyDescent="0.3">
      <c r="A700" s="19">
        <v>44496</v>
      </c>
      <c r="B700" s="25">
        <v>102.03</v>
      </c>
      <c r="C700" s="20">
        <f t="shared" si="20"/>
        <v>2.0708283313325405E-2</v>
      </c>
      <c r="H700" s="19">
        <v>44496</v>
      </c>
      <c r="I700" s="16">
        <v>45851.040000000001</v>
      </c>
      <c r="J700" s="20">
        <f t="shared" si="21"/>
        <v>1.3148759567243878E-2</v>
      </c>
    </row>
    <row r="701" spans="1:10" x14ac:dyDescent="0.3">
      <c r="A701" s="19">
        <v>44497</v>
      </c>
      <c r="B701" s="25">
        <v>102.4</v>
      </c>
      <c r="C701" s="20">
        <f t="shared" si="20"/>
        <v>3.6263843967460998E-3</v>
      </c>
      <c r="H701" s="19">
        <v>44497</v>
      </c>
      <c r="I701" s="16">
        <v>45990.73</v>
      </c>
      <c r="J701" s="20">
        <f t="shared" si="21"/>
        <v>3.0466048316461812E-3</v>
      </c>
    </row>
    <row r="702" spans="1:10" x14ac:dyDescent="0.3">
      <c r="A702" s="19">
        <v>44498</v>
      </c>
      <c r="B702" s="25">
        <v>103</v>
      </c>
      <c r="C702" s="20">
        <f t="shared" si="20"/>
        <v>5.8593749999999445E-3</v>
      </c>
      <c r="H702" s="19">
        <v>44498</v>
      </c>
      <c r="I702" s="16">
        <v>46218.93</v>
      </c>
      <c r="J702" s="20">
        <f t="shared" si="21"/>
        <v>4.9618694897862478E-3</v>
      </c>
    </row>
    <row r="703" spans="1:10" x14ac:dyDescent="0.3">
      <c r="A703" s="19">
        <v>44501</v>
      </c>
      <c r="B703" s="25">
        <v>104</v>
      </c>
      <c r="C703" s="20">
        <f t="shared" si="20"/>
        <v>9.7087378640776691E-3</v>
      </c>
      <c r="H703" s="19">
        <v>44501</v>
      </c>
      <c r="I703" s="16">
        <v>46946.21</v>
      </c>
      <c r="J703" s="20">
        <f t="shared" si="21"/>
        <v>1.5735543856164536E-2</v>
      </c>
    </row>
    <row r="704" spans="1:10" x14ac:dyDescent="0.3">
      <c r="A704" s="19">
        <v>44502</v>
      </c>
      <c r="B704" s="25">
        <v>103.96</v>
      </c>
      <c r="C704" s="20">
        <f t="shared" si="20"/>
        <v>-3.8461538461544473E-4</v>
      </c>
      <c r="H704" s="19">
        <v>44502</v>
      </c>
      <c r="I704" s="16">
        <v>47112.92</v>
      </c>
      <c r="J704" s="20">
        <f t="shared" si="21"/>
        <v>3.5510853804811746E-3</v>
      </c>
    </row>
    <row r="705" spans="1:10" x14ac:dyDescent="0.3">
      <c r="A705" s="19">
        <v>44503</v>
      </c>
      <c r="B705" s="25">
        <v>104.85</v>
      </c>
      <c r="C705" s="20">
        <f t="shared" si="20"/>
        <v>8.560984994228556E-3</v>
      </c>
      <c r="H705" s="19">
        <v>44503</v>
      </c>
      <c r="I705" s="16">
        <v>47032.44</v>
      </c>
      <c r="J705" s="20">
        <f t="shared" si="21"/>
        <v>-1.7082362969647377E-3</v>
      </c>
    </row>
    <row r="706" spans="1:10" x14ac:dyDescent="0.3">
      <c r="A706" s="19">
        <v>44504</v>
      </c>
      <c r="B706" s="25">
        <v>105.49</v>
      </c>
      <c r="C706" s="20">
        <f t="shared" si="20"/>
        <v>6.103958035288513E-3</v>
      </c>
      <c r="H706" s="19">
        <v>44504</v>
      </c>
      <c r="I706" s="16">
        <v>47219.18</v>
      </c>
      <c r="J706" s="20">
        <f t="shared" si="21"/>
        <v>3.9704510333718164E-3</v>
      </c>
    </row>
    <row r="707" spans="1:10" x14ac:dyDescent="0.3">
      <c r="A707" s="19">
        <v>44505</v>
      </c>
      <c r="B707" s="25">
        <v>101.78</v>
      </c>
      <c r="C707" s="20">
        <f t="shared" si="20"/>
        <v>-3.5169210351692043E-2</v>
      </c>
      <c r="H707" s="19">
        <v>44505</v>
      </c>
      <c r="I707" s="16">
        <v>47295.8</v>
      </c>
      <c r="J707" s="20">
        <f t="shared" si="21"/>
        <v>1.6226457130344622E-3</v>
      </c>
    </row>
    <row r="708" spans="1:10" x14ac:dyDescent="0.3">
      <c r="A708" s="19">
        <v>44508</v>
      </c>
      <c r="B708" s="25">
        <v>104</v>
      </c>
      <c r="C708" s="20">
        <f t="shared" si="20"/>
        <v>2.1811750835134591E-2</v>
      </c>
      <c r="H708" s="19">
        <v>44508</v>
      </c>
      <c r="I708" s="16">
        <v>47115.040000000001</v>
      </c>
      <c r="J708" s="20">
        <f t="shared" si="21"/>
        <v>-3.8219038476989928E-3</v>
      </c>
    </row>
    <row r="709" spans="1:10" x14ac:dyDescent="0.3">
      <c r="A709" s="19">
        <v>44509</v>
      </c>
      <c r="B709" s="25">
        <v>104.3</v>
      </c>
      <c r="C709" s="20">
        <f t="shared" ref="C709:C772" si="22">(B709-B708)/B708</f>
        <v>2.8846153846153575E-3</v>
      </c>
      <c r="H709" s="19">
        <v>44509</v>
      </c>
      <c r="I709" s="16">
        <v>46399.91</v>
      </c>
      <c r="J709" s="20">
        <f t="shared" ref="J709:J772" si="23">(I709-I708)/I708</f>
        <v>-1.5178380406766022E-2</v>
      </c>
    </row>
    <row r="710" spans="1:10" x14ac:dyDescent="0.3">
      <c r="A710" s="19">
        <v>44510</v>
      </c>
      <c r="B710" s="25">
        <v>105</v>
      </c>
      <c r="C710" s="20">
        <f t="shared" si="22"/>
        <v>6.711409395973182E-3</v>
      </c>
      <c r="H710" s="19">
        <v>44510</v>
      </c>
      <c r="I710" s="16">
        <v>46629.88</v>
      </c>
      <c r="J710" s="20">
        <f t="shared" si="23"/>
        <v>4.9562596134344631E-3</v>
      </c>
    </row>
    <row r="711" spans="1:10" x14ac:dyDescent="0.3">
      <c r="A711" s="19">
        <v>44511</v>
      </c>
      <c r="B711" s="25">
        <v>105.5</v>
      </c>
      <c r="C711" s="20">
        <f t="shared" si="22"/>
        <v>4.7619047619047623E-3</v>
      </c>
      <c r="H711" s="19">
        <v>44511</v>
      </c>
      <c r="I711" s="16">
        <v>46348.18</v>
      </c>
      <c r="J711" s="20">
        <f t="shared" si="23"/>
        <v>-6.0411907557985801E-3</v>
      </c>
    </row>
    <row r="712" spans="1:10" x14ac:dyDescent="0.3">
      <c r="A712" s="19">
        <v>44512</v>
      </c>
      <c r="B712" s="25">
        <v>104.5</v>
      </c>
      <c r="C712" s="20">
        <f t="shared" si="22"/>
        <v>-9.4786729857819912E-3</v>
      </c>
      <c r="H712" s="19">
        <v>44512</v>
      </c>
      <c r="I712" s="16">
        <v>45749.15</v>
      </c>
      <c r="J712" s="20">
        <f t="shared" si="23"/>
        <v>-1.2924563596671948E-2</v>
      </c>
    </row>
    <row r="713" spans="1:10" x14ac:dyDescent="0.3">
      <c r="A713" s="19">
        <v>44515</v>
      </c>
      <c r="B713" s="25">
        <v>105.99</v>
      </c>
      <c r="C713" s="20">
        <f t="shared" si="22"/>
        <v>1.4258373205741578E-2</v>
      </c>
      <c r="H713" s="19">
        <v>44515</v>
      </c>
      <c r="I713" s="16">
        <v>45736.26</v>
      </c>
      <c r="J713" s="20">
        <f t="shared" si="23"/>
        <v>-2.8175386865109884E-4</v>
      </c>
    </row>
    <row r="714" spans="1:10" x14ac:dyDescent="0.3">
      <c r="A714" s="19">
        <v>44516</v>
      </c>
      <c r="B714" s="25">
        <v>106</v>
      </c>
      <c r="C714" s="20">
        <f t="shared" si="22"/>
        <v>9.4348523445656352E-5</v>
      </c>
      <c r="H714" s="19">
        <v>44516</v>
      </c>
      <c r="I714" s="16">
        <v>46542.91</v>
      </c>
      <c r="J714" s="20">
        <f t="shared" si="23"/>
        <v>1.7636990868951711E-2</v>
      </c>
    </row>
    <row r="715" spans="1:10" x14ac:dyDescent="0.3">
      <c r="A715" s="19">
        <v>44517</v>
      </c>
      <c r="B715" s="25">
        <v>105.9</v>
      </c>
      <c r="C715" s="20">
        <f t="shared" si="22"/>
        <v>-9.4339622641504068E-4</v>
      </c>
      <c r="H715" s="19">
        <v>44517</v>
      </c>
      <c r="I715" s="16">
        <v>46194.42</v>
      </c>
      <c r="J715" s="20">
        <f t="shared" si="23"/>
        <v>-7.4874991701207594E-3</v>
      </c>
    </row>
    <row r="716" spans="1:10" x14ac:dyDescent="0.3">
      <c r="A716" s="19">
        <v>44518</v>
      </c>
      <c r="B716" s="25">
        <v>105.5</v>
      </c>
      <c r="C716" s="20">
        <f t="shared" si="22"/>
        <v>-3.7771482530689865E-3</v>
      </c>
      <c r="H716" s="19">
        <v>44518</v>
      </c>
      <c r="I716" s="16">
        <v>46110.5</v>
      </c>
      <c r="J716" s="20">
        <f t="shared" si="23"/>
        <v>-1.8166696323927924E-3</v>
      </c>
    </row>
    <row r="717" spans="1:10" x14ac:dyDescent="0.3">
      <c r="A717" s="19">
        <v>44519</v>
      </c>
      <c r="B717" s="25">
        <v>106.29</v>
      </c>
      <c r="C717" s="20">
        <f t="shared" si="22"/>
        <v>7.4881516587678321E-3</v>
      </c>
      <c r="H717" s="19">
        <v>44519</v>
      </c>
      <c r="I717" s="16">
        <v>46489.41</v>
      </c>
      <c r="J717" s="20">
        <f t="shared" si="23"/>
        <v>8.2174342069594453E-3</v>
      </c>
    </row>
    <row r="718" spans="1:10" x14ac:dyDescent="0.3">
      <c r="A718" s="19">
        <v>44522</v>
      </c>
      <c r="B718" s="25">
        <v>105</v>
      </c>
      <c r="C718" s="20">
        <f t="shared" si="22"/>
        <v>-1.2136607394863169E-2</v>
      </c>
      <c r="H718" s="19">
        <v>44522</v>
      </c>
      <c r="I718" s="16">
        <v>45745</v>
      </c>
      <c r="J718" s="20">
        <f t="shared" si="23"/>
        <v>-1.601246391382475E-2</v>
      </c>
    </row>
    <row r="719" spans="1:10" x14ac:dyDescent="0.3">
      <c r="A719" s="19">
        <v>44523</v>
      </c>
      <c r="B719" s="25">
        <v>104.15</v>
      </c>
      <c r="C719" s="20">
        <f t="shared" si="22"/>
        <v>-8.0952380952380408E-3</v>
      </c>
      <c r="H719" s="19">
        <v>44523</v>
      </c>
      <c r="I719" s="16">
        <v>44948.52</v>
      </c>
      <c r="J719" s="20">
        <f t="shared" si="23"/>
        <v>-1.7411301781615547E-2</v>
      </c>
    </row>
    <row r="720" spans="1:10" x14ac:dyDescent="0.3">
      <c r="A720" s="19">
        <v>44524</v>
      </c>
      <c r="B720" s="25">
        <v>101.1</v>
      </c>
      <c r="C720" s="20">
        <f t="shared" si="22"/>
        <v>-2.9284685549688057E-2</v>
      </c>
      <c r="H720" s="19">
        <v>44524</v>
      </c>
      <c r="I720" s="16">
        <v>44363.7</v>
      </c>
      <c r="J720" s="20">
        <f t="shared" si="23"/>
        <v>-1.3010884451812869E-2</v>
      </c>
    </row>
    <row r="721" spans="1:10" x14ac:dyDescent="0.3">
      <c r="A721" s="19">
        <v>44525</v>
      </c>
      <c r="B721" s="25">
        <v>100.08</v>
      </c>
      <c r="C721" s="20">
        <f t="shared" si="22"/>
        <v>-1.0089020771513314E-2</v>
      </c>
      <c r="H721" s="19">
        <v>44525</v>
      </c>
      <c r="I721" s="16">
        <v>43935.75</v>
      </c>
      <c r="J721" s="20">
        <f t="shared" si="23"/>
        <v>-9.6464000973768439E-3</v>
      </c>
    </row>
    <row r="722" spans="1:10" x14ac:dyDescent="0.3">
      <c r="A722" s="19">
        <v>44526</v>
      </c>
      <c r="B722" s="25">
        <v>100.9</v>
      </c>
      <c r="C722" s="20">
        <f t="shared" si="22"/>
        <v>8.1934452438050306E-3</v>
      </c>
      <c r="H722" s="19">
        <v>44526</v>
      </c>
      <c r="I722" s="16">
        <v>44114.16</v>
      </c>
      <c r="J722" s="20">
        <f t="shared" si="23"/>
        <v>4.060702275481891E-3</v>
      </c>
    </row>
    <row r="723" spans="1:10" x14ac:dyDescent="0.3">
      <c r="A723" s="19">
        <v>44529</v>
      </c>
      <c r="B723" s="25">
        <v>103.01</v>
      </c>
      <c r="C723" s="20">
        <f t="shared" si="22"/>
        <v>2.0911793855302271E-2</v>
      </c>
      <c r="H723" s="19">
        <v>44529</v>
      </c>
      <c r="I723" s="16">
        <v>45330.05</v>
      </c>
      <c r="J723" s="20">
        <f t="shared" si="23"/>
        <v>2.7562351861624462E-2</v>
      </c>
    </row>
    <row r="724" spans="1:10" x14ac:dyDescent="0.3">
      <c r="A724" s="19">
        <v>44530</v>
      </c>
      <c r="B724" s="25">
        <v>100.5</v>
      </c>
      <c r="C724" s="20">
        <f t="shared" si="22"/>
        <v>-2.4366566352781331E-2</v>
      </c>
      <c r="H724" s="19">
        <v>44530</v>
      </c>
      <c r="I724" s="16">
        <v>45072.38</v>
      </c>
      <c r="J724" s="20">
        <f t="shared" si="23"/>
        <v>-5.6843087532443826E-3</v>
      </c>
    </row>
    <row r="725" spans="1:10" x14ac:dyDescent="0.3">
      <c r="A725" s="19">
        <v>44531</v>
      </c>
      <c r="B725" s="25">
        <v>101.7</v>
      </c>
      <c r="C725" s="20">
        <f t="shared" si="22"/>
        <v>1.1940298507462714E-2</v>
      </c>
      <c r="H725" s="19">
        <v>44531</v>
      </c>
      <c r="I725" s="16">
        <v>45369.14</v>
      </c>
      <c r="J725" s="20">
        <f t="shared" si="23"/>
        <v>6.5840765453255862E-3</v>
      </c>
    </row>
    <row r="726" spans="1:10" x14ac:dyDescent="0.3">
      <c r="A726" s="19">
        <v>44532</v>
      </c>
      <c r="B726" s="25">
        <v>98.9</v>
      </c>
      <c r="C726" s="20">
        <f t="shared" si="22"/>
        <v>-2.7531956735496528E-2</v>
      </c>
      <c r="H726" s="19">
        <v>44532</v>
      </c>
      <c r="I726" s="16">
        <v>43234.15</v>
      </c>
      <c r="J726" s="20">
        <f t="shared" si="23"/>
        <v>-4.7058198590495613E-2</v>
      </c>
    </row>
    <row r="727" spans="1:10" x14ac:dyDescent="0.3">
      <c r="A727" s="19">
        <v>44533</v>
      </c>
      <c r="B727" s="25">
        <v>99.75</v>
      </c>
      <c r="C727" s="20">
        <f t="shared" si="22"/>
        <v>8.5945399393326013E-3</v>
      </c>
      <c r="H727" s="19">
        <v>44533</v>
      </c>
      <c r="I727" s="16">
        <v>43232.83</v>
      </c>
      <c r="J727" s="20">
        <f t="shared" si="23"/>
        <v>-3.0531420185194089E-5</v>
      </c>
    </row>
    <row r="728" spans="1:10" x14ac:dyDescent="0.3">
      <c r="A728" s="19">
        <v>44536</v>
      </c>
      <c r="B728" s="25">
        <v>98.73</v>
      </c>
      <c r="C728" s="20">
        <f t="shared" si="22"/>
        <v>-1.0225563909774396E-2</v>
      </c>
      <c r="H728" s="19">
        <v>44536</v>
      </c>
      <c r="I728" s="16">
        <v>43280.77</v>
      </c>
      <c r="J728" s="20">
        <f t="shared" si="23"/>
        <v>1.1088795251200316E-3</v>
      </c>
    </row>
    <row r="729" spans="1:10" x14ac:dyDescent="0.3">
      <c r="A729" s="19">
        <v>44537</v>
      </c>
      <c r="B729" s="25">
        <v>99.3</v>
      </c>
      <c r="C729" s="20">
        <f t="shared" si="22"/>
        <v>5.7733211789728874E-3</v>
      </c>
      <c r="H729" s="19">
        <v>44537</v>
      </c>
      <c r="I729" s="16">
        <v>43853.49</v>
      </c>
      <c r="J729" s="20">
        <f t="shared" si="23"/>
        <v>1.3232666609212388E-2</v>
      </c>
    </row>
    <row r="730" spans="1:10" x14ac:dyDescent="0.3">
      <c r="A730" s="19">
        <v>44538</v>
      </c>
      <c r="B730" s="25">
        <v>98.8</v>
      </c>
      <c r="C730" s="20">
        <f t="shared" si="22"/>
        <v>-5.0352467270896274E-3</v>
      </c>
      <c r="H730" s="19">
        <v>44538</v>
      </c>
      <c r="I730" s="16">
        <v>43846.87</v>
      </c>
      <c r="J730" s="20">
        <f t="shared" si="23"/>
        <v>-1.5095719861738129E-4</v>
      </c>
    </row>
    <row r="731" spans="1:10" x14ac:dyDescent="0.3">
      <c r="A731" s="19">
        <v>44539</v>
      </c>
      <c r="B731" s="25">
        <v>100</v>
      </c>
      <c r="C731" s="20">
        <f t="shared" si="22"/>
        <v>1.2145748987854281E-2</v>
      </c>
      <c r="H731" s="19">
        <v>44539</v>
      </c>
      <c r="I731" s="16">
        <v>43518.84</v>
      </c>
      <c r="J731" s="20">
        <f t="shared" si="23"/>
        <v>-7.4812637709374945E-3</v>
      </c>
    </row>
    <row r="732" spans="1:10" x14ac:dyDescent="0.3">
      <c r="A732" s="19">
        <v>44540</v>
      </c>
      <c r="B732" s="25">
        <v>100.5</v>
      </c>
      <c r="C732" s="20">
        <f t="shared" si="22"/>
        <v>5.0000000000000001E-3</v>
      </c>
      <c r="H732" s="19">
        <v>44540</v>
      </c>
      <c r="I732" s="16">
        <v>43395.78</v>
      </c>
      <c r="J732" s="20">
        <f t="shared" si="23"/>
        <v>-2.8277408129444093E-3</v>
      </c>
    </row>
    <row r="733" spans="1:10" x14ac:dyDescent="0.3">
      <c r="A733" s="19">
        <v>44543</v>
      </c>
      <c r="B733" s="25">
        <v>100.16</v>
      </c>
      <c r="C733" s="20">
        <f t="shared" si="22"/>
        <v>-3.3830845771144619E-3</v>
      </c>
      <c r="H733" s="19">
        <v>44543</v>
      </c>
      <c r="I733" s="16">
        <v>42876.37</v>
      </c>
      <c r="J733" s="20">
        <f t="shared" si="23"/>
        <v>-1.1969136169461552E-2</v>
      </c>
    </row>
    <row r="734" spans="1:10" x14ac:dyDescent="0.3">
      <c r="A734" s="19">
        <v>44544</v>
      </c>
      <c r="B734" s="25">
        <v>100.4</v>
      </c>
      <c r="C734" s="20">
        <f t="shared" si="22"/>
        <v>2.3961661341853945E-3</v>
      </c>
      <c r="H734" s="19">
        <v>44544</v>
      </c>
      <c r="I734" s="16">
        <v>43246.71</v>
      </c>
      <c r="J734" s="20">
        <f t="shared" si="23"/>
        <v>8.6373916448616445E-3</v>
      </c>
    </row>
    <row r="735" spans="1:10" x14ac:dyDescent="0.3">
      <c r="A735" s="19">
        <v>44545</v>
      </c>
      <c r="B735" s="25">
        <v>100.25</v>
      </c>
      <c r="C735" s="20">
        <f t="shared" si="22"/>
        <v>-1.4940239043825267E-3</v>
      </c>
      <c r="H735" s="19">
        <v>44545</v>
      </c>
      <c r="I735" s="16">
        <v>44366.86</v>
      </c>
      <c r="J735" s="20">
        <f t="shared" si="23"/>
        <v>2.5901392267758668E-2</v>
      </c>
    </row>
    <row r="736" spans="1:10" x14ac:dyDescent="0.3">
      <c r="A736" s="19">
        <v>44546</v>
      </c>
      <c r="B736" s="25">
        <v>99.6</v>
      </c>
      <c r="C736" s="20">
        <f t="shared" si="22"/>
        <v>-6.48379052369083E-3</v>
      </c>
      <c r="H736" s="19">
        <v>44546</v>
      </c>
      <c r="I736" s="16">
        <v>43731.199999999997</v>
      </c>
      <c r="J736" s="20">
        <f t="shared" si="23"/>
        <v>-1.4327360556956329E-2</v>
      </c>
    </row>
    <row r="737" spans="1:10" x14ac:dyDescent="0.3">
      <c r="A737" s="19">
        <v>44547</v>
      </c>
      <c r="B737" s="25">
        <v>98.91</v>
      </c>
      <c r="C737" s="20">
        <f t="shared" si="22"/>
        <v>-6.9277108433734719E-3</v>
      </c>
      <c r="H737" s="19">
        <v>44547</v>
      </c>
      <c r="I737" s="16">
        <v>43900.68</v>
      </c>
      <c r="J737" s="20">
        <f t="shared" si="23"/>
        <v>3.8754939265330749E-3</v>
      </c>
    </row>
    <row r="738" spans="1:10" x14ac:dyDescent="0.3">
      <c r="A738" s="19">
        <v>44550</v>
      </c>
      <c r="B738" s="25">
        <v>99.3</v>
      </c>
      <c r="C738" s="20">
        <f t="shared" si="22"/>
        <v>3.9429784652714652E-3</v>
      </c>
      <c r="H738" s="19">
        <v>44550</v>
      </c>
      <c r="I738" s="16">
        <v>44339.95</v>
      </c>
      <c r="J738" s="20">
        <f t="shared" si="23"/>
        <v>1.0005995351324782E-2</v>
      </c>
    </row>
    <row r="739" spans="1:10" x14ac:dyDescent="0.3">
      <c r="A739" s="19">
        <v>44551</v>
      </c>
      <c r="B739" s="25">
        <v>99</v>
      </c>
      <c r="C739" s="20">
        <f t="shared" si="22"/>
        <v>-3.0211480362537478E-3</v>
      </c>
      <c r="H739" s="19">
        <v>44551</v>
      </c>
      <c r="I739" s="16">
        <v>44177.07</v>
      </c>
      <c r="J739" s="20">
        <f t="shared" si="23"/>
        <v>-3.6734367088821118E-3</v>
      </c>
    </row>
    <row r="740" spans="1:10" x14ac:dyDescent="0.3">
      <c r="A740" s="19">
        <v>44552</v>
      </c>
      <c r="B740" s="25">
        <v>99.49</v>
      </c>
      <c r="C740" s="20">
        <f t="shared" si="22"/>
        <v>4.9494949494948981E-3</v>
      </c>
      <c r="H740" s="19">
        <v>44552</v>
      </c>
      <c r="I740" s="16">
        <v>44174.97</v>
      </c>
      <c r="J740" s="20">
        <f t="shared" si="23"/>
        <v>-4.7535972847419367E-5</v>
      </c>
    </row>
    <row r="741" spans="1:10" x14ac:dyDescent="0.3">
      <c r="A741" s="19">
        <v>44553</v>
      </c>
      <c r="B741" s="25">
        <v>99</v>
      </c>
      <c r="C741" s="20">
        <f t="shared" si="22"/>
        <v>-4.92511810232179E-3</v>
      </c>
      <c r="H741" s="19">
        <v>44553</v>
      </c>
      <c r="I741" s="16">
        <v>44266.9</v>
      </c>
      <c r="J741" s="20">
        <f t="shared" si="23"/>
        <v>2.081042726231626E-3</v>
      </c>
    </row>
    <row r="742" spans="1:10" x14ac:dyDescent="0.3">
      <c r="A742" s="19">
        <v>44554</v>
      </c>
      <c r="B742" s="25">
        <v>99</v>
      </c>
      <c r="C742" s="20">
        <f t="shared" si="22"/>
        <v>0</v>
      </c>
      <c r="H742" s="19">
        <v>44554</v>
      </c>
      <c r="I742" s="16">
        <v>44118.39</v>
      </c>
      <c r="J742" s="20">
        <f t="shared" si="23"/>
        <v>-3.3548768944742465E-3</v>
      </c>
    </row>
    <row r="743" spans="1:10" x14ac:dyDescent="0.3">
      <c r="A743" s="19">
        <v>44557</v>
      </c>
      <c r="B743" s="25">
        <v>98</v>
      </c>
      <c r="C743" s="20">
        <f t="shared" si="22"/>
        <v>-1.0101010101010102E-2</v>
      </c>
      <c r="H743" s="19">
        <v>44557</v>
      </c>
      <c r="I743" s="16">
        <v>43913.440000000002</v>
      </c>
      <c r="J743" s="20">
        <f t="shared" si="23"/>
        <v>-4.6454551038693183E-3</v>
      </c>
    </row>
    <row r="744" spans="1:10" x14ac:dyDescent="0.3">
      <c r="A744" s="19">
        <v>44558</v>
      </c>
      <c r="B744" s="25">
        <v>97.75</v>
      </c>
      <c r="C744" s="20">
        <f t="shared" si="22"/>
        <v>-2.5510204081632651E-3</v>
      </c>
      <c r="H744" s="19">
        <v>44558</v>
      </c>
      <c r="I744" s="16">
        <v>44043.74</v>
      </c>
      <c r="J744" s="20">
        <f t="shared" si="23"/>
        <v>2.9672009298291283E-3</v>
      </c>
    </row>
    <row r="745" spans="1:10" x14ac:dyDescent="0.3">
      <c r="A745" s="19">
        <v>44559</v>
      </c>
      <c r="B745" s="25">
        <v>97.75</v>
      </c>
      <c r="C745" s="20">
        <f t="shared" si="22"/>
        <v>0</v>
      </c>
      <c r="H745" s="19">
        <v>44559</v>
      </c>
      <c r="I745" s="16">
        <v>44260.11</v>
      </c>
      <c r="J745" s="20">
        <f t="shared" si="23"/>
        <v>4.9126164126843596E-3</v>
      </c>
    </row>
    <row r="746" spans="1:10" x14ac:dyDescent="0.3">
      <c r="A746" s="19">
        <v>44560</v>
      </c>
      <c r="B746" s="25">
        <v>98.8</v>
      </c>
      <c r="C746" s="20">
        <f t="shared" si="22"/>
        <v>1.0741687979539612E-2</v>
      </c>
      <c r="H746" s="19">
        <v>44560</v>
      </c>
      <c r="I746" s="16">
        <v>44416.2</v>
      </c>
      <c r="J746" s="20">
        <f t="shared" si="23"/>
        <v>3.5266518768253515E-3</v>
      </c>
    </row>
    <row r="747" spans="1:10" x14ac:dyDescent="0.3">
      <c r="A747" s="19">
        <v>44561</v>
      </c>
      <c r="B747" s="25">
        <v>100.26</v>
      </c>
      <c r="C747" s="20">
        <f t="shared" si="22"/>
        <v>1.4777327935222753E-2</v>
      </c>
      <c r="H747" s="19">
        <v>44561</v>
      </c>
      <c r="I747" s="16">
        <v>44596.07</v>
      </c>
      <c r="J747" s="20">
        <f t="shared" si="23"/>
        <v>4.0496485516546355E-3</v>
      </c>
    </row>
    <row r="748" spans="1:10" x14ac:dyDescent="0.3">
      <c r="A748" s="19">
        <v>44564</v>
      </c>
      <c r="B748" s="25">
        <v>100.7</v>
      </c>
      <c r="C748" s="20">
        <f t="shared" si="22"/>
        <v>4.3885896668661249E-3</v>
      </c>
      <c r="H748" s="19">
        <v>44564</v>
      </c>
      <c r="I748" s="16">
        <v>44886.89</v>
      </c>
      <c r="J748" s="20">
        <f t="shared" si="23"/>
        <v>6.5212024288238786E-3</v>
      </c>
    </row>
    <row r="749" spans="1:10" x14ac:dyDescent="0.3">
      <c r="A749" s="19">
        <v>44565</v>
      </c>
      <c r="B749" s="25">
        <v>100.75</v>
      </c>
      <c r="C749" s="20">
        <f t="shared" si="22"/>
        <v>4.9652432969212671E-4</v>
      </c>
      <c r="H749" s="19">
        <v>44565</v>
      </c>
      <c r="I749" s="16">
        <v>45390.84</v>
      </c>
      <c r="J749" s="20">
        <f t="shared" si="23"/>
        <v>1.1227108850713362E-2</v>
      </c>
    </row>
    <row r="750" spans="1:10" x14ac:dyDescent="0.3">
      <c r="A750" s="19">
        <v>44566</v>
      </c>
      <c r="B750" s="25">
        <v>101.52</v>
      </c>
      <c r="C750" s="20">
        <f t="shared" si="22"/>
        <v>7.642679900744377E-3</v>
      </c>
      <c r="H750" s="19">
        <v>44566</v>
      </c>
      <c r="I750" s="16">
        <v>45407.89</v>
      </c>
      <c r="J750" s="20">
        <f t="shared" si="23"/>
        <v>3.7562644797943621E-4</v>
      </c>
    </row>
    <row r="751" spans="1:10" x14ac:dyDescent="0.3">
      <c r="A751" s="19">
        <v>44567</v>
      </c>
      <c r="B751" s="25">
        <v>101.75</v>
      </c>
      <c r="C751" s="20">
        <f t="shared" si="22"/>
        <v>2.265563435776241E-3</v>
      </c>
      <c r="H751" s="19">
        <v>44567</v>
      </c>
      <c r="I751" s="16">
        <v>45082.3</v>
      </c>
      <c r="J751" s="20">
        <f t="shared" si="23"/>
        <v>-7.1703397801570722E-3</v>
      </c>
    </row>
    <row r="752" spans="1:10" x14ac:dyDescent="0.3">
      <c r="A752" s="19">
        <v>44568</v>
      </c>
      <c r="B752" s="25">
        <v>103.75</v>
      </c>
      <c r="C752" s="20">
        <f t="shared" si="22"/>
        <v>1.9656019656019656E-2</v>
      </c>
      <c r="H752" s="19">
        <v>44568</v>
      </c>
      <c r="I752" s="16">
        <v>45345.65</v>
      </c>
      <c r="J752" s="20">
        <f t="shared" si="23"/>
        <v>5.8415386970052221E-3</v>
      </c>
    </row>
    <row r="753" spans="1:10" x14ac:dyDescent="0.3">
      <c r="A753" s="19">
        <v>44571</v>
      </c>
      <c r="B753" s="25">
        <v>103.95</v>
      </c>
      <c r="C753" s="20">
        <f t="shared" si="22"/>
        <v>1.9277108433735214E-3</v>
      </c>
      <c r="H753" s="19">
        <v>44571</v>
      </c>
      <c r="I753" s="16">
        <v>45887.63</v>
      </c>
      <c r="J753" s="20">
        <f t="shared" si="23"/>
        <v>1.1952193870856321E-2</v>
      </c>
    </row>
    <row r="754" spans="1:10" x14ac:dyDescent="0.3">
      <c r="A754" s="19">
        <v>44572</v>
      </c>
      <c r="B754" s="25">
        <v>104</v>
      </c>
      <c r="C754" s="20">
        <f t="shared" si="22"/>
        <v>4.8100048100045364E-4</v>
      </c>
      <c r="H754" s="19">
        <v>44572</v>
      </c>
      <c r="I754" s="16">
        <v>45881.13</v>
      </c>
      <c r="J754" s="20">
        <f t="shared" si="23"/>
        <v>-1.4165037505750461E-4</v>
      </c>
    </row>
    <row r="755" spans="1:10" x14ac:dyDescent="0.3">
      <c r="A755" s="19">
        <v>44573</v>
      </c>
      <c r="B755" s="25">
        <v>104.8</v>
      </c>
      <c r="C755" s="20">
        <f t="shared" si="22"/>
        <v>7.692307692307665E-3</v>
      </c>
      <c r="H755" s="19">
        <v>44573</v>
      </c>
      <c r="I755" s="16">
        <v>45916.25</v>
      </c>
      <c r="J755" s="20">
        <f t="shared" si="23"/>
        <v>7.6545629979040666E-4</v>
      </c>
    </row>
    <row r="756" spans="1:10" x14ac:dyDescent="0.3">
      <c r="A756" s="19">
        <v>44574</v>
      </c>
      <c r="B756" s="25">
        <v>104.05</v>
      </c>
      <c r="C756" s="20">
        <f t="shared" si="22"/>
        <v>-7.1564885496183204E-3</v>
      </c>
      <c r="H756" s="19">
        <v>44574</v>
      </c>
      <c r="I756" s="16">
        <v>45763.199999999997</v>
      </c>
      <c r="J756" s="20">
        <f t="shared" si="23"/>
        <v>-3.3332425884083066E-3</v>
      </c>
    </row>
    <row r="757" spans="1:10" x14ac:dyDescent="0.3">
      <c r="A757" s="19">
        <v>44575</v>
      </c>
      <c r="B757" s="25">
        <v>104.6</v>
      </c>
      <c r="C757" s="20">
        <f t="shared" si="22"/>
        <v>5.2859202306583105E-3</v>
      </c>
      <c r="H757" s="19">
        <v>44575</v>
      </c>
      <c r="I757" s="16">
        <v>45763.45</v>
      </c>
      <c r="J757" s="20">
        <f t="shared" si="23"/>
        <v>5.4629046919795826E-6</v>
      </c>
    </row>
    <row r="758" spans="1:10" x14ac:dyDescent="0.3">
      <c r="A758" s="19">
        <v>44578</v>
      </c>
      <c r="B758" s="25">
        <v>105.34</v>
      </c>
      <c r="C758" s="20">
        <f t="shared" si="22"/>
        <v>7.0745697896750399E-3</v>
      </c>
      <c r="H758" s="19">
        <v>44578</v>
      </c>
      <c r="I758" s="16">
        <v>45612.2</v>
      </c>
      <c r="J758" s="20">
        <f t="shared" si="23"/>
        <v>-3.3050392835330378E-3</v>
      </c>
    </row>
    <row r="759" spans="1:10" x14ac:dyDescent="0.3">
      <c r="A759" s="19">
        <v>44579</v>
      </c>
      <c r="B759" s="25">
        <v>105.25</v>
      </c>
      <c r="C759" s="20">
        <f t="shared" si="22"/>
        <v>-8.5437630529716548E-4</v>
      </c>
      <c r="H759" s="19">
        <v>44579</v>
      </c>
      <c r="I759" s="16">
        <v>45507.41</v>
      </c>
      <c r="J759" s="20">
        <f t="shared" si="23"/>
        <v>-2.2974116574073079E-3</v>
      </c>
    </row>
    <row r="760" spans="1:10" x14ac:dyDescent="0.3">
      <c r="A760" s="19">
        <v>44580</v>
      </c>
      <c r="B760" s="25">
        <v>104.1</v>
      </c>
      <c r="C760" s="20">
        <f t="shared" si="22"/>
        <v>-1.092636579572452E-2</v>
      </c>
      <c r="H760" s="19">
        <v>44580</v>
      </c>
      <c r="I760" s="16">
        <v>44833.43</v>
      </c>
      <c r="J760" s="20">
        <f t="shared" si="23"/>
        <v>-1.4810335283858236E-2</v>
      </c>
    </row>
    <row r="761" spans="1:10" x14ac:dyDescent="0.3">
      <c r="A761" s="19">
        <v>44581</v>
      </c>
      <c r="B761" s="25">
        <v>104</v>
      </c>
      <c r="C761" s="20">
        <f t="shared" si="22"/>
        <v>-9.6061479346776484E-4</v>
      </c>
      <c r="H761" s="19">
        <v>44581</v>
      </c>
      <c r="I761" s="16">
        <v>44825.97</v>
      </c>
      <c r="J761" s="20">
        <f t="shared" si="23"/>
        <v>-1.6639369327751919E-4</v>
      </c>
    </row>
    <row r="762" spans="1:10" x14ac:dyDescent="0.3">
      <c r="A762" s="19">
        <v>44582</v>
      </c>
      <c r="B762" s="25">
        <v>104.2</v>
      </c>
      <c r="C762" s="20">
        <f t="shared" si="22"/>
        <v>1.9230769230769505E-3</v>
      </c>
      <c r="H762" s="19">
        <v>44582</v>
      </c>
      <c r="I762" s="16">
        <v>45018.28</v>
      </c>
      <c r="J762" s="20">
        <f t="shared" si="23"/>
        <v>4.2901469839915938E-3</v>
      </c>
    </row>
    <row r="763" spans="1:10" x14ac:dyDescent="0.3">
      <c r="A763" s="19">
        <v>44585</v>
      </c>
      <c r="B763" s="25">
        <v>105.6</v>
      </c>
      <c r="C763" s="20">
        <f t="shared" si="22"/>
        <v>1.3435700575815657E-2</v>
      </c>
      <c r="H763" s="19">
        <v>44585</v>
      </c>
      <c r="I763" s="16">
        <v>44923.91</v>
      </c>
      <c r="J763" s="20">
        <f t="shared" si="23"/>
        <v>-2.0962595638926084E-3</v>
      </c>
    </row>
    <row r="764" spans="1:10" x14ac:dyDescent="0.3">
      <c r="A764" s="19">
        <v>44586</v>
      </c>
      <c r="B764" s="25">
        <v>106.3</v>
      </c>
      <c r="C764" s="20">
        <f t="shared" si="22"/>
        <v>6.6287878787879059E-3</v>
      </c>
      <c r="H764" s="19">
        <v>44586</v>
      </c>
      <c r="I764" s="16">
        <v>44887.77</v>
      </c>
      <c r="J764" s="20">
        <f t="shared" si="23"/>
        <v>-8.0447138283392273E-4</v>
      </c>
    </row>
    <row r="765" spans="1:10" x14ac:dyDescent="0.3">
      <c r="A765" s="19">
        <v>44587</v>
      </c>
      <c r="B765" s="25">
        <v>106</v>
      </c>
      <c r="C765" s="20">
        <f t="shared" si="22"/>
        <v>-2.8222013170272546E-3</v>
      </c>
      <c r="H765" s="19">
        <v>44587</v>
      </c>
      <c r="I765" s="16">
        <v>44955.05</v>
      </c>
      <c r="J765" s="20">
        <f t="shared" si="23"/>
        <v>1.4988492411185969E-3</v>
      </c>
    </row>
    <row r="766" spans="1:10" x14ac:dyDescent="0.3">
      <c r="A766" s="19">
        <v>44588</v>
      </c>
      <c r="B766" s="25">
        <v>105.99</v>
      </c>
      <c r="C766" s="20">
        <f t="shared" si="22"/>
        <v>-9.4339622641557703E-5</v>
      </c>
      <c r="H766" s="19">
        <v>44588</v>
      </c>
      <c r="I766" s="16">
        <v>45083.040000000001</v>
      </c>
      <c r="J766" s="20">
        <f t="shared" si="23"/>
        <v>2.8470661249403117E-3</v>
      </c>
    </row>
    <row r="767" spans="1:10" x14ac:dyDescent="0.3">
      <c r="A767" s="19">
        <v>44589</v>
      </c>
      <c r="B767" s="25">
        <v>106</v>
      </c>
      <c r="C767" s="20">
        <f t="shared" si="22"/>
        <v>9.4348523445656352E-5</v>
      </c>
      <c r="H767" s="19">
        <v>44589</v>
      </c>
      <c r="I767" s="16">
        <v>45077.91</v>
      </c>
      <c r="J767" s="20">
        <f t="shared" si="23"/>
        <v>-1.1379001948398733E-4</v>
      </c>
    </row>
    <row r="768" spans="1:10" x14ac:dyDescent="0.3">
      <c r="A768" s="19">
        <v>44592</v>
      </c>
      <c r="B768" s="25">
        <v>106.8</v>
      </c>
      <c r="C768" s="20">
        <f t="shared" si="22"/>
        <v>7.5471698113207279E-3</v>
      </c>
      <c r="H768" s="19">
        <v>44592</v>
      </c>
      <c r="I768" s="16">
        <v>45374.68</v>
      </c>
      <c r="J768" s="20">
        <f t="shared" si="23"/>
        <v>6.5834906720386279E-3</v>
      </c>
    </row>
    <row r="769" spans="1:10" x14ac:dyDescent="0.3">
      <c r="A769" s="19">
        <v>44593</v>
      </c>
      <c r="B769" s="25">
        <v>108.3</v>
      </c>
      <c r="C769" s="20">
        <f t="shared" si="22"/>
        <v>1.4044943820224719E-2</v>
      </c>
      <c r="H769" s="19">
        <v>44593</v>
      </c>
      <c r="I769" s="16">
        <v>45674.5</v>
      </c>
      <c r="J769" s="20">
        <f t="shared" si="23"/>
        <v>6.607649905189408E-3</v>
      </c>
    </row>
    <row r="770" spans="1:10" x14ac:dyDescent="0.3">
      <c r="A770" s="19">
        <v>44594</v>
      </c>
      <c r="B770" s="25">
        <v>108.5</v>
      </c>
      <c r="C770" s="20">
        <f t="shared" si="22"/>
        <v>1.8467220683287429E-3</v>
      </c>
      <c r="H770" s="19">
        <v>44594</v>
      </c>
      <c r="I770" s="16">
        <v>46119.15</v>
      </c>
      <c r="J770" s="20">
        <f t="shared" si="23"/>
        <v>9.7351914087729797E-3</v>
      </c>
    </row>
    <row r="771" spans="1:10" x14ac:dyDescent="0.3">
      <c r="A771" s="19">
        <v>44595</v>
      </c>
      <c r="B771" s="25">
        <v>107.52</v>
      </c>
      <c r="C771" s="20">
        <f t="shared" si="22"/>
        <v>-9.0322580645161663E-3</v>
      </c>
      <c r="H771" s="19">
        <v>44595</v>
      </c>
      <c r="I771" s="16">
        <v>45862.93</v>
      </c>
      <c r="J771" s="20">
        <f t="shared" si="23"/>
        <v>-5.5556097629726733E-3</v>
      </c>
    </row>
    <row r="772" spans="1:10" x14ac:dyDescent="0.3">
      <c r="A772" s="19">
        <v>44596</v>
      </c>
      <c r="B772" s="25">
        <v>109.04</v>
      </c>
      <c r="C772" s="20">
        <f t="shared" si="22"/>
        <v>1.4136904761904857E-2</v>
      </c>
      <c r="H772" s="19">
        <v>44596</v>
      </c>
      <c r="I772" s="16">
        <v>45909.65</v>
      </c>
      <c r="J772" s="20">
        <f t="shared" si="23"/>
        <v>1.0186876416312949E-3</v>
      </c>
    </row>
    <row r="773" spans="1:10" x14ac:dyDescent="0.3">
      <c r="A773" s="19">
        <v>44599</v>
      </c>
      <c r="B773" s="25">
        <v>109.15</v>
      </c>
      <c r="C773" s="20">
        <f t="shared" ref="C773:C836" si="24">(B773-B772)/B772</f>
        <v>1.0088041085840006E-3</v>
      </c>
      <c r="H773" s="19">
        <v>44599</v>
      </c>
      <c r="I773" s="16">
        <v>45841.25</v>
      </c>
      <c r="J773" s="20">
        <f t="shared" ref="J773:J836" si="25">(I773-I772)/I772</f>
        <v>-1.4898828459812142E-3</v>
      </c>
    </row>
    <row r="774" spans="1:10" x14ac:dyDescent="0.3">
      <c r="A774" s="19">
        <v>44600</v>
      </c>
      <c r="B774" s="25">
        <v>109.5</v>
      </c>
      <c r="C774" s="20">
        <f t="shared" si="24"/>
        <v>3.2065964269353577E-3</v>
      </c>
      <c r="H774" s="19">
        <v>44600</v>
      </c>
      <c r="I774" s="16">
        <v>45947.95</v>
      </c>
      <c r="J774" s="20">
        <f t="shared" si="25"/>
        <v>2.3275979603522394E-3</v>
      </c>
    </row>
    <row r="775" spans="1:10" x14ac:dyDescent="0.3">
      <c r="A775" s="19">
        <v>44601</v>
      </c>
      <c r="B775" s="25">
        <v>110.99</v>
      </c>
      <c r="C775" s="20">
        <f t="shared" si="24"/>
        <v>1.3607305936073013E-2</v>
      </c>
      <c r="H775" s="19">
        <v>44601</v>
      </c>
      <c r="I775" s="16">
        <v>46339.76</v>
      </c>
      <c r="J775" s="20">
        <f t="shared" si="25"/>
        <v>8.5272574728579836E-3</v>
      </c>
    </row>
    <row r="776" spans="1:10" x14ac:dyDescent="0.3">
      <c r="A776" s="19">
        <v>44602</v>
      </c>
      <c r="B776" s="25">
        <v>110.7</v>
      </c>
      <c r="C776" s="20">
        <f t="shared" si="24"/>
        <v>-2.6128480043246423E-3</v>
      </c>
      <c r="H776" s="19">
        <v>44602</v>
      </c>
      <c r="I776" s="16">
        <v>45940.04</v>
      </c>
      <c r="J776" s="20">
        <f t="shared" si="25"/>
        <v>-8.6258539103353394E-3</v>
      </c>
    </row>
    <row r="777" spans="1:10" x14ac:dyDescent="0.3">
      <c r="A777" s="19">
        <v>44603</v>
      </c>
      <c r="B777" s="25">
        <v>110.65</v>
      </c>
      <c r="C777" s="20">
        <f t="shared" si="24"/>
        <v>-4.5167118337847479E-4</v>
      </c>
      <c r="H777" s="19">
        <v>44603</v>
      </c>
      <c r="I777" s="16">
        <v>46079.37</v>
      </c>
      <c r="J777" s="20">
        <f t="shared" si="25"/>
        <v>3.032866318792969E-3</v>
      </c>
    </row>
    <row r="778" spans="1:10" x14ac:dyDescent="0.3">
      <c r="A778" s="19">
        <v>44606</v>
      </c>
      <c r="B778" s="25">
        <v>109.05</v>
      </c>
      <c r="C778" s="20">
        <f t="shared" si="24"/>
        <v>-1.4460009037505725E-2</v>
      </c>
      <c r="H778" s="19">
        <v>44606</v>
      </c>
      <c r="I778" s="16">
        <v>45644.09</v>
      </c>
      <c r="J778" s="20">
        <f t="shared" si="25"/>
        <v>-9.446309704321176E-3</v>
      </c>
    </row>
    <row r="779" spans="1:10" x14ac:dyDescent="0.3">
      <c r="A779" s="19">
        <v>44607</v>
      </c>
      <c r="B779" s="25">
        <v>109</v>
      </c>
      <c r="C779" s="20">
        <f t="shared" si="24"/>
        <v>-4.5850527281061129E-4</v>
      </c>
      <c r="H779" s="19">
        <v>44607</v>
      </c>
      <c r="I779" s="16">
        <v>45731.7</v>
      </c>
      <c r="J779" s="20">
        <f t="shared" si="25"/>
        <v>1.9194160733624131E-3</v>
      </c>
    </row>
    <row r="780" spans="1:10" x14ac:dyDescent="0.3">
      <c r="A780" s="19">
        <v>44608</v>
      </c>
      <c r="B780" s="25">
        <v>109.49</v>
      </c>
      <c r="C780" s="20">
        <f t="shared" si="24"/>
        <v>4.4954128440366503E-3</v>
      </c>
      <c r="H780" s="19">
        <v>44608</v>
      </c>
      <c r="I780" s="16">
        <v>45684.800000000003</v>
      </c>
      <c r="J780" s="20">
        <f t="shared" si="25"/>
        <v>-1.0255468307540324E-3</v>
      </c>
    </row>
    <row r="781" spans="1:10" x14ac:dyDescent="0.3">
      <c r="A781" s="19">
        <v>44609</v>
      </c>
      <c r="B781" s="25">
        <v>110</v>
      </c>
      <c r="C781" s="20">
        <f t="shared" si="24"/>
        <v>4.6579596310165781E-3</v>
      </c>
      <c r="H781" s="19">
        <v>44609</v>
      </c>
      <c r="I781" s="16">
        <v>45441.1</v>
      </c>
      <c r="J781" s="20">
        <f t="shared" si="25"/>
        <v>-5.3343781739222749E-3</v>
      </c>
    </row>
    <row r="782" spans="1:10" x14ac:dyDescent="0.3">
      <c r="A782" s="19">
        <v>44610</v>
      </c>
      <c r="B782" s="25">
        <v>110.1</v>
      </c>
      <c r="C782" s="20">
        <f t="shared" si="24"/>
        <v>9.0909090909085737E-4</v>
      </c>
      <c r="H782" s="19">
        <v>44610</v>
      </c>
      <c r="I782" s="16">
        <v>45675.87</v>
      </c>
      <c r="J782" s="20">
        <f t="shared" si="25"/>
        <v>5.1664682413058681E-3</v>
      </c>
    </row>
    <row r="783" spans="1:10" x14ac:dyDescent="0.3">
      <c r="A783" s="19">
        <v>44613</v>
      </c>
      <c r="B783" s="25">
        <v>109.02</v>
      </c>
      <c r="C783" s="20">
        <f t="shared" si="24"/>
        <v>-9.809264305177097E-3</v>
      </c>
      <c r="H783" s="19">
        <v>44613</v>
      </c>
      <c r="I783" s="16">
        <v>45362.85</v>
      </c>
      <c r="J783" s="20">
        <f t="shared" si="25"/>
        <v>-6.853071435749424E-3</v>
      </c>
    </row>
    <row r="784" spans="1:10" x14ac:dyDescent="0.3">
      <c r="A784" s="19">
        <v>44614</v>
      </c>
      <c r="B784" s="25">
        <v>108.73</v>
      </c>
      <c r="C784" s="20">
        <f t="shared" si="24"/>
        <v>-2.6600623738762801E-3</v>
      </c>
      <c r="H784" s="19">
        <v>44614</v>
      </c>
      <c r="I784" s="16">
        <v>45012.18</v>
      </c>
      <c r="J784" s="20">
        <f t="shared" si="25"/>
        <v>-7.730334403592329E-3</v>
      </c>
    </row>
    <row r="785" spans="1:10" x14ac:dyDescent="0.3">
      <c r="A785" s="19">
        <v>44615</v>
      </c>
      <c r="B785" s="25">
        <v>108</v>
      </c>
      <c r="C785" s="20">
        <f t="shared" si="24"/>
        <v>-6.7138784144210794E-3</v>
      </c>
      <c r="H785" s="19">
        <v>44615</v>
      </c>
      <c r="I785" s="16">
        <v>45132.92</v>
      </c>
      <c r="J785" s="20">
        <f t="shared" si="25"/>
        <v>2.6823850788830483E-3</v>
      </c>
    </row>
    <row r="786" spans="1:10" x14ac:dyDescent="0.3">
      <c r="A786" s="19">
        <v>44616</v>
      </c>
      <c r="B786" s="25">
        <v>105.8</v>
      </c>
      <c r="C786" s="20">
        <f t="shared" si="24"/>
        <v>-2.0370370370370396E-2</v>
      </c>
      <c r="H786" s="19">
        <v>44616</v>
      </c>
      <c r="I786" s="16">
        <v>43830.51</v>
      </c>
      <c r="J786" s="20">
        <f t="shared" si="25"/>
        <v>-2.885720666865774E-2</v>
      </c>
    </row>
    <row r="787" spans="1:10" x14ac:dyDescent="0.3">
      <c r="A787" s="19">
        <v>44617</v>
      </c>
      <c r="B787" s="25">
        <v>108.2</v>
      </c>
      <c r="C787" s="20">
        <f t="shared" si="24"/>
        <v>2.2684310018903645E-2</v>
      </c>
      <c r="H787" s="19">
        <v>44617</v>
      </c>
      <c r="I787" s="16">
        <v>43984.24</v>
      </c>
      <c r="J787" s="20">
        <f t="shared" si="25"/>
        <v>3.5073742012127151E-3</v>
      </c>
    </row>
    <row r="788" spans="1:10" x14ac:dyDescent="0.3">
      <c r="A788" s="19">
        <v>44620</v>
      </c>
      <c r="B788" s="25">
        <v>109.89</v>
      </c>
      <c r="C788" s="20">
        <f t="shared" si="24"/>
        <v>1.5619223659889072E-2</v>
      </c>
      <c r="H788" s="19">
        <v>44620</v>
      </c>
      <c r="I788" s="16">
        <v>44461.01</v>
      </c>
      <c r="J788" s="20">
        <f t="shared" si="25"/>
        <v>1.0839564353050186E-2</v>
      </c>
    </row>
    <row r="789" spans="1:10" x14ac:dyDescent="0.3">
      <c r="A789" s="19">
        <v>44621</v>
      </c>
      <c r="B789" s="25">
        <v>109</v>
      </c>
      <c r="C789" s="20">
        <f t="shared" si="24"/>
        <v>-8.0990080990081034E-3</v>
      </c>
      <c r="H789" s="19">
        <v>44621</v>
      </c>
      <c r="I789" s="16">
        <v>44803.58</v>
      </c>
      <c r="J789" s="20">
        <f t="shared" si="25"/>
        <v>7.7049531713292091E-3</v>
      </c>
    </row>
    <row r="790" spans="1:10" x14ac:dyDescent="0.3">
      <c r="A790" s="19">
        <v>44622</v>
      </c>
      <c r="B790" s="25">
        <v>108.11</v>
      </c>
      <c r="C790" s="20">
        <f t="shared" si="24"/>
        <v>-8.1651376146789044E-3</v>
      </c>
      <c r="H790" s="19">
        <v>44622</v>
      </c>
      <c r="I790" s="16">
        <v>44514.12</v>
      </c>
      <c r="J790" s="20">
        <f t="shared" si="25"/>
        <v>-6.4606444395737825E-3</v>
      </c>
    </row>
    <row r="791" spans="1:10" x14ac:dyDescent="0.3">
      <c r="A791" s="19">
        <v>44623</v>
      </c>
      <c r="B791" s="25">
        <v>108</v>
      </c>
      <c r="C791" s="20">
        <f t="shared" si="24"/>
        <v>-1.0174821940615987E-3</v>
      </c>
      <c r="H791" s="19">
        <v>44623</v>
      </c>
      <c r="I791" s="16">
        <v>44525.72</v>
      </c>
      <c r="J791" s="20">
        <f t="shared" si="25"/>
        <v>2.605914707512705E-4</v>
      </c>
    </row>
    <row r="792" spans="1:10" x14ac:dyDescent="0.3">
      <c r="A792" s="19">
        <v>44624</v>
      </c>
      <c r="B792" s="25">
        <v>108.49</v>
      </c>
      <c r="C792" s="20">
        <f t="shared" si="24"/>
        <v>4.5370370370369896E-3</v>
      </c>
      <c r="H792" s="19">
        <v>44624</v>
      </c>
      <c r="I792" s="16">
        <v>44551.35</v>
      </c>
      <c r="J792" s="20">
        <f t="shared" si="25"/>
        <v>5.7562235939132218E-4</v>
      </c>
    </row>
    <row r="793" spans="1:10" x14ac:dyDescent="0.3">
      <c r="A793" s="19">
        <v>44627</v>
      </c>
      <c r="B793" s="25">
        <v>107.4</v>
      </c>
      <c r="C793" s="20">
        <f t="shared" si="24"/>
        <v>-1.0047008940916114E-2</v>
      </c>
      <c r="H793" s="19">
        <v>44627</v>
      </c>
      <c r="I793" s="16">
        <v>43266.97</v>
      </c>
      <c r="J793" s="20">
        <f t="shared" si="25"/>
        <v>-2.8829204951140591E-2</v>
      </c>
    </row>
    <row r="794" spans="1:10" x14ac:dyDescent="0.3">
      <c r="A794" s="19">
        <v>44628</v>
      </c>
      <c r="B794" s="25">
        <v>106.7</v>
      </c>
      <c r="C794" s="20">
        <f t="shared" si="24"/>
        <v>-6.5176908752328008E-3</v>
      </c>
      <c r="H794" s="19">
        <v>44628</v>
      </c>
      <c r="I794" s="16">
        <v>42878.35</v>
      </c>
      <c r="J794" s="20">
        <f t="shared" si="25"/>
        <v>-8.9819092947808141E-3</v>
      </c>
    </row>
    <row r="795" spans="1:10" x14ac:dyDescent="0.3">
      <c r="A795" s="19">
        <v>44629</v>
      </c>
      <c r="B795" s="25">
        <v>107.67</v>
      </c>
      <c r="C795" s="20">
        <f t="shared" si="24"/>
        <v>9.0909090909090801E-3</v>
      </c>
      <c r="H795" s="19">
        <v>44629</v>
      </c>
      <c r="I795" s="16">
        <v>43042.96</v>
      </c>
      <c r="J795" s="20">
        <f t="shared" si="25"/>
        <v>3.8390003346677423E-3</v>
      </c>
    </row>
    <row r="796" spans="1:10" x14ac:dyDescent="0.3">
      <c r="A796" s="19">
        <v>44630</v>
      </c>
      <c r="B796" s="25">
        <v>107.48</v>
      </c>
      <c r="C796" s="20">
        <f t="shared" si="24"/>
        <v>-1.7646512491873104E-3</v>
      </c>
      <c r="H796" s="19">
        <v>44630</v>
      </c>
      <c r="I796" s="16">
        <v>43853.62</v>
      </c>
      <c r="J796" s="20">
        <f t="shared" si="25"/>
        <v>1.8833741917377512E-2</v>
      </c>
    </row>
    <row r="797" spans="1:10" x14ac:dyDescent="0.3">
      <c r="A797" s="19">
        <v>44631</v>
      </c>
      <c r="B797" s="25">
        <v>107.24</v>
      </c>
      <c r="C797" s="20">
        <f t="shared" si="24"/>
        <v>-2.2329735764794294E-3</v>
      </c>
      <c r="H797" s="19">
        <v>44631</v>
      </c>
      <c r="I797" s="16">
        <v>43653.33</v>
      </c>
      <c r="J797" s="20">
        <f t="shared" si="25"/>
        <v>-4.567239831056156E-3</v>
      </c>
    </row>
    <row r="798" spans="1:10" x14ac:dyDescent="0.3">
      <c r="A798" s="19">
        <v>44634</v>
      </c>
      <c r="B798" s="25">
        <v>109.46</v>
      </c>
      <c r="C798" s="20">
        <f t="shared" si="24"/>
        <v>2.0701230883998497E-2</v>
      </c>
      <c r="H798" s="19">
        <v>44634</v>
      </c>
      <c r="I798" s="16">
        <v>43366.89</v>
      </c>
      <c r="J798" s="20">
        <f t="shared" si="25"/>
        <v>-6.5616987295127847E-3</v>
      </c>
    </row>
    <row r="799" spans="1:10" x14ac:dyDescent="0.3">
      <c r="A799" s="19">
        <v>44635</v>
      </c>
      <c r="B799" s="25">
        <v>109.88</v>
      </c>
      <c r="C799" s="20">
        <f t="shared" si="24"/>
        <v>3.8370180887995773E-3</v>
      </c>
      <c r="H799" s="19">
        <v>44635</v>
      </c>
      <c r="I799" s="16">
        <v>43719.82</v>
      </c>
      <c r="J799" s="20">
        <f t="shared" si="25"/>
        <v>8.1382363365231011E-3</v>
      </c>
    </row>
    <row r="800" spans="1:10" x14ac:dyDescent="0.3">
      <c r="A800" s="19">
        <v>44636</v>
      </c>
      <c r="B800" s="25">
        <v>110</v>
      </c>
      <c r="C800" s="20">
        <f t="shared" si="24"/>
        <v>1.0921004732435799E-3</v>
      </c>
      <c r="H800" s="19">
        <v>44636</v>
      </c>
      <c r="I800" s="16">
        <v>43975.69</v>
      </c>
      <c r="J800" s="20">
        <f t="shared" si="25"/>
        <v>5.8524943606813257E-3</v>
      </c>
    </row>
    <row r="801" spans="1:10" x14ac:dyDescent="0.3">
      <c r="A801" s="19">
        <v>44637</v>
      </c>
      <c r="B801" s="25">
        <v>105.6</v>
      </c>
      <c r="C801" s="20">
        <f t="shared" si="24"/>
        <v>-4.0000000000000049E-2</v>
      </c>
      <c r="H801" s="19">
        <v>44637</v>
      </c>
      <c r="I801" s="16">
        <v>43807.23</v>
      </c>
      <c r="J801" s="20">
        <f t="shared" si="25"/>
        <v>-3.8307528545885039E-3</v>
      </c>
    </row>
    <row r="802" spans="1:10" x14ac:dyDescent="0.3">
      <c r="A802" s="19">
        <v>44638</v>
      </c>
      <c r="B802" s="25">
        <v>107.73</v>
      </c>
      <c r="C802" s="20">
        <f t="shared" si="24"/>
        <v>2.0170454545454637E-2</v>
      </c>
      <c r="H802" s="19">
        <v>44638</v>
      </c>
      <c r="I802" s="16">
        <v>43029.97</v>
      </c>
      <c r="J802" s="20">
        <f t="shared" si="25"/>
        <v>-1.7742733334200816E-2</v>
      </c>
    </row>
    <row r="803" spans="1:10" x14ac:dyDescent="0.3">
      <c r="A803" s="19">
        <v>44641</v>
      </c>
      <c r="B803" s="25">
        <v>110.96</v>
      </c>
      <c r="C803" s="20">
        <f t="shared" si="24"/>
        <v>2.9982363315696554E-2</v>
      </c>
      <c r="H803" s="19">
        <v>44641</v>
      </c>
      <c r="I803" s="16">
        <v>43230.22</v>
      </c>
      <c r="J803" s="20">
        <f t="shared" si="25"/>
        <v>4.6537332003717411E-3</v>
      </c>
    </row>
    <row r="804" spans="1:10" x14ac:dyDescent="0.3">
      <c r="A804" s="19">
        <v>44642</v>
      </c>
      <c r="B804" s="25">
        <v>110.11</v>
      </c>
      <c r="C804" s="20">
        <f t="shared" si="24"/>
        <v>-7.6604181687093941E-3</v>
      </c>
      <c r="H804" s="19">
        <v>44642</v>
      </c>
      <c r="I804" s="16">
        <v>43203.79</v>
      </c>
      <c r="J804" s="20">
        <f t="shared" si="25"/>
        <v>-6.1137787408901208E-4</v>
      </c>
    </row>
    <row r="805" spans="1:10" x14ac:dyDescent="0.3">
      <c r="A805" s="19">
        <v>44644</v>
      </c>
      <c r="B805" s="25">
        <v>111.27</v>
      </c>
      <c r="C805" s="20">
        <f t="shared" si="24"/>
        <v>1.0534919625828686E-2</v>
      </c>
      <c r="H805" s="19">
        <v>44644</v>
      </c>
      <c r="I805" s="16">
        <v>43522.55</v>
      </c>
      <c r="J805" s="20">
        <f t="shared" si="25"/>
        <v>7.3780564158839315E-3</v>
      </c>
    </row>
    <row r="806" spans="1:10" x14ac:dyDescent="0.3">
      <c r="A806" s="19">
        <v>44645</v>
      </c>
      <c r="B806" s="25">
        <v>111.5</v>
      </c>
      <c r="C806" s="20">
        <f t="shared" si="24"/>
        <v>2.0670441268985707E-3</v>
      </c>
      <c r="H806" s="19">
        <v>44645</v>
      </c>
      <c r="I806" s="16">
        <v>43551.14</v>
      </c>
      <c r="J806" s="20">
        <f t="shared" si="25"/>
        <v>6.5690084795115415E-4</v>
      </c>
    </row>
    <row r="807" spans="1:10" x14ac:dyDescent="0.3">
      <c r="A807" s="19">
        <v>44648</v>
      </c>
      <c r="B807" s="25">
        <v>111.5</v>
      </c>
      <c r="C807" s="20">
        <f t="shared" si="24"/>
        <v>0</v>
      </c>
      <c r="H807" s="19">
        <v>44648</v>
      </c>
      <c r="I807" s="16">
        <v>43933.56</v>
      </c>
      <c r="J807" s="20">
        <f t="shared" si="25"/>
        <v>8.7809412107237202E-3</v>
      </c>
    </row>
    <row r="808" spans="1:10" x14ac:dyDescent="0.3">
      <c r="A808" s="19">
        <v>44649</v>
      </c>
      <c r="B808" s="25">
        <v>112.51</v>
      </c>
      <c r="C808" s="20">
        <f t="shared" si="24"/>
        <v>9.0582959641256067E-3</v>
      </c>
      <c r="H808" s="19">
        <v>44649</v>
      </c>
      <c r="I808" s="16">
        <v>44438.7</v>
      </c>
      <c r="J808" s="20">
        <f t="shared" si="25"/>
        <v>1.1497816247988997E-2</v>
      </c>
    </row>
    <row r="809" spans="1:10" x14ac:dyDescent="0.3">
      <c r="A809" s="19">
        <v>44650</v>
      </c>
      <c r="B809" s="25">
        <v>112.2</v>
      </c>
      <c r="C809" s="20">
        <f t="shared" si="24"/>
        <v>-2.7553106390543263E-3</v>
      </c>
      <c r="H809" s="19">
        <v>44650</v>
      </c>
      <c r="I809" s="16">
        <v>44337.56</v>
      </c>
      <c r="J809" s="20">
        <f t="shared" si="25"/>
        <v>-2.2759441657834146E-3</v>
      </c>
    </row>
    <row r="810" spans="1:10" x14ac:dyDescent="0.3">
      <c r="A810" s="19">
        <v>44651</v>
      </c>
      <c r="B810" s="25">
        <v>113.52</v>
      </c>
      <c r="C810" s="20">
        <f t="shared" si="24"/>
        <v>1.176470588235288E-2</v>
      </c>
      <c r="H810" s="19">
        <v>44651</v>
      </c>
      <c r="I810" s="16">
        <v>44928.83</v>
      </c>
      <c r="J810" s="20">
        <f t="shared" si="25"/>
        <v>1.3335645894812526E-2</v>
      </c>
    </row>
    <row r="811" spans="1:10" x14ac:dyDescent="0.3">
      <c r="A811" s="19">
        <v>44652</v>
      </c>
      <c r="B811" s="25">
        <v>114.2</v>
      </c>
      <c r="C811" s="20">
        <f t="shared" si="24"/>
        <v>5.9901338971107016E-3</v>
      </c>
      <c r="H811" s="19">
        <v>44652</v>
      </c>
      <c r="I811" s="16">
        <v>45152.11</v>
      </c>
      <c r="J811" s="20">
        <f t="shared" si="25"/>
        <v>4.9696375356313265E-3</v>
      </c>
    </row>
    <row r="812" spans="1:10" x14ac:dyDescent="0.3">
      <c r="A812" s="19">
        <v>44655</v>
      </c>
      <c r="B812" s="25">
        <v>114.2</v>
      </c>
      <c r="C812" s="20">
        <f t="shared" si="24"/>
        <v>0</v>
      </c>
      <c r="H812" s="19">
        <v>44655</v>
      </c>
      <c r="I812" s="16">
        <v>43902.04</v>
      </c>
      <c r="J812" s="20">
        <f t="shared" si="25"/>
        <v>-2.7685749348147843E-2</v>
      </c>
    </row>
    <row r="813" spans="1:10" x14ac:dyDescent="0.3">
      <c r="A813" s="19">
        <v>44656</v>
      </c>
      <c r="B813" s="25">
        <v>114.3</v>
      </c>
      <c r="C813" s="20">
        <f t="shared" si="24"/>
        <v>8.7565674255686793E-4</v>
      </c>
      <c r="H813" s="19">
        <v>44656</v>
      </c>
      <c r="I813" s="16">
        <v>43928.08</v>
      </c>
      <c r="J813" s="20">
        <f t="shared" si="25"/>
        <v>5.9313872430531408E-4</v>
      </c>
    </row>
    <row r="814" spans="1:10" x14ac:dyDescent="0.3">
      <c r="A814" s="19">
        <v>44657</v>
      </c>
      <c r="B814" s="25">
        <v>114.5</v>
      </c>
      <c r="C814" s="20">
        <f t="shared" si="24"/>
        <v>1.7497812773403574E-3</v>
      </c>
      <c r="H814" s="19">
        <v>44657</v>
      </c>
      <c r="I814" s="16">
        <v>44111.1</v>
      </c>
      <c r="J814" s="20">
        <f t="shared" si="25"/>
        <v>4.1663555520750463E-3</v>
      </c>
    </row>
    <row r="815" spans="1:10" x14ac:dyDescent="0.3">
      <c r="A815" s="19">
        <v>44658</v>
      </c>
      <c r="B815" s="25">
        <v>114.6</v>
      </c>
      <c r="C815" s="20">
        <f t="shared" si="24"/>
        <v>8.7336244541479752E-4</v>
      </c>
      <c r="H815" s="19">
        <v>44658</v>
      </c>
      <c r="I815" s="16">
        <v>43786.83</v>
      </c>
      <c r="J815" s="20">
        <f t="shared" si="25"/>
        <v>-7.3512109197004108E-3</v>
      </c>
    </row>
    <row r="816" spans="1:10" x14ac:dyDescent="0.3">
      <c r="A816" s="19">
        <v>44659</v>
      </c>
      <c r="B816" s="25">
        <v>115.4</v>
      </c>
      <c r="C816" s="20">
        <f t="shared" si="24"/>
        <v>6.9808027923212168E-3</v>
      </c>
      <c r="H816" s="19">
        <v>44659</v>
      </c>
      <c r="I816" s="16">
        <v>44444.58</v>
      </c>
      <c r="J816" s="20">
        <f t="shared" si="25"/>
        <v>1.5021640068486346E-2</v>
      </c>
    </row>
    <row r="817" spans="1:10" x14ac:dyDescent="0.3">
      <c r="A817" s="19">
        <v>44662</v>
      </c>
      <c r="B817" s="25">
        <v>117.5</v>
      </c>
      <c r="C817" s="20">
        <f t="shared" si="24"/>
        <v>1.8197573656845704E-2</v>
      </c>
      <c r="H817" s="19">
        <v>44662</v>
      </c>
      <c r="I817" s="16">
        <v>46144.959999999999</v>
      </c>
      <c r="J817" s="20">
        <f t="shared" si="25"/>
        <v>3.8258433311778341E-2</v>
      </c>
    </row>
    <row r="818" spans="1:10" x14ac:dyDescent="0.3">
      <c r="A818" s="19">
        <v>44663</v>
      </c>
      <c r="B818" s="25">
        <v>118.55</v>
      </c>
      <c r="C818" s="20">
        <f t="shared" si="24"/>
        <v>8.9361702127659336E-3</v>
      </c>
      <c r="H818" s="19">
        <v>44663</v>
      </c>
      <c r="I818" s="16">
        <v>46407.26</v>
      </c>
      <c r="J818" s="20">
        <f t="shared" si="25"/>
        <v>5.6842610763993056E-3</v>
      </c>
    </row>
    <row r="819" spans="1:10" x14ac:dyDescent="0.3">
      <c r="A819" s="19">
        <v>44664</v>
      </c>
      <c r="B819" s="25">
        <v>117.75</v>
      </c>
      <c r="C819" s="20">
        <f t="shared" si="24"/>
        <v>-6.7482075073808283E-3</v>
      </c>
      <c r="H819" s="19">
        <v>44664</v>
      </c>
      <c r="I819" s="16">
        <v>46165.5</v>
      </c>
      <c r="J819" s="20">
        <f t="shared" si="25"/>
        <v>-5.20952971582468E-3</v>
      </c>
    </row>
    <row r="820" spans="1:10" x14ac:dyDescent="0.3">
      <c r="A820" s="19">
        <v>44665</v>
      </c>
      <c r="B820" s="25">
        <v>118</v>
      </c>
      <c r="C820" s="20">
        <f t="shared" si="24"/>
        <v>2.1231422505307855E-3</v>
      </c>
      <c r="H820" s="19">
        <v>44665</v>
      </c>
      <c r="I820" s="16">
        <v>46484.43</v>
      </c>
      <c r="J820" s="20">
        <f t="shared" si="25"/>
        <v>6.9084056275790428E-3</v>
      </c>
    </row>
    <row r="821" spans="1:10" x14ac:dyDescent="0.3">
      <c r="A821" s="19">
        <v>44666</v>
      </c>
      <c r="B821" s="25">
        <v>119.45</v>
      </c>
      <c r="C821" s="20">
        <f t="shared" si="24"/>
        <v>1.2288135593220364E-2</v>
      </c>
      <c r="H821" s="19">
        <v>44666</v>
      </c>
      <c r="I821" s="16">
        <v>46601.54</v>
      </c>
      <c r="J821" s="20">
        <f t="shared" si="25"/>
        <v>2.5193381956065846E-3</v>
      </c>
    </row>
    <row r="822" spans="1:10" x14ac:dyDescent="0.3">
      <c r="A822" s="19">
        <v>44669</v>
      </c>
      <c r="B822" s="25">
        <v>120.9</v>
      </c>
      <c r="C822" s="20">
        <f t="shared" si="24"/>
        <v>1.2138970280452096E-2</v>
      </c>
      <c r="H822" s="19">
        <v>44669</v>
      </c>
      <c r="I822" s="16">
        <v>46539.59</v>
      </c>
      <c r="J822" s="20">
        <f t="shared" si="25"/>
        <v>-1.3293552101498012E-3</v>
      </c>
    </row>
    <row r="823" spans="1:10" x14ac:dyDescent="0.3">
      <c r="A823" s="19">
        <v>44670</v>
      </c>
      <c r="B823" s="25">
        <v>123.6</v>
      </c>
      <c r="C823" s="20">
        <f t="shared" si="24"/>
        <v>2.2332506203473851E-2</v>
      </c>
      <c r="H823" s="19">
        <v>44670</v>
      </c>
      <c r="I823" s="16">
        <v>46333.36</v>
      </c>
      <c r="J823" s="20">
        <f t="shared" si="25"/>
        <v>-4.4312809803437447E-3</v>
      </c>
    </row>
    <row r="824" spans="1:10" x14ac:dyDescent="0.3">
      <c r="A824" s="19">
        <v>44671</v>
      </c>
      <c r="B824" s="25">
        <v>121.6</v>
      </c>
      <c r="C824" s="20">
        <f t="shared" si="24"/>
        <v>-1.6181229773462785E-2</v>
      </c>
      <c r="H824" s="19">
        <v>44671</v>
      </c>
      <c r="I824" s="16">
        <v>45943.16</v>
      </c>
      <c r="J824" s="20">
        <f t="shared" si="25"/>
        <v>-8.4215778868615854E-3</v>
      </c>
    </row>
    <row r="825" spans="1:10" x14ac:dyDescent="0.3">
      <c r="A825" s="19">
        <v>44672</v>
      </c>
      <c r="B825" s="25">
        <v>122.25</v>
      </c>
      <c r="C825" s="20">
        <f t="shared" si="24"/>
        <v>5.3453947368421522E-3</v>
      </c>
      <c r="H825" s="19">
        <v>44672</v>
      </c>
      <c r="I825" s="16">
        <v>45652.62</v>
      </c>
      <c r="J825" s="20">
        <f t="shared" si="25"/>
        <v>-6.32390109866193E-3</v>
      </c>
    </row>
    <row r="826" spans="1:10" x14ac:dyDescent="0.3">
      <c r="A826" s="19">
        <v>44673</v>
      </c>
      <c r="B826" s="25">
        <v>122</v>
      </c>
      <c r="C826" s="20">
        <f t="shared" si="24"/>
        <v>-2.0449897750511249E-3</v>
      </c>
      <c r="H826" s="19">
        <v>44673</v>
      </c>
      <c r="I826" s="16">
        <v>45553.02</v>
      </c>
      <c r="J826" s="20">
        <f t="shared" si="25"/>
        <v>-2.181692967457417E-3</v>
      </c>
    </row>
    <row r="827" spans="1:10" x14ac:dyDescent="0.3">
      <c r="A827" s="19">
        <v>44676</v>
      </c>
      <c r="B827" s="25">
        <v>125.6</v>
      </c>
      <c r="C827" s="20">
        <f t="shared" si="24"/>
        <v>2.9508196721311428E-2</v>
      </c>
      <c r="H827" s="19">
        <v>44676</v>
      </c>
      <c r="I827" s="16">
        <v>46073.25</v>
      </c>
      <c r="J827" s="20">
        <f t="shared" si="25"/>
        <v>1.1420318565048009E-2</v>
      </c>
    </row>
    <row r="828" spans="1:10" x14ac:dyDescent="0.3">
      <c r="A828" s="19">
        <v>44677</v>
      </c>
      <c r="B828" s="25">
        <v>126.8</v>
      </c>
      <c r="C828" s="20">
        <f t="shared" si="24"/>
        <v>9.5541401273885589E-3</v>
      </c>
      <c r="H828" s="19">
        <v>44677</v>
      </c>
      <c r="I828" s="16">
        <v>45817.67</v>
      </c>
      <c r="J828" s="20">
        <f t="shared" si="25"/>
        <v>-5.5472535581926989E-3</v>
      </c>
    </row>
    <row r="829" spans="1:10" x14ac:dyDescent="0.3">
      <c r="A829" s="19">
        <v>44678</v>
      </c>
      <c r="B829" s="25">
        <v>122.47</v>
      </c>
      <c r="C829" s="20">
        <f t="shared" si="24"/>
        <v>-3.4148264984227114E-2</v>
      </c>
      <c r="H829" s="19">
        <v>44678</v>
      </c>
      <c r="I829" s="16">
        <v>45533.3</v>
      </c>
      <c r="J829" s="20">
        <f t="shared" si="25"/>
        <v>-6.206557426425118E-3</v>
      </c>
    </row>
    <row r="830" spans="1:10" x14ac:dyDescent="0.3">
      <c r="A830" s="19">
        <v>44679</v>
      </c>
      <c r="B830" s="25">
        <v>121</v>
      </c>
      <c r="C830" s="20">
        <f t="shared" si="24"/>
        <v>-1.2002939495386616E-2</v>
      </c>
      <c r="H830" s="19">
        <v>44679</v>
      </c>
      <c r="I830" s="16">
        <v>45249.41</v>
      </c>
      <c r="J830" s="20">
        <f t="shared" si="25"/>
        <v>-6.234777624288145E-3</v>
      </c>
    </row>
    <row r="831" spans="1:10" x14ac:dyDescent="0.3">
      <c r="A831" s="19">
        <v>44687</v>
      </c>
      <c r="B831" s="25">
        <v>121.17</v>
      </c>
      <c r="C831" s="20">
        <f t="shared" si="24"/>
        <v>1.4049586776859644E-3</v>
      </c>
      <c r="H831" s="19">
        <v>44687</v>
      </c>
      <c r="I831" s="16">
        <v>44840.81</v>
      </c>
      <c r="J831" s="20">
        <f t="shared" si="25"/>
        <v>-9.0299519927443429E-3</v>
      </c>
    </row>
    <row r="832" spans="1:10" x14ac:dyDescent="0.3">
      <c r="A832" s="19">
        <v>44690</v>
      </c>
      <c r="B832" s="25">
        <v>121.2</v>
      </c>
      <c r="C832" s="20">
        <f t="shared" si="24"/>
        <v>2.4758603614757067E-4</v>
      </c>
      <c r="H832" s="19">
        <v>44690</v>
      </c>
      <c r="I832" s="16">
        <v>43393.14</v>
      </c>
      <c r="J832" s="20">
        <f t="shared" si="25"/>
        <v>-3.2284653198726747E-2</v>
      </c>
    </row>
    <row r="833" spans="1:10" x14ac:dyDescent="0.3">
      <c r="A833" s="19">
        <v>44691</v>
      </c>
      <c r="B833" s="25">
        <v>117.5</v>
      </c>
      <c r="C833" s="20">
        <f t="shared" si="24"/>
        <v>-3.0528052805280551E-2</v>
      </c>
      <c r="H833" s="19">
        <v>44691</v>
      </c>
      <c r="I833" s="16">
        <v>43504.36</v>
      </c>
      <c r="J833" s="20">
        <f t="shared" si="25"/>
        <v>2.563077942734754E-3</v>
      </c>
    </row>
    <row r="834" spans="1:10" x14ac:dyDescent="0.3">
      <c r="A834" s="19">
        <v>44692</v>
      </c>
      <c r="B834" s="25">
        <v>116.1</v>
      </c>
      <c r="C834" s="20">
        <f t="shared" si="24"/>
        <v>-1.1914893617021326E-2</v>
      </c>
      <c r="H834" s="19">
        <v>44692</v>
      </c>
      <c r="I834" s="16">
        <v>42863.15</v>
      </c>
      <c r="J834" s="20">
        <f t="shared" si="25"/>
        <v>-1.4738982483594728E-2</v>
      </c>
    </row>
    <row r="835" spans="1:10" x14ac:dyDescent="0.3">
      <c r="A835" s="19">
        <v>44693</v>
      </c>
      <c r="B835" s="25">
        <v>115.97</v>
      </c>
      <c r="C835" s="20">
        <f t="shared" si="24"/>
        <v>-1.1197243755382898E-3</v>
      </c>
      <c r="H835" s="19">
        <v>44693</v>
      </c>
      <c r="I835" s="16">
        <v>42898.44</v>
      </c>
      <c r="J835" s="20">
        <f t="shared" si="25"/>
        <v>8.2331793160327397E-4</v>
      </c>
    </row>
    <row r="836" spans="1:10" x14ac:dyDescent="0.3">
      <c r="A836" s="19">
        <v>44694</v>
      </c>
      <c r="B836" s="25">
        <v>115.84</v>
      </c>
      <c r="C836" s="20">
        <f t="shared" si="24"/>
        <v>-1.120979563680223E-3</v>
      </c>
      <c r="H836" s="19">
        <v>44694</v>
      </c>
      <c r="I836" s="16">
        <v>43486.46</v>
      </c>
      <c r="J836" s="20">
        <f t="shared" si="25"/>
        <v>1.3707258352518105E-2</v>
      </c>
    </row>
    <row r="837" spans="1:10" x14ac:dyDescent="0.3">
      <c r="A837" s="19">
        <v>44697</v>
      </c>
      <c r="B837" s="25">
        <v>114.87</v>
      </c>
      <c r="C837" s="20">
        <f t="shared" ref="C837:C900" si="26">(B837-B836)/B836</f>
        <v>-8.3736187845303775E-3</v>
      </c>
      <c r="H837" s="19">
        <v>44697</v>
      </c>
      <c r="I837" s="16">
        <v>42667.32</v>
      </c>
      <c r="J837" s="20">
        <f t="shared" ref="J837:J900" si="27">(I837-I836)/I836</f>
        <v>-1.8836667781189809E-2</v>
      </c>
    </row>
    <row r="838" spans="1:10" x14ac:dyDescent="0.3">
      <c r="A838" s="19">
        <v>44698</v>
      </c>
      <c r="B838" s="25">
        <v>115.49</v>
      </c>
      <c r="C838" s="20">
        <f t="shared" si="26"/>
        <v>5.397405763036392E-3</v>
      </c>
      <c r="H838" s="19">
        <v>44698</v>
      </c>
      <c r="I838" s="16">
        <v>42726.06</v>
      </c>
      <c r="J838" s="20">
        <f t="shared" si="27"/>
        <v>1.3766976693168908E-3</v>
      </c>
    </row>
    <row r="839" spans="1:10" x14ac:dyDescent="0.3">
      <c r="A839" s="19">
        <v>44699</v>
      </c>
      <c r="B839" s="25">
        <v>116.98</v>
      </c>
      <c r="C839" s="20">
        <f t="shared" si="26"/>
        <v>1.2901549917741876E-2</v>
      </c>
      <c r="H839" s="19">
        <v>44699</v>
      </c>
      <c r="I839" s="16">
        <v>43026.879999999997</v>
      </c>
      <c r="J839" s="20">
        <f t="shared" si="27"/>
        <v>7.040667920234155E-3</v>
      </c>
    </row>
    <row r="840" spans="1:10" x14ac:dyDescent="0.3">
      <c r="A840" s="19">
        <v>44700</v>
      </c>
      <c r="B840" s="25">
        <v>117.5</v>
      </c>
      <c r="C840" s="20">
        <f t="shared" si="26"/>
        <v>4.4452043084287568E-3</v>
      </c>
      <c r="H840" s="19">
        <v>44700</v>
      </c>
      <c r="I840" s="16">
        <v>42983.45</v>
      </c>
      <c r="J840" s="20">
        <f t="shared" si="27"/>
        <v>-1.0093690269896468E-3</v>
      </c>
    </row>
    <row r="841" spans="1:10" x14ac:dyDescent="0.3">
      <c r="A841" s="19">
        <v>44701</v>
      </c>
      <c r="B841" s="25">
        <v>118.3</v>
      </c>
      <c r="C841" s="20">
        <f t="shared" si="26"/>
        <v>6.808510638297848E-3</v>
      </c>
      <c r="H841" s="19">
        <v>44701</v>
      </c>
      <c r="I841" s="16">
        <v>43100.7</v>
      </c>
      <c r="J841" s="20">
        <f t="shared" si="27"/>
        <v>2.7277940695779423E-3</v>
      </c>
    </row>
    <row r="842" spans="1:10" x14ac:dyDescent="0.3">
      <c r="A842" s="19">
        <v>44704</v>
      </c>
      <c r="B842" s="25">
        <v>116.5</v>
      </c>
      <c r="C842" s="20">
        <f t="shared" si="26"/>
        <v>-1.5215553677092115E-2</v>
      </c>
      <c r="H842" s="19">
        <v>44704</v>
      </c>
      <c r="I842" s="16">
        <v>42440.25</v>
      </c>
      <c r="J842" s="20">
        <f t="shared" si="27"/>
        <v>-1.5323417021069197E-2</v>
      </c>
    </row>
    <row r="843" spans="1:10" x14ac:dyDescent="0.3">
      <c r="A843" s="19">
        <v>44705</v>
      </c>
      <c r="B843" s="25">
        <v>115</v>
      </c>
      <c r="C843" s="20">
        <f t="shared" si="26"/>
        <v>-1.2875536480686695E-2</v>
      </c>
      <c r="H843" s="19">
        <v>44705</v>
      </c>
      <c r="I843" s="16">
        <v>41950.32</v>
      </c>
      <c r="J843" s="20">
        <f t="shared" si="27"/>
        <v>-1.1543994203615678E-2</v>
      </c>
    </row>
    <row r="844" spans="1:10" x14ac:dyDescent="0.3">
      <c r="A844" s="19">
        <v>44706</v>
      </c>
      <c r="B844" s="25">
        <v>112.11</v>
      </c>
      <c r="C844" s="20">
        <f t="shared" si="26"/>
        <v>-2.51304347826087E-2</v>
      </c>
      <c r="H844" s="19">
        <v>44706</v>
      </c>
      <c r="I844" s="16">
        <v>42012.66</v>
      </c>
      <c r="J844" s="20">
        <f t="shared" si="27"/>
        <v>1.4860434914442556E-3</v>
      </c>
    </row>
    <row r="845" spans="1:10" x14ac:dyDescent="0.3">
      <c r="A845" s="19">
        <v>44707</v>
      </c>
      <c r="B845" s="25">
        <v>113</v>
      </c>
      <c r="C845" s="20">
        <f t="shared" si="26"/>
        <v>7.9386317010079442E-3</v>
      </c>
      <c r="H845" s="19">
        <v>44707</v>
      </c>
      <c r="I845" s="16">
        <v>42541.71</v>
      </c>
      <c r="J845" s="20">
        <f t="shared" si="27"/>
        <v>1.2592632792115414E-2</v>
      </c>
    </row>
    <row r="846" spans="1:10" x14ac:dyDescent="0.3">
      <c r="A846" s="19">
        <v>44708</v>
      </c>
      <c r="B846" s="25">
        <v>114.55</v>
      </c>
      <c r="C846" s="20">
        <f t="shared" si="26"/>
        <v>1.3716814159292011E-2</v>
      </c>
      <c r="H846" s="19">
        <v>44708</v>
      </c>
      <c r="I846" s="16">
        <v>42861.45</v>
      </c>
      <c r="J846" s="20">
        <f t="shared" si="27"/>
        <v>7.5159179073901348E-3</v>
      </c>
    </row>
    <row r="847" spans="1:10" x14ac:dyDescent="0.3">
      <c r="A847" s="19">
        <v>44711</v>
      </c>
      <c r="B847" s="25">
        <v>114.5</v>
      </c>
      <c r="C847" s="20">
        <f t="shared" si="26"/>
        <v>-4.36490615451743E-4</v>
      </c>
      <c r="H847" s="19">
        <v>44711</v>
      </c>
      <c r="I847" s="16">
        <v>43040.14</v>
      </c>
      <c r="J847" s="20">
        <f t="shared" si="27"/>
        <v>4.1690143473914754E-3</v>
      </c>
    </row>
    <row r="848" spans="1:10" x14ac:dyDescent="0.3">
      <c r="A848" s="19">
        <v>44712</v>
      </c>
      <c r="B848" s="25">
        <v>114</v>
      </c>
      <c r="C848" s="20">
        <f t="shared" si="26"/>
        <v>-4.3668122270742356E-3</v>
      </c>
      <c r="H848" s="19">
        <v>44712</v>
      </c>
      <c r="I848" s="16">
        <v>43078.14</v>
      </c>
      <c r="J848" s="20">
        <f t="shared" si="27"/>
        <v>8.8289675637672187E-4</v>
      </c>
    </row>
    <row r="849" spans="1:10" x14ac:dyDescent="0.3">
      <c r="A849" s="19">
        <v>44713</v>
      </c>
      <c r="B849" s="25">
        <v>113.89</v>
      </c>
      <c r="C849" s="20">
        <f t="shared" si="26"/>
        <v>-9.6491228070174945E-4</v>
      </c>
      <c r="H849" s="19">
        <v>44713</v>
      </c>
      <c r="I849" s="16">
        <v>42756.04</v>
      </c>
      <c r="J849" s="20">
        <f t="shared" si="27"/>
        <v>-7.4771102002082392E-3</v>
      </c>
    </row>
    <row r="850" spans="1:10" x14ac:dyDescent="0.3">
      <c r="A850" s="19">
        <v>44714</v>
      </c>
      <c r="B850" s="25">
        <v>112.5</v>
      </c>
      <c r="C850" s="20">
        <f t="shared" si="26"/>
        <v>-1.2204758977961196E-2</v>
      </c>
      <c r="H850" s="19">
        <v>44714</v>
      </c>
      <c r="I850" s="16">
        <v>42237.91</v>
      </c>
      <c r="J850" s="20">
        <f t="shared" si="27"/>
        <v>-1.21182878489214E-2</v>
      </c>
    </row>
    <row r="851" spans="1:10" x14ac:dyDescent="0.3">
      <c r="A851" s="19">
        <v>44715</v>
      </c>
      <c r="B851" s="25">
        <v>109.88</v>
      </c>
      <c r="C851" s="20">
        <f t="shared" si="26"/>
        <v>-2.3288888888888928E-2</v>
      </c>
      <c r="H851" s="19">
        <v>44715</v>
      </c>
      <c r="I851" s="16">
        <v>41314.879999999997</v>
      </c>
      <c r="J851" s="20">
        <f t="shared" si="27"/>
        <v>-2.1853117258879666E-2</v>
      </c>
    </row>
    <row r="852" spans="1:10" x14ac:dyDescent="0.3">
      <c r="A852" s="19">
        <v>44718</v>
      </c>
      <c r="B852" s="25">
        <v>109.6</v>
      </c>
      <c r="C852" s="20">
        <f t="shared" si="26"/>
        <v>-2.5482344375682667E-3</v>
      </c>
      <c r="H852" s="19">
        <v>44718</v>
      </c>
      <c r="I852" s="16">
        <v>41577.21</v>
      </c>
      <c r="J852" s="20">
        <f t="shared" si="27"/>
        <v>6.3495283055403223E-3</v>
      </c>
    </row>
    <row r="853" spans="1:10" x14ac:dyDescent="0.3">
      <c r="A853" s="19">
        <v>44719</v>
      </c>
      <c r="B853" s="25">
        <v>109.89</v>
      </c>
      <c r="C853" s="20">
        <f t="shared" si="26"/>
        <v>2.6459854014599113E-3</v>
      </c>
      <c r="H853" s="19">
        <v>44719</v>
      </c>
      <c r="I853" s="16">
        <v>41568.410000000003</v>
      </c>
      <c r="J853" s="20">
        <f t="shared" si="27"/>
        <v>-2.1165441355963121E-4</v>
      </c>
    </row>
    <row r="854" spans="1:10" x14ac:dyDescent="0.3">
      <c r="A854" s="19">
        <v>44720</v>
      </c>
      <c r="B854" s="25">
        <v>109</v>
      </c>
      <c r="C854" s="20">
        <f t="shared" si="26"/>
        <v>-8.0990080990081034E-3</v>
      </c>
      <c r="H854" s="19">
        <v>44720</v>
      </c>
      <c r="I854" s="16">
        <v>41553.160000000003</v>
      </c>
      <c r="J854" s="20">
        <f t="shared" si="27"/>
        <v>-3.6686512666710125E-4</v>
      </c>
    </row>
    <row r="855" spans="1:10" x14ac:dyDescent="0.3">
      <c r="A855" s="19">
        <v>44721</v>
      </c>
      <c r="B855" s="25">
        <v>109.44</v>
      </c>
      <c r="C855" s="20">
        <f t="shared" si="26"/>
        <v>4.0366972477064011E-3</v>
      </c>
      <c r="H855" s="19">
        <v>44721</v>
      </c>
      <c r="I855" s="16">
        <v>41735.96</v>
      </c>
      <c r="J855" s="20">
        <f t="shared" si="27"/>
        <v>4.399184081306828E-3</v>
      </c>
    </row>
    <row r="856" spans="1:10" x14ac:dyDescent="0.3">
      <c r="A856" s="19">
        <v>44722</v>
      </c>
      <c r="B856" s="25">
        <v>110.09</v>
      </c>
      <c r="C856" s="20">
        <f t="shared" si="26"/>
        <v>5.9393274853801687E-3</v>
      </c>
      <c r="H856" s="19">
        <v>44722</v>
      </c>
      <c r="I856" s="16">
        <v>42014.73</v>
      </c>
      <c r="J856" s="20">
        <f t="shared" si="27"/>
        <v>6.6793719372935014E-3</v>
      </c>
    </row>
    <row r="857" spans="1:10" x14ac:dyDescent="0.3">
      <c r="A857" s="19">
        <v>44725</v>
      </c>
      <c r="B857" s="25">
        <v>108.5</v>
      </c>
      <c r="C857" s="20">
        <f t="shared" si="26"/>
        <v>-1.444272867653741E-2</v>
      </c>
      <c r="H857" s="19">
        <v>44725</v>
      </c>
      <c r="I857" s="16">
        <v>40879.93</v>
      </c>
      <c r="J857" s="20">
        <f t="shared" si="27"/>
        <v>-2.7009574975252793E-2</v>
      </c>
    </row>
    <row r="858" spans="1:10" x14ac:dyDescent="0.3">
      <c r="A858" s="19">
        <v>44726</v>
      </c>
      <c r="B858" s="25">
        <v>108.7</v>
      </c>
      <c r="C858" s="20">
        <f t="shared" si="26"/>
        <v>1.8433179723502567E-3</v>
      </c>
      <c r="H858" s="19">
        <v>44726</v>
      </c>
      <c r="I858" s="16">
        <v>41054.68</v>
      </c>
      <c r="J858" s="20">
        <f t="shared" si="27"/>
        <v>4.2747137776410083E-3</v>
      </c>
    </row>
    <row r="859" spans="1:10" x14ac:dyDescent="0.3">
      <c r="A859" s="19">
        <v>44727</v>
      </c>
      <c r="B859" s="25">
        <v>111.99</v>
      </c>
      <c r="C859" s="20">
        <f t="shared" si="26"/>
        <v>3.0266789328426788E-2</v>
      </c>
      <c r="H859" s="19">
        <v>44727</v>
      </c>
      <c r="I859" s="16">
        <v>41438.79</v>
      </c>
      <c r="J859" s="20">
        <f t="shared" si="27"/>
        <v>9.3560587976815445E-3</v>
      </c>
    </row>
    <row r="860" spans="1:10" x14ac:dyDescent="0.3">
      <c r="A860" s="19">
        <v>44728</v>
      </c>
      <c r="B860" s="25">
        <v>113.8</v>
      </c>
      <c r="C860" s="20">
        <f t="shared" si="26"/>
        <v>1.6162157335476404E-2</v>
      </c>
      <c r="H860" s="19">
        <v>44728</v>
      </c>
      <c r="I860" s="16">
        <v>41730.160000000003</v>
      </c>
      <c r="J860" s="20">
        <f t="shared" si="27"/>
        <v>7.0313346504567971E-3</v>
      </c>
    </row>
    <row r="861" spans="1:10" x14ac:dyDescent="0.3">
      <c r="A861" s="19">
        <v>44729</v>
      </c>
      <c r="B861" s="25">
        <v>110.84</v>
      </c>
      <c r="C861" s="20">
        <f t="shared" si="26"/>
        <v>-2.6010544815465674E-2</v>
      </c>
      <c r="H861" s="19">
        <v>44729</v>
      </c>
      <c r="I861" s="16">
        <v>42140.76</v>
      </c>
      <c r="J861" s="20">
        <f t="shared" si="27"/>
        <v>9.8394063190747061E-3</v>
      </c>
    </row>
    <row r="862" spans="1:10" x14ac:dyDescent="0.3">
      <c r="A862" s="19">
        <v>44732</v>
      </c>
      <c r="B862" s="25">
        <v>110.25</v>
      </c>
      <c r="C862" s="20">
        <f t="shared" si="26"/>
        <v>-5.3229880909419292E-3</v>
      </c>
      <c r="H862" s="19">
        <v>44732</v>
      </c>
      <c r="I862" s="16">
        <v>41776.980000000003</v>
      </c>
      <c r="J862" s="20">
        <f t="shared" si="27"/>
        <v>-8.6324973730895881E-3</v>
      </c>
    </row>
    <row r="863" spans="1:10" x14ac:dyDescent="0.3">
      <c r="A863" s="19">
        <v>44733</v>
      </c>
      <c r="B863" s="25">
        <v>112.1</v>
      </c>
      <c r="C863" s="20">
        <f t="shared" si="26"/>
        <v>1.6780045351473871E-2</v>
      </c>
      <c r="H863" s="19">
        <v>44733</v>
      </c>
      <c r="I863" s="16">
        <v>42525.95</v>
      </c>
      <c r="J863" s="20">
        <f t="shared" si="27"/>
        <v>1.7927815749247403E-2</v>
      </c>
    </row>
    <row r="864" spans="1:10" x14ac:dyDescent="0.3">
      <c r="A864" s="19">
        <v>44734</v>
      </c>
      <c r="B864" s="25">
        <v>114.93</v>
      </c>
      <c r="C864" s="20">
        <f t="shared" si="26"/>
        <v>2.5245316681534458E-2</v>
      </c>
      <c r="H864" s="19">
        <v>44734</v>
      </c>
      <c r="I864" s="16">
        <v>42458.14</v>
      </c>
      <c r="J864" s="20">
        <f t="shared" si="27"/>
        <v>-1.5945557947558532E-3</v>
      </c>
    </row>
    <row r="865" spans="1:10" x14ac:dyDescent="0.3">
      <c r="A865" s="19">
        <v>44735</v>
      </c>
      <c r="B865" s="25">
        <v>113.8</v>
      </c>
      <c r="C865" s="20">
        <f t="shared" si="26"/>
        <v>-9.8320716958149278E-3</v>
      </c>
      <c r="H865" s="19">
        <v>44735</v>
      </c>
      <c r="I865" s="16">
        <v>42716.97</v>
      </c>
      <c r="J865" s="20">
        <f t="shared" si="27"/>
        <v>6.0961219686025284E-3</v>
      </c>
    </row>
    <row r="866" spans="1:10" x14ac:dyDescent="0.3">
      <c r="A866" s="19">
        <v>44736</v>
      </c>
      <c r="B866" s="25">
        <v>111.39</v>
      </c>
      <c r="C866" s="20">
        <f t="shared" si="26"/>
        <v>-2.117750439367308E-2</v>
      </c>
      <c r="H866" s="19">
        <v>44736</v>
      </c>
      <c r="I866" s="16">
        <v>41051.79</v>
      </c>
      <c r="J866" s="20">
        <f t="shared" si="27"/>
        <v>-3.8981697437809854E-2</v>
      </c>
    </row>
    <row r="867" spans="1:10" x14ac:dyDescent="0.3">
      <c r="A867" s="19">
        <v>44739</v>
      </c>
      <c r="B867" s="25">
        <v>114.5</v>
      </c>
      <c r="C867" s="20">
        <f t="shared" si="26"/>
        <v>2.7919920998294274E-2</v>
      </c>
      <c r="H867" s="19">
        <v>44739</v>
      </c>
      <c r="I867" s="16">
        <v>41878.57</v>
      </c>
      <c r="J867" s="20">
        <f t="shared" si="27"/>
        <v>2.0139925688989417E-2</v>
      </c>
    </row>
    <row r="868" spans="1:10" x14ac:dyDescent="0.3">
      <c r="A868" s="19">
        <v>44740</v>
      </c>
      <c r="B868" s="25">
        <v>111.66</v>
      </c>
      <c r="C868" s="20">
        <f t="shared" si="26"/>
        <v>-2.480349344978169E-2</v>
      </c>
      <c r="H868" s="19">
        <v>44740</v>
      </c>
      <c r="I868" s="16">
        <v>41765.620000000003</v>
      </c>
      <c r="J868" s="20">
        <f t="shared" si="27"/>
        <v>-2.6970834964039386E-3</v>
      </c>
    </row>
    <row r="869" spans="1:10" x14ac:dyDescent="0.3">
      <c r="A869" s="19">
        <v>44741</v>
      </c>
      <c r="B869" s="25">
        <v>111.3</v>
      </c>
      <c r="C869" s="20">
        <f t="shared" si="26"/>
        <v>-3.2240730789897852E-3</v>
      </c>
      <c r="H869" s="19">
        <v>44741</v>
      </c>
      <c r="I869" s="16">
        <v>41297.730000000003</v>
      </c>
      <c r="J869" s="20">
        <f t="shared" si="27"/>
        <v>-1.120275480167658E-2</v>
      </c>
    </row>
    <row r="870" spans="1:10" x14ac:dyDescent="0.3">
      <c r="A870" s="19">
        <v>44742</v>
      </c>
      <c r="B870" s="25">
        <v>110.2</v>
      </c>
      <c r="C870" s="20">
        <f t="shared" si="26"/>
        <v>-9.883198562443794E-3</v>
      </c>
      <c r="H870" s="19">
        <v>44742</v>
      </c>
      <c r="I870" s="16">
        <v>41540.83</v>
      </c>
      <c r="J870" s="20">
        <f t="shared" si="27"/>
        <v>5.8865220921343261E-3</v>
      </c>
    </row>
    <row r="871" spans="1:10" x14ac:dyDescent="0.3">
      <c r="A871" s="19">
        <v>44743</v>
      </c>
      <c r="B871" s="25">
        <v>111.86</v>
      </c>
      <c r="C871" s="20">
        <f t="shared" si="26"/>
        <v>1.5063520871143344E-2</v>
      </c>
      <c r="H871" s="19">
        <v>44743</v>
      </c>
      <c r="I871" s="16">
        <v>41630.35</v>
      </c>
      <c r="J871" s="20">
        <f t="shared" si="27"/>
        <v>2.1549882368743427E-3</v>
      </c>
    </row>
    <row r="872" spans="1:10" x14ac:dyDescent="0.3">
      <c r="A872" s="19">
        <v>44746</v>
      </c>
      <c r="B872" s="25">
        <v>109.6</v>
      </c>
      <c r="C872" s="20">
        <f t="shared" si="26"/>
        <v>-2.0203826211335645E-2</v>
      </c>
      <c r="H872" s="19">
        <v>44746</v>
      </c>
      <c r="I872" s="16">
        <v>41348.19</v>
      </c>
      <c r="J872" s="20">
        <f t="shared" si="27"/>
        <v>-6.7777474847075803E-3</v>
      </c>
    </row>
    <row r="873" spans="1:10" x14ac:dyDescent="0.3">
      <c r="A873" s="19">
        <v>44747</v>
      </c>
      <c r="B873" s="25">
        <v>108.9</v>
      </c>
      <c r="C873" s="20">
        <f t="shared" si="26"/>
        <v>-6.3868613138685099E-3</v>
      </c>
      <c r="H873" s="19">
        <v>44747</v>
      </c>
      <c r="I873" s="16">
        <v>41102.57</v>
      </c>
      <c r="J873" s="20">
        <f t="shared" si="27"/>
        <v>-5.9402842059108904E-3</v>
      </c>
    </row>
    <row r="874" spans="1:10" x14ac:dyDescent="0.3">
      <c r="A874" s="19">
        <v>44748</v>
      </c>
      <c r="B874" s="25">
        <v>109.46</v>
      </c>
      <c r="C874" s="20">
        <f t="shared" si="26"/>
        <v>5.1423324150595782E-3</v>
      </c>
      <c r="H874" s="19">
        <v>44748</v>
      </c>
      <c r="I874" s="16">
        <v>41159.79</v>
      </c>
      <c r="J874" s="20">
        <f t="shared" si="27"/>
        <v>1.392127061641186E-3</v>
      </c>
    </row>
    <row r="875" spans="1:10" x14ac:dyDescent="0.3">
      <c r="A875" s="19">
        <v>44749</v>
      </c>
      <c r="B875" s="25">
        <v>111.5</v>
      </c>
      <c r="C875" s="20">
        <f t="shared" si="26"/>
        <v>1.8636945002740785E-2</v>
      </c>
      <c r="H875" s="19">
        <v>44749</v>
      </c>
      <c r="I875" s="16">
        <v>41344.01</v>
      </c>
      <c r="J875" s="20">
        <f t="shared" si="27"/>
        <v>4.4757274028852231E-3</v>
      </c>
    </row>
    <row r="876" spans="1:10" x14ac:dyDescent="0.3">
      <c r="A876" s="19">
        <v>44755</v>
      </c>
      <c r="B876" s="25">
        <v>111</v>
      </c>
      <c r="C876" s="20">
        <f t="shared" si="26"/>
        <v>-4.4843049327354259E-3</v>
      </c>
      <c r="H876" s="19">
        <v>44755</v>
      </c>
      <c r="I876" s="16">
        <v>41862.769999999997</v>
      </c>
      <c r="J876" s="20">
        <f t="shared" si="27"/>
        <v>1.2547404085863823E-2</v>
      </c>
    </row>
    <row r="877" spans="1:10" x14ac:dyDescent="0.3">
      <c r="A877" s="19">
        <v>44756</v>
      </c>
      <c r="B877" s="25">
        <v>111</v>
      </c>
      <c r="C877" s="20">
        <f t="shared" si="26"/>
        <v>0</v>
      </c>
      <c r="H877" s="19">
        <v>44756</v>
      </c>
      <c r="I877" s="16">
        <v>42348.91</v>
      </c>
      <c r="J877" s="20">
        <f t="shared" si="27"/>
        <v>1.1612705036002317E-2</v>
      </c>
    </row>
    <row r="878" spans="1:10" x14ac:dyDescent="0.3">
      <c r="A878" s="19">
        <v>44757</v>
      </c>
      <c r="B878" s="25">
        <v>111.1</v>
      </c>
      <c r="C878" s="20">
        <f t="shared" si="26"/>
        <v>9.0090090090084974E-4</v>
      </c>
      <c r="H878" s="19">
        <v>44757</v>
      </c>
      <c r="I878" s="16">
        <v>42074.91</v>
      </c>
      <c r="J878" s="20">
        <f t="shared" si="27"/>
        <v>-6.4700602683752662E-3</v>
      </c>
    </row>
    <row r="879" spans="1:10" x14ac:dyDescent="0.3">
      <c r="A879" s="19">
        <v>44760</v>
      </c>
      <c r="B879" s="25">
        <v>108.5</v>
      </c>
      <c r="C879" s="20">
        <f t="shared" si="26"/>
        <v>-2.3402340234023353E-2</v>
      </c>
      <c r="H879" s="19">
        <v>44760</v>
      </c>
      <c r="I879" s="16">
        <v>41367.11</v>
      </c>
      <c r="J879" s="20">
        <f t="shared" si="27"/>
        <v>-1.682237704132945E-2</v>
      </c>
    </row>
    <row r="880" spans="1:10" x14ac:dyDescent="0.3">
      <c r="A880" s="19">
        <v>44761</v>
      </c>
      <c r="B880" s="25">
        <v>105.99</v>
      </c>
      <c r="C880" s="20">
        <f t="shared" si="26"/>
        <v>-2.3133640552995438E-2</v>
      </c>
      <c r="H880" s="19">
        <v>44761</v>
      </c>
      <c r="I880" s="16">
        <v>40389.07</v>
      </c>
      <c r="J880" s="20">
        <f t="shared" si="27"/>
        <v>-2.3642937589790556E-2</v>
      </c>
    </row>
    <row r="881" spans="1:10" x14ac:dyDescent="0.3">
      <c r="A881" s="19">
        <v>44762</v>
      </c>
      <c r="B881" s="25">
        <v>107</v>
      </c>
      <c r="C881" s="20">
        <f t="shared" si="26"/>
        <v>9.5292008680064651E-3</v>
      </c>
      <c r="H881" s="19">
        <v>44762</v>
      </c>
      <c r="I881" s="16">
        <v>40459.699999999997</v>
      </c>
      <c r="J881" s="20">
        <f t="shared" si="27"/>
        <v>1.7487404389355185E-3</v>
      </c>
    </row>
    <row r="882" spans="1:10" x14ac:dyDescent="0.3">
      <c r="A882" s="19">
        <v>44763</v>
      </c>
      <c r="B882" s="25">
        <v>105.75</v>
      </c>
      <c r="C882" s="20">
        <f t="shared" si="26"/>
        <v>-1.1682242990654205E-2</v>
      </c>
      <c r="H882" s="19">
        <v>44763</v>
      </c>
      <c r="I882" s="16">
        <v>39831.75</v>
      </c>
      <c r="J882" s="20">
        <f t="shared" si="27"/>
        <v>-1.5520382009752844E-2</v>
      </c>
    </row>
    <row r="883" spans="1:10" x14ac:dyDescent="0.3">
      <c r="A883" s="19">
        <v>44764</v>
      </c>
      <c r="B883" s="25">
        <v>105.99</v>
      </c>
      <c r="C883" s="20">
        <f t="shared" si="26"/>
        <v>2.2695035460992422E-3</v>
      </c>
      <c r="H883" s="19">
        <v>44764</v>
      </c>
      <c r="I883" s="16">
        <v>40077.300000000003</v>
      </c>
      <c r="J883" s="20">
        <f t="shared" si="27"/>
        <v>6.1646801860325727E-3</v>
      </c>
    </row>
    <row r="884" spans="1:10" x14ac:dyDescent="0.3">
      <c r="A884" s="19">
        <v>44767</v>
      </c>
      <c r="B884" s="25">
        <v>104.5</v>
      </c>
      <c r="C884" s="20">
        <f t="shared" si="26"/>
        <v>-1.4057929993395555E-2</v>
      </c>
      <c r="H884" s="19">
        <v>44767</v>
      </c>
      <c r="I884" s="16">
        <v>39844.019999999997</v>
      </c>
      <c r="J884" s="20">
        <f t="shared" si="27"/>
        <v>-5.8207513979236652E-3</v>
      </c>
    </row>
    <row r="885" spans="1:10" x14ac:dyDescent="0.3">
      <c r="A885" s="19">
        <v>44768</v>
      </c>
      <c r="B885" s="25">
        <v>105.04</v>
      </c>
      <c r="C885" s="20">
        <f t="shared" si="26"/>
        <v>5.1674641148325958E-3</v>
      </c>
      <c r="H885" s="19">
        <v>44768</v>
      </c>
      <c r="I885" s="16">
        <v>39894.050000000003</v>
      </c>
      <c r="J885" s="20">
        <f t="shared" si="27"/>
        <v>1.2556463931100857E-3</v>
      </c>
    </row>
    <row r="886" spans="1:10" x14ac:dyDescent="0.3">
      <c r="A886" s="19">
        <v>44769</v>
      </c>
      <c r="B886" s="25">
        <v>104.4</v>
      </c>
      <c r="C886" s="20">
        <f t="shared" si="26"/>
        <v>-6.0929169840060983E-3</v>
      </c>
      <c r="H886" s="19">
        <v>44769</v>
      </c>
      <c r="I886" s="16">
        <v>39972.639999999999</v>
      </c>
      <c r="J886" s="20">
        <f t="shared" si="27"/>
        <v>1.9699679526144001E-3</v>
      </c>
    </row>
    <row r="887" spans="1:10" x14ac:dyDescent="0.3">
      <c r="A887" s="19">
        <v>44770</v>
      </c>
      <c r="B887" s="25">
        <v>104.9</v>
      </c>
      <c r="C887" s="20">
        <f t="shared" si="26"/>
        <v>4.7892720306513406E-3</v>
      </c>
      <c r="H887" s="19">
        <v>44770</v>
      </c>
      <c r="I887" s="16">
        <v>40276.639999999999</v>
      </c>
      <c r="J887" s="20">
        <f t="shared" si="27"/>
        <v>7.6052019581393671E-3</v>
      </c>
    </row>
    <row r="888" spans="1:10" x14ac:dyDescent="0.3">
      <c r="A888" s="19">
        <v>44771</v>
      </c>
      <c r="B888" s="25">
        <v>103.51</v>
      </c>
      <c r="C888" s="20">
        <f t="shared" si="26"/>
        <v>-1.3250714966634896E-2</v>
      </c>
      <c r="H888" s="19">
        <v>44771</v>
      </c>
      <c r="I888" s="16">
        <v>40150.36</v>
      </c>
      <c r="J888" s="20">
        <f t="shared" si="27"/>
        <v>-3.1353161534824862E-3</v>
      </c>
    </row>
    <row r="889" spans="1:10" x14ac:dyDescent="0.3">
      <c r="A889" s="19">
        <v>44774</v>
      </c>
      <c r="B889" s="25">
        <v>103.65</v>
      </c>
      <c r="C889" s="20">
        <f t="shared" si="26"/>
        <v>1.3525263259588499E-3</v>
      </c>
      <c r="H889" s="19">
        <v>44774</v>
      </c>
      <c r="I889" s="16">
        <v>40075.96</v>
      </c>
      <c r="J889" s="20">
        <f t="shared" si="27"/>
        <v>-1.8530344435268189E-3</v>
      </c>
    </row>
    <row r="890" spans="1:10" x14ac:dyDescent="0.3">
      <c r="A890" s="19">
        <v>44775</v>
      </c>
      <c r="B890" s="25">
        <v>103.8</v>
      </c>
      <c r="C890" s="20">
        <f t="shared" si="26"/>
        <v>1.4471780028942737E-3</v>
      </c>
      <c r="H890" s="19">
        <v>44775</v>
      </c>
      <c r="I890" s="16">
        <v>40191.61</v>
      </c>
      <c r="J890" s="20">
        <f t="shared" si="27"/>
        <v>2.885769922916418E-3</v>
      </c>
    </row>
    <row r="891" spans="1:10" x14ac:dyDescent="0.3">
      <c r="A891" s="19">
        <v>44776</v>
      </c>
      <c r="B891" s="25">
        <v>104.4</v>
      </c>
      <c r="C891" s="20">
        <f t="shared" si="26"/>
        <v>5.7803468208093307E-3</v>
      </c>
      <c r="H891" s="19">
        <v>44776</v>
      </c>
      <c r="I891" s="16">
        <v>41068.870000000003</v>
      </c>
      <c r="J891" s="20">
        <f t="shared" si="27"/>
        <v>2.1826943483975934E-2</v>
      </c>
    </row>
    <row r="892" spans="1:10" x14ac:dyDescent="0.3">
      <c r="A892" s="19">
        <v>44777</v>
      </c>
      <c r="B892" s="25">
        <v>103.4</v>
      </c>
      <c r="C892" s="20">
        <f t="shared" si="26"/>
        <v>-9.5785440613026813E-3</v>
      </c>
      <c r="H892" s="19">
        <v>44777</v>
      </c>
      <c r="I892" s="16">
        <v>41425.370000000003</v>
      </c>
      <c r="J892" s="20">
        <f t="shared" si="27"/>
        <v>8.6805407599478621E-3</v>
      </c>
    </row>
    <row r="893" spans="1:10" x14ac:dyDescent="0.3">
      <c r="A893" s="19">
        <v>44778</v>
      </c>
      <c r="B893" s="25">
        <v>103.91</v>
      </c>
      <c r="C893" s="20">
        <f t="shared" si="26"/>
        <v>4.9323017408122909E-3</v>
      </c>
      <c r="H893" s="19">
        <v>44778</v>
      </c>
      <c r="I893" s="16">
        <v>42096.24</v>
      </c>
      <c r="J893" s="20">
        <f t="shared" si="27"/>
        <v>1.6194665249821435E-2</v>
      </c>
    </row>
    <row r="894" spans="1:10" x14ac:dyDescent="0.3">
      <c r="A894" s="19">
        <v>44783</v>
      </c>
      <c r="B894" s="25">
        <v>104.53</v>
      </c>
      <c r="C894" s="20">
        <f t="shared" si="26"/>
        <v>5.9667019536137483E-3</v>
      </c>
      <c r="H894" s="19">
        <v>44783</v>
      </c>
      <c r="I894" s="16">
        <v>42494.85</v>
      </c>
      <c r="J894" s="20">
        <f t="shared" si="27"/>
        <v>9.4690167102810269E-3</v>
      </c>
    </row>
    <row r="895" spans="1:10" x14ac:dyDescent="0.3">
      <c r="A895" s="19">
        <v>44784</v>
      </c>
      <c r="B895" s="25">
        <v>104.3</v>
      </c>
      <c r="C895" s="20">
        <f t="shared" si="26"/>
        <v>-2.2003252654740645E-3</v>
      </c>
      <c r="H895" s="19">
        <v>44784</v>
      </c>
      <c r="I895" s="16">
        <v>42243.33</v>
      </c>
      <c r="J895" s="20">
        <f t="shared" si="27"/>
        <v>-5.9188348705783598E-3</v>
      </c>
    </row>
    <row r="896" spans="1:10" x14ac:dyDescent="0.3">
      <c r="A896" s="19">
        <v>44785</v>
      </c>
      <c r="B896" s="25">
        <v>104.41</v>
      </c>
      <c r="C896" s="20">
        <f t="shared" si="26"/>
        <v>1.0546500479386332E-3</v>
      </c>
      <c r="H896" s="19">
        <v>44785</v>
      </c>
      <c r="I896" s="16">
        <v>42857.57</v>
      </c>
      <c r="J896" s="20">
        <f t="shared" si="27"/>
        <v>1.454052036143926E-2</v>
      </c>
    </row>
    <row r="897" spans="1:10" x14ac:dyDescent="0.3">
      <c r="A897" s="19">
        <v>44788</v>
      </c>
      <c r="B897" s="25">
        <v>103.75</v>
      </c>
      <c r="C897" s="20">
        <f t="shared" si="26"/>
        <v>-6.3212335983143051E-3</v>
      </c>
      <c r="H897" s="19">
        <v>44788</v>
      </c>
      <c r="I897" s="16">
        <v>43621.82</v>
      </c>
      <c r="J897" s="20">
        <f t="shared" si="27"/>
        <v>1.7832322271188032E-2</v>
      </c>
    </row>
    <row r="898" spans="1:10" x14ac:dyDescent="0.3">
      <c r="A898" s="19">
        <v>44789</v>
      </c>
      <c r="B898" s="25">
        <v>102.85</v>
      </c>
      <c r="C898" s="20">
        <f t="shared" si="26"/>
        <v>-8.6746987951807769E-3</v>
      </c>
      <c r="H898" s="19">
        <v>44789</v>
      </c>
      <c r="I898" s="16">
        <v>43436.480000000003</v>
      </c>
      <c r="J898" s="20">
        <f t="shared" si="27"/>
        <v>-4.2487910866625123E-3</v>
      </c>
    </row>
    <row r="899" spans="1:10" x14ac:dyDescent="0.3">
      <c r="A899" s="19">
        <v>44790</v>
      </c>
      <c r="B899" s="25">
        <v>102.9</v>
      </c>
      <c r="C899" s="20">
        <f t="shared" si="26"/>
        <v>4.8614487117171971E-4</v>
      </c>
      <c r="H899" s="19">
        <v>44790</v>
      </c>
      <c r="I899" s="16">
        <v>43676.56</v>
      </c>
      <c r="J899" s="20">
        <f t="shared" si="27"/>
        <v>5.5271513713817154E-3</v>
      </c>
    </row>
    <row r="900" spans="1:10" x14ac:dyDescent="0.3">
      <c r="A900" s="19">
        <v>44791</v>
      </c>
      <c r="B900" s="25">
        <v>102.39</v>
      </c>
      <c r="C900" s="20">
        <f t="shared" si="26"/>
        <v>-4.9562682215743932E-3</v>
      </c>
      <c r="H900" s="19">
        <v>44791</v>
      </c>
      <c r="I900" s="16">
        <v>43481.5</v>
      </c>
      <c r="J900" s="20">
        <f t="shared" si="27"/>
        <v>-4.4660110594789901E-3</v>
      </c>
    </row>
    <row r="901" spans="1:10" x14ac:dyDescent="0.3">
      <c r="A901" s="19">
        <v>44792</v>
      </c>
      <c r="B901" s="25">
        <v>102.01</v>
      </c>
      <c r="C901" s="20">
        <f t="shared" ref="C901:C964" si="28">(B901-B900)/B900</f>
        <v>-3.7112999316339041E-3</v>
      </c>
      <c r="H901" s="19">
        <v>44792</v>
      </c>
      <c r="I901" s="16">
        <v>43270.65</v>
      </c>
      <c r="J901" s="20">
        <f t="shared" ref="J901:J964" si="29">(I901-I900)/I900</f>
        <v>-4.8491887354391765E-3</v>
      </c>
    </row>
    <row r="902" spans="1:10" x14ac:dyDescent="0.3">
      <c r="A902" s="19">
        <v>44795</v>
      </c>
      <c r="B902" s="25">
        <v>102.2</v>
      </c>
      <c r="C902" s="20">
        <f t="shared" si="28"/>
        <v>1.8625624938731274E-3</v>
      </c>
      <c r="H902" s="19">
        <v>44795</v>
      </c>
      <c r="I902" s="16">
        <v>42826.66</v>
      </c>
      <c r="J902" s="20">
        <f t="shared" si="29"/>
        <v>-1.0260765669108229E-2</v>
      </c>
    </row>
    <row r="903" spans="1:10" x14ac:dyDescent="0.3">
      <c r="A903" s="19">
        <v>44796</v>
      </c>
      <c r="B903" s="25">
        <v>104.5</v>
      </c>
      <c r="C903" s="20">
        <f t="shared" si="28"/>
        <v>2.2504892367906038E-2</v>
      </c>
      <c r="H903" s="19">
        <v>44796</v>
      </c>
      <c r="I903" s="16">
        <v>43366.78</v>
      </c>
      <c r="J903" s="20">
        <f t="shared" si="29"/>
        <v>1.2611770331844588E-2</v>
      </c>
    </row>
    <row r="904" spans="1:10" x14ac:dyDescent="0.3">
      <c r="A904" s="19">
        <v>44797</v>
      </c>
      <c r="B904" s="25">
        <v>103.78</v>
      </c>
      <c r="C904" s="20">
        <f t="shared" si="28"/>
        <v>-6.8899521531100372E-3</v>
      </c>
      <c r="H904" s="19">
        <v>44797</v>
      </c>
      <c r="I904" s="16">
        <v>43337.97</v>
      </c>
      <c r="J904" s="20">
        <f t="shared" si="29"/>
        <v>-6.6433339067363713E-4</v>
      </c>
    </row>
    <row r="905" spans="1:10" x14ac:dyDescent="0.3">
      <c r="A905" s="19">
        <v>44798</v>
      </c>
      <c r="B905" s="25">
        <v>103.7</v>
      </c>
      <c r="C905" s="20">
        <f t="shared" si="28"/>
        <v>-7.7086143765656482E-4</v>
      </c>
      <c r="H905" s="19">
        <v>44798</v>
      </c>
      <c r="I905" s="16">
        <v>43032.57</v>
      </c>
      <c r="J905" s="20">
        <f t="shared" si="29"/>
        <v>-7.0469382852958147E-3</v>
      </c>
    </row>
    <row r="906" spans="1:10" x14ac:dyDescent="0.3">
      <c r="A906" s="19">
        <v>44799</v>
      </c>
      <c r="B906" s="25">
        <v>103.6</v>
      </c>
      <c r="C906" s="20">
        <f t="shared" si="28"/>
        <v>-9.643201542913069E-4</v>
      </c>
      <c r="H906" s="19">
        <v>44799</v>
      </c>
      <c r="I906" s="16">
        <v>42591.51</v>
      </c>
      <c r="J906" s="20">
        <f t="shared" si="29"/>
        <v>-1.0249445942921783E-2</v>
      </c>
    </row>
    <row r="907" spans="1:10" x14ac:dyDescent="0.3">
      <c r="A907" s="19">
        <v>44802</v>
      </c>
      <c r="B907" s="25">
        <v>103.5</v>
      </c>
      <c r="C907" s="20">
        <f t="shared" si="28"/>
        <v>-9.6525096525091041E-4</v>
      </c>
      <c r="H907" s="19">
        <v>44802</v>
      </c>
      <c r="I907" s="16">
        <v>42504.34</v>
      </c>
      <c r="J907" s="20">
        <f t="shared" si="29"/>
        <v>-2.0466520205554002E-3</v>
      </c>
    </row>
    <row r="908" spans="1:10" x14ac:dyDescent="0.3">
      <c r="A908" s="19">
        <v>44803</v>
      </c>
      <c r="B908" s="25">
        <v>103.55</v>
      </c>
      <c r="C908" s="20">
        <f t="shared" si="28"/>
        <v>4.8309178743958608E-4</v>
      </c>
      <c r="H908" s="19">
        <v>44803</v>
      </c>
      <c r="I908" s="16">
        <v>42195.25</v>
      </c>
      <c r="J908" s="20">
        <f t="shared" si="29"/>
        <v>-7.2719632865725367E-3</v>
      </c>
    </row>
    <row r="909" spans="1:10" x14ac:dyDescent="0.3">
      <c r="A909" s="19">
        <v>44804</v>
      </c>
      <c r="B909" s="25">
        <v>104.11</v>
      </c>
      <c r="C909" s="20">
        <f t="shared" si="28"/>
        <v>5.4080154514727407E-3</v>
      </c>
      <c r="H909" s="19">
        <v>44804</v>
      </c>
      <c r="I909" s="16">
        <v>42351.15</v>
      </c>
      <c r="J909" s="20">
        <f t="shared" si="29"/>
        <v>3.694728672066203E-3</v>
      </c>
    </row>
    <row r="910" spans="1:10" x14ac:dyDescent="0.3">
      <c r="A910" s="19">
        <v>44805</v>
      </c>
      <c r="B910" s="25">
        <v>104</v>
      </c>
      <c r="C910" s="20">
        <f t="shared" si="28"/>
        <v>-1.0565747766785078E-3</v>
      </c>
      <c r="H910" s="19">
        <v>44805</v>
      </c>
      <c r="I910" s="16">
        <v>42460.08</v>
      </c>
      <c r="J910" s="20">
        <f t="shared" si="29"/>
        <v>2.5720671103382146E-3</v>
      </c>
    </row>
    <row r="911" spans="1:10" x14ac:dyDescent="0.3">
      <c r="A911" s="19">
        <v>44806</v>
      </c>
      <c r="B911" s="25">
        <v>103.07</v>
      </c>
      <c r="C911" s="20">
        <f t="shared" si="28"/>
        <v>-8.942307692307758E-3</v>
      </c>
      <c r="H911" s="19">
        <v>44806</v>
      </c>
      <c r="I911" s="16">
        <v>42309.11</v>
      </c>
      <c r="J911" s="20">
        <f t="shared" si="29"/>
        <v>-3.5555750248233435E-3</v>
      </c>
    </row>
    <row r="912" spans="1:10" x14ac:dyDescent="0.3">
      <c r="A912" s="19">
        <v>44809</v>
      </c>
      <c r="B912" s="25">
        <v>102.81</v>
      </c>
      <c r="C912" s="20">
        <f t="shared" si="28"/>
        <v>-2.522557485204142E-3</v>
      </c>
      <c r="H912" s="19">
        <v>44809</v>
      </c>
      <c r="I912" s="16">
        <v>41859.300000000003</v>
      </c>
      <c r="J912" s="20">
        <f t="shared" si="29"/>
        <v>-1.0631516474820616E-2</v>
      </c>
    </row>
    <row r="913" spans="1:10" x14ac:dyDescent="0.3">
      <c r="A913" s="19">
        <v>44810</v>
      </c>
      <c r="B913" s="25">
        <v>101.55</v>
      </c>
      <c r="C913" s="20">
        <f t="shared" si="28"/>
        <v>-1.2255617157864071E-2</v>
      </c>
      <c r="H913" s="19">
        <v>44810</v>
      </c>
      <c r="I913" s="16">
        <v>41860.36</v>
      </c>
      <c r="J913" s="20">
        <f t="shared" si="29"/>
        <v>2.5322927043635981E-5</v>
      </c>
    </row>
    <row r="914" spans="1:10" x14ac:dyDescent="0.3">
      <c r="A914" s="19">
        <v>44811</v>
      </c>
      <c r="B914" s="25">
        <v>101.79</v>
      </c>
      <c r="C914" s="20">
        <f t="shared" si="28"/>
        <v>2.3633677991138267E-3</v>
      </c>
      <c r="H914" s="19">
        <v>44811</v>
      </c>
      <c r="I914" s="16">
        <v>41766.050000000003</v>
      </c>
      <c r="J914" s="20">
        <f t="shared" si="29"/>
        <v>-2.2529667685609409E-3</v>
      </c>
    </row>
    <row r="915" spans="1:10" x14ac:dyDescent="0.3">
      <c r="A915" s="19">
        <v>44812</v>
      </c>
      <c r="B915" s="25">
        <v>102</v>
      </c>
      <c r="C915" s="20">
        <f t="shared" si="28"/>
        <v>2.0630710285882083E-3</v>
      </c>
      <c r="H915" s="19">
        <v>44812</v>
      </c>
      <c r="I915" s="16">
        <v>41824.79</v>
      </c>
      <c r="J915" s="20">
        <f t="shared" si="29"/>
        <v>1.406405441740312E-3</v>
      </c>
    </row>
    <row r="916" spans="1:10" x14ac:dyDescent="0.3">
      <c r="A916" s="19">
        <v>44813</v>
      </c>
      <c r="B916" s="25">
        <v>102.9</v>
      </c>
      <c r="C916" s="20">
        <f t="shared" si="28"/>
        <v>8.8235294117647613E-3</v>
      </c>
      <c r="H916" s="19">
        <v>44813</v>
      </c>
      <c r="I916" s="16">
        <v>41948.160000000003</v>
      </c>
      <c r="J916" s="20">
        <f t="shared" si="29"/>
        <v>2.9496860593921123E-3</v>
      </c>
    </row>
    <row r="917" spans="1:10" x14ac:dyDescent="0.3">
      <c r="A917" s="19">
        <v>44816</v>
      </c>
      <c r="B917" s="25">
        <v>102.19</v>
      </c>
      <c r="C917" s="20">
        <f t="shared" si="28"/>
        <v>-6.8999028182702418E-3</v>
      </c>
      <c r="H917" s="19">
        <v>44816</v>
      </c>
      <c r="I917" s="16">
        <v>41862.29</v>
      </c>
      <c r="J917" s="20">
        <f t="shared" si="29"/>
        <v>-2.0470504546564764E-3</v>
      </c>
    </row>
    <row r="918" spans="1:10" x14ac:dyDescent="0.3">
      <c r="A918" s="19">
        <v>44817</v>
      </c>
      <c r="B918" s="25">
        <v>101.4</v>
      </c>
      <c r="C918" s="20">
        <f t="shared" si="28"/>
        <v>-7.7306977199333793E-3</v>
      </c>
      <c r="H918" s="19">
        <v>44817</v>
      </c>
      <c r="I918" s="16">
        <v>42001.34</v>
      </c>
      <c r="J918" s="20">
        <f t="shared" si="29"/>
        <v>3.3216051964666919E-3</v>
      </c>
    </row>
    <row r="919" spans="1:10" x14ac:dyDescent="0.3">
      <c r="A919" s="19">
        <v>44818</v>
      </c>
      <c r="B919" s="25">
        <v>101.22</v>
      </c>
      <c r="C919" s="20">
        <f t="shared" si="28"/>
        <v>-1.77514792899415E-3</v>
      </c>
      <c r="H919" s="19">
        <v>44818</v>
      </c>
      <c r="I919" s="16">
        <v>41937.620000000003</v>
      </c>
      <c r="J919" s="20">
        <f t="shared" si="29"/>
        <v>-1.5170944546053506E-3</v>
      </c>
    </row>
    <row r="920" spans="1:10" x14ac:dyDescent="0.3">
      <c r="A920" s="19">
        <v>44819</v>
      </c>
      <c r="B920" s="25">
        <v>101.45</v>
      </c>
      <c r="C920" s="20">
        <f t="shared" si="28"/>
        <v>2.2722782058882036E-3</v>
      </c>
      <c r="H920" s="19">
        <v>44819</v>
      </c>
      <c r="I920" s="16">
        <v>41772.089999999997</v>
      </c>
      <c r="J920" s="20">
        <f t="shared" si="29"/>
        <v>-3.9470527893572908E-3</v>
      </c>
    </row>
    <row r="921" spans="1:10" x14ac:dyDescent="0.3">
      <c r="A921" s="19">
        <v>44820</v>
      </c>
      <c r="B921" s="25">
        <v>100.2</v>
      </c>
      <c r="C921" s="20">
        <f t="shared" si="28"/>
        <v>-1.232134056185313E-2</v>
      </c>
      <c r="H921" s="19">
        <v>44820</v>
      </c>
      <c r="I921" s="16">
        <v>41679.49</v>
      </c>
      <c r="J921" s="20">
        <f t="shared" si="29"/>
        <v>-2.2167911636692956E-3</v>
      </c>
    </row>
    <row r="922" spans="1:10" x14ac:dyDescent="0.3">
      <c r="A922" s="19">
        <v>44823</v>
      </c>
      <c r="B922" s="25">
        <v>100.05</v>
      </c>
      <c r="C922" s="20">
        <f t="shared" si="28"/>
        <v>-1.4970059880240088E-3</v>
      </c>
      <c r="H922" s="19">
        <v>44823</v>
      </c>
      <c r="I922" s="16">
        <v>41520.589999999997</v>
      </c>
      <c r="J922" s="20">
        <f t="shared" si="29"/>
        <v>-3.8124266875626707E-3</v>
      </c>
    </row>
    <row r="923" spans="1:10" x14ac:dyDescent="0.3">
      <c r="A923" s="19">
        <v>44824</v>
      </c>
      <c r="B923" s="25">
        <v>100.16</v>
      </c>
      <c r="C923" s="20">
        <f t="shared" si="28"/>
        <v>1.0994502748625631E-3</v>
      </c>
      <c r="H923" s="19">
        <v>44824</v>
      </c>
      <c r="I923" s="16">
        <v>41220.910000000003</v>
      </c>
      <c r="J923" s="20">
        <f t="shared" si="29"/>
        <v>-7.2176238343432267E-3</v>
      </c>
    </row>
    <row r="924" spans="1:10" x14ac:dyDescent="0.3">
      <c r="A924" s="19">
        <v>44825</v>
      </c>
      <c r="B924" s="25">
        <v>101</v>
      </c>
      <c r="C924" s="20">
        <f t="shared" si="28"/>
        <v>8.3865814696485966E-3</v>
      </c>
      <c r="H924" s="19">
        <v>44825</v>
      </c>
      <c r="I924" s="16">
        <v>40965.58</v>
      </c>
      <c r="J924" s="20">
        <f t="shared" si="29"/>
        <v>-6.1941863971465387E-3</v>
      </c>
    </row>
    <row r="925" spans="1:10" x14ac:dyDescent="0.3">
      <c r="A925" s="19">
        <v>44826</v>
      </c>
      <c r="B925" s="25">
        <v>100.6</v>
      </c>
      <c r="C925" s="20">
        <f t="shared" si="28"/>
        <v>-3.9603960396040168E-3</v>
      </c>
      <c r="H925" s="19">
        <v>44826</v>
      </c>
      <c r="I925" s="16">
        <v>40927.949999999997</v>
      </c>
      <c r="J925" s="20">
        <f t="shared" si="29"/>
        <v>-9.1857603383144225E-4</v>
      </c>
    </row>
    <row r="926" spans="1:10" x14ac:dyDescent="0.3">
      <c r="A926" s="19">
        <v>44827</v>
      </c>
      <c r="B926" s="25">
        <v>100.5</v>
      </c>
      <c r="C926" s="20">
        <f t="shared" si="28"/>
        <v>-9.940357852882139E-4</v>
      </c>
      <c r="H926" s="19">
        <v>44827</v>
      </c>
      <c r="I926" s="16">
        <v>40620.21</v>
      </c>
      <c r="J926" s="20">
        <f t="shared" si="29"/>
        <v>-7.5190670434262643E-3</v>
      </c>
    </row>
    <row r="927" spans="1:10" x14ac:dyDescent="0.3">
      <c r="A927" s="19">
        <v>44830</v>
      </c>
      <c r="B927" s="25">
        <v>100.66</v>
      </c>
      <c r="C927" s="20">
        <f t="shared" si="28"/>
        <v>1.592039800994991E-3</v>
      </c>
      <c r="H927" s="19">
        <v>44830</v>
      </c>
      <c r="I927" s="16">
        <v>41151.54</v>
      </c>
      <c r="J927" s="20">
        <f t="shared" si="29"/>
        <v>1.3080434591549422E-2</v>
      </c>
    </row>
    <row r="928" spans="1:10" x14ac:dyDescent="0.3">
      <c r="A928" s="19">
        <v>44831</v>
      </c>
      <c r="B928" s="25">
        <v>101</v>
      </c>
      <c r="C928" s="20">
        <f t="shared" si="28"/>
        <v>3.3777071329227442E-3</v>
      </c>
      <c r="H928" s="19">
        <v>44831</v>
      </c>
      <c r="I928" s="16">
        <v>41518.230000000003</v>
      </c>
      <c r="J928" s="20">
        <f t="shared" si="29"/>
        <v>8.9107236327000718E-3</v>
      </c>
    </row>
    <row r="929" spans="1:10" x14ac:dyDescent="0.3">
      <c r="A929" s="19">
        <v>44832</v>
      </c>
      <c r="B929" s="25">
        <v>100.51</v>
      </c>
      <c r="C929" s="20">
        <f t="shared" si="28"/>
        <v>-4.8514851485148012E-3</v>
      </c>
      <c r="H929" s="19">
        <v>44832</v>
      </c>
      <c r="I929" s="16">
        <v>41435.129999999997</v>
      </c>
      <c r="J929" s="20">
        <f t="shared" si="29"/>
        <v>-2.001530412062504E-3</v>
      </c>
    </row>
    <row r="930" spans="1:10" x14ac:dyDescent="0.3">
      <c r="A930" s="19">
        <v>44833</v>
      </c>
      <c r="B930" s="25">
        <v>100.59</v>
      </c>
      <c r="C930" s="20">
        <f t="shared" si="28"/>
        <v>7.9594070241765288E-4</v>
      </c>
      <c r="H930" s="19">
        <v>44833</v>
      </c>
      <c r="I930" s="16">
        <v>41013.86</v>
      </c>
      <c r="J930" s="20">
        <f t="shared" si="29"/>
        <v>-1.0166976669314102E-2</v>
      </c>
    </row>
    <row r="931" spans="1:10" x14ac:dyDescent="0.3">
      <c r="A931" s="19">
        <v>44834</v>
      </c>
      <c r="B931" s="25">
        <v>101.31</v>
      </c>
      <c r="C931" s="20">
        <f t="shared" si="28"/>
        <v>7.1577691619445155E-3</v>
      </c>
      <c r="H931" s="19">
        <v>44834</v>
      </c>
      <c r="I931" s="16">
        <v>41128.67</v>
      </c>
      <c r="J931" s="20">
        <f t="shared" si="29"/>
        <v>2.7992976032979503E-3</v>
      </c>
    </row>
    <row r="932" spans="1:10" x14ac:dyDescent="0.3">
      <c r="A932" s="19">
        <v>44837</v>
      </c>
      <c r="B932" s="25">
        <v>100.5</v>
      </c>
      <c r="C932" s="20">
        <f t="shared" si="28"/>
        <v>-7.9952620669233275E-3</v>
      </c>
      <c r="H932" s="19">
        <v>44837</v>
      </c>
      <c r="I932" s="16">
        <v>41211.699999999997</v>
      </c>
      <c r="J932" s="20">
        <f t="shared" si="29"/>
        <v>2.018786408604967E-3</v>
      </c>
    </row>
    <row r="933" spans="1:10" x14ac:dyDescent="0.3">
      <c r="A933" s="19">
        <v>44838</v>
      </c>
      <c r="B933" s="25">
        <v>100.5</v>
      </c>
      <c r="C933" s="20">
        <f t="shared" si="28"/>
        <v>0</v>
      </c>
      <c r="H933" s="19">
        <v>44838</v>
      </c>
      <c r="I933" s="16">
        <v>41350.43</v>
      </c>
      <c r="J933" s="20">
        <f t="shared" si="29"/>
        <v>3.3662770523905398E-3</v>
      </c>
    </row>
    <row r="934" spans="1:10" x14ac:dyDescent="0.3">
      <c r="A934" s="19">
        <v>44839</v>
      </c>
      <c r="B934" s="25">
        <v>100.56</v>
      </c>
      <c r="C934" s="20">
        <f t="shared" si="28"/>
        <v>5.9701492537315699E-4</v>
      </c>
      <c r="H934" s="19">
        <v>44839</v>
      </c>
      <c r="I934" s="16">
        <v>41611.42</v>
      </c>
      <c r="J934" s="20">
        <f t="shared" si="29"/>
        <v>6.3116635062802967E-3</v>
      </c>
    </row>
    <row r="935" spans="1:10" x14ac:dyDescent="0.3">
      <c r="A935" s="19">
        <v>44840</v>
      </c>
      <c r="B935" s="25">
        <v>102.2</v>
      </c>
      <c r="C935" s="20">
        <f t="shared" si="28"/>
        <v>1.6308671439936362E-2</v>
      </c>
      <c r="H935" s="19">
        <v>44840</v>
      </c>
      <c r="I935" s="16">
        <v>42160.57</v>
      </c>
      <c r="J935" s="20">
        <f t="shared" si="29"/>
        <v>1.3197098296573428E-2</v>
      </c>
    </row>
    <row r="936" spans="1:10" x14ac:dyDescent="0.3">
      <c r="A936" s="19">
        <v>44841</v>
      </c>
      <c r="B936" s="25">
        <v>101.85</v>
      </c>
      <c r="C936" s="20">
        <f t="shared" si="28"/>
        <v>-3.4246575342466589E-3</v>
      </c>
      <c r="H936" s="19">
        <v>44841</v>
      </c>
      <c r="I936" s="16">
        <v>42085.25</v>
      </c>
      <c r="J936" s="20">
        <f t="shared" si="29"/>
        <v>-1.7865033608416515E-3</v>
      </c>
    </row>
    <row r="937" spans="1:10" x14ac:dyDescent="0.3">
      <c r="A937" s="19">
        <v>44844</v>
      </c>
      <c r="B937" s="25">
        <v>101.56</v>
      </c>
      <c r="C937" s="20">
        <f t="shared" si="28"/>
        <v>-2.8473244968089551E-3</v>
      </c>
      <c r="H937" s="19">
        <v>44844</v>
      </c>
      <c r="I937" s="16">
        <v>42211.64</v>
      </c>
      <c r="J937" s="20">
        <f t="shared" si="29"/>
        <v>3.0031899537248659E-3</v>
      </c>
    </row>
    <row r="938" spans="1:10" x14ac:dyDescent="0.3">
      <c r="A938" s="19">
        <v>44845</v>
      </c>
      <c r="B938" s="25">
        <v>102.1</v>
      </c>
      <c r="C938" s="20">
        <f t="shared" si="28"/>
        <v>5.3170539582512019E-3</v>
      </c>
      <c r="H938" s="19">
        <v>44845</v>
      </c>
      <c r="I938" s="16">
        <v>42155.48</v>
      </c>
      <c r="J938" s="20">
        <f t="shared" si="29"/>
        <v>-1.3304387131131655E-3</v>
      </c>
    </row>
    <row r="939" spans="1:10" x14ac:dyDescent="0.3">
      <c r="A939" s="19">
        <v>44846</v>
      </c>
      <c r="B939" s="25">
        <v>102.5</v>
      </c>
      <c r="C939" s="20">
        <f t="shared" si="28"/>
        <v>3.9177277179236599E-3</v>
      </c>
      <c r="H939" s="19">
        <v>44846</v>
      </c>
      <c r="I939" s="16">
        <v>42007.14</v>
      </c>
      <c r="J939" s="20">
        <f t="shared" si="29"/>
        <v>-3.5188782099030485E-3</v>
      </c>
    </row>
    <row r="940" spans="1:10" x14ac:dyDescent="0.3">
      <c r="A940" s="19">
        <v>44847</v>
      </c>
      <c r="B940" s="25">
        <v>102.01</v>
      </c>
      <c r="C940" s="20">
        <f t="shared" si="28"/>
        <v>-4.7804878048779992E-3</v>
      </c>
      <c r="H940" s="19">
        <v>44847</v>
      </c>
      <c r="I940" s="16">
        <v>42085.72</v>
      </c>
      <c r="J940" s="20">
        <f t="shared" si="29"/>
        <v>1.8706343731089939E-3</v>
      </c>
    </row>
    <row r="941" spans="1:10" x14ac:dyDescent="0.3">
      <c r="A941" s="19">
        <v>44848</v>
      </c>
      <c r="B941" s="25">
        <v>101.91</v>
      </c>
      <c r="C941" s="20">
        <f t="shared" si="28"/>
        <v>-9.8029604940700439E-4</v>
      </c>
      <c r="H941" s="19">
        <v>44848</v>
      </c>
      <c r="I941" s="16">
        <v>41948.5</v>
      </c>
      <c r="J941" s="20">
        <f t="shared" si="29"/>
        <v>-3.260488355670312E-3</v>
      </c>
    </row>
    <row r="942" spans="1:10" x14ac:dyDescent="0.3">
      <c r="A942" s="19">
        <v>44851</v>
      </c>
      <c r="B942" s="25">
        <v>102.09</v>
      </c>
      <c r="C942" s="20">
        <f t="shared" si="28"/>
        <v>1.766264350897918E-3</v>
      </c>
      <c r="H942" s="19">
        <v>44851</v>
      </c>
      <c r="I942" s="16">
        <v>41755.449999999997</v>
      </c>
      <c r="J942" s="20">
        <f t="shared" si="29"/>
        <v>-4.6020715877803237E-3</v>
      </c>
    </row>
    <row r="943" spans="1:10" x14ac:dyDescent="0.3">
      <c r="A943" s="19">
        <v>44852</v>
      </c>
      <c r="B943" s="25">
        <v>102.75</v>
      </c>
      <c r="C943" s="20">
        <f t="shared" si="28"/>
        <v>6.46488392594766E-3</v>
      </c>
      <c r="H943" s="19">
        <v>44852</v>
      </c>
      <c r="I943" s="16">
        <v>41839.26</v>
      </c>
      <c r="J943" s="20">
        <f t="shared" si="29"/>
        <v>2.0071631367882506E-3</v>
      </c>
    </row>
    <row r="944" spans="1:10" x14ac:dyDescent="0.3">
      <c r="A944" s="19">
        <v>44853</v>
      </c>
      <c r="B944" s="25">
        <v>102.99</v>
      </c>
      <c r="C944" s="20">
        <f t="shared" si="28"/>
        <v>2.3357664233576146E-3</v>
      </c>
      <c r="H944" s="19">
        <v>44853</v>
      </c>
      <c r="I944" s="16">
        <v>42226.05</v>
      </c>
      <c r="J944" s="20">
        <f t="shared" si="29"/>
        <v>9.2446663731624527E-3</v>
      </c>
    </row>
    <row r="945" spans="1:10" x14ac:dyDescent="0.3">
      <c r="A945" s="19">
        <v>44854</v>
      </c>
      <c r="B945" s="25">
        <v>103.1</v>
      </c>
      <c r="C945" s="20">
        <f t="shared" si="28"/>
        <v>1.0680648606660786E-3</v>
      </c>
      <c r="H945" s="19">
        <v>44854</v>
      </c>
      <c r="I945" s="16">
        <v>42137.04</v>
      </c>
      <c r="J945" s="20">
        <f t="shared" si="29"/>
        <v>-2.1079404775014958E-3</v>
      </c>
    </row>
    <row r="946" spans="1:10" x14ac:dyDescent="0.3">
      <c r="A946" s="19">
        <v>44855</v>
      </c>
      <c r="B946" s="25">
        <v>102.56</v>
      </c>
      <c r="C946" s="20">
        <f t="shared" si="28"/>
        <v>-5.2376333656643263E-3</v>
      </c>
      <c r="H946" s="19">
        <v>44855</v>
      </c>
      <c r="I946" s="16">
        <v>42213.48</v>
      </c>
      <c r="J946" s="20">
        <f t="shared" si="29"/>
        <v>1.8140809131349123E-3</v>
      </c>
    </row>
    <row r="947" spans="1:10" x14ac:dyDescent="0.3">
      <c r="A947" s="19">
        <v>44858</v>
      </c>
      <c r="B947" s="25">
        <v>103.4</v>
      </c>
      <c r="C947" s="20">
        <f t="shared" si="28"/>
        <v>8.1903276131045574E-3</v>
      </c>
      <c r="H947" s="19">
        <v>44858</v>
      </c>
      <c r="I947" s="16">
        <v>42347.23</v>
      </c>
      <c r="J947" s="20">
        <f t="shared" si="29"/>
        <v>3.1684191874254385E-3</v>
      </c>
    </row>
    <row r="948" spans="1:10" x14ac:dyDescent="0.3">
      <c r="A948" s="19">
        <v>44859</v>
      </c>
      <c r="B948" s="25">
        <v>102.95</v>
      </c>
      <c r="C948" s="20">
        <f t="shared" si="28"/>
        <v>-4.3520309477756555E-3</v>
      </c>
      <c r="H948" s="19">
        <v>44859</v>
      </c>
      <c r="I948" s="16">
        <v>42190.02</v>
      </c>
      <c r="J948" s="20">
        <f t="shared" si="29"/>
        <v>-3.7124033850621727E-3</v>
      </c>
    </row>
    <row r="949" spans="1:10" x14ac:dyDescent="0.3">
      <c r="A949" s="19">
        <v>44860</v>
      </c>
      <c r="B949" s="25">
        <v>102.79</v>
      </c>
      <c r="C949" s="20">
        <f t="shared" si="28"/>
        <v>-1.5541525012141486E-3</v>
      </c>
      <c r="H949" s="19">
        <v>44860</v>
      </c>
      <c r="I949" s="16">
        <v>41540.03</v>
      </c>
      <c r="J949" s="20">
        <f t="shared" si="29"/>
        <v>-1.5406250103697462E-2</v>
      </c>
    </row>
    <row r="950" spans="1:10" x14ac:dyDescent="0.3">
      <c r="A950" s="19">
        <v>44861</v>
      </c>
      <c r="B950" s="25">
        <v>103.15</v>
      </c>
      <c r="C950" s="20">
        <f t="shared" si="28"/>
        <v>3.5022862146123104E-3</v>
      </c>
      <c r="H950" s="19">
        <v>44861</v>
      </c>
      <c r="I950" s="16">
        <v>41602.85</v>
      </c>
      <c r="J950" s="20">
        <f t="shared" si="29"/>
        <v>1.512276230903052E-3</v>
      </c>
    </row>
    <row r="951" spans="1:10" x14ac:dyDescent="0.3">
      <c r="A951" s="19">
        <v>44862</v>
      </c>
      <c r="B951" s="25">
        <v>103.49</v>
      </c>
      <c r="C951" s="20">
        <f t="shared" si="28"/>
        <v>3.2961706253028518E-3</v>
      </c>
      <c r="H951" s="19">
        <v>44862</v>
      </c>
      <c r="I951" s="16">
        <v>41140.33</v>
      </c>
      <c r="J951" s="20">
        <f t="shared" si="29"/>
        <v>-1.1117507574601183E-2</v>
      </c>
    </row>
    <row r="952" spans="1:10" x14ac:dyDescent="0.3">
      <c r="A952" s="19">
        <v>44865</v>
      </c>
      <c r="B952" s="25">
        <v>103.35</v>
      </c>
      <c r="C952" s="20">
        <f t="shared" si="28"/>
        <v>-1.3527877089573928E-3</v>
      </c>
      <c r="H952" s="19">
        <v>44865</v>
      </c>
      <c r="I952" s="16">
        <v>41264.660000000003</v>
      </c>
      <c r="J952" s="20">
        <f t="shared" si="29"/>
        <v>3.0220953502317978E-3</v>
      </c>
    </row>
    <row r="953" spans="1:10" x14ac:dyDescent="0.3">
      <c r="A953" s="19">
        <v>44866</v>
      </c>
      <c r="B953" s="25">
        <v>103.5</v>
      </c>
      <c r="C953" s="20">
        <f t="shared" si="28"/>
        <v>1.451378809869431E-3</v>
      </c>
      <c r="H953" s="19">
        <v>44866</v>
      </c>
      <c r="I953" s="16">
        <v>41808.69</v>
      </c>
      <c r="J953" s="20">
        <f t="shared" si="29"/>
        <v>1.3183920575136177E-2</v>
      </c>
    </row>
    <row r="954" spans="1:10" x14ac:dyDescent="0.3">
      <c r="A954" s="19">
        <v>44867</v>
      </c>
      <c r="B954" s="25">
        <v>104</v>
      </c>
      <c r="C954" s="20">
        <f t="shared" si="28"/>
        <v>4.830917874396135E-3</v>
      </c>
      <c r="H954" s="19">
        <v>44867</v>
      </c>
      <c r="I954" s="16">
        <v>41944.59</v>
      </c>
      <c r="J954" s="20">
        <f t="shared" si="29"/>
        <v>3.2505204061642249E-3</v>
      </c>
    </row>
    <row r="955" spans="1:10" x14ac:dyDescent="0.3">
      <c r="A955" s="19">
        <v>44868</v>
      </c>
      <c r="B955" s="25">
        <v>103.75</v>
      </c>
      <c r="C955" s="20">
        <f t="shared" si="28"/>
        <v>-2.403846153846154E-3</v>
      </c>
      <c r="H955" s="19">
        <v>44868</v>
      </c>
      <c r="I955" s="16">
        <v>42090.71</v>
      </c>
      <c r="J955" s="20">
        <f t="shared" si="29"/>
        <v>3.4836435402039365E-3</v>
      </c>
    </row>
    <row r="956" spans="1:10" x14ac:dyDescent="0.3">
      <c r="A956" s="19">
        <v>44869</v>
      </c>
      <c r="B956" s="25">
        <v>102.02</v>
      </c>
      <c r="C956" s="20">
        <f t="shared" si="28"/>
        <v>-1.667469879518076E-2</v>
      </c>
      <c r="H956" s="19">
        <v>44869</v>
      </c>
      <c r="I956" s="16">
        <v>41856.31</v>
      </c>
      <c r="J956" s="20">
        <f t="shared" si="29"/>
        <v>-5.5689248292557069E-3</v>
      </c>
    </row>
    <row r="957" spans="1:10" x14ac:dyDescent="0.3">
      <c r="A957" s="19">
        <v>44872</v>
      </c>
      <c r="B957" s="25">
        <v>101.6</v>
      </c>
      <c r="C957" s="20">
        <f t="shared" si="28"/>
        <v>-4.1168398353264232E-3</v>
      </c>
      <c r="H957" s="19">
        <v>44872</v>
      </c>
      <c r="I957" s="16">
        <v>42047.360000000001</v>
      </c>
      <c r="J957" s="20">
        <f t="shared" si="29"/>
        <v>4.5644252921483745E-3</v>
      </c>
    </row>
    <row r="958" spans="1:10" x14ac:dyDescent="0.3">
      <c r="A958" s="19">
        <v>44873</v>
      </c>
      <c r="B958" s="25">
        <v>101.99</v>
      </c>
      <c r="C958" s="20">
        <f t="shared" si="28"/>
        <v>3.8385826771653603E-3</v>
      </c>
      <c r="H958" s="19">
        <v>44873</v>
      </c>
      <c r="I958" s="16">
        <v>42265.36</v>
      </c>
      <c r="J958" s="20">
        <f t="shared" si="29"/>
        <v>5.1846299030426646E-3</v>
      </c>
    </row>
    <row r="959" spans="1:10" x14ac:dyDescent="0.3">
      <c r="A959" s="19">
        <v>44875</v>
      </c>
      <c r="B959" s="25">
        <v>102.06</v>
      </c>
      <c r="C959" s="20">
        <f t="shared" si="28"/>
        <v>6.8634179821558383E-4</v>
      </c>
      <c r="H959" s="19">
        <v>44875</v>
      </c>
      <c r="I959" s="16">
        <v>42901.27</v>
      </c>
      <c r="J959" s="20">
        <f t="shared" si="29"/>
        <v>1.5045654408243446E-2</v>
      </c>
    </row>
    <row r="960" spans="1:10" x14ac:dyDescent="0.3">
      <c r="A960" s="19">
        <v>44876</v>
      </c>
      <c r="B960" s="25">
        <v>102.02</v>
      </c>
      <c r="C960" s="20">
        <f t="shared" si="28"/>
        <v>-3.9192631785230504E-4</v>
      </c>
      <c r="H960" s="19">
        <v>44876</v>
      </c>
      <c r="I960" s="16">
        <v>43092.95</v>
      </c>
      <c r="J960" s="20">
        <f t="shared" si="29"/>
        <v>4.4679330005848381E-3</v>
      </c>
    </row>
    <row r="961" spans="1:10" x14ac:dyDescent="0.3">
      <c r="A961" s="19">
        <v>44879</v>
      </c>
      <c r="B961" s="25">
        <v>102.05</v>
      </c>
      <c r="C961" s="20">
        <f t="shared" si="28"/>
        <v>2.9405998823761164E-4</v>
      </c>
      <c r="H961" s="19">
        <v>44879</v>
      </c>
      <c r="I961" s="16">
        <v>42850.83</v>
      </c>
      <c r="J961" s="20">
        <f t="shared" si="29"/>
        <v>-5.6185524546357437E-3</v>
      </c>
    </row>
    <row r="962" spans="1:10" x14ac:dyDescent="0.3">
      <c r="A962" s="19">
        <v>44880</v>
      </c>
      <c r="B962" s="25">
        <v>101.9</v>
      </c>
      <c r="C962" s="20">
        <f t="shared" si="28"/>
        <v>-1.469867711905845E-3</v>
      </c>
      <c r="H962" s="19">
        <v>44880</v>
      </c>
      <c r="I962" s="16">
        <v>42796.85</v>
      </c>
      <c r="J962" s="20">
        <f t="shared" si="29"/>
        <v>-1.259718889925894E-3</v>
      </c>
    </row>
    <row r="963" spans="1:10" x14ac:dyDescent="0.3">
      <c r="A963" s="19">
        <v>44881</v>
      </c>
      <c r="B963" s="25">
        <v>102.2</v>
      </c>
      <c r="C963" s="20">
        <f t="shared" si="28"/>
        <v>2.9440628066731808E-3</v>
      </c>
      <c r="H963" s="19">
        <v>44881</v>
      </c>
      <c r="I963" s="16">
        <v>42983.75</v>
      </c>
      <c r="J963" s="20">
        <f t="shared" si="29"/>
        <v>4.3671438435305748E-3</v>
      </c>
    </row>
    <row r="964" spans="1:10" x14ac:dyDescent="0.3">
      <c r="A964" s="19">
        <v>44882</v>
      </c>
      <c r="B964" s="25">
        <v>103</v>
      </c>
      <c r="C964" s="20">
        <f t="shared" si="28"/>
        <v>7.8277886497064297E-3</v>
      </c>
      <c r="H964" s="19">
        <v>44882</v>
      </c>
      <c r="I964" s="16">
        <v>42819.72</v>
      </c>
      <c r="J964" s="20">
        <f t="shared" si="29"/>
        <v>-3.8160932910692724E-3</v>
      </c>
    </row>
    <row r="965" spans="1:10" x14ac:dyDescent="0.3">
      <c r="A965" s="19">
        <v>44883</v>
      </c>
      <c r="B965" s="25">
        <v>102.75</v>
      </c>
      <c r="C965" s="20">
        <f t="shared" ref="C965:C1028" si="30">(B965-B964)/B964</f>
        <v>-2.4271844660194173E-3</v>
      </c>
      <c r="H965" s="19">
        <v>44883</v>
      </c>
      <c r="I965" s="16">
        <v>42730.239999999998</v>
      </c>
      <c r="J965" s="20">
        <f t="shared" ref="J965:J1028" si="31">(I965-I964)/I964</f>
        <v>-2.0896913851842841E-3</v>
      </c>
    </row>
    <row r="966" spans="1:10" x14ac:dyDescent="0.3">
      <c r="A966" s="19">
        <v>44886</v>
      </c>
      <c r="B966" s="25">
        <v>102.5</v>
      </c>
      <c r="C966" s="20">
        <f t="shared" si="30"/>
        <v>-2.4330900243309003E-3</v>
      </c>
      <c r="H966" s="19">
        <v>44886</v>
      </c>
      <c r="I966" s="16">
        <v>42761.19</v>
      </c>
      <c r="J966" s="20">
        <f t="shared" si="31"/>
        <v>7.2431140101259363E-4</v>
      </c>
    </row>
    <row r="967" spans="1:10" x14ac:dyDescent="0.3">
      <c r="A967" s="19">
        <v>44887</v>
      </c>
      <c r="B967" s="25">
        <v>102.7</v>
      </c>
      <c r="C967" s="20">
        <f t="shared" si="30"/>
        <v>1.9512195121951497E-3</v>
      </c>
      <c r="H967" s="19">
        <v>44887</v>
      </c>
      <c r="I967" s="16">
        <v>42928.62</v>
      </c>
      <c r="J967" s="20">
        <f t="shared" si="31"/>
        <v>3.9154663375832221E-3</v>
      </c>
    </row>
    <row r="968" spans="1:10" x14ac:dyDescent="0.3">
      <c r="A968" s="19">
        <v>44888</v>
      </c>
      <c r="B968" s="25">
        <v>102.8</v>
      </c>
      <c r="C968" s="20">
        <f t="shared" si="30"/>
        <v>9.7370983446927277E-4</v>
      </c>
      <c r="H968" s="19">
        <v>44888</v>
      </c>
      <c r="I968" s="16">
        <v>42880.31</v>
      </c>
      <c r="J968" s="20">
        <f t="shared" si="31"/>
        <v>-1.1253564638230846E-3</v>
      </c>
    </row>
    <row r="969" spans="1:10" x14ac:dyDescent="0.3">
      <c r="A969" s="19">
        <v>44889</v>
      </c>
      <c r="B969" s="25">
        <v>102.5</v>
      </c>
      <c r="C969" s="20">
        <f t="shared" si="30"/>
        <v>-2.9182879377431629E-3</v>
      </c>
      <c r="H969" s="19">
        <v>44889</v>
      </c>
      <c r="I969" s="16">
        <v>42903.65</v>
      </c>
      <c r="J969" s="20">
        <f t="shared" si="31"/>
        <v>5.4430576644627301E-4</v>
      </c>
    </row>
    <row r="970" spans="1:10" x14ac:dyDescent="0.3">
      <c r="A970" s="19">
        <v>44890</v>
      </c>
      <c r="B970" s="25">
        <v>102.98</v>
      </c>
      <c r="C970" s="20">
        <f t="shared" si="30"/>
        <v>4.6829268292683315E-3</v>
      </c>
      <c r="H970" s="19">
        <v>44890</v>
      </c>
      <c r="I970" s="16">
        <v>42936.73</v>
      </c>
      <c r="J970" s="20">
        <f t="shared" si="31"/>
        <v>7.7102997064356401E-4</v>
      </c>
    </row>
    <row r="971" spans="1:10" x14ac:dyDescent="0.3">
      <c r="A971" s="19">
        <v>44893</v>
      </c>
      <c r="B971" s="25">
        <v>102.6</v>
      </c>
      <c r="C971" s="20">
        <f t="shared" si="30"/>
        <v>-3.6900369003690973E-3</v>
      </c>
      <c r="H971" s="19">
        <v>44893</v>
      </c>
      <c r="I971" s="16">
        <v>42071.34</v>
      </c>
      <c r="J971" s="20">
        <f t="shared" si="31"/>
        <v>-2.0155004817553796E-2</v>
      </c>
    </row>
    <row r="972" spans="1:10" x14ac:dyDescent="0.3">
      <c r="A972" s="19">
        <v>44894</v>
      </c>
      <c r="B972" s="25">
        <v>103.35</v>
      </c>
      <c r="C972" s="20">
        <f t="shared" si="30"/>
        <v>7.3099415204678367E-3</v>
      </c>
      <c r="H972" s="19">
        <v>44894</v>
      </c>
      <c r="I972" s="16">
        <v>42373.59</v>
      </c>
      <c r="J972" s="20">
        <f t="shared" si="31"/>
        <v>7.1842256510013715E-3</v>
      </c>
    </row>
    <row r="973" spans="1:10" x14ac:dyDescent="0.3">
      <c r="A973" s="19">
        <v>44895</v>
      </c>
      <c r="B973" s="25">
        <v>102.44</v>
      </c>
      <c r="C973" s="20">
        <f t="shared" si="30"/>
        <v>-8.8050314465408473E-3</v>
      </c>
      <c r="H973" s="19">
        <v>44895</v>
      </c>
      <c r="I973" s="16">
        <v>42348.63</v>
      </c>
      <c r="J973" s="20">
        <f t="shared" si="31"/>
        <v>-5.8904614879218709E-4</v>
      </c>
    </row>
    <row r="974" spans="1:10" x14ac:dyDescent="0.3">
      <c r="A974" s="19">
        <v>44896</v>
      </c>
      <c r="B974" s="25">
        <v>102.65</v>
      </c>
      <c r="C974" s="20">
        <f t="shared" si="30"/>
        <v>2.0499804763764932E-3</v>
      </c>
      <c r="H974" s="19">
        <v>44896</v>
      </c>
      <c r="I974" s="16">
        <v>42393.52</v>
      </c>
      <c r="J974" s="20">
        <f t="shared" si="31"/>
        <v>1.0600106780313653E-3</v>
      </c>
    </row>
    <row r="975" spans="1:10" x14ac:dyDescent="0.3">
      <c r="A975" s="19">
        <v>44897</v>
      </c>
      <c r="B975" s="25">
        <v>102.63</v>
      </c>
      <c r="C975" s="20">
        <f t="shared" si="30"/>
        <v>-1.9483682415986586E-4</v>
      </c>
      <c r="H975" s="19">
        <v>44897</v>
      </c>
      <c r="I975" s="16">
        <v>42150.1</v>
      </c>
      <c r="J975" s="20">
        <f t="shared" si="31"/>
        <v>-5.7419152738436979E-3</v>
      </c>
    </row>
    <row r="976" spans="1:10" x14ac:dyDescent="0.3">
      <c r="A976" s="19">
        <v>44900</v>
      </c>
      <c r="B976" s="25">
        <v>101.9</v>
      </c>
      <c r="C976" s="20">
        <f t="shared" si="30"/>
        <v>-7.1129299425118364E-3</v>
      </c>
      <c r="H976" s="19">
        <v>44900</v>
      </c>
      <c r="I976" s="16">
        <v>41612.67</v>
      </c>
      <c r="J976" s="20">
        <f t="shared" si="31"/>
        <v>-1.2750384933843581E-2</v>
      </c>
    </row>
    <row r="977" spans="1:10" x14ac:dyDescent="0.3">
      <c r="A977" s="19">
        <v>44901</v>
      </c>
      <c r="B977" s="25">
        <v>101.5</v>
      </c>
      <c r="C977" s="20">
        <f t="shared" si="30"/>
        <v>-3.9254170755643339E-3</v>
      </c>
      <c r="H977" s="19">
        <v>44901</v>
      </c>
      <c r="I977" s="16">
        <v>41539.94</v>
      </c>
      <c r="J977" s="20">
        <f t="shared" si="31"/>
        <v>-1.7477849895235257E-3</v>
      </c>
    </row>
    <row r="978" spans="1:10" x14ac:dyDescent="0.3">
      <c r="A978" s="19">
        <v>44902</v>
      </c>
      <c r="B978" s="25">
        <v>102</v>
      </c>
      <c r="C978" s="20">
        <f t="shared" si="30"/>
        <v>4.9261083743842365E-3</v>
      </c>
      <c r="H978" s="19">
        <v>44902</v>
      </c>
      <c r="I978" s="16">
        <v>41819.29</v>
      </c>
      <c r="J978" s="20">
        <f t="shared" si="31"/>
        <v>6.7248532376310254E-3</v>
      </c>
    </row>
    <row r="979" spans="1:10" x14ac:dyDescent="0.3">
      <c r="A979" s="19">
        <v>44903</v>
      </c>
      <c r="B979" s="25">
        <v>102.5</v>
      </c>
      <c r="C979" s="20">
        <f t="shared" si="30"/>
        <v>4.9019607843137254E-3</v>
      </c>
      <c r="H979" s="19">
        <v>44903</v>
      </c>
      <c r="I979" s="16">
        <v>41651.61</v>
      </c>
      <c r="J979" s="20">
        <f t="shared" si="31"/>
        <v>-4.0096328751635978E-3</v>
      </c>
    </row>
    <row r="980" spans="1:10" x14ac:dyDescent="0.3">
      <c r="A980" s="19">
        <v>44904</v>
      </c>
      <c r="B980" s="25">
        <v>102.5</v>
      </c>
      <c r="C980" s="20">
        <f t="shared" si="30"/>
        <v>0</v>
      </c>
      <c r="H980" s="19">
        <v>44904</v>
      </c>
      <c r="I980" s="16">
        <v>41698.28</v>
      </c>
      <c r="J980" s="20">
        <f t="shared" si="31"/>
        <v>1.1204848984228521E-3</v>
      </c>
    </row>
    <row r="981" spans="1:10" x14ac:dyDescent="0.3">
      <c r="A981" s="19">
        <v>44907</v>
      </c>
      <c r="B981" s="25">
        <v>102.2</v>
      </c>
      <c r="C981" s="20">
        <f t="shared" si="30"/>
        <v>-2.9268292682926552E-3</v>
      </c>
      <c r="H981" s="19">
        <v>44907</v>
      </c>
      <c r="I981" s="16">
        <v>41540.550000000003</v>
      </c>
      <c r="J981" s="20">
        <f t="shared" si="31"/>
        <v>-3.7826500277708319E-3</v>
      </c>
    </row>
    <row r="982" spans="1:10" x14ac:dyDescent="0.3">
      <c r="A982" s="19">
        <v>44908</v>
      </c>
      <c r="B982" s="25">
        <v>102.22</v>
      </c>
      <c r="C982" s="20">
        <f t="shared" si="30"/>
        <v>1.956947162426225E-4</v>
      </c>
      <c r="H982" s="19">
        <v>44908</v>
      </c>
      <c r="I982" s="16">
        <v>41714.300000000003</v>
      </c>
      <c r="J982" s="20">
        <f t="shared" si="31"/>
        <v>4.1826600755165734E-3</v>
      </c>
    </row>
    <row r="983" spans="1:10" x14ac:dyDescent="0.3">
      <c r="A983" s="19">
        <v>44909</v>
      </c>
      <c r="B983" s="25">
        <v>102</v>
      </c>
      <c r="C983" s="20">
        <f t="shared" si="30"/>
        <v>-2.1522207004499986E-3</v>
      </c>
      <c r="H983" s="19">
        <v>44909</v>
      </c>
      <c r="I983" s="16">
        <v>41737.620000000003</v>
      </c>
      <c r="J983" s="20">
        <f t="shared" si="31"/>
        <v>5.5904090443803945E-4</v>
      </c>
    </row>
    <row r="984" spans="1:10" x14ac:dyDescent="0.3">
      <c r="A984" s="19">
        <v>44910</v>
      </c>
      <c r="B984" s="25">
        <v>101.41</v>
      </c>
      <c r="C984" s="20">
        <f t="shared" si="30"/>
        <v>-5.7843137254902297E-3</v>
      </c>
      <c r="H984" s="19">
        <v>44910</v>
      </c>
      <c r="I984" s="16">
        <v>41179.760000000002</v>
      </c>
      <c r="J984" s="20">
        <f t="shared" si="31"/>
        <v>-1.3365879511098154E-2</v>
      </c>
    </row>
    <row r="985" spans="1:10" x14ac:dyDescent="0.3">
      <c r="A985" s="19">
        <v>44911</v>
      </c>
      <c r="B985" s="25">
        <v>102.25</v>
      </c>
      <c r="C985" s="20">
        <f t="shared" si="30"/>
        <v>8.283206784340828E-3</v>
      </c>
      <c r="H985" s="19">
        <v>44911</v>
      </c>
      <c r="I985" s="16">
        <v>41301.480000000003</v>
      </c>
      <c r="J985" s="20">
        <f t="shared" si="31"/>
        <v>2.9558210149840882E-3</v>
      </c>
    </row>
    <row r="986" spans="1:10" x14ac:dyDescent="0.3">
      <c r="A986" s="19">
        <v>44914</v>
      </c>
      <c r="B986" s="25">
        <v>101.85</v>
      </c>
      <c r="C986" s="20">
        <f t="shared" si="30"/>
        <v>-3.9119804400978555E-3</v>
      </c>
      <c r="H986" s="19">
        <v>44914</v>
      </c>
      <c r="I986" s="16">
        <v>40970.82</v>
      </c>
      <c r="J986" s="20">
        <f t="shared" si="31"/>
        <v>-8.0060085013903496E-3</v>
      </c>
    </row>
    <row r="987" spans="1:10" x14ac:dyDescent="0.3">
      <c r="A987" s="19">
        <v>44915</v>
      </c>
      <c r="B987" s="25">
        <v>102</v>
      </c>
      <c r="C987" s="20">
        <f t="shared" si="30"/>
        <v>1.4727540500736936E-3</v>
      </c>
      <c r="H987" s="19">
        <v>44915</v>
      </c>
      <c r="I987" s="16">
        <v>39832.449999999997</v>
      </c>
      <c r="J987" s="20">
        <f t="shared" si="31"/>
        <v>-2.7784896665480521E-2</v>
      </c>
    </row>
    <row r="988" spans="1:10" x14ac:dyDescent="0.3">
      <c r="A988" s="19">
        <v>44916</v>
      </c>
      <c r="B988" s="25">
        <v>100.65</v>
      </c>
      <c r="C988" s="20">
        <f t="shared" si="30"/>
        <v>-1.3235294117647003E-2</v>
      </c>
      <c r="H988" s="19">
        <v>44916</v>
      </c>
      <c r="I988" s="16">
        <v>39342.89</v>
      </c>
      <c r="J988" s="20">
        <f t="shared" si="31"/>
        <v>-1.2290481755453097E-2</v>
      </c>
    </row>
    <row r="989" spans="1:10" x14ac:dyDescent="0.3">
      <c r="A989" s="19">
        <v>44917</v>
      </c>
      <c r="B989" s="25">
        <v>102</v>
      </c>
      <c r="C989" s="20">
        <f t="shared" si="30"/>
        <v>1.341281669150516E-2</v>
      </c>
      <c r="H989" s="19">
        <v>44917</v>
      </c>
      <c r="I989" s="16">
        <v>39838.33</v>
      </c>
      <c r="J989" s="20">
        <f t="shared" si="31"/>
        <v>1.2592872562234302E-2</v>
      </c>
    </row>
    <row r="990" spans="1:10" x14ac:dyDescent="0.3">
      <c r="A990" s="19">
        <v>44918</v>
      </c>
      <c r="B990" s="25">
        <v>100.14</v>
      </c>
      <c r="C990" s="20">
        <f t="shared" si="30"/>
        <v>-1.8235294117647054E-2</v>
      </c>
      <c r="H990" s="19">
        <v>44918</v>
      </c>
      <c r="I990" s="16">
        <v>39669.199999999997</v>
      </c>
      <c r="J990" s="20">
        <f t="shared" si="31"/>
        <v>-4.245408881346298E-3</v>
      </c>
    </row>
    <row r="991" spans="1:10" x14ac:dyDescent="0.3">
      <c r="A991" s="19">
        <v>44921</v>
      </c>
      <c r="B991" s="25">
        <v>100.3</v>
      </c>
      <c r="C991" s="20">
        <f t="shared" si="30"/>
        <v>1.5977631316157039E-3</v>
      </c>
      <c r="H991" s="19">
        <v>44921</v>
      </c>
      <c r="I991" s="16">
        <v>40155.160000000003</v>
      </c>
      <c r="J991" s="20">
        <f t="shared" si="31"/>
        <v>1.2250310064231355E-2</v>
      </c>
    </row>
    <row r="992" spans="1:10" x14ac:dyDescent="0.3">
      <c r="A992" s="19">
        <v>44922</v>
      </c>
      <c r="B992" s="25">
        <v>99.7</v>
      </c>
      <c r="C992" s="20">
        <f t="shared" si="30"/>
        <v>-5.9820538384844895E-3</v>
      </c>
      <c r="H992" s="19">
        <v>44922</v>
      </c>
      <c r="I992" s="16">
        <v>39802.910000000003</v>
      </c>
      <c r="J992" s="20">
        <f t="shared" si="31"/>
        <v>-8.7722225487334628E-3</v>
      </c>
    </row>
    <row r="993" spans="1:10" x14ac:dyDescent="0.3">
      <c r="A993" s="19">
        <v>44923</v>
      </c>
      <c r="B993" s="25">
        <v>99</v>
      </c>
      <c r="C993" s="20">
        <f t="shared" si="30"/>
        <v>-7.0210631895687341E-3</v>
      </c>
      <c r="H993" s="19">
        <v>44923</v>
      </c>
      <c r="I993" s="16">
        <v>39279.43</v>
      </c>
      <c r="J993" s="20">
        <f t="shared" si="31"/>
        <v>-1.3151802217476138E-2</v>
      </c>
    </row>
    <row r="994" spans="1:10" x14ac:dyDescent="0.3">
      <c r="A994" s="19">
        <v>44924</v>
      </c>
      <c r="B994" s="25">
        <v>98.45</v>
      </c>
      <c r="C994" s="20">
        <f t="shared" si="30"/>
        <v>-5.5555555555555271E-3</v>
      </c>
      <c r="H994" s="19">
        <v>44924</v>
      </c>
      <c r="I994" s="16">
        <v>39747.35</v>
      </c>
      <c r="J994" s="20">
        <f t="shared" si="31"/>
        <v>1.1912596491344152E-2</v>
      </c>
    </row>
    <row r="995" spans="1:10" x14ac:dyDescent="0.3">
      <c r="A995" s="19">
        <v>44925</v>
      </c>
      <c r="B995" s="25">
        <v>98.71</v>
      </c>
      <c r="C995" s="20">
        <f t="shared" si="30"/>
        <v>2.6409344845098109E-3</v>
      </c>
      <c r="H995" s="19">
        <v>44925</v>
      </c>
      <c r="I995" s="16">
        <v>40420.449999999997</v>
      </c>
      <c r="J995" s="20">
        <f t="shared" si="31"/>
        <v>1.6934462297486463E-2</v>
      </c>
    </row>
    <row r="996" spans="1:10" x14ac:dyDescent="0.3">
      <c r="A996" s="19">
        <v>44928</v>
      </c>
      <c r="B996" s="25">
        <v>100.05</v>
      </c>
      <c r="C996" s="20">
        <f t="shared" si="30"/>
        <v>1.3575119035558744E-2</v>
      </c>
      <c r="H996" s="19">
        <v>44928</v>
      </c>
      <c r="I996" s="16">
        <v>40815.9</v>
      </c>
      <c r="J996" s="20">
        <f t="shared" si="31"/>
        <v>9.783414088660675E-3</v>
      </c>
    </row>
    <row r="997" spans="1:10" x14ac:dyDescent="0.3">
      <c r="A997" s="19">
        <v>44929</v>
      </c>
      <c r="B997" s="25">
        <v>100.5</v>
      </c>
      <c r="C997" s="20">
        <f t="shared" si="30"/>
        <v>4.4977511244378094E-3</v>
      </c>
      <c r="H997" s="19">
        <v>44929</v>
      </c>
      <c r="I997" s="16">
        <v>40630.639999999999</v>
      </c>
      <c r="J997" s="20">
        <f t="shared" si="31"/>
        <v>-4.5389174316872111E-3</v>
      </c>
    </row>
    <row r="998" spans="1:10" x14ac:dyDescent="0.3">
      <c r="A998" s="19">
        <v>44930</v>
      </c>
      <c r="B998" s="25">
        <v>101.1</v>
      </c>
      <c r="C998" s="20">
        <f t="shared" si="30"/>
        <v>5.970149253731287E-3</v>
      </c>
      <c r="H998" s="19">
        <v>44930</v>
      </c>
      <c r="I998" s="16">
        <v>40539.300000000003</v>
      </c>
      <c r="J998" s="20">
        <f t="shared" si="31"/>
        <v>-2.248057131268336E-3</v>
      </c>
    </row>
    <row r="999" spans="1:10" x14ac:dyDescent="0.3">
      <c r="A999" s="19">
        <v>44931</v>
      </c>
      <c r="B999" s="25">
        <v>101.55</v>
      </c>
      <c r="C999" s="20">
        <f t="shared" si="30"/>
        <v>4.4510385756676846E-3</v>
      </c>
      <c r="H999" s="19">
        <v>44931</v>
      </c>
      <c r="I999" s="16">
        <v>40716.74</v>
      </c>
      <c r="J999" s="20">
        <f t="shared" si="31"/>
        <v>4.3769872691436472E-3</v>
      </c>
    </row>
    <row r="1000" spans="1:10" x14ac:dyDescent="0.3">
      <c r="A1000" s="19">
        <v>44932</v>
      </c>
      <c r="B1000" s="25">
        <v>102.37</v>
      </c>
      <c r="C1000" s="20">
        <f t="shared" si="30"/>
        <v>8.0748399803053407E-3</v>
      </c>
      <c r="H1000" s="19">
        <v>44932</v>
      </c>
      <c r="I1000" s="16">
        <v>41007.519999999997</v>
      </c>
      <c r="J1000" s="20">
        <f t="shared" si="31"/>
        <v>7.1415344155744999E-3</v>
      </c>
    </row>
    <row r="1001" spans="1:10" x14ac:dyDescent="0.3">
      <c r="A1001" s="19">
        <v>44935</v>
      </c>
      <c r="B1001" s="25">
        <v>101.59</v>
      </c>
      <c r="C1001" s="20">
        <f t="shared" si="30"/>
        <v>-7.6194197518804447E-3</v>
      </c>
      <c r="H1001" s="19">
        <v>44935</v>
      </c>
      <c r="I1001" s="16">
        <v>40504.76</v>
      </c>
      <c r="J1001" s="20">
        <f t="shared" si="31"/>
        <v>-1.2260190326066896E-2</v>
      </c>
    </row>
    <row r="1002" spans="1:10" x14ac:dyDescent="0.3">
      <c r="A1002" s="19">
        <v>44936</v>
      </c>
      <c r="B1002" s="25">
        <v>101.01</v>
      </c>
      <c r="C1002" s="20">
        <f t="shared" si="30"/>
        <v>-5.7092233487547814E-3</v>
      </c>
      <c r="H1002" s="19">
        <v>44936</v>
      </c>
      <c r="I1002" s="16">
        <v>40801.5</v>
      </c>
      <c r="J1002" s="20">
        <f t="shared" si="31"/>
        <v>7.3260525429603325E-3</v>
      </c>
    </row>
    <row r="1003" spans="1:10" x14ac:dyDescent="0.3">
      <c r="A1003" s="19">
        <v>44937</v>
      </c>
      <c r="B1003" s="25">
        <v>101.76</v>
      </c>
      <c r="C1003" s="20">
        <f t="shared" si="30"/>
        <v>7.425007425007425E-3</v>
      </c>
      <c r="H1003" s="19">
        <v>44937</v>
      </c>
      <c r="I1003" s="16">
        <v>40758.199999999997</v>
      </c>
      <c r="J1003" s="20">
        <f t="shared" si="31"/>
        <v>-1.0612354937931917E-3</v>
      </c>
    </row>
    <row r="1004" spans="1:10" x14ac:dyDescent="0.3">
      <c r="A1004" s="19">
        <v>44938</v>
      </c>
      <c r="B1004" s="25">
        <v>101.5</v>
      </c>
      <c r="C1004" s="20">
        <f t="shared" si="30"/>
        <v>-2.5550314465409307E-3</v>
      </c>
      <c r="H1004" s="19">
        <v>44938</v>
      </c>
      <c r="I1004" s="16">
        <v>40803.89</v>
      </c>
      <c r="J1004" s="20">
        <f t="shared" si="31"/>
        <v>1.1210014181196012E-3</v>
      </c>
    </row>
    <row r="1005" spans="1:10" x14ac:dyDescent="0.3">
      <c r="A1005" s="19">
        <v>44939</v>
      </c>
      <c r="B1005" s="25">
        <v>101</v>
      </c>
      <c r="C1005" s="20">
        <f t="shared" si="30"/>
        <v>-4.9261083743842365E-3</v>
      </c>
      <c r="H1005" s="19">
        <v>44939</v>
      </c>
      <c r="I1005" s="16">
        <v>40323.449999999997</v>
      </c>
      <c r="J1005" s="20">
        <f t="shared" si="31"/>
        <v>-1.1774367590933177E-2</v>
      </c>
    </row>
    <row r="1006" spans="1:10" x14ac:dyDescent="0.3">
      <c r="A1006" s="19">
        <v>44942</v>
      </c>
      <c r="B1006" s="25">
        <v>100.99</v>
      </c>
      <c r="C1006" s="20">
        <f t="shared" si="30"/>
        <v>-9.9009900990149662E-5</v>
      </c>
      <c r="H1006" s="19">
        <v>44942</v>
      </c>
      <c r="I1006" s="16">
        <v>39720.75</v>
      </c>
      <c r="J1006" s="20">
        <f t="shared" si="31"/>
        <v>-1.4946637750490028E-2</v>
      </c>
    </row>
    <row r="1007" spans="1:10" x14ac:dyDescent="0.3">
      <c r="A1007" s="19">
        <v>44943</v>
      </c>
      <c r="B1007" s="25">
        <v>100.25</v>
      </c>
      <c r="C1007" s="20">
        <f t="shared" si="30"/>
        <v>-7.3274581641746203E-3</v>
      </c>
      <c r="H1007" s="19">
        <v>44943</v>
      </c>
      <c r="I1007" s="16">
        <v>38342.21</v>
      </c>
      <c r="J1007" s="20">
        <f t="shared" si="31"/>
        <v>-3.4705789795006409E-2</v>
      </c>
    </row>
    <row r="1008" spans="1:10" x14ac:dyDescent="0.3">
      <c r="A1008" s="19">
        <v>44944</v>
      </c>
      <c r="B1008" s="25">
        <v>100.7</v>
      </c>
      <c r="C1008" s="20">
        <f t="shared" si="30"/>
        <v>4.4887780548628709E-3</v>
      </c>
      <c r="H1008" s="19">
        <v>44944</v>
      </c>
      <c r="I1008" s="16">
        <v>38791.089999999997</v>
      </c>
      <c r="J1008" s="20">
        <f t="shared" si="31"/>
        <v>1.1707202062687503E-2</v>
      </c>
    </row>
    <row r="1009" spans="1:10" x14ac:dyDescent="0.3">
      <c r="A1009" s="19">
        <v>44945</v>
      </c>
      <c r="B1009" s="25">
        <v>101</v>
      </c>
      <c r="C1009" s="20">
        <f t="shared" si="30"/>
        <v>2.979145978152901E-3</v>
      </c>
      <c r="H1009" s="19">
        <v>44945</v>
      </c>
      <c r="I1009" s="16">
        <v>38831.58</v>
      </c>
      <c r="J1009" s="20">
        <f t="shared" si="31"/>
        <v>1.0437963975749389E-3</v>
      </c>
    </row>
    <row r="1010" spans="1:10" x14ac:dyDescent="0.3">
      <c r="A1010" s="19">
        <v>44946</v>
      </c>
      <c r="B1010" s="25">
        <v>100.99</v>
      </c>
      <c r="C1010" s="20">
        <f t="shared" si="30"/>
        <v>-9.9009900990149662E-5</v>
      </c>
      <c r="H1010" s="19">
        <v>44946</v>
      </c>
      <c r="I1010" s="16">
        <v>38407.980000000003</v>
      </c>
      <c r="J1010" s="20">
        <f t="shared" si="31"/>
        <v>-1.0908647034192235E-2</v>
      </c>
    </row>
    <row r="1011" spans="1:10" x14ac:dyDescent="0.3">
      <c r="A1011" s="19">
        <v>44949</v>
      </c>
      <c r="B1011" s="25">
        <v>100</v>
      </c>
      <c r="C1011" s="20">
        <f t="shared" si="30"/>
        <v>-9.8029507872066032E-3</v>
      </c>
      <c r="H1011" s="19">
        <v>44949</v>
      </c>
      <c r="I1011" s="16">
        <v>38443.589999999997</v>
      </c>
      <c r="J1011" s="20">
        <f t="shared" si="31"/>
        <v>9.2715107641675777E-4</v>
      </c>
    </row>
    <row r="1012" spans="1:10" x14ac:dyDescent="0.3">
      <c r="A1012" s="19">
        <v>44950</v>
      </c>
      <c r="B1012" s="25">
        <v>100.4</v>
      </c>
      <c r="C1012" s="20">
        <f t="shared" si="30"/>
        <v>4.0000000000000565E-3</v>
      </c>
      <c r="H1012" s="19">
        <v>44950</v>
      </c>
      <c r="I1012" s="16">
        <v>39055.65</v>
      </c>
      <c r="J1012" s="20">
        <f t="shared" si="31"/>
        <v>1.5920989689048422E-2</v>
      </c>
    </row>
    <row r="1013" spans="1:10" x14ac:dyDescent="0.3">
      <c r="A1013" s="19">
        <v>44951</v>
      </c>
      <c r="B1013" s="25">
        <v>101</v>
      </c>
      <c r="C1013" s="20">
        <f t="shared" si="30"/>
        <v>5.9760956175298231E-3</v>
      </c>
      <c r="H1013" s="19">
        <v>44951</v>
      </c>
      <c r="I1013" s="16">
        <v>39784.9</v>
      </c>
      <c r="J1013" s="20">
        <f t="shared" si="31"/>
        <v>1.8672074334955376E-2</v>
      </c>
    </row>
    <row r="1014" spans="1:10" x14ac:dyDescent="0.3">
      <c r="A1014" s="19">
        <v>44952</v>
      </c>
      <c r="B1014" s="25">
        <v>105.98</v>
      </c>
      <c r="C1014" s="20">
        <f t="shared" si="30"/>
        <v>4.9306930693069344E-2</v>
      </c>
      <c r="H1014" s="19">
        <v>44952</v>
      </c>
      <c r="I1014" s="16">
        <v>40846.53</v>
      </c>
      <c r="J1014" s="20">
        <f t="shared" si="31"/>
        <v>2.668424452493276E-2</v>
      </c>
    </row>
    <row r="1015" spans="1:10" x14ac:dyDescent="0.3">
      <c r="A1015" s="19">
        <v>44953</v>
      </c>
      <c r="B1015" s="25">
        <v>105.52</v>
      </c>
      <c r="C1015" s="20">
        <f t="shared" si="30"/>
        <v>-4.3404415927534249E-3</v>
      </c>
      <c r="H1015" s="19">
        <v>44953</v>
      </c>
      <c r="I1015" s="16">
        <v>40450.53</v>
      </c>
      <c r="J1015" s="20">
        <f t="shared" si="31"/>
        <v>-9.6948259742014806E-3</v>
      </c>
    </row>
    <row r="1016" spans="1:10" x14ac:dyDescent="0.3">
      <c r="A1016" s="19">
        <v>44956</v>
      </c>
      <c r="B1016" s="25">
        <v>102.01</v>
      </c>
      <c r="C1016" s="20">
        <f t="shared" si="30"/>
        <v>-3.3263836239575351E-2</v>
      </c>
      <c r="H1016" s="19">
        <v>44956</v>
      </c>
      <c r="I1016" s="16">
        <v>39871.269999999997</v>
      </c>
      <c r="J1016" s="20">
        <f t="shared" si="31"/>
        <v>-1.4320207918165771E-2</v>
      </c>
    </row>
    <row r="1017" spans="1:10" x14ac:dyDescent="0.3">
      <c r="A1017" s="19">
        <v>44957</v>
      </c>
      <c r="B1017" s="25">
        <v>103.6</v>
      </c>
      <c r="C1017" s="20">
        <f t="shared" si="30"/>
        <v>1.5586707185569936E-2</v>
      </c>
      <c r="H1017" s="19">
        <v>44957</v>
      </c>
      <c r="I1017" s="16">
        <v>40673.06</v>
      </c>
      <c r="J1017" s="20">
        <f t="shared" si="31"/>
        <v>2.0109467293116093E-2</v>
      </c>
    </row>
    <row r="1018" spans="1:10" x14ac:dyDescent="0.3">
      <c r="A1018" s="19">
        <v>44958</v>
      </c>
      <c r="B1018" s="25">
        <v>103.01</v>
      </c>
      <c r="C1018" s="20">
        <f t="shared" si="30"/>
        <v>-5.694980694980591E-3</v>
      </c>
      <c r="H1018" s="19">
        <v>44958</v>
      </c>
      <c r="I1018" s="16">
        <v>40619.94</v>
      </c>
      <c r="J1018" s="20">
        <f t="shared" si="31"/>
        <v>-1.3060241840666855E-3</v>
      </c>
    </row>
    <row r="1019" spans="1:10" x14ac:dyDescent="0.3">
      <c r="A1019" s="19">
        <v>44959</v>
      </c>
      <c r="B1019" s="25">
        <v>102.5</v>
      </c>
      <c r="C1019" s="20">
        <f t="shared" si="30"/>
        <v>-4.9509756334336968E-3</v>
      </c>
      <c r="H1019" s="19">
        <v>44959</v>
      </c>
      <c r="I1019" s="16">
        <v>40733.51</v>
      </c>
      <c r="J1019" s="20">
        <f t="shared" si="31"/>
        <v>2.7959174730440199E-3</v>
      </c>
    </row>
    <row r="1020" spans="1:10" x14ac:dyDescent="0.3">
      <c r="A1020" s="19">
        <v>44960</v>
      </c>
      <c r="B1020" s="25">
        <v>102.39</v>
      </c>
      <c r="C1020" s="20">
        <f t="shared" si="30"/>
        <v>-1.0731707317073115E-3</v>
      </c>
      <c r="H1020" s="19">
        <v>44960</v>
      </c>
      <c r="I1020" s="16">
        <v>40471.160000000003</v>
      </c>
      <c r="J1020" s="20">
        <f t="shared" si="31"/>
        <v>-6.4406430970470885E-3</v>
      </c>
    </row>
    <row r="1021" spans="1:10" x14ac:dyDescent="0.3">
      <c r="A1021" s="19">
        <v>44963</v>
      </c>
      <c r="B1021" s="25">
        <v>104.26</v>
      </c>
      <c r="C1021" s="20">
        <f t="shared" si="30"/>
        <v>1.8263502295146054E-2</v>
      </c>
      <c r="H1021" s="19">
        <v>44963</v>
      </c>
      <c r="I1021" s="16">
        <v>41190.769999999997</v>
      </c>
      <c r="J1021" s="20">
        <f t="shared" si="31"/>
        <v>1.7780809840884058E-2</v>
      </c>
    </row>
    <row r="1022" spans="1:10" x14ac:dyDescent="0.3">
      <c r="A1022" s="19">
        <v>44964</v>
      </c>
      <c r="B1022" s="25">
        <v>103.74</v>
      </c>
      <c r="C1022" s="20">
        <f t="shared" si="30"/>
        <v>-4.9875311720699233E-3</v>
      </c>
      <c r="H1022" s="19">
        <v>44964</v>
      </c>
      <c r="I1022" s="16">
        <v>41522.76</v>
      </c>
      <c r="J1022" s="20">
        <f t="shared" si="31"/>
        <v>8.0598153421265317E-3</v>
      </c>
    </row>
    <row r="1023" spans="1:10" x14ac:dyDescent="0.3">
      <c r="A1023" s="19">
        <v>44965</v>
      </c>
      <c r="B1023" s="25">
        <v>103.06</v>
      </c>
      <c r="C1023" s="20">
        <f t="shared" si="30"/>
        <v>-6.5548486601117468E-3</v>
      </c>
      <c r="H1023" s="19">
        <v>44965</v>
      </c>
      <c r="I1023" s="16">
        <v>41723.32</v>
      </c>
      <c r="J1023" s="20">
        <f t="shared" si="31"/>
        <v>4.8301220824434037E-3</v>
      </c>
    </row>
    <row r="1024" spans="1:10" x14ac:dyDescent="0.3">
      <c r="A1024" s="19">
        <v>44966</v>
      </c>
      <c r="B1024" s="25">
        <v>105.1</v>
      </c>
      <c r="C1024" s="20">
        <f t="shared" si="30"/>
        <v>1.979429458567817E-2</v>
      </c>
      <c r="H1024" s="19">
        <v>44966</v>
      </c>
      <c r="I1024" s="16">
        <v>42466.59</v>
      </c>
      <c r="J1024" s="20">
        <f t="shared" si="31"/>
        <v>1.7814258309261987E-2</v>
      </c>
    </row>
    <row r="1025" spans="1:10" x14ac:dyDescent="0.3">
      <c r="A1025" s="19">
        <v>44967</v>
      </c>
      <c r="B1025" s="25">
        <v>102.5</v>
      </c>
      <c r="C1025" s="20">
        <f t="shared" si="30"/>
        <v>-2.4738344433872451E-2</v>
      </c>
      <c r="H1025" s="19">
        <v>44967</v>
      </c>
      <c r="I1025" s="16">
        <v>41741.78</v>
      </c>
      <c r="J1025" s="20">
        <f t="shared" si="31"/>
        <v>-1.7067770216539584E-2</v>
      </c>
    </row>
    <row r="1026" spans="1:10" x14ac:dyDescent="0.3">
      <c r="A1026" s="19">
        <v>44970</v>
      </c>
      <c r="B1026" s="25">
        <v>102.05</v>
      </c>
      <c r="C1026" s="20">
        <f t="shared" si="30"/>
        <v>-4.3902439024390517E-3</v>
      </c>
      <c r="H1026" s="19">
        <v>44970</v>
      </c>
      <c r="I1026" s="16">
        <v>41716.949999999997</v>
      </c>
      <c r="J1026" s="20">
        <f t="shared" si="31"/>
        <v>-5.9484765623319725E-4</v>
      </c>
    </row>
    <row r="1027" spans="1:10" x14ac:dyDescent="0.3">
      <c r="A1027" s="19">
        <v>44971</v>
      </c>
      <c r="B1027" s="25">
        <v>101.25</v>
      </c>
      <c r="C1027" s="20">
        <f t="shared" si="30"/>
        <v>-7.8392944634982573E-3</v>
      </c>
      <c r="H1027" s="19">
        <v>44971</v>
      </c>
      <c r="I1027" s="16">
        <v>41150.160000000003</v>
      </c>
      <c r="J1027" s="20">
        <f t="shared" si="31"/>
        <v>-1.3586563734884588E-2</v>
      </c>
    </row>
    <row r="1028" spans="1:10" x14ac:dyDescent="0.3">
      <c r="A1028" s="19">
        <v>44972</v>
      </c>
      <c r="B1028" s="25">
        <v>101.84</v>
      </c>
      <c r="C1028" s="20">
        <f t="shared" si="30"/>
        <v>5.827160493827194E-3</v>
      </c>
      <c r="H1028" s="19">
        <v>44972</v>
      </c>
      <c r="I1028" s="16">
        <v>41326.85</v>
      </c>
      <c r="J1028" s="20">
        <f t="shared" si="31"/>
        <v>4.2937864640136278E-3</v>
      </c>
    </row>
    <row r="1029" spans="1:10" x14ac:dyDescent="0.3">
      <c r="A1029" s="19">
        <v>44973</v>
      </c>
      <c r="B1029" s="25">
        <v>102</v>
      </c>
      <c r="C1029" s="20">
        <f t="shared" ref="C1029:C1092" si="32">(B1029-B1028)/B1028</f>
        <v>1.5710919088766358E-3</v>
      </c>
      <c r="H1029" s="19">
        <v>44973</v>
      </c>
      <c r="I1029" s="16">
        <v>41078.65</v>
      </c>
      <c r="J1029" s="20">
        <f t="shared" ref="J1029:J1092" si="33">(I1029-I1028)/I1028</f>
        <v>-6.005780745447502E-3</v>
      </c>
    </row>
    <row r="1030" spans="1:10" x14ac:dyDescent="0.3">
      <c r="A1030" s="19">
        <v>44974</v>
      </c>
      <c r="B1030" s="25">
        <v>102.75</v>
      </c>
      <c r="C1030" s="20">
        <f t="shared" si="32"/>
        <v>7.3529411764705881E-3</v>
      </c>
      <c r="H1030" s="19">
        <v>44974</v>
      </c>
      <c r="I1030" s="16">
        <v>41118.61</v>
      </c>
      <c r="J1030" s="20">
        <f t="shared" si="33"/>
        <v>9.7276809242755361E-4</v>
      </c>
    </row>
    <row r="1031" spans="1:10" x14ac:dyDescent="0.3">
      <c r="A1031" s="19">
        <v>44977</v>
      </c>
      <c r="B1031" s="25">
        <v>102.1</v>
      </c>
      <c r="C1031" s="20">
        <f t="shared" si="32"/>
        <v>-6.3260340632603955E-3</v>
      </c>
      <c r="H1031" s="19">
        <v>44977</v>
      </c>
      <c r="I1031" s="16">
        <v>40673.64</v>
      </c>
      <c r="J1031" s="20">
        <f t="shared" si="33"/>
        <v>-1.0821620672488715E-2</v>
      </c>
    </row>
    <row r="1032" spans="1:10" x14ac:dyDescent="0.3">
      <c r="A1032" s="19">
        <v>44978</v>
      </c>
      <c r="B1032" s="25">
        <v>102</v>
      </c>
      <c r="C1032" s="20">
        <f t="shared" si="32"/>
        <v>-9.7943192948084538E-4</v>
      </c>
      <c r="H1032" s="19">
        <v>44978</v>
      </c>
      <c r="I1032" s="16">
        <v>40949.839999999997</v>
      </c>
      <c r="J1032" s="20">
        <f t="shared" si="33"/>
        <v>6.7906388511084102E-3</v>
      </c>
    </row>
    <row r="1033" spans="1:10" x14ac:dyDescent="0.3">
      <c r="A1033" s="19">
        <v>44979</v>
      </c>
      <c r="B1033" s="25">
        <v>102.68</v>
      </c>
      <c r="C1033" s="20">
        <f t="shared" si="32"/>
        <v>6.6666666666667339E-3</v>
      </c>
      <c r="H1033" s="19">
        <v>44979</v>
      </c>
      <c r="I1033" s="16">
        <v>41167.599999999999</v>
      </c>
      <c r="J1033" s="20">
        <f t="shared" si="33"/>
        <v>5.3177252951416183E-3</v>
      </c>
    </row>
    <row r="1034" spans="1:10" x14ac:dyDescent="0.3">
      <c r="A1034" s="19">
        <v>44980</v>
      </c>
      <c r="B1034" s="25">
        <v>101.9</v>
      </c>
      <c r="C1034" s="20">
        <f t="shared" si="32"/>
        <v>-7.5964160498636643E-3</v>
      </c>
      <c r="H1034" s="19">
        <v>44980</v>
      </c>
      <c r="I1034" s="16">
        <v>40838.51</v>
      </c>
      <c r="J1034" s="20">
        <f t="shared" si="33"/>
        <v>-7.993907830429671E-3</v>
      </c>
    </row>
    <row r="1035" spans="1:10" x14ac:dyDescent="0.3">
      <c r="A1035" s="19">
        <v>44981</v>
      </c>
      <c r="B1035" s="25">
        <v>102</v>
      </c>
      <c r="C1035" s="20">
        <f t="shared" si="32"/>
        <v>9.8135426889101388E-4</v>
      </c>
      <c r="H1035" s="19">
        <v>44981</v>
      </c>
      <c r="I1035" s="16">
        <v>40707.760000000002</v>
      </c>
      <c r="J1035" s="20">
        <f t="shared" si="33"/>
        <v>-3.201634927425119E-3</v>
      </c>
    </row>
    <row r="1036" spans="1:10" x14ac:dyDescent="0.3">
      <c r="A1036" s="19">
        <v>44984</v>
      </c>
      <c r="B1036" s="25">
        <v>102.05</v>
      </c>
      <c r="C1036" s="20">
        <f t="shared" si="32"/>
        <v>4.9019607843134468E-4</v>
      </c>
      <c r="H1036" s="19">
        <v>44984</v>
      </c>
      <c r="I1036" s="16">
        <v>40784.129999999997</v>
      </c>
      <c r="J1036" s="20">
        <f t="shared" si="33"/>
        <v>1.8760550813897729E-3</v>
      </c>
    </row>
    <row r="1037" spans="1:10" x14ac:dyDescent="0.3">
      <c r="A1037" s="19">
        <v>44985</v>
      </c>
      <c r="B1037" s="25">
        <v>101.75</v>
      </c>
      <c r="C1037" s="20">
        <f t="shared" si="32"/>
        <v>-2.9397354238118291E-3</v>
      </c>
      <c r="H1037" s="19">
        <v>44985</v>
      </c>
      <c r="I1037" s="16">
        <v>40510.370000000003</v>
      </c>
      <c r="J1037" s="20">
        <f t="shared" si="33"/>
        <v>-6.7124148535225537E-3</v>
      </c>
    </row>
    <row r="1038" spans="1:10" x14ac:dyDescent="0.3">
      <c r="A1038" s="19">
        <v>44986</v>
      </c>
      <c r="B1038" s="25">
        <v>101.75</v>
      </c>
      <c r="C1038" s="20">
        <f t="shared" si="32"/>
        <v>0</v>
      </c>
      <c r="H1038" s="19">
        <v>44986</v>
      </c>
      <c r="I1038" s="16">
        <v>40412.769999999997</v>
      </c>
      <c r="J1038" s="20">
        <f t="shared" si="33"/>
        <v>-2.4092596537628715E-3</v>
      </c>
    </row>
    <row r="1039" spans="1:10" x14ac:dyDescent="0.3">
      <c r="A1039" s="19">
        <v>44987</v>
      </c>
      <c r="B1039" s="25">
        <v>101.52</v>
      </c>
      <c r="C1039" s="20">
        <f t="shared" si="32"/>
        <v>-2.2604422604422998E-3</v>
      </c>
      <c r="H1039" s="19">
        <v>44987</v>
      </c>
      <c r="I1039" s="16">
        <v>40670.879999999997</v>
      </c>
      <c r="J1039" s="20">
        <f t="shared" si="33"/>
        <v>6.3868425747604183E-3</v>
      </c>
    </row>
    <row r="1040" spans="1:10" x14ac:dyDescent="0.3">
      <c r="A1040" s="19">
        <v>44988</v>
      </c>
      <c r="B1040" s="25">
        <v>102.3</v>
      </c>
      <c r="C1040" s="20">
        <f t="shared" si="32"/>
        <v>7.6832151300236518E-3</v>
      </c>
      <c r="H1040" s="19">
        <v>44988</v>
      </c>
      <c r="I1040" s="16">
        <v>41337</v>
      </c>
      <c r="J1040" s="20">
        <f t="shared" si="33"/>
        <v>1.6378303100400154E-2</v>
      </c>
    </row>
    <row r="1041" spans="1:10" x14ac:dyDescent="0.3">
      <c r="A1041" s="19">
        <v>44991</v>
      </c>
      <c r="B1041" s="25">
        <v>101.9</v>
      </c>
      <c r="C1041" s="20">
        <f t="shared" si="32"/>
        <v>-3.9100684261973752E-3</v>
      </c>
      <c r="H1041" s="19">
        <v>44991</v>
      </c>
      <c r="I1041" s="16">
        <v>41434.33</v>
      </c>
      <c r="J1041" s="20">
        <f t="shared" si="33"/>
        <v>2.3545491932167729E-3</v>
      </c>
    </row>
    <row r="1042" spans="1:10" x14ac:dyDescent="0.3">
      <c r="A1042" s="19">
        <v>44992</v>
      </c>
      <c r="B1042" s="25">
        <v>102</v>
      </c>
      <c r="C1042" s="20">
        <f t="shared" si="32"/>
        <v>9.8135426889101388E-4</v>
      </c>
      <c r="H1042" s="19">
        <v>44992</v>
      </c>
      <c r="I1042" s="16">
        <v>41334.69</v>
      </c>
      <c r="J1042" s="20">
        <f t="shared" si="33"/>
        <v>-2.4047691853590829E-3</v>
      </c>
    </row>
    <row r="1043" spans="1:10" x14ac:dyDescent="0.3">
      <c r="A1043" s="19">
        <v>44993</v>
      </c>
      <c r="B1043" s="25">
        <v>102.3</v>
      </c>
      <c r="C1043" s="20">
        <f t="shared" si="32"/>
        <v>2.9411764705882075E-3</v>
      </c>
      <c r="H1043" s="19">
        <v>44993</v>
      </c>
      <c r="I1043" s="16">
        <v>41358.93</v>
      </c>
      <c r="J1043" s="20">
        <f t="shared" si="33"/>
        <v>5.8643236467959383E-4</v>
      </c>
    </row>
    <row r="1044" spans="1:10" x14ac:dyDescent="0.3">
      <c r="A1044" s="19">
        <v>44994</v>
      </c>
      <c r="B1044" s="25">
        <v>102</v>
      </c>
      <c r="C1044" s="20">
        <f t="shared" si="32"/>
        <v>-2.9325513196480661E-3</v>
      </c>
      <c r="H1044" s="19">
        <v>44994</v>
      </c>
      <c r="I1044" s="16">
        <v>41585.54</v>
      </c>
      <c r="J1044" s="20">
        <f t="shared" si="33"/>
        <v>5.4791069304742793E-3</v>
      </c>
    </row>
    <row r="1045" spans="1:10" x14ac:dyDescent="0.3">
      <c r="A1045" s="19">
        <v>44995</v>
      </c>
      <c r="B1045" s="25">
        <v>102.59</v>
      </c>
      <c r="C1045" s="20">
        <f t="shared" si="32"/>
        <v>5.7843137254902297E-3</v>
      </c>
      <c r="H1045" s="19">
        <v>44995</v>
      </c>
      <c r="I1045" s="16">
        <v>41793.870000000003</v>
      </c>
      <c r="J1045" s="20">
        <f t="shared" si="33"/>
        <v>5.009674035734578E-3</v>
      </c>
    </row>
    <row r="1046" spans="1:10" x14ac:dyDescent="0.3">
      <c r="A1046" s="19">
        <v>44998</v>
      </c>
      <c r="B1046" s="25">
        <v>103</v>
      </c>
      <c r="C1046" s="20">
        <f t="shared" si="32"/>
        <v>3.9964908860512386E-3</v>
      </c>
      <c r="H1046" s="19">
        <v>44998</v>
      </c>
      <c r="I1046" s="16">
        <v>41856.85</v>
      </c>
      <c r="J1046" s="20">
        <f t="shared" si="33"/>
        <v>1.5069195554275284E-3</v>
      </c>
    </row>
    <row r="1047" spans="1:10" x14ac:dyDescent="0.3">
      <c r="A1047" s="19">
        <v>44999</v>
      </c>
      <c r="B1047" s="25">
        <v>102.8</v>
      </c>
      <c r="C1047" s="20">
        <f t="shared" si="32"/>
        <v>-1.9417475728155617E-3</v>
      </c>
      <c r="H1047" s="19">
        <v>44999</v>
      </c>
      <c r="I1047" s="16">
        <v>41816.43</v>
      </c>
      <c r="J1047" s="20">
        <f t="shared" si="33"/>
        <v>-9.6567228542038534E-4</v>
      </c>
    </row>
    <row r="1048" spans="1:10" x14ac:dyDescent="0.3">
      <c r="A1048" s="19">
        <v>45000</v>
      </c>
      <c r="B1048" s="25">
        <v>103.5</v>
      </c>
      <c r="C1048" s="20">
        <f t="shared" si="32"/>
        <v>6.8093385214008061E-3</v>
      </c>
      <c r="H1048" s="19">
        <v>45000</v>
      </c>
      <c r="I1048" s="16">
        <v>41874.04</v>
      </c>
      <c r="J1048" s="20">
        <f t="shared" si="33"/>
        <v>1.3776881479361242E-3</v>
      </c>
    </row>
    <row r="1049" spans="1:10" x14ac:dyDescent="0.3">
      <c r="A1049" s="19">
        <v>45001</v>
      </c>
      <c r="B1049" s="25">
        <v>103.45</v>
      </c>
      <c r="C1049" s="20">
        <f t="shared" si="32"/>
        <v>-4.8309178743958608E-4</v>
      </c>
      <c r="H1049" s="19">
        <v>45001</v>
      </c>
      <c r="I1049" s="16">
        <v>41694.089999999997</v>
      </c>
      <c r="J1049" s="20">
        <f t="shared" si="33"/>
        <v>-4.2974119526084506E-3</v>
      </c>
    </row>
    <row r="1050" spans="1:10" x14ac:dyDescent="0.3">
      <c r="A1050" s="19">
        <v>45002</v>
      </c>
      <c r="B1050" s="25">
        <v>101.11</v>
      </c>
      <c r="C1050" s="20">
        <f t="shared" si="32"/>
        <v>-2.2619623006283261E-2</v>
      </c>
      <c r="H1050" s="19">
        <v>45002</v>
      </c>
      <c r="I1050" s="16">
        <v>41329.949999999997</v>
      </c>
      <c r="J1050" s="20">
        <f t="shared" si="33"/>
        <v>-8.7336118860010959E-3</v>
      </c>
    </row>
    <row r="1051" spans="1:10" x14ac:dyDescent="0.3">
      <c r="A1051" s="19">
        <v>45005</v>
      </c>
      <c r="B1051" s="25">
        <v>101.02</v>
      </c>
      <c r="C1051" s="20">
        <f t="shared" si="32"/>
        <v>-8.901196716447771E-4</v>
      </c>
      <c r="H1051" s="19">
        <v>45005</v>
      </c>
      <c r="I1051" s="16">
        <v>40918.449999999997</v>
      </c>
      <c r="J1051" s="20">
        <f t="shared" si="33"/>
        <v>-9.9564601457296717E-3</v>
      </c>
    </row>
    <row r="1052" spans="1:10" x14ac:dyDescent="0.3">
      <c r="A1052" s="19">
        <v>45006</v>
      </c>
      <c r="B1052" s="25">
        <v>101.4</v>
      </c>
      <c r="C1052" s="20">
        <f t="shared" si="32"/>
        <v>3.7616313601268035E-3</v>
      </c>
      <c r="H1052" s="19">
        <v>45006</v>
      </c>
      <c r="I1052" s="16">
        <v>40877.980000000003</v>
      </c>
      <c r="J1052" s="20">
        <f t="shared" si="33"/>
        <v>-9.8904039620254175E-4</v>
      </c>
    </row>
    <row r="1053" spans="1:10" x14ac:dyDescent="0.3">
      <c r="A1053" s="19">
        <v>45007</v>
      </c>
      <c r="B1053" s="25">
        <v>100.9</v>
      </c>
      <c r="C1053" s="20">
        <f t="shared" si="32"/>
        <v>-4.9309664694280079E-3</v>
      </c>
      <c r="H1053" s="19">
        <v>45007</v>
      </c>
      <c r="I1053" s="16">
        <v>40376.1</v>
      </c>
      <c r="J1053" s="20">
        <f t="shared" si="33"/>
        <v>-1.2277514691283782E-2</v>
      </c>
    </row>
    <row r="1054" spans="1:10" x14ac:dyDescent="0.3">
      <c r="A1054" s="19">
        <v>45009</v>
      </c>
      <c r="B1054" s="25">
        <v>97.5</v>
      </c>
      <c r="C1054" s="20">
        <f t="shared" si="32"/>
        <v>-3.3696729435084297E-2</v>
      </c>
      <c r="H1054" s="19">
        <v>45009</v>
      </c>
      <c r="I1054" s="16">
        <v>39942.050000000003</v>
      </c>
      <c r="J1054" s="20">
        <f t="shared" si="33"/>
        <v>-1.0750171512354974E-2</v>
      </c>
    </row>
    <row r="1055" spans="1:10" x14ac:dyDescent="0.3">
      <c r="A1055" s="19">
        <v>45012</v>
      </c>
      <c r="B1055" s="25">
        <v>99</v>
      </c>
      <c r="C1055" s="20">
        <f t="shared" si="32"/>
        <v>1.5384615384615385E-2</v>
      </c>
      <c r="H1055" s="19">
        <v>45012</v>
      </c>
      <c r="I1055" s="16">
        <v>40000.370000000003</v>
      </c>
      <c r="J1055" s="20">
        <f t="shared" si="33"/>
        <v>1.4601153421018628E-3</v>
      </c>
    </row>
    <row r="1056" spans="1:10" x14ac:dyDescent="0.3">
      <c r="A1056" s="19">
        <v>45013</v>
      </c>
      <c r="B1056" s="25">
        <v>99.94</v>
      </c>
      <c r="C1056" s="20">
        <f t="shared" si="32"/>
        <v>9.4949494949494728E-3</v>
      </c>
      <c r="H1056" s="19">
        <v>45013</v>
      </c>
      <c r="I1056" s="16">
        <v>40082.370000000003</v>
      </c>
      <c r="J1056" s="20">
        <f t="shared" si="33"/>
        <v>2.0499810376754012E-3</v>
      </c>
    </row>
    <row r="1057" spans="1:10" x14ac:dyDescent="0.3">
      <c r="A1057" s="19">
        <v>45014</v>
      </c>
      <c r="B1057" s="25">
        <v>99</v>
      </c>
      <c r="C1057" s="20">
        <f t="shared" si="32"/>
        <v>-9.4056433860315956E-3</v>
      </c>
      <c r="H1057" s="19">
        <v>45014</v>
      </c>
      <c r="I1057" s="16">
        <v>39879.89</v>
      </c>
      <c r="J1057" s="20">
        <f t="shared" si="33"/>
        <v>-5.0515974978526269E-3</v>
      </c>
    </row>
    <row r="1058" spans="1:10" x14ac:dyDescent="0.3">
      <c r="A1058" s="19">
        <v>45015</v>
      </c>
      <c r="B1058" s="25">
        <v>99.1</v>
      </c>
      <c r="C1058" s="20">
        <f t="shared" si="32"/>
        <v>1.0101010101009526E-3</v>
      </c>
      <c r="H1058" s="19">
        <v>45015</v>
      </c>
      <c r="I1058" s="16">
        <v>39848.35</v>
      </c>
      <c r="J1058" s="20">
        <f t="shared" si="33"/>
        <v>-7.9087479930363077E-4</v>
      </c>
    </row>
    <row r="1059" spans="1:10" x14ac:dyDescent="0.3">
      <c r="A1059" s="19">
        <v>45016</v>
      </c>
      <c r="B1059" s="25">
        <v>99.88</v>
      </c>
      <c r="C1059" s="20">
        <f t="shared" si="32"/>
        <v>7.8708375378405762E-3</v>
      </c>
      <c r="H1059" s="19">
        <v>45016</v>
      </c>
      <c r="I1059" s="16">
        <v>40000.83</v>
      </c>
      <c r="J1059" s="20">
        <f t="shared" si="33"/>
        <v>3.8265072455949422E-3</v>
      </c>
    </row>
    <row r="1060" spans="1:10" x14ac:dyDescent="0.3">
      <c r="A1060" s="19">
        <v>45019</v>
      </c>
      <c r="B1060" s="25">
        <v>98.9</v>
      </c>
      <c r="C1060" s="20">
        <f t="shared" si="32"/>
        <v>-9.8117741289546444E-3</v>
      </c>
      <c r="H1060" s="19">
        <v>45019</v>
      </c>
      <c r="I1060" s="16">
        <v>39889.9</v>
      </c>
      <c r="J1060" s="20">
        <f t="shared" si="33"/>
        <v>-2.7731924562565398E-3</v>
      </c>
    </row>
    <row r="1061" spans="1:10" x14ac:dyDescent="0.3">
      <c r="A1061" s="19">
        <v>45020</v>
      </c>
      <c r="B1061" s="25">
        <v>98.6</v>
      </c>
      <c r="C1061" s="20">
        <f t="shared" si="32"/>
        <v>-3.0333670374116414E-3</v>
      </c>
      <c r="H1061" s="19">
        <v>45020</v>
      </c>
      <c r="I1061" s="16">
        <v>39687.26</v>
      </c>
      <c r="J1061" s="20">
        <f t="shared" si="33"/>
        <v>-5.0799826522503044E-3</v>
      </c>
    </row>
    <row r="1062" spans="1:10" x14ac:dyDescent="0.3">
      <c r="A1062" s="19">
        <v>45021</v>
      </c>
      <c r="B1062" s="25">
        <v>98.75</v>
      </c>
      <c r="C1062" s="20">
        <f t="shared" si="32"/>
        <v>1.5212981744422483E-3</v>
      </c>
      <c r="H1062" s="19">
        <v>45021</v>
      </c>
      <c r="I1062" s="16">
        <v>39717.15</v>
      </c>
      <c r="J1062" s="20">
        <f t="shared" si="33"/>
        <v>7.5313841267952021E-4</v>
      </c>
    </row>
    <row r="1063" spans="1:10" x14ac:dyDescent="0.3">
      <c r="A1063" s="19">
        <v>45022</v>
      </c>
      <c r="B1063" s="25">
        <v>99.69</v>
      </c>
      <c r="C1063" s="20">
        <f t="shared" si="32"/>
        <v>9.5189873417721293E-3</v>
      </c>
      <c r="H1063" s="19">
        <v>45022</v>
      </c>
      <c r="I1063" s="16">
        <v>40350.89</v>
      </c>
      <c r="J1063" s="20">
        <f t="shared" si="33"/>
        <v>1.5956331207047786E-2</v>
      </c>
    </row>
    <row r="1064" spans="1:10" x14ac:dyDescent="0.3">
      <c r="A1064" s="19">
        <v>45023</v>
      </c>
      <c r="B1064" s="25">
        <v>99.49</v>
      </c>
      <c r="C1064" s="20">
        <f t="shared" si="32"/>
        <v>-2.006219279767307E-3</v>
      </c>
      <c r="H1064" s="19">
        <v>45023</v>
      </c>
      <c r="I1064" s="16">
        <v>40049.65</v>
      </c>
      <c r="J1064" s="20">
        <f t="shared" si="33"/>
        <v>-7.4655106739900398E-3</v>
      </c>
    </row>
    <row r="1065" spans="1:10" x14ac:dyDescent="0.3">
      <c r="A1065" s="19">
        <v>45026</v>
      </c>
      <c r="B1065" s="25">
        <v>98.3</v>
      </c>
      <c r="C1065" s="20">
        <f t="shared" si="32"/>
        <v>-1.1961001105638736E-2</v>
      </c>
      <c r="H1065" s="19">
        <v>45026</v>
      </c>
      <c r="I1065" s="16">
        <v>39835.9</v>
      </c>
      <c r="J1065" s="20">
        <f t="shared" si="33"/>
        <v>-5.337125293229778E-3</v>
      </c>
    </row>
    <row r="1066" spans="1:10" x14ac:dyDescent="0.3">
      <c r="A1066" s="19">
        <v>45027</v>
      </c>
      <c r="B1066" s="25">
        <v>98.4</v>
      </c>
      <c r="C1066" s="20">
        <f t="shared" si="32"/>
        <v>1.0172939979654987E-3</v>
      </c>
      <c r="H1066" s="19">
        <v>45027</v>
      </c>
      <c r="I1066" s="16">
        <v>39804.71</v>
      </c>
      <c r="J1066" s="20">
        <f t="shared" si="33"/>
        <v>-7.8296210202361005E-4</v>
      </c>
    </row>
    <row r="1067" spans="1:10" x14ac:dyDescent="0.3">
      <c r="A1067" s="19">
        <v>45028</v>
      </c>
      <c r="B1067" s="25">
        <v>99.15</v>
      </c>
      <c r="C1067" s="20">
        <f t="shared" si="32"/>
        <v>7.621951219512195E-3</v>
      </c>
      <c r="H1067" s="19">
        <v>45028</v>
      </c>
      <c r="I1067" s="16">
        <v>40126.050000000003</v>
      </c>
      <c r="J1067" s="20">
        <f t="shared" si="33"/>
        <v>8.0729139842999429E-3</v>
      </c>
    </row>
    <row r="1068" spans="1:10" x14ac:dyDescent="0.3">
      <c r="A1068" s="19">
        <v>45029</v>
      </c>
      <c r="B1068" s="25">
        <v>99.3</v>
      </c>
      <c r="C1068" s="20">
        <f t="shared" si="32"/>
        <v>1.5128593040846341E-3</v>
      </c>
      <c r="H1068" s="19">
        <v>45029</v>
      </c>
      <c r="I1068" s="16">
        <v>40205.54</v>
      </c>
      <c r="J1068" s="20">
        <f t="shared" si="33"/>
        <v>1.9810073505864135E-3</v>
      </c>
    </row>
    <row r="1069" spans="1:10" x14ac:dyDescent="0.3">
      <c r="A1069" s="19">
        <v>45033</v>
      </c>
      <c r="B1069" s="25">
        <v>100.6</v>
      </c>
      <c r="C1069" s="20">
        <f t="shared" si="32"/>
        <v>1.3091641490433003E-2</v>
      </c>
      <c r="H1069" s="19">
        <v>45033</v>
      </c>
      <c r="I1069" s="16">
        <v>40246.660000000003</v>
      </c>
      <c r="J1069" s="20">
        <f t="shared" si="33"/>
        <v>1.0227446267355846E-3</v>
      </c>
    </row>
    <row r="1070" spans="1:10" x14ac:dyDescent="0.3">
      <c r="A1070" s="19">
        <v>45034</v>
      </c>
      <c r="B1070" s="25">
        <v>100</v>
      </c>
      <c r="C1070" s="20">
        <f t="shared" si="32"/>
        <v>-5.9642147117295657E-3</v>
      </c>
      <c r="H1070" s="19">
        <v>45034</v>
      </c>
      <c r="I1070" s="16">
        <v>40448.050000000003</v>
      </c>
      <c r="J1070" s="20">
        <f t="shared" si="33"/>
        <v>5.0038934907890341E-3</v>
      </c>
    </row>
    <row r="1071" spans="1:10" x14ac:dyDescent="0.3">
      <c r="A1071" s="19">
        <v>45035</v>
      </c>
      <c r="B1071" s="25">
        <v>100.34</v>
      </c>
      <c r="C1071" s="20">
        <f t="shared" si="32"/>
        <v>3.4000000000000341E-3</v>
      </c>
      <c r="H1071" s="19">
        <v>45035</v>
      </c>
      <c r="I1071" s="16">
        <v>40499.339999999997</v>
      </c>
      <c r="J1071" s="20">
        <f t="shared" si="33"/>
        <v>1.2680462964220424E-3</v>
      </c>
    </row>
    <row r="1072" spans="1:10" x14ac:dyDescent="0.3">
      <c r="A1072" s="19">
        <v>45036</v>
      </c>
      <c r="B1072" s="25">
        <v>101.25</v>
      </c>
      <c r="C1072" s="20">
        <f t="shared" si="32"/>
        <v>9.0691648395455106E-3</v>
      </c>
      <c r="H1072" s="19">
        <v>45036</v>
      </c>
      <c r="I1072" s="16">
        <v>41007.82</v>
      </c>
      <c r="J1072" s="20">
        <f t="shared" si="33"/>
        <v>1.255526633273538E-2</v>
      </c>
    </row>
    <row r="1073" spans="1:10" x14ac:dyDescent="0.3">
      <c r="A1073" s="19">
        <v>45042</v>
      </c>
      <c r="B1073" s="25">
        <v>101.82</v>
      </c>
      <c r="C1073" s="20">
        <f t="shared" si="32"/>
        <v>5.6296296296295626E-3</v>
      </c>
      <c r="H1073" s="19">
        <v>45042</v>
      </c>
      <c r="I1073" s="16">
        <v>41099.58</v>
      </c>
      <c r="J1073" s="20">
        <f t="shared" si="33"/>
        <v>2.2376219950244135E-3</v>
      </c>
    </row>
    <row r="1074" spans="1:10" x14ac:dyDescent="0.3">
      <c r="A1074" s="19">
        <v>45043</v>
      </c>
      <c r="B1074" s="25">
        <v>102.6</v>
      </c>
      <c r="C1074" s="20">
        <f t="shared" si="32"/>
        <v>7.6605774896876958E-3</v>
      </c>
      <c r="H1074" s="19">
        <v>45043</v>
      </c>
      <c r="I1074" s="16">
        <v>41463.910000000003</v>
      </c>
      <c r="J1074" s="20">
        <f t="shared" si="33"/>
        <v>8.8645674724656971E-3</v>
      </c>
    </row>
    <row r="1075" spans="1:10" x14ac:dyDescent="0.3">
      <c r="A1075" s="19">
        <v>45044</v>
      </c>
      <c r="B1075" s="25">
        <v>103</v>
      </c>
      <c r="C1075" s="20">
        <f t="shared" si="32"/>
        <v>3.8986354775829017E-3</v>
      </c>
      <c r="H1075" s="19">
        <v>45044</v>
      </c>
      <c r="I1075" s="16">
        <v>41580.85</v>
      </c>
      <c r="J1075" s="20">
        <f t="shared" si="33"/>
        <v>2.8202839529604187E-3</v>
      </c>
    </row>
    <row r="1076" spans="1:10" x14ac:dyDescent="0.3">
      <c r="A1076" s="19">
        <v>45048</v>
      </c>
      <c r="B1076" s="25">
        <v>103.48</v>
      </c>
      <c r="C1076" s="20">
        <f t="shared" si="32"/>
        <v>4.66019417475732E-3</v>
      </c>
      <c r="H1076" s="19">
        <v>45048</v>
      </c>
      <c r="I1076" s="16">
        <v>41927.64</v>
      </c>
      <c r="J1076" s="20">
        <f t="shared" si="33"/>
        <v>8.3401373468796544E-3</v>
      </c>
    </row>
    <row r="1077" spans="1:10" x14ac:dyDescent="0.3">
      <c r="A1077" s="19">
        <v>45049</v>
      </c>
      <c r="B1077" s="25">
        <v>103.25</v>
      </c>
      <c r="C1077" s="20">
        <f t="shared" si="32"/>
        <v>-2.2226517201391956E-3</v>
      </c>
      <c r="H1077" s="19">
        <v>45049</v>
      </c>
      <c r="I1077" s="16">
        <v>42087.93</v>
      </c>
      <c r="J1077" s="20">
        <f t="shared" si="33"/>
        <v>3.8230150802668807E-3</v>
      </c>
    </row>
    <row r="1078" spans="1:10" x14ac:dyDescent="0.3">
      <c r="A1078" s="19">
        <v>45050</v>
      </c>
      <c r="B1078" s="25">
        <v>102.9</v>
      </c>
      <c r="C1078" s="20">
        <f t="shared" si="32"/>
        <v>-3.3898305084745211E-3</v>
      </c>
      <c r="H1078" s="19">
        <v>45050</v>
      </c>
      <c r="I1078" s="16">
        <v>42093.8</v>
      </c>
      <c r="J1078" s="20">
        <f t="shared" si="33"/>
        <v>1.3946991453375396E-4</v>
      </c>
    </row>
    <row r="1079" spans="1:10" x14ac:dyDescent="0.3">
      <c r="A1079" s="19">
        <v>45051</v>
      </c>
      <c r="B1079" s="25">
        <v>103.49</v>
      </c>
      <c r="C1079" s="20">
        <f t="shared" si="32"/>
        <v>5.7337220602525669E-3</v>
      </c>
      <c r="H1079" s="19">
        <v>45051</v>
      </c>
      <c r="I1079" s="16">
        <v>42241.98</v>
      </c>
      <c r="J1079" s="20">
        <f t="shared" si="33"/>
        <v>3.520233383538675E-3</v>
      </c>
    </row>
    <row r="1080" spans="1:10" x14ac:dyDescent="0.3">
      <c r="A1080" s="19">
        <v>45054</v>
      </c>
      <c r="B1080" s="25">
        <v>100</v>
      </c>
      <c r="C1080" s="20">
        <f t="shared" si="32"/>
        <v>-3.3723065030437677E-2</v>
      </c>
      <c r="H1080" s="19">
        <v>45054</v>
      </c>
      <c r="I1080" s="16">
        <v>41829.49</v>
      </c>
      <c r="J1080" s="20">
        <f t="shared" si="33"/>
        <v>-9.7649305264574538E-3</v>
      </c>
    </row>
    <row r="1081" spans="1:10" x14ac:dyDescent="0.3">
      <c r="A1081" s="19">
        <v>45055</v>
      </c>
      <c r="B1081" s="25">
        <v>99.55</v>
      </c>
      <c r="C1081" s="20">
        <f t="shared" si="32"/>
        <v>-4.5000000000000283E-3</v>
      </c>
      <c r="H1081" s="19">
        <v>45055</v>
      </c>
      <c r="I1081" s="16">
        <v>41373.81</v>
      </c>
      <c r="J1081" s="20">
        <f t="shared" si="33"/>
        <v>-1.0893749840124761E-2</v>
      </c>
    </row>
    <row r="1082" spans="1:10" x14ac:dyDescent="0.3">
      <c r="A1082" s="19">
        <v>45056</v>
      </c>
      <c r="B1082" s="25">
        <v>99.48</v>
      </c>
      <c r="C1082" s="20">
        <f t="shared" si="32"/>
        <v>-7.0316423907577279E-4</v>
      </c>
      <c r="H1082" s="19">
        <v>45056</v>
      </c>
      <c r="I1082" s="16">
        <v>41074.949999999997</v>
      </c>
      <c r="J1082" s="20">
        <f t="shared" si="33"/>
        <v>-7.2234101717971004E-3</v>
      </c>
    </row>
    <row r="1083" spans="1:10" x14ac:dyDescent="0.3">
      <c r="A1083" s="19">
        <v>45057</v>
      </c>
      <c r="B1083" s="25">
        <v>99.53</v>
      </c>
      <c r="C1083" s="20">
        <f t="shared" si="32"/>
        <v>5.0261359067146319E-4</v>
      </c>
      <c r="H1083" s="19">
        <v>45057</v>
      </c>
      <c r="I1083" s="16">
        <v>41325.629999999997</v>
      </c>
      <c r="J1083" s="20">
        <f t="shared" si="33"/>
        <v>6.102989778441612E-3</v>
      </c>
    </row>
    <row r="1084" spans="1:10" x14ac:dyDescent="0.3">
      <c r="A1084" s="19">
        <v>45058</v>
      </c>
      <c r="B1084" s="25">
        <v>100.25</v>
      </c>
      <c r="C1084" s="20">
        <f t="shared" si="32"/>
        <v>7.2339997990555497E-3</v>
      </c>
      <c r="H1084" s="19">
        <v>45058</v>
      </c>
      <c r="I1084" s="16">
        <v>41487.58</v>
      </c>
      <c r="J1084" s="20">
        <f t="shared" si="33"/>
        <v>3.9188755259146535E-3</v>
      </c>
    </row>
    <row r="1085" spans="1:10" x14ac:dyDescent="0.3">
      <c r="A1085" s="19">
        <v>45061</v>
      </c>
      <c r="B1085" s="25">
        <v>101.5</v>
      </c>
      <c r="C1085" s="20">
        <f t="shared" si="32"/>
        <v>1.2468827930174564E-2</v>
      </c>
      <c r="H1085" s="19">
        <v>45061</v>
      </c>
      <c r="I1085" s="16">
        <v>41716.26</v>
      </c>
      <c r="J1085" s="20">
        <f t="shared" si="33"/>
        <v>5.5120110645161821E-3</v>
      </c>
    </row>
    <row r="1086" spans="1:10" x14ac:dyDescent="0.3">
      <c r="A1086" s="19">
        <v>45062</v>
      </c>
      <c r="B1086" s="25">
        <v>102.05</v>
      </c>
      <c r="C1086" s="20">
        <f t="shared" si="32"/>
        <v>5.4187192118226321E-3</v>
      </c>
      <c r="H1086" s="19">
        <v>45062</v>
      </c>
      <c r="I1086" s="16">
        <v>41980.13</v>
      </c>
      <c r="J1086" s="20">
        <f t="shared" si="33"/>
        <v>6.3253513138520883E-3</v>
      </c>
    </row>
    <row r="1087" spans="1:10" x14ac:dyDescent="0.3">
      <c r="A1087" s="19">
        <v>45063</v>
      </c>
      <c r="B1087" s="25">
        <v>103.12</v>
      </c>
      <c r="C1087" s="20">
        <f t="shared" si="32"/>
        <v>1.0485056344929029E-2</v>
      </c>
      <c r="H1087" s="19">
        <v>45063</v>
      </c>
      <c r="I1087" s="16">
        <v>41835.57</v>
      </c>
      <c r="J1087" s="20">
        <f t="shared" si="33"/>
        <v>-3.44353388138621E-3</v>
      </c>
    </row>
    <row r="1088" spans="1:10" x14ac:dyDescent="0.3">
      <c r="A1088" s="19">
        <v>45064</v>
      </c>
      <c r="B1088" s="25">
        <v>102.77</v>
      </c>
      <c r="C1088" s="20">
        <f t="shared" si="32"/>
        <v>-3.3941039565555521E-3</v>
      </c>
      <c r="H1088" s="19">
        <v>45064</v>
      </c>
      <c r="I1088" s="16">
        <v>41472.199999999997</v>
      </c>
      <c r="J1088" s="20">
        <f t="shared" si="33"/>
        <v>-8.685671068901479E-3</v>
      </c>
    </row>
    <row r="1089" spans="1:10" x14ac:dyDescent="0.3">
      <c r="A1089" s="19">
        <v>45065</v>
      </c>
      <c r="B1089" s="25">
        <v>102.99</v>
      </c>
      <c r="C1089" s="20">
        <f t="shared" si="32"/>
        <v>2.1407025396516384E-3</v>
      </c>
      <c r="H1089" s="19">
        <v>45065</v>
      </c>
      <c r="I1089" s="16">
        <v>41614.870000000003</v>
      </c>
      <c r="J1089" s="20">
        <f t="shared" si="33"/>
        <v>3.440135801814361E-3</v>
      </c>
    </row>
    <row r="1090" spans="1:10" x14ac:dyDescent="0.3">
      <c r="A1090" s="19">
        <v>45068</v>
      </c>
      <c r="B1090" s="25">
        <v>102</v>
      </c>
      <c r="C1090" s="20">
        <f t="shared" si="32"/>
        <v>-9.6125837459947079E-3</v>
      </c>
      <c r="H1090" s="19">
        <v>45068</v>
      </c>
      <c r="I1090" s="16">
        <v>41203.5</v>
      </c>
      <c r="J1090" s="20">
        <f t="shared" si="33"/>
        <v>-9.8851684506043782E-3</v>
      </c>
    </row>
    <row r="1091" spans="1:10" x14ac:dyDescent="0.3">
      <c r="A1091" s="19">
        <v>45069</v>
      </c>
      <c r="B1091" s="25">
        <v>102.05</v>
      </c>
      <c r="C1091" s="20">
        <f t="shared" si="32"/>
        <v>4.9019607843134468E-4</v>
      </c>
      <c r="H1091" s="19">
        <v>45069</v>
      </c>
      <c r="I1091" s="16">
        <v>41116.629999999997</v>
      </c>
      <c r="J1091" s="20">
        <f t="shared" si="33"/>
        <v>-2.1083160411130759E-3</v>
      </c>
    </row>
    <row r="1092" spans="1:10" x14ac:dyDescent="0.3">
      <c r="A1092" s="19">
        <v>45070</v>
      </c>
      <c r="B1092" s="25">
        <v>101.8</v>
      </c>
      <c r="C1092" s="20">
        <f t="shared" si="32"/>
        <v>-2.4497795198432141E-3</v>
      </c>
      <c r="H1092" s="19">
        <v>45070</v>
      </c>
      <c r="I1092" s="16">
        <v>41098.480000000003</v>
      </c>
      <c r="J1092" s="20">
        <f t="shared" si="33"/>
        <v>-4.4142722786362065E-4</v>
      </c>
    </row>
    <row r="1093" spans="1:10" x14ac:dyDescent="0.3">
      <c r="A1093" s="19">
        <v>45071</v>
      </c>
      <c r="B1093" s="25">
        <v>102</v>
      </c>
      <c r="C1093" s="20">
        <f t="shared" ref="C1093:C1156" si="34">(B1093-B1092)/B1092</f>
        <v>1.9646365422397137E-3</v>
      </c>
      <c r="H1093" s="19">
        <v>45071</v>
      </c>
      <c r="I1093" s="16">
        <v>41070.300000000003</v>
      </c>
      <c r="J1093" s="20">
        <f t="shared" ref="J1093:J1156" si="35">(I1093-I1092)/I1092</f>
        <v>-6.8567012697307267E-4</v>
      </c>
    </row>
    <row r="1094" spans="1:10" x14ac:dyDescent="0.3">
      <c r="A1094" s="19">
        <v>45072</v>
      </c>
      <c r="B1094" s="25">
        <v>101.74</v>
      </c>
      <c r="C1094" s="20">
        <f t="shared" si="34"/>
        <v>-2.5490196078431873E-3</v>
      </c>
      <c r="H1094" s="19">
        <v>45072</v>
      </c>
      <c r="I1094" s="16">
        <v>41002.6</v>
      </c>
      <c r="J1094" s="20">
        <f t="shared" si="35"/>
        <v>-1.648393121063259E-3</v>
      </c>
    </row>
    <row r="1095" spans="1:10" x14ac:dyDescent="0.3">
      <c r="A1095" s="19">
        <v>45075</v>
      </c>
      <c r="B1095" s="25">
        <v>102.09</v>
      </c>
      <c r="C1095" s="20">
        <f t="shared" si="34"/>
        <v>3.4401415372519025E-3</v>
      </c>
      <c r="H1095" s="19">
        <v>45075</v>
      </c>
      <c r="I1095" s="16">
        <v>41350.25</v>
      </c>
      <c r="J1095" s="20">
        <f t="shared" si="35"/>
        <v>8.4787306170828556E-3</v>
      </c>
    </row>
    <row r="1096" spans="1:10" x14ac:dyDescent="0.3">
      <c r="A1096" s="19">
        <v>45076</v>
      </c>
      <c r="B1096" s="25">
        <v>103.09</v>
      </c>
      <c r="C1096" s="20">
        <f t="shared" si="34"/>
        <v>9.7952786756783233E-3</v>
      </c>
      <c r="H1096" s="19">
        <v>45076</v>
      </c>
      <c r="I1096" s="16">
        <v>41665.85</v>
      </c>
      <c r="J1096" s="20">
        <f t="shared" si="35"/>
        <v>7.6323601429253403E-3</v>
      </c>
    </row>
    <row r="1097" spans="1:10" x14ac:dyDescent="0.3">
      <c r="A1097" s="19">
        <v>45077</v>
      </c>
      <c r="B1097" s="25">
        <v>101.15</v>
      </c>
      <c r="C1097" s="20">
        <f t="shared" si="34"/>
        <v>-1.8818508099718669E-2</v>
      </c>
      <c r="H1097" s="19">
        <v>45077</v>
      </c>
      <c r="I1097" s="16">
        <v>41337.82</v>
      </c>
      <c r="J1097" s="20">
        <f t="shared" si="35"/>
        <v>-7.8728743083364156E-3</v>
      </c>
    </row>
    <row r="1098" spans="1:10" x14ac:dyDescent="0.3">
      <c r="A1098" s="19">
        <v>45078</v>
      </c>
      <c r="B1098" s="25">
        <v>101.28</v>
      </c>
      <c r="C1098" s="20">
        <f t="shared" si="34"/>
        <v>1.2852199703410326E-3</v>
      </c>
      <c r="H1098" s="19">
        <v>45078</v>
      </c>
      <c r="I1098" s="16">
        <v>41273.72</v>
      </c>
      <c r="J1098" s="20">
        <f t="shared" si="35"/>
        <v>-1.5506381323446314E-3</v>
      </c>
    </row>
    <row r="1099" spans="1:10" x14ac:dyDescent="0.3">
      <c r="A1099" s="19">
        <v>45079</v>
      </c>
      <c r="B1099" s="25">
        <v>101.55</v>
      </c>
      <c r="C1099" s="20">
        <f t="shared" si="34"/>
        <v>2.6658767772511456E-3</v>
      </c>
      <c r="H1099" s="19">
        <v>45079</v>
      </c>
      <c r="I1099" s="16">
        <v>41356.239999999998</v>
      </c>
      <c r="J1099" s="20">
        <f t="shared" si="35"/>
        <v>1.9993351701760053E-3</v>
      </c>
    </row>
    <row r="1100" spans="1:10" x14ac:dyDescent="0.3">
      <c r="A1100" s="19">
        <v>45082</v>
      </c>
      <c r="B1100" s="25">
        <v>101.32</v>
      </c>
      <c r="C1100" s="20">
        <f t="shared" si="34"/>
        <v>-2.2648941408173707E-3</v>
      </c>
      <c r="H1100" s="19">
        <v>45082</v>
      </c>
      <c r="I1100" s="16">
        <v>41638.53</v>
      </c>
      <c r="J1100" s="20">
        <f t="shared" si="35"/>
        <v>6.8258139521388036E-3</v>
      </c>
    </row>
    <row r="1101" spans="1:10" x14ac:dyDescent="0.3">
      <c r="A1101" s="19">
        <v>45083</v>
      </c>
      <c r="B1101" s="25">
        <v>101.75</v>
      </c>
      <c r="C1101" s="20">
        <f t="shared" si="34"/>
        <v>4.2439794709830921E-3</v>
      </c>
      <c r="H1101" s="19">
        <v>45083</v>
      </c>
      <c r="I1101" s="16">
        <v>41912.879999999997</v>
      </c>
      <c r="J1101" s="20">
        <f t="shared" si="35"/>
        <v>6.5888493181675374E-3</v>
      </c>
    </row>
    <row r="1102" spans="1:10" x14ac:dyDescent="0.3">
      <c r="A1102" s="19">
        <v>45084</v>
      </c>
      <c r="B1102" s="25">
        <v>101.49</v>
      </c>
      <c r="C1102" s="20">
        <f t="shared" si="34"/>
        <v>-2.5552825552826054E-3</v>
      </c>
      <c r="H1102" s="19">
        <v>45084</v>
      </c>
      <c r="I1102" s="16">
        <v>42119.22</v>
      </c>
      <c r="J1102" s="20">
        <f t="shared" si="35"/>
        <v>4.9230689945430565E-3</v>
      </c>
    </row>
    <row r="1103" spans="1:10" x14ac:dyDescent="0.3">
      <c r="A1103" s="19">
        <v>45085</v>
      </c>
      <c r="B1103" s="25">
        <v>101.2</v>
      </c>
      <c r="C1103" s="20">
        <f t="shared" si="34"/>
        <v>-2.8574243767858121E-3</v>
      </c>
      <c r="H1103" s="19">
        <v>45085</v>
      </c>
      <c r="I1103" s="16">
        <v>41668.07</v>
      </c>
      <c r="J1103" s="20">
        <f t="shared" si="35"/>
        <v>-1.0711261984433744E-2</v>
      </c>
    </row>
    <row r="1104" spans="1:10" x14ac:dyDescent="0.3">
      <c r="A1104" s="19">
        <v>45086</v>
      </c>
      <c r="B1104" s="25">
        <v>100.86</v>
      </c>
      <c r="C1104" s="20">
        <f t="shared" si="34"/>
        <v>-3.3596837944664367E-3</v>
      </c>
      <c r="H1104" s="19">
        <v>45086</v>
      </c>
      <c r="I1104" s="16">
        <v>41904.86</v>
      </c>
      <c r="J1104" s="20">
        <f t="shared" si="35"/>
        <v>5.6827686043534262E-3</v>
      </c>
    </row>
    <row r="1105" spans="1:10" x14ac:dyDescent="0.3">
      <c r="A1105" s="19">
        <v>45089</v>
      </c>
      <c r="B1105" s="25">
        <v>100.82</v>
      </c>
      <c r="C1105" s="20">
        <f t="shared" si="34"/>
        <v>-3.9658933174703802E-4</v>
      </c>
      <c r="H1105" s="19">
        <v>45089</v>
      </c>
      <c r="I1105" s="16">
        <v>41772.33</v>
      </c>
      <c r="J1105" s="20">
        <f t="shared" si="35"/>
        <v>-3.162640323819214E-3</v>
      </c>
    </row>
    <row r="1106" spans="1:10" x14ac:dyDescent="0.3">
      <c r="A1106" s="19">
        <v>45090</v>
      </c>
      <c r="B1106" s="25">
        <v>100.4</v>
      </c>
      <c r="C1106" s="20">
        <f t="shared" si="34"/>
        <v>-4.1658401110889458E-3</v>
      </c>
      <c r="H1106" s="19">
        <v>45090</v>
      </c>
      <c r="I1106" s="16">
        <v>41536.160000000003</v>
      </c>
      <c r="J1106" s="20">
        <f t="shared" si="35"/>
        <v>-5.6537425611642503E-3</v>
      </c>
    </row>
    <row r="1107" spans="1:10" x14ac:dyDescent="0.3">
      <c r="A1107" s="19">
        <v>45091</v>
      </c>
      <c r="B1107" s="25">
        <v>100.5</v>
      </c>
      <c r="C1107" s="20">
        <f t="shared" si="34"/>
        <v>9.9601593625492347E-4</v>
      </c>
      <c r="H1107" s="19">
        <v>45091</v>
      </c>
      <c r="I1107" s="16">
        <v>41536.870000000003</v>
      </c>
      <c r="J1107" s="20">
        <f t="shared" si="35"/>
        <v>1.7093539701289834E-5</v>
      </c>
    </row>
    <row r="1108" spans="1:10" x14ac:dyDescent="0.3">
      <c r="A1108" s="19">
        <v>45092</v>
      </c>
      <c r="B1108" s="25">
        <v>98.9</v>
      </c>
      <c r="C1108" s="20">
        <f t="shared" si="34"/>
        <v>-1.5920398009950192E-2</v>
      </c>
      <c r="H1108" s="19">
        <v>45092</v>
      </c>
      <c r="I1108" s="16">
        <v>41404.5</v>
      </c>
      <c r="J1108" s="20">
        <f t="shared" si="35"/>
        <v>-3.1868072871163045E-3</v>
      </c>
    </row>
    <row r="1109" spans="1:10" x14ac:dyDescent="0.3">
      <c r="A1109" s="19">
        <v>45093</v>
      </c>
      <c r="B1109" s="25">
        <v>98.5</v>
      </c>
      <c r="C1109" s="20">
        <f t="shared" si="34"/>
        <v>-4.0444893832154265E-3</v>
      </c>
      <c r="H1109" s="19">
        <v>45093</v>
      </c>
      <c r="I1109" s="16">
        <v>41335.53</v>
      </c>
      <c r="J1109" s="20">
        <f t="shared" si="35"/>
        <v>-1.6657609680107515E-3</v>
      </c>
    </row>
    <row r="1110" spans="1:10" x14ac:dyDescent="0.3">
      <c r="A1110" s="19">
        <v>45096</v>
      </c>
      <c r="B1110" s="25">
        <v>97.7</v>
      </c>
      <c r="C1110" s="20">
        <f t="shared" si="34"/>
        <v>-8.1218274111674836E-3</v>
      </c>
      <c r="H1110" s="19">
        <v>45096</v>
      </c>
      <c r="I1110" s="16">
        <v>40650.449999999997</v>
      </c>
      <c r="J1110" s="20">
        <f t="shared" si="35"/>
        <v>-1.6573635320510025E-2</v>
      </c>
    </row>
    <row r="1111" spans="1:10" x14ac:dyDescent="0.3">
      <c r="A1111" s="19">
        <v>45097</v>
      </c>
      <c r="B1111" s="25">
        <v>97.55</v>
      </c>
      <c r="C1111" s="20">
        <f t="shared" si="34"/>
        <v>-1.5353121801433538E-3</v>
      </c>
      <c r="H1111" s="19">
        <v>45097</v>
      </c>
      <c r="I1111" s="16">
        <v>40647.480000000003</v>
      </c>
      <c r="J1111" s="20">
        <f t="shared" si="35"/>
        <v>-7.3061921823593299E-5</v>
      </c>
    </row>
    <row r="1112" spans="1:10" x14ac:dyDescent="0.3">
      <c r="A1112" s="19">
        <v>45098</v>
      </c>
      <c r="B1112" s="25">
        <v>96.75</v>
      </c>
      <c r="C1112" s="20">
        <f t="shared" si="34"/>
        <v>-8.200922603792897E-3</v>
      </c>
      <c r="H1112" s="19">
        <v>45098</v>
      </c>
      <c r="I1112" s="16">
        <v>40229.760000000002</v>
      </c>
      <c r="J1112" s="20">
        <f t="shared" si="35"/>
        <v>-1.0276651836719056E-2</v>
      </c>
    </row>
    <row r="1113" spans="1:10" x14ac:dyDescent="0.3">
      <c r="A1113" s="19">
        <v>45099</v>
      </c>
      <c r="B1113" s="25">
        <v>96.7</v>
      </c>
      <c r="C1113" s="20">
        <f t="shared" si="34"/>
        <v>-5.1679586563304551E-4</v>
      </c>
      <c r="H1113" s="19">
        <v>45099</v>
      </c>
      <c r="I1113" s="16">
        <v>40181.839999999997</v>
      </c>
      <c r="J1113" s="20">
        <f t="shared" si="35"/>
        <v>-1.1911579885141132E-3</v>
      </c>
    </row>
    <row r="1114" spans="1:10" x14ac:dyDescent="0.3">
      <c r="A1114" s="19">
        <v>45100</v>
      </c>
      <c r="B1114" s="25">
        <v>97</v>
      </c>
      <c r="C1114" s="20">
        <f t="shared" si="34"/>
        <v>3.1023784901757718E-3</v>
      </c>
      <c r="H1114" s="19">
        <v>45100</v>
      </c>
      <c r="I1114" s="16">
        <v>40090.36</v>
      </c>
      <c r="J1114" s="20">
        <f t="shared" si="35"/>
        <v>-2.276650347520072E-3</v>
      </c>
    </row>
    <row r="1115" spans="1:10" x14ac:dyDescent="0.3">
      <c r="A1115" s="19">
        <v>45103</v>
      </c>
      <c r="B1115" s="25">
        <v>99.1</v>
      </c>
      <c r="C1115" s="20">
        <f t="shared" si="34"/>
        <v>2.1649484536082415E-2</v>
      </c>
      <c r="H1115" s="19">
        <v>45103</v>
      </c>
      <c r="I1115" s="16">
        <v>41386.57</v>
      </c>
      <c r="J1115" s="20">
        <f t="shared" si="35"/>
        <v>3.2332211534144346E-2</v>
      </c>
    </row>
    <row r="1116" spans="1:10" x14ac:dyDescent="0.3">
      <c r="A1116" s="19">
        <v>45104</v>
      </c>
      <c r="B1116" s="25">
        <v>98.4</v>
      </c>
      <c r="C1116" s="20">
        <f t="shared" si="34"/>
        <v>-7.0635721493439822E-3</v>
      </c>
      <c r="H1116" s="19">
        <v>45104</v>
      </c>
      <c r="I1116" s="16">
        <v>41452.68</v>
      </c>
      <c r="J1116" s="20">
        <f t="shared" si="35"/>
        <v>1.597378086659527E-3</v>
      </c>
    </row>
    <row r="1117" spans="1:10" x14ac:dyDescent="0.3">
      <c r="A1117" s="19">
        <v>45110</v>
      </c>
      <c r="B1117" s="25">
        <v>101.5</v>
      </c>
      <c r="C1117" s="20">
        <f t="shared" si="34"/>
        <v>3.1504065040650349E-2</v>
      </c>
      <c r="H1117" s="19">
        <v>45110</v>
      </c>
      <c r="I1117" s="16">
        <v>43903.29</v>
      </c>
      <c r="J1117" s="20">
        <f t="shared" si="35"/>
        <v>5.9118252426622372E-2</v>
      </c>
    </row>
    <row r="1118" spans="1:10" x14ac:dyDescent="0.3">
      <c r="A1118" s="19">
        <v>45111</v>
      </c>
      <c r="B1118" s="25">
        <v>99.55</v>
      </c>
      <c r="C1118" s="20">
        <f t="shared" si="34"/>
        <v>-1.9211822660098549E-2</v>
      </c>
      <c r="H1118" s="19">
        <v>45111</v>
      </c>
      <c r="I1118" s="16">
        <v>43502.89</v>
      </c>
      <c r="J1118" s="20">
        <f t="shared" si="35"/>
        <v>-9.1200454453413734E-3</v>
      </c>
    </row>
    <row r="1119" spans="1:10" x14ac:dyDescent="0.3">
      <c r="A1119" s="19">
        <v>45112</v>
      </c>
      <c r="B1119" s="25">
        <v>99.6</v>
      </c>
      <c r="C1119" s="20">
        <f t="shared" si="34"/>
        <v>5.0226017076842949E-4</v>
      </c>
      <c r="H1119" s="19">
        <v>45112</v>
      </c>
      <c r="I1119" s="16">
        <v>43553.81</v>
      </c>
      <c r="J1119" s="20">
        <f t="shared" si="35"/>
        <v>1.17049694859349E-3</v>
      </c>
    </row>
    <row r="1120" spans="1:10" x14ac:dyDescent="0.3">
      <c r="A1120" s="19">
        <v>45113</v>
      </c>
      <c r="B1120" s="25">
        <v>99.5</v>
      </c>
      <c r="C1120" s="20">
        <f t="shared" si="34"/>
        <v>-1.004016064256971E-3</v>
      </c>
      <c r="H1120" s="19">
        <v>45113</v>
      </c>
      <c r="I1120" s="16">
        <v>44211.72</v>
      </c>
      <c r="J1120" s="20">
        <f t="shared" si="35"/>
        <v>1.5105681913935968E-2</v>
      </c>
    </row>
    <row r="1121" spans="1:10" x14ac:dyDescent="0.3">
      <c r="A1121" s="19">
        <v>45114</v>
      </c>
      <c r="B1121" s="25">
        <v>99.7</v>
      </c>
      <c r="C1121" s="20">
        <f t="shared" si="34"/>
        <v>2.0100502512563098E-3</v>
      </c>
      <c r="H1121" s="19">
        <v>45114</v>
      </c>
      <c r="I1121" s="16">
        <v>44284.92</v>
      </c>
      <c r="J1121" s="20">
        <f t="shared" si="35"/>
        <v>1.6556695826354887E-3</v>
      </c>
    </row>
    <row r="1122" spans="1:10" x14ac:dyDescent="0.3">
      <c r="A1122" s="19">
        <v>45117</v>
      </c>
      <c r="B1122" s="25">
        <v>99.6</v>
      </c>
      <c r="C1122" s="20">
        <f t="shared" si="34"/>
        <v>-1.0030090270813292E-3</v>
      </c>
      <c r="H1122" s="19">
        <v>45117</v>
      </c>
      <c r="I1122" s="16">
        <v>44561.82</v>
      </c>
      <c r="J1122" s="20">
        <f t="shared" si="35"/>
        <v>6.2526927902320124E-3</v>
      </c>
    </row>
    <row r="1123" spans="1:10" x14ac:dyDescent="0.3">
      <c r="A1123" s="19">
        <v>45118</v>
      </c>
      <c r="B1123" s="25">
        <v>99.84</v>
      </c>
      <c r="C1123" s="20">
        <f t="shared" si="34"/>
        <v>2.4096385542169588E-3</v>
      </c>
      <c r="H1123" s="19">
        <v>45118</v>
      </c>
      <c r="I1123" s="16">
        <v>45179.23</v>
      </c>
      <c r="J1123" s="20">
        <f t="shared" si="35"/>
        <v>1.3855134283115085E-2</v>
      </c>
    </row>
    <row r="1124" spans="1:10" x14ac:dyDescent="0.3">
      <c r="A1124" s="19">
        <v>45119</v>
      </c>
      <c r="B1124" s="25">
        <v>99.5</v>
      </c>
      <c r="C1124" s="20">
        <f t="shared" si="34"/>
        <v>-3.4054487179487518E-3</v>
      </c>
      <c r="H1124" s="19">
        <v>45119</v>
      </c>
      <c r="I1124" s="16">
        <v>45581.13</v>
      </c>
      <c r="J1124" s="20">
        <f t="shared" si="35"/>
        <v>8.895680603675498E-3</v>
      </c>
    </row>
    <row r="1125" spans="1:10" x14ac:dyDescent="0.3">
      <c r="A1125" s="19">
        <v>45120</v>
      </c>
      <c r="B1125" s="25">
        <v>99.5</v>
      </c>
      <c r="C1125" s="20">
        <f t="shared" si="34"/>
        <v>0</v>
      </c>
      <c r="H1125" s="19">
        <v>45120</v>
      </c>
      <c r="I1125" s="16">
        <v>45296.52</v>
      </c>
      <c r="J1125" s="20">
        <f t="shared" si="35"/>
        <v>-6.2440312471410998E-3</v>
      </c>
    </row>
    <row r="1126" spans="1:10" x14ac:dyDescent="0.3">
      <c r="A1126" s="19">
        <v>45121</v>
      </c>
      <c r="B1126" s="25">
        <v>99.97</v>
      </c>
      <c r="C1126" s="20">
        <f t="shared" si="34"/>
        <v>4.7236180904522496E-3</v>
      </c>
      <c r="H1126" s="19">
        <v>45121</v>
      </c>
      <c r="I1126" s="16">
        <v>45071.94</v>
      </c>
      <c r="J1126" s="20">
        <f t="shared" si="35"/>
        <v>-4.9579967732619303E-3</v>
      </c>
    </row>
    <row r="1127" spans="1:10" x14ac:dyDescent="0.3">
      <c r="A1127" s="19">
        <v>45124</v>
      </c>
      <c r="B1127" s="25">
        <v>99.5</v>
      </c>
      <c r="C1127" s="20">
        <f t="shared" si="34"/>
        <v>-4.7014104231269263E-3</v>
      </c>
      <c r="H1127" s="19">
        <v>45124</v>
      </c>
      <c r="I1127" s="16">
        <v>45047.35</v>
      </c>
      <c r="J1127" s="20">
        <f t="shared" si="35"/>
        <v>-5.455722562641808E-4</v>
      </c>
    </row>
    <row r="1128" spans="1:10" x14ac:dyDescent="0.3">
      <c r="A1128" s="19">
        <v>45125</v>
      </c>
      <c r="B1128" s="25">
        <v>99.1</v>
      </c>
      <c r="C1128" s="20">
        <f t="shared" si="34"/>
        <v>-4.0201005025126196E-3</v>
      </c>
      <c r="H1128" s="19">
        <v>45125</v>
      </c>
      <c r="I1128" s="16">
        <v>45019.59</v>
      </c>
      <c r="J1128" s="20">
        <f t="shared" si="35"/>
        <v>-6.1624046697535009E-4</v>
      </c>
    </row>
    <row r="1129" spans="1:10" x14ac:dyDescent="0.3">
      <c r="A1129" s="19">
        <v>45126</v>
      </c>
      <c r="B1129" s="25">
        <v>99.4</v>
      </c>
      <c r="C1129" s="20">
        <f t="shared" si="34"/>
        <v>3.0272452068618705E-3</v>
      </c>
      <c r="H1129" s="19">
        <v>45126</v>
      </c>
      <c r="I1129" s="16">
        <v>45086.33</v>
      </c>
      <c r="J1129" s="20">
        <f t="shared" si="35"/>
        <v>1.482465744357184E-3</v>
      </c>
    </row>
    <row r="1130" spans="1:10" x14ac:dyDescent="0.3">
      <c r="A1130" s="19">
        <v>45127</v>
      </c>
      <c r="B1130" s="25">
        <v>100</v>
      </c>
      <c r="C1130" s="20">
        <f t="shared" si="34"/>
        <v>6.03621730382288E-3</v>
      </c>
      <c r="H1130" s="19">
        <v>45127</v>
      </c>
      <c r="I1130" s="16">
        <v>45426.58</v>
      </c>
      <c r="J1130" s="20">
        <f t="shared" si="35"/>
        <v>7.5466333143549271E-3</v>
      </c>
    </row>
    <row r="1131" spans="1:10" x14ac:dyDescent="0.3">
      <c r="A1131" s="19">
        <v>45128</v>
      </c>
      <c r="B1131" s="25">
        <v>99.75</v>
      </c>
      <c r="C1131" s="20">
        <f t="shared" si="34"/>
        <v>-2.5000000000000001E-3</v>
      </c>
      <c r="H1131" s="19">
        <v>45128</v>
      </c>
      <c r="I1131" s="16">
        <v>45888.26</v>
      </c>
      <c r="J1131" s="20">
        <f t="shared" si="35"/>
        <v>1.0163212815052339E-2</v>
      </c>
    </row>
    <row r="1132" spans="1:10" x14ac:dyDescent="0.3">
      <c r="A1132" s="19">
        <v>45131</v>
      </c>
      <c r="B1132" s="25">
        <v>99.81</v>
      </c>
      <c r="C1132" s="20">
        <f t="shared" si="34"/>
        <v>6.0150375939851909E-4</v>
      </c>
      <c r="H1132" s="19">
        <v>45131</v>
      </c>
      <c r="I1132" s="16">
        <v>46065.55</v>
      </c>
      <c r="J1132" s="20">
        <f t="shared" si="35"/>
        <v>3.863515417668939E-3</v>
      </c>
    </row>
    <row r="1133" spans="1:10" x14ac:dyDescent="0.3">
      <c r="A1133" s="19">
        <v>45132</v>
      </c>
      <c r="B1133" s="25">
        <v>100.37</v>
      </c>
      <c r="C1133" s="20">
        <f t="shared" si="34"/>
        <v>5.610660254483541E-3</v>
      </c>
      <c r="H1133" s="19">
        <v>45132</v>
      </c>
      <c r="I1133" s="16">
        <v>46399.22</v>
      </c>
      <c r="J1133" s="20">
        <f t="shared" si="35"/>
        <v>7.2433738444455395E-3</v>
      </c>
    </row>
    <row r="1134" spans="1:10" x14ac:dyDescent="0.3">
      <c r="A1134" s="19">
        <v>45133</v>
      </c>
      <c r="B1134" s="25">
        <v>100.75</v>
      </c>
      <c r="C1134" s="20">
        <f t="shared" si="34"/>
        <v>3.7859918302281105E-3</v>
      </c>
      <c r="H1134" s="19">
        <v>45133</v>
      </c>
      <c r="I1134" s="16">
        <v>46724.58</v>
      </c>
      <c r="J1134" s="20">
        <f t="shared" si="35"/>
        <v>7.012186842796077E-3</v>
      </c>
    </row>
    <row r="1135" spans="1:10" x14ac:dyDescent="0.3">
      <c r="A1135" s="19">
        <v>45134</v>
      </c>
      <c r="B1135" s="25">
        <v>100.5</v>
      </c>
      <c r="C1135" s="20">
        <f t="shared" si="34"/>
        <v>-2.4813895781637717E-3</v>
      </c>
      <c r="H1135" s="19">
        <v>45134</v>
      </c>
      <c r="I1135" s="16">
        <v>47139.06</v>
      </c>
      <c r="J1135" s="20">
        <f t="shared" si="35"/>
        <v>8.8707057398909935E-3</v>
      </c>
    </row>
    <row r="1136" spans="1:10" x14ac:dyDescent="0.3">
      <c r="A1136" s="19">
        <v>45138</v>
      </c>
      <c r="B1136" s="25">
        <v>100.77</v>
      </c>
      <c r="C1136" s="20">
        <f t="shared" si="34"/>
        <v>2.6865671641790648E-3</v>
      </c>
      <c r="H1136" s="19">
        <v>45138</v>
      </c>
      <c r="I1136" s="16">
        <v>48034.59</v>
      </c>
      <c r="J1136" s="20">
        <f t="shared" si="35"/>
        <v>1.8997621081116148E-2</v>
      </c>
    </row>
    <row r="1137" spans="1:10" x14ac:dyDescent="0.3">
      <c r="A1137" s="19">
        <v>45139</v>
      </c>
      <c r="B1137" s="25">
        <v>100.97</v>
      </c>
      <c r="C1137" s="20">
        <f t="shared" si="34"/>
        <v>1.9847176739109145E-3</v>
      </c>
      <c r="H1137" s="19">
        <v>45139</v>
      </c>
      <c r="I1137" s="16">
        <v>48230.5</v>
      </c>
      <c r="J1137" s="20">
        <f t="shared" si="35"/>
        <v>4.0785192503985882E-3</v>
      </c>
    </row>
    <row r="1138" spans="1:10" x14ac:dyDescent="0.3">
      <c r="A1138" s="19">
        <v>45140</v>
      </c>
      <c r="B1138" s="25">
        <v>101</v>
      </c>
      <c r="C1138" s="20">
        <f t="shared" si="34"/>
        <v>2.9711795582847519E-4</v>
      </c>
      <c r="H1138" s="19">
        <v>45140</v>
      </c>
      <c r="I1138" s="16">
        <v>48764.55</v>
      </c>
      <c r="J1138" s="20">
        <f t="shared" si="35"/>
        <v>1.1072868827816483E-2</v>
      </c>
    </row>
    <row r="1139" spans="1:10" x14ac:dyDescent="0.3">
      <c r="A1139" s="19">
        <v>45141</v>
      </c>
      <c r="B1139" s="25">
        <v>98.2</v>
      </c>
      <c r="C1139" s="20">
        <f t="shared" si="34"/>
        <v>-2.7722772277227695E-2</v>
      </c>
      <c r="H1139" s="19">
        <v>45141</v>
      </c>
      <c r="I1139" s="16">
        <v>48611.18</v>
      </c>
      <c r="J1139" s="20">
        <f t="shared" si="35"/>
        <v>-3.1451125869100117E-3</v>
      </c>
    </row>
    <row r="1140" spans="1:10" x14ac:dyDescent="0.3">
      <c r="A1140" s="19">
        <v>45142</v>
      </c>
      <c r="B1140" s="25">
        <v>97.75</v>
      </c>
      <c r="C1140" s="20">
        <f t="shared" si="34"/>
        <v>-4.582484725050945E-3</v>
      </c>
      <c r="H1140" s="19">
        <v>45142</v>
      </c>
      <c r="I1140" s="16">
        <v>48585.71</v>
      </c>
      <c r="J1140" s="20">
        <f t="shared" si="35"/>
        <v>-5.2395354319728844E-4</v>
      </c>
    </row>
    <row r="1141" spans="1:10" x14ac:dyDescent="0.3">
      <c r="A1141" s="19">
        <v>45145</v>
      </c>
      <c r="B1141" s="25">
        <v>97</v>
      </c>
      <c r="C1141" s="20">
        <f t="shared" si="34"/>
        <v>-7.6726342710997444E-3</v>
      </c>
      <c r="H1141" s="19">
        <v>45145</v>
      </c>
      <c r="I1141" s="16">
        <v>48386.25</v>
      </c>
      <c r="J1141" s="20">
        <f t="shared" si="35"/>
        <v>-4.1053223262559942E-3</v>
      </c>
    </row>
    <row r="1142" spans="1:10" x14ac:dyDescent="0.3">
      <c r="A1142" s="19">
        <v>45146</v>
      </c>
      <c r="B1142" s="25">
        <v>96.3</v>
      </c>
      <c r="C1142" s="20">
        <f t="shared" si="34"/>
        <v>-7.2164948453608537E-3</v>
      </c>
      <c r="H1142" s="19">
        <v>45146</v>
      </c>
      <c r="I1142" s="16">
        <v>47429.82</v>
      </c>
      <c r="J1142" s="20">
        <f t="shared" si="35"/>
        <v>-1.9766565914903517E-2</v>
      </c>
    </row>
    <row r="1143" spans="1:10" x14ac:dyDescent="0.3">
      <c r="A1143" s="19">
        <v>45147</v>
      </c>
      <c r="B1143" s="25">
        <v>96.39</v>
      </c>
      <c r="C1143" s="20">
        <f t="shared" si="34"/>
        <v>9.3457943925237194E-4</v>
      </c>
      <c r="H1143" s="19">
        <v>45147</v>
      </c>
      <c r="I1143" s="16">
        <v>48227.6</v>
      </c>
      <c r="J1143" s="20">
        <f t="shared" si="35"/>
        <v>1.6820219853248417E-2</v>
      </c>
    </row>
    <row r="1144" spans="1:10" x14ac:dyDescent="0.3">
      <c r="A1144" s="19">
        <v>45148</v>
      </c>
      <c r="B1144" s="25">
        <v>95</v>
      </c>
      <c r="C1144" s="20">
        <f t="shared" si="34"/>
        <v>-1.4420583048034034E-2</v>
      </c>
      <c r="H1144" s="19">
        <v>45148</v>
      </c>
      <c r="I1144" s="16">
        <v>47808.34</v>
      </c>
      <c r="J1144" s="20">
        <f t="shared" si="35"/>
        <v>-8.6933623070607289E-3</v>
      </c>
    </row>
    <row r="1145" spans="1:10" x14ac:dyDescent="0.3">
      <c r="A1145" s="19">
        <v>45149</v>
      </c>
      <c r="B1145" s="25">
        <v>96.25</v>
      </c>
      <c r="C1145" s="20">
        <f t="shared" si="34"/>
        <v>1.3157894736842105E-2</v>
      </c>
      <c r="H1145" s="19">
        <v>45149</v>
      </c>
      <c r="I1145" s="16">
        <v>48424.4</v>
      </c>
      <c r="J1145" s="20">
        <f t="shared" si="35"/>
        <v>1.288603620205188E-2</v>
      </c>
    </row>
    <row r="1146" spans="1:10" x14ac:dyDescent="0.3">
      <c r="A1146" s="19">
        <v>45153</v>
      </c>
      <c r="B1146" s="25">
        <v>97.51</v>
      </c>
      <c r="C1146" s="20">
        <f t="shared" si="34"/>
        <v>1.3090909090909144E-2</v>
      </c>
      <c r="H1146" s="19">
        <v>45153</v>
      </c>
      <c r="I1146" s="16">
        <v>48565.75</v>
      </c>
      <c r="J1146" s="20">
        <f t="shared" si="35"/>
        <v>2.9189829920453023E-3</v>
      </c>
    </row>
    <row r="1147" spans="1:10" x14ac:dyDescent="0.3">
      <c r="A1147" s="19">
        <v>45154</v>
      </c>
      <c r="B1147" s="25">
        <v>95.5</v>
      </c>
      <c r="C1147" s="20">
        <f t="shared" si="34"/>
        <v>-2.0613270433801713E-2</v>
      </c>
      <c r="H1147" s="19">
        <v>45154</v>
      </c>
      <c r="I1147" s="16">
        <v>48146.43</v>
      </c>
      <c r="J1147" s="20">
        <f t="shared" si="35"/>
        <v>-8.6340682476848344E-3</v>
      </c>
    </row>
    <row r="1148" spans="1:10" x14ac:dyDescent="0.3">
      <c r="A1148" s="19">
        <v>45155</v>
      </c>
      <c r="B1148" s="25">
        <v>96.5</v>
      </c>
      <c r="C1148" s="20">
        <f t="shared" si="34"/>
        <v>1.0471204188481676E-2</v>
      </c>
      <c r="H1148" s="19">
        <v>45155</v>
      </c>
      <c r="I1148" s="16">
        <v>48325.84</v>
      </c>
      <c r="J1148" s="20">
        <f t="shared" si="35"/>
        <v>3.7263406653410486E-3</v>
      </c>
    </row>
    <row r="1149" spans="1:10" x14ac:dyDescent="0.3">
      <c r="A1149" s="19">
        <v>45156</v>
      </c>
      <c r="B1149" s="25">
        <v>96.5</v>
      </c>
      <c r="C1149" s="20">
        <f t="shared" si="34"/>
        <v>0</v>
      </c>
      <c r="H1149" s="19">
        <v>45156</v>
      </c>
      <c r="I1149" s="16">
        <v>48218.49</v>
      </c>
      <c r="J1149" s="20">
        <f t="shared" si="35"/>
        <v>-2.2213788730831899E-3</v>
      </c>
    </row>
    <row r="1150" spans="1:10" x14ac:dyDescent="0.3">
      <c r="A1150" s="19">
        <v>45159</v>
      </c>
      <c r="B1150" s="25">
        <v>95.6</v>
      </c>
      <c r="C1150" s="20">
        <f t="shared" si="34"/>
        <v>-9.3264248704663794E-3</v>
      </c>
      <c r="H1150" s="19">
        <v>45159</v>
      </c>
      <c r="I1150" s="16">
        <v>47447.95</v>
      </c>
      <c r="J1150" s="20">
        <f t="shared" si="35"/>
        <v>-1.5980176898944803E-2</v>
      </c>
    </row>
    <row r="1151" spans="1:10" x14ac:dyDescent="0.3">
      <c r="A1151" s="19">
        <v>45160</v>
      </c>
      <c r="B1151" s="25">
        <v>94.99</v>
      </c>
      <c r="C1151" s="20">
        <f t="shared" si="34"/>
        <v>-6.3807531380753084E-3</v>
      </c>
      <c r="H1151" s="19">
        <v>45160</v>
      </c>
      <c r="I1151" s="16">
        <v>47417.9</v>
      </c>
      <c r="J1151" s="20">
        <f t="shared" si="35"/>
        <v>-6.3332557044078056E-4</v>
      </c>
    </row>
    <row r="1152" spans="1:10" x14ac:dyDescent="0.3">
      <c r="A1152" s="19">
        <v>45161</v>
      </c>
      <c r="B1152" s="25">
        <v>95.49</v>
      </c>
      <c r="C1152" s="20">
        <f t="shared" si="34"/>
        <v>5.2637119696810194E-3</v>
      </c>
      <c r="H1152" s="19">
        <v>45161</v>
      </c>
      <c r="I1152" s="16">
        <v>47418.63</v>
      </c>
      <c r="J1152" s="20">
        <f t="shared" si="35"/>
        <v>1.5395030146757352E-5</v>
      </c>
    </row>
    <row r="1153" spans="1:10" x14ac:dyDescent="0.3">
      <c r="A1153" s="19">
        <v>45162</v>
      </c>
      <c r="B1153" s="25">
        <v>95.3</v>
      </c>
      <c r="C1153" s="20">
        <f t="shared" si="34"/>
        <v>-1.9897371452507881E-3</v>
      </c>
      <c r="H1153" s="19">
        <v>45162</v>
      </c>
      <c r="I1153" s="16">
        <v>47750.76</v>
      </c>
      <c r="J1153" s="20">
        <f t="shared" si="35"/>
        <v>7.0042091051556038E-3</v>
      </c>
    </row>
    <row r="1154" spans="1:10" x14ac:dyDescent="0.3">
      <c r="A1154" s="19">
        <v>45163</v>
      </c>
      <c r="B1154" s="25">
        <v>95.73</v>
      </c>
      <c r="C1154" s="20">
        <f t="shared" si="34"/>
        <v>4.5120671563484453E-3</v>
      </c>
      <c r="H1154" s="19">
        <v>45163</v>
      </c>
      <c r="I1154" s="16">
        <v>47671.21</v>
      </c>
      <c r="J1154" s="20">
        <f t="shared" si="35"/>
        <v>-1.6659420708697182E-3</v>
      </c>
    </row>
    <row r="1155" spans="1:10" x14ac:dyDescent="0.3">
      <c r="A1155" s="19">
        <v>45166</v>
      </c>
      <c r="B1155" s="25">
        <v>96.12</v>
      </c>
      <c r="C1155" s="20">
        <f t="shared" si="34"/>
        <v>4.0739580068943964E-3</v>
      </c>
      <c r="H1155" s="19">
        <v>45166</v>
      </c>
      <c r="I1155" s="16">
        <v>47478.61</v>
      </c>
      <c r="J1155" s="20">
        <f t="shared" si="35"/>
        <v>-4.0401743526123747E-3</v>
      </c>
    </row>
    <row r="1156" spans="1:10" x14ac:dyDescent="0.3">
      <c r="A1156" s="19">
        <v>45167</v>
      </c>
      <c r="B1156" s="25">
        <v>95.53</v>
      </c>
      <c r="C1156" s="20">
        <f t="shared" si="34"/>
        <v>-6.1381606325426902E-3</v>
      </c>
      <c r="H1156" s="19">
        <v>45167</v>
      </c>
      <c r="I1156" s="16">
        <v>46770.41</v>
      </c>
      <c r="J1156" s="20">
        <f t="shared" si="35"/>
        <v>-1.4916190680392646E-2</v>
      </c>
    </row>
    <row r="1157" spans="1:10" x14ac:dyDescent="0.3">
      <c r="A1157" s="19">
        <v>45168</v>
      </c>
      <c r="B1157" s="25">
        <v>93.99</v>
      </c>
      <c r="C1157" s="20">
        <f t="shared" ref="C1157:C1220" si="36">(B1157-B1156)/B1156</f>
        <v>-1.6120590390453327E-2</v>
      </c>
      <c r="H1157" s="19">
        <v>45168</v>
      </c>
      <c r="I1157" s="16">
        <v>46244.55</v>
      </c>
      <c r="J1157" s="20">
        <f t="shared" ref="J1157:J1220" si="37">(I1157-I1156)/I1156</f>
        <v>-1.1243433615399149E-2</v>
      </c>
    </row>
    <row r="1158" spans="1:10" x14ac:dyDescent="0.3">
      <c r="A1158" s="19">
        <v>45169</v>
      </c>
      <c r="B1158" s="25">
        <v>94.75</v>
      </c>
      <c r="C1158" s="20">
        <f t="shared" si="36"/>
        <v>8.0859665921907131E-3</v>
      </c>
      <c r="H1158" s="19">
        <v>45169</v>
      </c>
      <c r="I1158" s="16">
        <v>45002.41</v>
      </c>
      <c r="J1158" s="20">
        <f t="shared" si="37"/>
        <v>-2.6860246234421122E-2</v>
      </c>
    </row>
    <row r="1159" spans="1:10" x14ac:dyDescent="0.3">
      <c r="A1159" s="19">
        <v>45170</v>
      </c>
      <c r="B1159" s="25">
        <v>95</v>
      </c>
      <c r="C1159" s="20">
        <f t="shared" si="36"/>
        <v>2.6385224274406332E-3</v>
      </c>
      <c r="H1159" s="19">
        <v>45170</v>
      </c>
      <c r="I1159" s="16">
        <v>45312.65</v>
      </c>
      <c r="J1159" s="20">
        <f t="shared" si="37"/>
        <v>6.8938530180938738E-3</v>
      </c>
    </row>
    <row r="1160" spans="1:10" x14ac:dyDescent="0.3">
      <c r="A1160" s="19">
        <v>45173</v>
      </c>
      <c r="B1160" s="25">
        <v>96.02</v>
      </c>
      <c r="C1160" s="20">
        <f t="shared" si="36"/>
        <v>1.0736842105263116E-2</v>
      </c>
      <c r="H1160" s="19">
        <v>45173</v>
      </c>
      <c r="I1160" s="16">
        <v>45707.42</v>
      </c>
      <c r="J1160" s="20">
        <f t="shared" si="37"/>
        <v>8.7121366770647225E-3</v>
      </c>
    </row>
    <row r="1161" spans="1:10" x14ac:dyDescent="0.3">
      <c r="A1161" s="19">
        <v>45174</v>
      </c>
      <c r="B1161" s="25">
        <v>95.75</v>
      </c>
      <c r="C1161" s="20">
        <f t="shared" si="36"/>
        <v>-2.8119141845448451E-3</v>
      </c>
      <c r="H1161" s="19">
        <v>45174</v>
      </c>
      <c r="I1161" s="16">
        <v>45491.48</v>
      </c>
      <c r="J1161" s="20">
        <f t="shared" si="37"/>
        <v>-4.724397045381145E-3</v>
      </c>
    </row>
    <row r="1162" spans="1:10" x14ac:dyDescent="0.3">
      <c r="A1162" s="19">
        <v>45175</v>
      </c>
      <c r="B1162" s="25">
        <v>95.2</v>
      </c>
      <c r="C1162" s="20">
        <f t="shared" si="36"/>
        <v>-5.7441253263707274E-3</v>
      </c>
      <c r="H1162" s="19">
        <v>45175</v>
      </c>
      <c r="I1162" s="16">
        <v>45807.57</v>
      </c>
      <c r="J1162" s="20">
        <f t="shared" si="37"/>
        <v>6.9483340616747682E-3</v>
      </c>
    </row>
    <row r="1163" spans="1:10" x14ac:dyDescent="0.3">
      <c r="A1163" s="19">
        <v>45176</v>
      </c>
      <c r="B1163" s="25">
        <v>94.74</v>
      </c>
      <c r="C1163" s="20">
        <f t="shared" si="36"/>
        <v>-4.8319327731093271E-3</v>
      </c>
      <c r="H1163" s="19">
        <v>45176</v>
      </c>
      <c r="I1163" s="16">
        <v>45757.23</v>
      </c>
      <c r="J1163" s="20">
        <f t="shared" si="37"/>
        <v>-1.0989449997019381E-3</v>
      </c>
    </row>
    <row r="1164" spans="1:10" x14ac:dyDescent="0.3">
      <c r="A1164" s="19">
        <v>45177</v>
      </c>
      <c r="B1164" s="25">
        <v>95</v>
      </c>
      <c r="C1164" s="20">
        <f t="shared" si="36"/>
        <v>2.7443529660122982E-3</v>
      </c>
      <c r="H1164" s="19">
        <v>45177</v>
      </c>
      <c r="I1164" s="16">
        <v>46013.48</v>
      </c>
      <c r="J1164" s="20">
        <f t="shared" si="37"/>
        <v>5.6002078797164944E-3</v>
      </c>
    </row>
    <row r="1165" spans="1:10" x14ac:dyDescent="0.3">
      <c r="A1165" s="19">
        <v>45180</v>
      </c>
      <c r="B1165" s="25">
        <v>95</v>
      </c>
      <c r="C1165" s="20">
        <f t="shared" si="36"/>
        <v>0</v>
      </c>
      <c r="H1165" s="19">
        <v>45180</v>
      </c>
      <c r="I1165" s="16">
        <v>45865.73</v>
      </c>
      <c r="J1165" s="20">
        <f t="shared" si="37"/>
        <v>-3.2110155545722685E-3</v>
      </c>
    </row>
    <row r="1166" spans="1:10" x14ac:dyDescent="0.3">
      <c r="A1166" s="19">
        <v>45181</v>
      </c>
      <c r="B1166" s="25">
        <v>94.5</v>
      </c>
      <c r="C1166" s="20">
        <f t="shared" si="36"/>
        <v>-5.263157894736842E-3</v>
      </c>
      <c r="H1166" s="19">
        <v>45181</v>
      </c>
      <c r="I1166" s="16">
        <v>45508.39</v>
      </c>
      <c r="J1166" s="20">
        <f t="shared" si="37"/>
        <v>-7.7910021272964312E-3</v>
      </c>
    </row>
    <row r="1167" spans="1:10" x14ac:dyDescent="0.3">
      <c r="A1167" s="19">
        <v>45182</v>
      </c>
      <c r="B1167" s="25">
        <v>94</v>
      </c>
      <c r="C1167" s="20">
        <f t="shared" si="36"/>
        <v>-5.2910052910052907E-3</v>
      </c>
      <c r="H1167" s="19">
        <v>45182</v>
      </c>
      <c r="I1167" s="16">
        <v>45590.92</v>
      </c>
      <c r="J1167" s="20">
        <f t="shared" si="37"/>
        <v>1.8135117502508622E-3</v>
      </c>
    </row>
    <row r="1168" spans="1:10" x14ac:dyDescent="0.3">
      <c r="A1168" s="19">
        <v>45183</v>
      </c>
      <c r="B1168" s="25">
        <v>93.9</v>
      </c>
      <c r="C1168" s="20">
        <f t="shared" si="36"/>
        <v>-1.0638297872339821E-3</v>
      </c>
      <c r="H1168" s="19">
        <v>45183</v>
      </c>
      <c r="I1168" s="16">
        <v>45650.05</v>
      </c>
      <c r="J1168" s="20">
        <f t="shared" si="37"/>
        <v>1.2969687823804533E-3</v>
      </c>
    </row>
    <row r="1169" spans="1:10" x14ac:dyDescent="0.3">
      <c r="A1169" s="19">
        <v>45184</v>
      </c>
      <c r="B1169" s="25">
        <v>92.55</v>
      </c>
      <c r="C1169" s="20">
        <f t="shared" si="36"/>
        <v>-1.4376996805111911E-2</v>
      </c>
      <c r="H1169" s="19">
        <v>45184</v>
      </c>
      <c r="I1169" s="16">
        <v>45753.51</v>
      </c>
      <c r="J1169" s="20">
        <f t="shared" si="37"/>
        <v>2.2663721069308604E-3</v>
      </c>
    </row>
    <row r="1170" spans="1:10" x14ac:dyDescent="0.3">
      <c r="A1170" s="19">
        <v>45187</v>
      </c>
      <c r="B1170" s="25">
        <v>92.43</v>
      </c>
      <c r="C1170" s="20">
        <f t="shared" si="36"/>
        <v>-1.2965964343597011E-3</v>
      </c>
      <c r="H1170" s="19">
        <v>45187</v>
      </c>
      <c r="I1170" s="16">
        <v>45837.42</v>
      </c>
      <c r="J1170" s="20">
        <f t="shared" si="37"/>
        <v>1.833957657019018E-3</v>
      </c>
    </row>
    <row r="1171" spans="1:10" x14ac:dyDescent="0.3">
      <c r="A1171" s="19">
        <v>45188</v>
      </c>
      <c r="B1171" s="25">
        <v>91.98</v>
      </c>
      <c r="C1171" s="20">
        <f t="shared" si="36"/>
        <v>-4.8685491723466714E-3</v>
      </c>
      <c r="H1171" s="19">
        <v>45188</v>
      </c>
      <c r="I1171" s="16">
        <v>45914.18</v>
      </c>
      <c r="J1171" s="20">
        <f t="shared" si="37"/>
        <v>1.674614321661255E-3</v>
      </c>
    </row>
    <row r="1172" spans="1:10" x14ac:dyDescent="0.3">
      <c r="A1172" s="19">
        <v>45189</v>
      </c>
      <c r="B1172" s="25">
        <v>91.2</v>
      </c>
      <c r="C1172" s="20">
        <f t="shared" si="36"/>
        <v>-8.4801043705153411E-3</v>
      </c>
      <c r="H1172" s="19">
        <v>45189</v>
      </c>
      <c r="I1172" s="16">
        <v>45932.52</v>
      </c>
      <c r="J1172" s="20">
        <f t="shared" si="37"/>
        <v>3.9944086990111787E-4</v>
      </c>
    </row>
    <row r="1173" spans="1:10" x14ac:dyDescent="0.3">
      <c r="A1173" s="19">
        <v>45190</v>
      </c>
      <c r="B1173" s="25">
        <v>92.7</v>
      </c>
      <c r="C1173" s="20">
        <f t="shared" si="36"/>
        <v>1.6447368421052631E-2</v>
      </c>
      <c r="H1173" s="19">
        <v>45190</v>
      </c>
      <c r="I1173" s="16">
        <v>46304.73</v>
      </c>
      <c r="J1173" s="20">
        <f t="shared" si="37"/>
        <v>8.103409087940449E-3</v>
      </c>
    </row>
    <row r="1174" spans="1:10" x14ac:dyDescent="0.3">
      <c r="A1174" s="19">
        <v>45191</v>
      </c>
      <c r="B1174" s="25">
        <v>92.75</v>
      </c>
      <c r="C1174" s="20">
        <f t="shared" si="36"/>
        <v>5.3937432578206204E-4</v>
      </c>
      <c r="H1174" s="19">
        <v>45191</v>
      </c>
      <c r="I1174" s="16">
        <v>46436.41</v>
      </c>
      <c r="J1174" s="20">
        <f t="shared" si="37"/>
        <v>2.8437699561146405E-3</v>
      </c>
    </row>
    <row r="1175" spans="1:10" x14ac:dyDescent="0.3">
      <c r="A1175" s="19">
        <v>45194</v>
      </c>
      <c r="B1175" s="25">
        <v>92.3</v>
      </c>
      <c r="C1175" s="20">
        <f t="shared" si="36"/>
        <v>-4.8517520215633726E-3</v>
      </c>
      <c r="H1175" s="19">
        <v>45194</v>
      </c>
      <c r="I1175" s="16">
        <v>46394.32</v>
      </c>
      <c r="J1175" s="20">
        <f t="shared" si="37"/>
        <v>-9.0640081780662594E-4</v>
      </c>
    </row>
    <row r="1176" spans="1:10" x14ac:dyDescent="0.3">
      <c r="A1176" s="19">
        <v>45195</v>
      </c>
      <c r="B1176" s="25">
        <v>92.25</v>
      </c>
      <c r="C1176" s="20">
        <f t="shared" si="36"/>
        <v>-5.417118093174123E-4</v>
      </c>
      <c r="H1176" s="19">
        <v>45195</v>
      </c>
      <c r="I1176" s="16">
        <v>46308.54</v>
      </c>
      <c r="J1176" s="20">
        <f t="shared" si="37"/>
        <v>-1.8489332314817598E-3</v>
      </c>
    </row>
    <row r="1177" spans="1:10" x14ac:dyDescent="0.3">
      <c r="A1177" s="19">
        <v>45196</v>
      </c>
      <c r="B1177" s="25">
        <v>93.51</v>
      </c>
      <c r="C1177" s="20">
        <f t="shared" si="36"/>
        <v>1.3658536585365909E-2</v>
      </c>
      <c r="H1177" s="19">
        <v>45196</v>
      </c>
      <c r="I1177" s="16">
        <v>46408.02</v>
      </c>
      <c r="J1177" s="20">
        <f t="shared" si="37"/>
        <v>2.1481998784672529E-3</v>
      </c>
    </row>
    <row r="1178" spans="1:10" x14ac:dyDescent="0.3">
      <c r="A1178" s="19">
        <v>45197</v>
      </c>
      <c r="B1178" s="25">
        <v>92.75</v>
      </c>
      <c r="C1178" s="20">
        <f t="shared" si="36"/>
        <v>-8.1274729975404237E-3</v>
      </c>
      <c r="H1178" s="19">
        <v>45197</v>
      </c>
      <c r="I1178" s="16">
        <v>46232.59</v>
      </c>
      <c r="J1178" s="20">
        <f t="shared" si="37"/>
        <v>-3.7801655834487293E-3</v>
      </c>
    </row>
    <row r="1179" spans="1:10" x14ac:dyDescent="0.3">
      <c r="A1179" s="19">
        <v>45201</v>
      </c>
      <c r="B1179" s="25">
        <v>92.5</v>
      </c>
      <c r="C1179" s="20">
        <f t="shared" si="36"/>
        <v>-2.6954177897574125E-3</v>
      </c>
      <c r="H1179" s="19">
        <v>45201</v>
      </c>
      <c r="I1179" s="16">
        <v>46627.08</v>
      </c>
      <c r="J1179" s="20">
        <f t="shared" si="37"/>
        <v>8.532725508131932E-3</v>
      </c>
    </row>
    <row r="1180" spans="1:10" x14ac:dyDescent="0.3">
      <c r="A1180" s="19">
        <v>45202</v>
      </c>
      <c r="B1180" s="25">
        <v>92.5</v>
      </c>
      <c r="C1180" s="20">
        <f t="shared" si="36"/>
        <v>0</v>
      </c>
      <c r="H1180" s="19">
        <v>45202</v>
      </c>
      <c r="I1180" s="16">
        <v>46756.800000000003</v>
      </c>
      <c r="J1180" s="20">
        <f t="shared" si="37"/>
        <v>2.7820742795817617E-3</v>
      </c>
    </row>
    <row r="1181" spans="1:10" x14ac:dyDescent="0.3">
      <c r="A1181" s="19">
        <v>45203</v>
      </c>
      <c r="B1181" s="25">
        <v>92.54</v>
      </c>
      <c r="C1181" s="20">
        <f t="shared" si="36"/>
        <v>4.3243243243250003E-4</v>
      </c>
      <c r="H1181" s="19">
        <v>45203</v>
      </c>
      <c r="I1181" s="16">
        <v>47079.83</v>
      </c>
      <c r="J1181" s="20">
        <f t="shared" si="37"/>
        <v>6.9087277144714524E-3</v>
      </c>
    </row>
    <row r="1182" spans="1:10" x14ac:dyDescent="0.3">
      <c r="A1182" s="19">
        <v>45204</v>
      </c>
      <c r="B1182" s="25">
        <v>93.66</v>
      </c>
      <c r="C1182" s="20">
        <f t="shared" si="36"/>
        <v>1.2102874432677655E-2</v>
      </c>
      <c r="H1182" s="19">
        <v>45204</v>
      </c>
      <c r="I1182" s="16">
        <v>47484.56</v>
      </c>
      <c r="J1182" s="20">
        <f t="shared" si="37"/>
        <v>8.5966750517152656E-3</v>
      </c>
    </row>
    <row r="1183" spans="1:10" x14ac:dyDescent="0.3">
      <c r="A1183" s="19">
        <v>45205</v>
      </c>
      <c r="B1183" s="25">
        <v>94.2</v>
      </c>
      <c r="C1183" s="20">
        <f t="shared" si="36"/>
        <v>5.7655349135170434E-3</v>
      </c>
      <c r="H1183" s="19">
        <v>45205</v>
      </c>
      <c r="I1183" s="16">
        <v>47508.67</v>
      </c>
      <c r="J1183" s="20">
        <f t="shared" si="37"/>
        <v>5.0774399088884012E-4</v>
      </c>
    </row>
    <row r="1184" spans="1:10" x14ac:dyDescent="0.3">
      <c r="A1184" s="19">
        <v>45208</v>
      </c>
      <c r="B1184" s="25">
        <v>96.5</v>
      </c>
      <c r="C1184" s="20">
        <f t="shared" si="36"/>
        <v>2.4416135881104004E-2</v>
      </c>
      <c r="H1184" s="19">
        <v>45208</v>
      </c>
      <c r="I1184" s="16">
        <v>47736.61</v>
      </c>
      <c r="J1184" s="20">
        <f t="shared" si="37"/>
        <v>4.7978611061939291E-3</v>
      </c>
    </row>
    <row r="1185" spans="1:10" x14ac:dyDescent="0.3">
      <c r="A1185" s="19">
        <v>45209</v>
      </c>
      <c r="B1185" s="25">
        <v>98.02</v>
      </c>
      <c r="C1185" s="20">
        <f t="shared" si="36"/>
        <v>1.5751295336787523E-2</v>
      </c>
      <c r="H1185" s="19">
        <v>45209</v>
      </c>
      <c r="I1185" s="16">
        <v>48143.5</v>
      </c>
      <c r="J1185" s="20">
        <f t="shared" si="37"/>
        <v>8.5236467357024184E-3</v>
      </c>
    </row>
    <row r="1186" spans="1:10" x14ac:dyDescent="0.3">
      <c r="A1186" s="19">
        <v>45210</v>
      </c>
      <c r="B1186" s="25">
        <v>100.48</v>
      </c>
      <c r="C1186" s="20">
        <f t="shared" si="36"/>
        <v>2.5096918996123322E-2</v>
      </c>
      <c r="H1186" s="19">
        <v>45210</v>
      </c>
      <c r="I1186" s="16">
        <v>48501.8</v>
      </c>
      <c r="J1186" s="20">
        <f t="shared" si="37"/>
        <v>7.4423338560761663E-3</v>
      </c>
    </row>
    <row r="1187" spans="1:10" x14ac:dyDescent="0.3">
      <c r="A1187" s="19">
        <v>45211</v>
      </c>
      <c r="B1187" s="25">
        <v>103</v>
      </c>
      <c r="C1187" s="20">
        <f t="shared" si="36"/>
        <v>2.5079617834394864E-2</v>
      </c>
      <c r="H1187" s="19">
        <v>45211</v>
      </c>
      <c r="I1187" s="16">
        <v>48771.71</v>
      </c>
      <c r="J1187" s="20">
        <f t="shared" si="37"/>
        <v>5.5649481050187048E-3</v>
      </c>
    </row>
    <row r="1188" spans="1:10" x14ac:dyDescent="0.3">
      <c r="A1188" s="19">
        <v>45212</v>
      </c>
      <c r="B1188" s="25">
        <v>102.61</v>
      </c>
      <c r="C1188" s="20">
        <f t="shared" si="36"/>
        <v>-3.7864077669902967E-3</v>
      </c>
      <c r="H1188" s="19">
        <v>45212</v>
      </c>
      <c r="I1188" s="16">
        <v>49493.47</v>
      </c>
      <c r="J1188" s="20">
        <f t="shared" si="37"/>
        <v>1.4798742959801943E-2</v>
      </c>
    </row>
    <row r="1189" spans="1:10" x14ac:dyDescent="0.3">
      <c r="A1189" s="19">
        <v>45215</v>
      </c>
      <c r="B1189" s="25">
        <v>102</v>
      </c>
      <c r="C1189" s="20">
        <f t="shared" si="36"/>
        <v>-5.9448396842412968E-3</v>
      </c>
      <c r="H1189" s="19">
        <v>45215</v>
      </c>
      <c r="I1189" s="16">
        <v>49719.87</v>
      </c>
      <c r="J1189" s="20">
        <f t="shared" si="37"/>
        <v>4.5743408170815557E-3</v>
      </c>
    </row>
    <row r="1190" spans="1:10" x14ac:dyDescent="0.3">
      <c r="A1190" s="19">
        <v>45216</v>
      </c>
      <c r="B1190" s="25">
        <v>101.5</v>
      </c>
      <c r="C1190" s="20">
        <f t="shared" si="36"/>
        <v>-4.9019607843137254E-3</v>
      </c>
      <c r="H1190" s="19">
        <v>45216</v>
      </c>
      <c r="I1190" s="16">
        <v>49527.88</v>
      </c>
      <c r="J1190" s="20">
        <f t="shared" si="37"/>
        <v>-3.8614340705236203E-3</v>
      </c>
    </row>
    <row r="1191" spans="1:10" x14ac:dyDescent="0.3">
      <c r="A1191" s="19">
        <v>45217</v>
      </c>
      <c r="B1191" s="25">
        <v>102</v>
      </c>
      <c r="C1191" s="20">
        <f t="shared" si="36"/>
        <v>4.9261083743842365E-3</v>
      </c>
      <c r="H1191" s="19">
        <v>45217</v>
      </c>
      <c r="I1191" s="16">
        <v>49406.19</v>
      </c>
      <c r="J1191" s="20">
        <f t="shared" si="37"/>
        <v>-2.4569999765787485E-3</v>
      </c>
    </row>
    <row r="1192" spans="1:10" x14ac:dyDescent="0.3">
      <c r="A1192" s="19">
        <v>45218</v>
      </c>
      <c r="B1192" s="25">
        <v>101.99</v>
      </c>
      <c r="C1192" s="20">
        <f t="shared" si="36"/>
        <v>-9.8039215686324664E-5</v>
      </c>
      <c r="H1192" s="19">
        <v>45218</v>
      </c>
      <c r="I1192" s="16">
        <v>50323.97</v>
      </c>
      <c r="J1192" s="20">
        <f t="shared" si="37"/>
        <v>1.8576214842715027E-2</v>
      </c>
    </row>
    <row r="1193" spans="1:10" x14ac:dyDescent="0.3">
      <c r="A1193" s="19">
        <v>45219</v>
      </c>
      <c r="B1193" s="25">
        <v>103.9</v>
      </c>
      <c r="C1193" s="20">
        <f t="shared" si="36"/>
        <v>1.8727326208451914E-2</v>
      </c>
      <c r="H1193" s="19">
        <v>45219</v>
      </c>
      <c r="I1193" s="16">
        <v>50674.52</v>
      </c>
      <c r="J1193" s="20">
        <f t="shared" si="37"/>
        <v>6.965865371909164E-3</v>
      </c>
    </row>
    <row r="1194" spans="1:10" x14ac:dyDescent="0.3">
      <c r="A1194" s="19">
        <v>45222</v>
      </c>
      <c r="B1194" s="25">
        <v>106.75</v>
      </c>
      <c r="C1194" s="20">
        <f t="shared" si="36"/>
        <v>2.7430221366698693E-2</v>
      </c>
      <c r="H1194" s="19">
        <v>45222</v>
      </c>
      <c r="I1194" s="16">
        <v>51072.73</v>
      </c>
      <c r="J1194" s="20">
        <f t="shared" si="37"/>
        <v>7.858189875306296E-3</v>
      </c>
    </row>
    <row r="1195" spans="1:10" x14ac:dyDescent="0.3">
      <c r="A1195" s="19">
        <v>45223</v>
      </c>
      <c r="B1195" s="25">
        <v>106</v>
      </c>
      <c r="C1195" s="20">
        <f t="shared" si="36"/>
        <v>-7.0257611241217799E-3</v>
      </c>
      <c r="H1195" s="19">
        <v>45223</v>
      </c>
      <c r="I1195" s="16">
        <v>51068.15</v>
      </c>
      <c r="J1195" s="20">
        <f t="shared" si="37"/>
        <v>-8.9676036507187803E-5</v>
      </c>
    </row>
    <row r="1196" spans="1:10" x14ac:dyDescent="0.3">
      <c r="A1196" s="19">
        <v>45224</v>
      </c>
      <c r="B1196" s="25">
        <v>102.5</v>
      </c>
      <c r="C1196" s="20">
        <f t="shared" si="36"/>
        <v>-3.3018867924528301E-2</v>
      </c>
      <c r="H1196" s="19">
        <v>45224</v>
      </c>
      <c r="I1196" s="16">
        <v>51125.32</v>
      </c>
      <c r="J1196" s="20">
        <f t="shared" si="37"/>
        <v>1.1194844536173379E-3</v>
      </c>
    </row>
    <row r="1197" spans="1:10" x14ac:dyDescent="0.3">
      <c r="A1197" s="19">
        <v>45225</v>
      </c>
      <c r="B1197" s="25">
        <v>101.3</v>
      </c>
      <c r="C1197" s="20">
        <f t="shared" si="36"/>
        <v>-1.1707317073170759E-2</v>
      </c>
      <c r="H1197" s="19">
        <v>45225</v>
      </c>
      <c r="I1197" s="16">
        <v>51158.400000000001</v>
      </c>
      <c r="J1197" s="20">
        <f t="shared" si="37"/>
        <v>6.4703751487524665E-4</v>
      </c>
    </row>
    <row r="1198" spans="1:10" x14ac:dyDescent="0.3">
      <c r="A1198" s="19">
        <v>45226</v>
      </c>
      <c r="B1198" s="25">
        <v>100.94</v>
      </c>
      <c r="C1198" s="20">
        <f t="shared" si="36"/>
        <v>-3.5538005923000933E-3</v>
      </c>
      <c r="H1198" s="19">
        <v>45226</v>
      </c>
      <c r="I1198" s="16">
        <v>50958.45</v>
      </c>
      <c r="J1198" s="20">
        <f t="shared" si="37"/>
        <v>-3.9084490523551233E-3</v>
      </c>
    </row>
    <row r="1199" spans="1:10" x14ac:dyDescent="0.3">
      <c r="A1199" s="19">
        <v>45229</v>
      </c>
      <c r="B1199" s="25">
        <v>102.51</v>
      </c>
      <c r="C1199" s="20">
        <f t="shared" si="36"/>
        <v>1.5553794333267361E-2</v>
      </c>
      <c r="H1199" s="19">
        <v>45229</v>
      </c>
      <c r="I1199" s="16">
        <v>51482.93</v>
      </c>
      <c r="J1199" s="20">
        <f t="shared" si="37"/>
        <v>1.0292306771497233E-2</v>
      </c>
    </row>
    <row r="1200" spans="1:10" x14ac:dyDescent="0.3">
      <c r="A1200" s="19">
        <v>45230</v>
      </c>
      <c r="B1200" s="25">
        <v>103.25</v>
      </c>
      <c r="C1200" s="20">
        <f t="shared" si="36"/>
        <v>7.2188079211783713E-3</v>
      </c>
      <c r="H1200" s="19">
        <v>45230</v>
      </c>
      <c r="I1200" s="16">
        <v>51976.31</v>
      </c>
      <c r="J1200" s="20">
        <f t="shared" si="37"/>
        <v>9.583370643434579E-3</v>
      </c>
    </row>
    <row r="1201" spans="1:10" x14ac:dyDescent="0.3">
      <c r="A1201" s="19">
        <v>45231</v>
      </c>
      <c r="B1201" s="25">
        <v>103.18</v>
      </c>
      <c r="C1201" s="20">
        <f t="shared" si="36"/>
        <v>-6.7796610169484916E-4</v>
      </c>
      <c r="H1201" s="19">
        <v>45231</v>
      </c>
      <c r="I1201" s="16">
        <v>52357.05</v>
      </c>
      <c r="J1201" s="20">
        <f t="shared" si="37"/>
        <v>7.3252602964697811E-3</v>
      </c>
    </row>
    <row r="1202" spans="1:10" x14ac:dyDescent="0.3">
      <c r="A1202" s="19">
        <v>45232</v>
      </c>
      <c r="B1202" s="25">
        <v>104.65</v>
      </c>
      <c r="C1202" s="20">
        <f t="shared" si="36"/>
        <v>1.4246947082767965E-2</v>
      </c>
      <c r="H1202" s="19">
        <v>45232</v>
      </c>
      <c r="I1202" s="16">
        <v>52701.43</v>
      </c>
      <c r="J1202" s="20">
        <f t="shared" si="37"/>
        <v>6.577528718672984E-3</v>
      </c>
    </row>
    <row r="1203" spans="1:10" x14ac:dyDescent="0.3">
      <c r="A1203" s="19">
        <v>45233</v>
      </c>
      <c r="B1203" s="25">
        <v>101.5</v>
      </c>
      <c r="C1203" s="20">
        <f t="shared" si="36"/>
        <v>-3.0100334448160588E-2</v>
      </c>
      <c r="H1203" s="19">
        <v>45233</v>
      </c>
      <c r="I1203" s="16">
        <v>53175.72</v>
      </c>
      <c r="J1203" s="20">
        <f t="shared" si="37"/>
        <v>8.9995660459308378E-3</v>
      </c>
    </row>
    <row r="1204" spans="1:10" x14ac:dyDescent="0.3">
      <c r="A1204" s="19">
        <v>45236</v>
      </c>
      <c r="B1204" s="25">
        <v>102</v>
      </c>
      <c r="C1204" s="20">
        <f t="shared" si="36"/>
        <v>4.9261083743842365E-3</v>
      </c>
      <c r="H1204" s="19">
        <v>45236</v>
      </c>
      <c r="I1204" s="16">
        <v>53941.04</v>
      </c>
      <c r="J1204" s="20">
        <f t="shared" si="37"/>
        <v>1.4392282793726154E-2</v>
      </c>
    </row>
    <row r="1205" spans="1:10" x14ac:dyDescent="0.3">
      <c r="A1205" s="19">
        <v>45237</v>
      </c>
      <c r="B1205" s="25">
        <v>102</v>
      </c>
      <c r="C1205" s="20">
        <f t="shared" si="36"/>
        <v>0</v>
      </c>
      <c r="H1205" s="19">
        <v>45237</v>
      </c>
      <c r="I1205" s="16">
        <v>53810.82</v>
      </c>
      <c r="J1205" s="20">
        <f t="shared" si="37"/>
        <v>-2.4141173399697367E-3</v>
      </c>
    </row>
    <row r="1206" spans="1:10" x14ac:dyDescent="0.3">
      <c r="A1206" s="19">
        <v>45238</v>
      </c>
      <c r="B1206" s="25">
        <v>102.01</v>
      </c>
      <c r="C1206" s="20">
        <f t="shared" si="36"/>
        <v>9.8039215686324664E-5</v>
      </c>
      <c r="H1206" s="19">
        <v>45238</v>
      </c>
      <c r="I1206" s="16">
        <v>54307.37</v>
      </c>
      <c r="J1206" s="20">
        <f t="shared" si="37"/>
        <v>9.2276980726181627E-3</v>
      </c>
    </row>
    <row r="1207" spans="1:10" x14ac:dyDescent="0.3">
      <c r="A1207" s="19">
        <v>45240</v>
      </c>
      <c r="B1207" s="25">
        <v>104</v>
      </c>
      <c r="C1207" s="20">
        <f t="shared" si="36"/>
        <v>1.9507891383197674E-2</v>
      </c>
      <c r="H1207" s="19">
        <v>45240</v>
      </c>
      <c r="I1207" s="16">
        <v>55399.66</v>
      </c>
      <c r="J1207" s="20">
        <f t="shared" si="37"/>
        <v>2.0113108036717682E-2</v>
      </c>
    </row>
    <row r="1208" spans="1:10" x14ac:dyDescent="0.3">
      <c r="A1208" s="19">
        <v>45243</v>
      </c>
      <c r="B1208" s="25">
        <v>107</v>
      </c>
      <c r="C1208" s="20">
        <f t="shared" si="36"/>
        <v>2.8846153846153848E-2</v>
      </c>
      <c r="H1208" s="19">
        <v>45243</v>
      </c>
      <c r="I1208" s="16">
        <v>56526.71</v>
      </c>
      <c r="J1208" s="20">
        <f t="shared" si="37"/>
        <v>2.0343987670682375E-2</v>
      </c>
    </row>
    <row r="1209" spans="1:10" x14ac:dyDescent="0.3">
      <c r="A1209" s="19">
        <v>45244</v>
      </c>
      <c r="B1209" s="25">
        <v>105.76</v>
      </c>
      <c r="C1209" s="20">
        <f t="shared" si="36"/>
        <v>-1.1588785046728924E-2</v>
      </c>
      <c r="H1209" s="19">
        <v>45244</v>
      </c>
      <c r="I1209" s="16">
        <v>56644.58</v>
      </c>
      <c r="J1209" s="20">
        <f t="shared" si="37"/>
        <v>2.0852089215877348E-3</v>
      </c>
    </row>
    <row r="1210" spans="1:10" x14ac:dyDescent="0.3">
      <c r="A1210" s="19">
        <v>45245</v>
      </c>
      <c r="B1210" s="25">
        <v>105.95</v>
      </c>
      <c r="C1210" s="20">
        <f t="shared" si="36"/>
        <v>1.7965204236005837E-3</v>
      </c>
      <c r="H1210" s="19">
        <v>45245</v>
      </c>
      <c r="I1210" s="16">
        <v>56765.279999999999</v>
      </c>
      <c r="J1210" s="20">
        <f t="shared" si="37"/>
        <v>2.1308305225318483E-3</v>
      </c>
    </row>
    <row r="1211" spans="1:10" x14ac:dyDescent="0.3">
      <c r="A1211" s="19">
        <v>45246</v>
      </c>
      <c r="B1211" s="25">
        <v>106.16</v>
      </c>
      <c r="C1211" s="20">
        <f t="shared" si="36"/>
        <v>1.9820670127418004E-3</v>
      </c>
      <c r="H1211" s="19">
        <v>45246</v>
      </c>
      <c r="I1211" s="16">
        <v>57344.160000000003</v>
      </c>
      <c r="J1211" s="20">
        <f t="shared" si="37"/>
        <v>1.0197782870092506E-2</v>
      </c>
    </row>
    <row r="1212" spans="1:10" x14ac:dyDescent="0.3">
      <c r="A1212" s="19">
        <v>45247</v>
      </c>
      <c r="B1212" s="25">
        <v>105.56</v>
      </c>
      <c r="C1212" s="20">
        <f t="shared" si="36"/>
        <v>-5.6518462697814085E-3</v>
      </c>
      <c r="H1212" s="19">
        <v>45247</v>
      </c>
      <c r="I1212" s="16">
        <v>57016.959999999999</v>
      </c>
      <c r="J1212" s="20">
        <f t="shared" si="37"/>
        <v>-5.705899258093664E-3</v>
      </c>
    </row>
    <row r="1213" spans="1:10" x14ac:dyDescent="0.3">
      <c r="A1213" s="19">
        <v>45250</v>
      </c>
      <c r="B1213" s="25">
        <v>106.48</v>
      </c>
      <c r="C1213" s="20">
        <f t="shared" si="36"/>
        <v>8.7154225085259735E-3</v>
      </c>
      <c r="H1213" s="19">
        <v>45250</v>
      </c>
      <c r="I1213" s="16">
        <v>57065.99</v>
      </c>
      <c r="J1213" s="20">
        <f t="shared" si="37"/>
        <v>8.599195748071949E-4</v>
      </c>
    </row>
    <row r="1214" spans="1:10" x14ac:dyDescent="0.3">
      <c r="A1214" s="19">
        <v>45251</v>
      </c>
      <c r="B1214" s="25">
        <v>105.5</v>
      </c>
      <c r="C1214" s="20">
        <f t="shared" si="36"/>
        <v>-9.2036063110443652E-3</v>
      </c>
      <c r="H1214" s="19">
        <v>45251</v>
      </c>
      <c r="I1214" s="16">
        <v>57408.18</v>
      </c>
      <c r="J1214" s="20">
        <f t="shared" si="37"/>
        <v>5.9963911955264832E-3</v>
      </c>
    </row>
    <row r="1215" spans="1:10" x14ac:dyDescent="0.3">
      <c r="A1215" s="19">
        <v>45252</v>
      </c>
      <c r="B1215" s="25">
        <v>107.4</v>
      </c>
      <c r="C1215" s="20">
        <f t="shared" si="36"/>
        <v>1.8009478672985836E-2</v>
      </c>
      <c r="H1215" s="19">
        <v>45252</v>
      </c>
      <c r="I1215" s="16">
        <v>58178.27</v>
      </c>
      <c r="J1215" s="20">
        <f t="shared" si="37"/>
        <v>1.341429043735573E-2</v>
      </c>
    </row>
    <row r="1216" spans="1:10" x14ac:dyDescent="0.3">
      <c r="A1216" s="19">
        <v>45253</v>
      </c>
      <c r="B1216" s="25">
        <v>108.2</v>
      </c>
      <c r="C1216" s="20">
        <f t="shared" si="36"/>
        <v>7.4487895716945727E-3</v>
      </c>
      <c r="H1216" s="19">
        <v>45253</v>
      </c>
      <c r="I1216" s="16">
        <v>58910.8</v>
      </c>
      <c r="J1216" s="20">
        <f t="shared" si="37"/>
        <v>1.25911272370252E-2</v>
      </c>
    </row>
    <row r="1217" spans="1:10" x14ac:dyDescent="0.3">
      <c r="A1217" s="19">
        <v>45254</v>
      </c>
      <c r="B1217" s="25">
        <v>110.5</v>
      </c>
      <c r="C1217" s="20">
        <f t="shared" si="36"/>
        <v>2.1256931608133061E-2</v>
      </c>
      <c r="H1217" s="19">
        <v>45254</v>
      </c>
      <c r="I1217" s="16">
        <v>59173.34</v>
      </c>
      <c r="J1217" s="20">
        <f t="shared" si="37"/>
        <v>4.4565682353659023E-3</v>
      </c>
    </row>
    <row r="1218" spans="1:10" x14ac:dyDescent="0.3">
      <c r="A1218" s="19">
        <v>45257</v>
      </c>
      <c r="B1218" s="25">
        <v>111.5</v>
      </c>
      <c r="C1218" s="20">
        <f t="shared" si="36"/>
        <v>9.0497737556561094E-3</v>
      </c>
      <c r="H1218" s="19">
        <v>45257</v>
      </c>
      <c r="I1218" s="16">
        <v>59774.06</v>
      </c>
      <c r="J1218" s="20">
        <f t="shared" si="37"/>
        <v>1.0151869068063443E-2</v>
      </c>
    </row>
    <row r="1219" spans="1:10" x14ac:dyDescent="0.3">
      <c r="A1219" s="19">
        <v>45258</v>
      </c>
      <c r="B1219" s="25">
        <v>111.9</v>
      </c>
      <c r="C1219" s="20">
        <f t="shared" si="36"/>
        <v>3.5874439461883916E-3</v>
      </c>
      <c r="H1219" s="19">
        <v>45258</v>
      </c>
      <c r="I1219" s="16">
        <v>60845.53</v>
      </c>
      <c r="J1219" s="20">
        <f t="shared" si="37"/>
        <v>1.7925334166693733E-2</v>
      </c>
    </row>
    <row r="1220" spans="1:10" x14ac:dyDescent="0.3">
      <c r="A1220" s="19">
        <v>45259</v>
      </c>
      <c r="B1220" s="25">
        <v>111.51</v>
      </c>
      <c r="C1220" s="20">
        <f t="shared" si="36"/>
        <v>-3.4852546916890131E-3</v>
      </c>
      <c r="H1220" s="19">
        <v>45259</v>
      </c>
      <c r="I1220" s="16">
        <v>60498.96</v>
      </c>
      <c r="J1220" s="20">
        <f t="shared" si="37"/>
        <v>-5.6958991071324339E-3</v>
      </c>
    </row>
    <row r="1221" spans="1:10" x14ac:dyDescent="0.3">
      <c r="A1221" s="19">
        <v>45260</v>
      </c>
      <c r="B1221" s="25">
        <v>112.05</v>
      </c>
      <c r="C1221" s="20">
        <f t="shared" ref="C1221:C1284" si="38">(B1221-B1220)/B1220</f>
        <v>4.8426150121064658E-3</v>
      </c>
      <c r="H1221" s="19">
        <v>45260</v>
      </c>
      <c r="I1221" s="16">
        <v>60526.77</v>
      </c>
      <c r="J1221" s="20">
        <f t="shared" ref="J1221:J1284" si="39">(I1221-I1220)/I1220</f>
        <v>4.5967732337874357E-4</v>
      </c>
    </row>
    <row r="1222" spans="1:10" x14ac:dyDescent="0.3">
      <c r="A1222" s="19">
        <v>45261</v>
      </c>
      <c r="B1222" s="25">
        <v>113.12</v>
      </c>
      <c r="C1222" s="20">
        <f t="shared" si="38"/>
        <v>9.5493083444891328E-3</v>
      </c>
      <c r="H1222" s="19">
        <v>45261</v>
      </c>
      <c r="I1222" s="16">
        <v>61691.25</v>
      </c>
      <c r="J1222" s="20">
        <f t="shared" si="39"/>
        <v>1.9239090405782488E-2</v>
      </c>
    </row>
    <row r="1223" spans="1:10" x14ac:dyDescent="0.3">
      <c r="A1223" s="19">
        <v>45264</v>
      </c>
      <c r="B1223" s="25">
        <v>113.9</v>
      </c>
      <c r="C1223" s="20">
        <f t="shared" si="38"/>
        <v>6.8953323903819053E-3</v>
      </c>
      <c r="H1223" s="19">
        <v>45264</v>
      </c>
      <c r="I1223" s="16">
        <v>62575.35</v>
      </c>
      <c r="J1223" s="20">
        <f t="shared" si="39"/>
        <v>1.433104370554979E-2</v>
      </c>
    </row>
    <row r="1224" spans="1:10" x14ac:dyDescent="0.3">
      <c r="A1224" s="19">
        <v>45265</v>
      </c>
      <c r="B1224" s="25">
        <v>113.5</v>
      </c>
      <c r="C1224" s="20">
        <f t="shared" si="38"/>
        <v>-3.5118525021949577E-3</v>
      </c>
      <c r="H1224" s="19">
        <v>45265</v>
      </c>
      <c r="I1224" s="16">
        <v>63028.13</v>
      </c>
      <c r="J1224" s="20">
        <f t="shared" si="39"/>
        <v>7.2357565718769263E-3</v>
      </c>
    </row>
    <row r="1225" spans="1:10" x14ac:dyDescent="0.3">
      <c r="A1225" s="19">
        <v>45266</v>
      </c>
      <c r="B1225" s="25">
        <v>114</v>
      </c>
      <c r="C1225" s="20">
        <f t="shared" si="38"/>
        <v>4.4052863436123352E-3</v>
      </c>
      <c r="H1225" s="19">
        <v>45266</v>
      </c>
      <c r="I1225" s="16">
        <v>63778.75</v>
      </c>
      <c r="J1225" s="20">
        <f t="shared" si="39"/>
        <v>1.190928558407179E-2</v>
      </c>
    </row>
    <row r="1226" spans="1:10" x14ac:dyDescent="0.3">
      <c r="A1226" s="19">
        <v>45267</v>
      </c>
      <c r="B1226" s="25">
        <v>115</v>
      </c>
      <c r="C1226" s="20">
        <f t="shared" si="38"/>
        <v>8.771929824561403E-3</v>
      </c>
      <c r="H1226" s="19">
        <v>45267</v>
      </c>
      <c r="I1226" s="16">
        <v>64718.080000000002</v>
      </c>
      <c r="J1226" s="20">
        <f t="shared" si="39"/>
        <v>1.4727946220332034E-2</v>
      </c>
    </row>
    <row r="1227" spans="1:10" x14ac:dyDescent="0.3">
      <c r="A1227" s="19">
        <v>45268</v>
      </c>
      <c r="B1227" s="25">
        <v>116.75</v>
      </c>
      <c r="C1227" s="20">
        <f t="shared" si="38"/>
        <v>1.5217391304347827E-2</v>
      </c>
      <c r="H1227" s="19">
        <v>45268</v>
      </c>
      <c r="I1227" s="16">
        <v>66223.63</v>
      </c>
      <c r="J1227" s="20">
        <f t="shared" si="39"/>
        <v>2.3263205583354804E-2</v>
      </c>
    </row>
    <row r="1228" spans="1:10" x14ac:dyDescent="0.3">
      <c r="A1228" s="19">
        <v>45271</v>
      </c>
      <c r="B1228" s="25">
        <v>121</v>
      </c>
      <c r="C1228" s="20">
        <f t="shared" si="38"/>
        <v>3.6402569593147749E-2</v>
      </c>
      <c r="H1228" s="19">
        <v>45271</v>
      </c>
      <c r="I1228" s="16">
        <v>66012.33</v>
      </c>
      <c r="J1228" s="20">
        <f t="shared" si="39"/>
        <v>-3.190703982853294E-3</v>
      </c>
    </row>
    <row r="1229" spans="1:10" x14ac:dyDescent="0.3">
      <c r="A1229" s="19">
        <v>45272</v>
      </c>
      <c r="B1229" s="25">
        <v>119.97</v>
      </c>
      <c r="C1229" s="20">
        <f t="shared" si="38"/>
        <v>-8.5123966942148854E-3</v>
      </c>
      <c r="H1229" s="19">
        <v>45272</v>
      </c>
      <c r="I1229" s="16">
        <v>66426.78</v>
      </c>
      <c r="J1229" s="20">
        <f t="shared" si="39"/>
        <v>6.2783725404026349E-3</v>
      </c>
    </row>
    <row r="1230" spans="1:10" x14ac:dyDescent="0.3">
      <c r="A1230" s="19">
        <v>45273</v>
      </c>
      <c r="B1230" s="25">
        <v>116.25</v>
      </c>
      <c r="C1230" s="20">
        <f t="shared" si="38"/>
        <v>-3.1007751937984485E-2</v>
      </c>
      <c r="H1230" s="19">
        <v>45273</v>
      </c>
      <c r="I1230" s="16">
        <v>65280.160000000003</v>
      </c>
      <c r="J1230" s="20">
        <f t="shared" si="39"/>
        <v>-1.726141173785626E-2</v>
      </c>
    </row>
    <row r="1231" spans="1:10" x14ac:dyDescent="0.3">
      <c r="A1231" s="19">
        <v>45274</v>
      </c>
      <c r="B1231" s="25">
        <v>118.12</v>
      </c>
      <c r="C1231" s="20">
        <f t="shared" si="38"/>
        <v>1.6086021505376382E-2</v>
      </c>
      <c r="H1231" s="19">
        <v>45274</v>
      </c>
      <c r="I1231" s="16">
        <v>65450.19</v>
      </c>
      <c r="J1231" s="20">
        <f t="shared" si="39"/>
        <v>2.6046198416180173E-3</v>
      </c>
    </row>
    <row r="1232" spans="1:10" x14ac:dyDescent="0.3">
      <c r="A1232" s="19">
        <v>45275</v>
      </c>
      <c r="B1232" s="25">
        <v>120.51</v>
      </c>
      <c r="C1232" s="20">
        <f t="shared" si="38"/>
        <v>2.0233660684050123E-2</v>
      </c>
      <c r="H1232" s="19">
        <v>45275</v>
      </c>
      <c r="I1232" s="16">
        <v>66130.02</v>
      </c>
      <c r="J1232" s="20">
        <f t="shared" si="39"/>
        <v>1.0386982833816094E-2</v>
      </c>
    </row>
    <row r="1233" spans="1:10" x14ac:dyDescent="0.3">
      <c r="A1233" s="19">
        <v>45278</v>
      </c>
      <c r="B1233" s="25">
        <v>118</v>
      </c>
      <c r="C1233" s="20">
        <f t="shared" si="38"/>
        <v>-2.0828147041739315E-2</v>
      </c>
      <c r="H1233" s="19">
        <v>45278</v>
      </c>
      <c r="I1233" s="16">
        <v>65204.68</v>
      </c>
      <c r="J1233" s="20">
        <f t="shared" si="39"/>
        <v>-1.3992737337747724E-2</v>
      </c>
    </row>
    <row r="1234" spans="1:10" x14ac:dyDescent="0.3">
      <c r="A1234" s="19">
        <v>45279</v>
      </c>
      <c r="B1234" s="25">
        <v>114.3</v>
      </c>
      <c r="C1234" s="20">
        <f t="shared" si="38"/>
        <v>-3.1355932203389857E-2</v>
      </c>
      <c r="H1234" s="19">
        <v>45279</v>
      </c>
      <c r="I1234" s="16">
        <v>62833.03</v>
      </c>
      <c r="J1234" s="20">
        <f t="shared" si="39"/>
        <v>-3.6372389221141818E-2</v>
      </c>
    </row>
    <row r="1235" spans="1:10" x14ac:dyDescent="0.3">
      <c r="A1235" s="19">
        <v>45280</v>
      </c>
      <c r="B1235" s="25">
        <v>114</v>
      </c>
      <c r="C1235" s="20">
        <f t="shared" si="38"/>
        <v>-2.6246719160104739E-3</v>
      </c>
      <c r="H1235" s="19">
        <v>45280</v>
      </c>
      <c r="I1235" s="16">
        <v>62448.01</v>
      </c>
      <c r="J1235" s="20">
        <f t="shared" si="39"/>
        <v>-6.1276688391439472E-3</v>
      </c>
    </row>
    <row r="1236" spans="1:10" x14ac:dyDescent="0.3">
      <c r="A1236" s="19">
        <v>45281</v>
      </c>
      <c r="B1236" s="25">
        <v>113.5</v>
      </c>
      <c r="C1236" s="20">
        <f t="shared" si="38"/>
        <v>-4.3859649122807015E-3</v>
      </c>
      <c r="H1236" s="19">
        <v>45281</v>
      </c>
      <c r="I1236" s="16">
        <v>62693.57</v>
      </c>
      <c r="J1236" s="20">
        <f t="shared" si="39"/>
        <v>3.932230987024209E-3</v>
      </c>
    </row>
    <row r="1237" spans="1:10" x14ac:dyDescent="0.3">
      <c r="A1237" s="19">
        <v>45282</v>
      </c>
      <c r="B1237" s="25">
        <v>112.15</v>
      </c>
      <c r="C1237" s="20">
        <f t="shared" si="38"/>
        <v>-1.1894273127753255E-2</v>
      </c>
      <c r="H1237" s="19">
        <v>45282</v>
      </c>
      <c r="I1237" s="16">
        <v>61705.09</v>
      </c>
      <c r="J1237" s="20">
        <f t="shared" si="39"/>
        <v>-1.5766848179167389E-2</v>
      </c>
    </row>
    <row r="1238" spans="1:10" x14ac:dyDescent="0.3">
      <c r="A1238" s="19">
        <v>45286</v>
      </c>
      <c r="B1238" s="25">
        <v>109.2</v>
      </c>
      <c r="C1238" s="20">
        <f t="shared" si="38"/>
        <v>-2.6304057066428913E-2</v>
      </c>
      <c r="H1238" s="19">
        <v>45286</v>
      </c>
      <c r="I1238" s="16">
        <v>59170.98</v>
      </c>
      <c r="J1238" s="20">
        <f t="shared" si="39"/>
        <v>-4.1068086927674739E-2</v>
      </c>
    </row>
    <row r="1239" spans="1:10" x14ac:dyDescent="0.3">
      <c r="A1239" s="19">
        <v>45287</v>
      </c>
      <c r="B1239" s="25">
        <v>111</v>
      </c>
      <c r="C1239" s="20">
        <f t="shared" si="38"/>
        <v>1.6483516483516456E-2</v>
      </c>
      <c r="H1239" s="19">
        <v>45287</v>
      </c>
      <c r="I1239" s="16">
        <v>60863.62</v>
      </c>
      <c r="J1239" s="20">
        <f t="shared" si="39"/>
        <v>2.8605914588536462E-2</v>
      </c>
    </row>
    <row r="1240" spans="1:10" x14ac:dyDescent="0.3">
      <c r="A1240" s="19">
        <v>45288</v>
      </c>
      <c r="B1240" s="25">
        <v>111.69</v>
      </c>
      <c r="C1240" s="20">
        <f t="shared" si="38"/>
        <v>6.2162162162161961E-3</v>
      </c>
      <c r="H1240" s="19">
        <v>45288</v>
      </c>
      <c r="I1240" s="16">
        <v>62052.24</v>
      </c>
      <c r="J1240" s="20">
        <f t="shared" si="39"/>
        <v>1.9529236019809458E-2</v>
      </c>
    </row>
    <row r="1241" spans="1:10" x14ac:dyDescent="0.3">
      <c r="A1241" s="19">
        <v>45289</v>
      </c>
      <c r="B1241" s="25">
        <v>113.3</v>
      </c>
      <c r="C1241" s="20">
        <f t="shared" si="38"/>
        <v>1.4414898379443097E-2</v>
      </c>
      <c r="H1241" s="19">
        <v>45289</v>
      </c>
      <c r="I1241" s="16">
        <v>62451.040000000001</v>
      </c>
      <c r="J1241" s="20">
        <f t="shared" si="39"/>
        <v>6.426842931052979E-3</v>
      </c>
    </row>
    <row r="1242" spans="1:10" x14ac:dyDescent="0.3">
      <c r="A1242" s="19">
        <v>45292</v>
      </c>
      <c r="B1242" s="25">
        <v>116.24</v>
      </c>
      <c r="C1242" s="20">
        <f t="shared" si="38"/>
        <v>2.5948808473080297E-2</v>
      </c>
      <c r="H1242" s="19">
        <v>45292</v>
      </c>
      <c r="I1242" s="16">
        <v>64661.78</v>
      </c>
      <c r="J1242" s="20">
        <f t="shared" si="39"/>
        <v>3.5399570607631159E-2</v>
      </c>
    </row>
    <row r="1243" spans="1:10" x14ac:dyDescent="0.3">
      <c r="A1243" s="19">
        <v>45293</v>
      </c>
      <c r="B1243" s="25">
        <v>116</v>
      </c>
      <c r="C1243" s="20">
        <f t="shared" si="38"/>
        <v>-2.06469373709562E-3</v>
      </c>
      <c r="H1243" s="19">
        <v>45293</v>
      </c>
      <c r="I1243" s="16">
        <v>64349.599999999999</v>
      </c>
      <c r="J1243" s="20">
        <f t="shared" si="39"/>
        <v>-4.8278906024548087E-3</v>
      </c>
    </row>
    <row r="1244" spans="1:10" x14ac:dyDescent="0.3">
      <c r="A1244" s="19">
        <v>45294</v>
      </c>
      <c r="B1244" s="25">
        <v>119.4</v>
      </c>
      <c r="C1244" s="20">
        <f t="shared" si="38"/>
        <v>2.9310344827586255E-2</v>
      </c>
      <c r="H1244" s="19">
        <v>45294</v>
      </c>
      <c r="I1244" s="16">
        <v>64646.85</v>
      </c>
      <c r="J1244" s="20">
        <f t="shared" si="39"/>
        <v>4.6192983328567699E-3</v>
      </c>
    </row>
    <row r="1245" spans="1:10" x14ac:dyDescent="0.3">
      <c r="A1245" s="19">
        <v>45295</v>
      </c>
      <c r="B1245" s="25">
        <v>120.4</v>
      </c>
      <c r="C1245" s="20">
        <f t="shared" si="38"/>
        <v>8.3752093802345051E-3</v>
      </c>
      <c r="H1245" s="19">
        <v>45295</v>
      </c>
      <c r="I1245" s="16">
        <v>64639.16</v>
      </c>
      <c r="J1245" s="20">
        <f t="shared" si="39"/>
        <v>-1.1895397842269272E-4</v>
      </c>
    </row>
    <row r="1246" spans="1:10" x14ac:dyDescent="0.3">
      <c r="A1246" s="19">
        <v>45296</v>
      </c>
      <c r="B1246" s="25">
        <v>118.97</v>
      </c>
      <c r="C1246" s="20">
        <f t="shared" si="38"/>
        <v>-1.1877076411960188E-2</v>
      </c>
      <c r="H1246" s="19">
        <v>45296</v>
      </c>
      <c r="I1246" s="16">
        <v>64514.9</v>
      </c>
      <c r="J1246" s="20">
        <f t="shared" si="39"/>
        <v>-1.9223640901274402E-3</v>
      </c>
    </row>
    <row r="1247" spans="1:10" x14ac:dyDescent="0.3">
      <c r="A1247" s="19">
        <v>45299</v>
      </c>
      <c r="B1247" s="25">
        <v>119.24</v>
      </c>
      <c r="C1247" s="20">
        <f t="shared" si="38"/>
        <v>2.2694797007648654E-3</v>
      </c>
      <c r="H1247" s="19">
        <v>45299</v>
      </c>
      <c r="I1247" s="16">
        <v>64237.03</v>
      </c>
      <c r="J1247" s="20">
        <f t="shared" si="39"/>
        <v>-4.3070670496273356E-3</v>
      </c>
    </row>
    <row r="1248" spans="1:10" x14ac:dyDescent="0.3">
      <c r="A1248" s="19">
        <v>45300</v>
      </c>
      <c r="B1248" s="25">
        <v>118.3</v>
      </c>
      <c r="C1248" s="20">
        <f t="shared" si="38"/>
        <v>-7.8832606507883065E-3</v>
      </c>
      <c r="H1248" s="19">
        <v>45300</v>
      </c>
      <c r="I1248" s="16">
        <v>64170.58</v>
      </c>
      <c r="J1248" s="20">
        <f t="shared" si="39"/>
        <v>-1.034450067196399E-3</v>
      </c>
    </row>
    <row r="1249" spans="1:10" x14ac:dyDescent="0.3">
      <c r="A1249" s="19">
        <v>45301</v>
      </c>
      <c r="B1249" s="25">
        <v>118.28</v>
      </c>
      <c r="C1249" s="20">
        <f t="shared" si="38"/>
        <v>-1.6906170752321235E-4</v>
      </c>
      <c r="H1249" s="19">
        <v>45301</v>
      </c>
      <c r="I1249" s="16">
        <v>63919.85</v>
      </c>
      <c r="J1249" s="20">
        <f t="shared" si="39"/>
        <v>-3.9072422284480391E-3</v>
      </c>
    </row>
    <row r="1250" spans="1:10" x14ac:dyDescent="0.3">
      <c r="A1250" s="19">
        <v>45302</v>
      </c>
      <c r="B1250" s="25">
        <v>118.51</v>
      </c>
      <c r="C1250" s="20">
        <f t="shared" si="38"/>
        <v>1.9445383834968209E-3</v>
      </c>
      <c r="H1250" s="19">
        <v>45302</v>
      </c>
      <c r="I1250" s="16">
        <v>64617.57</v>
      </c>
      <c r="J1250" s="20">
        <f t="shared" si="39"/>
        <v>1.0915545014576868E-2</v>
      </c>
    </row>
    <row r="1251" spans="1:10" x14ac:dyDescent="0.3">
      <c r="A1251" s="19">
        <v>45303</v>
      </c>
      <c r="B1251" s="25">
        <v>118.39</v>
      </c>
      <c r="C1251" s="20">
        <f t="shared" si="38"/>
        <v>-1.0125727786685051E-3</v>
      </c>
      <c r="H1251" s="19">
        <v>45303</v>
      </c>
      <c r="I1251" s="16">
        <v>64637.64</v>
      </c>
      <c r="J1251" s="20">
        <f t="shared" si="39"/>
        <v>3.1059663803513054E-4</v>
      </c>
    </row>
    <row r="1252" spans="1:10" x14ac:dyDescent="0.3">
      <c r="A1252" s="19">
        <v>45306</v>
      </c>
      <c r="B1252" s="25">
        <v>118.43</v>
      </c>
      <c r="C1252" s="20">
        <f t="shared" si="38"/>
        <v>3.378663738491955E-4</v>
      </c>
      <c r="H1252" s="19">
        <v>45306</v>
      </c>
      <c r="I1252" s="16">
        <v>64269.38</v>
      </c>
      <c r="J1252" s="20">
        <f t="shared" si="39"/>
        <v>-5.6972995920024621E-3</v>
      </c>
    </row>
    <row r="1253" spans="1:10" x14ac:dyDescent="0.3">
      <c r="A1253" s="19">
        <v>45307</v>
      </c>
      <c r="B1253" s="25">
        <v>117.5</v>
      </c>
      <c r="C1253" s="20">
        <f t="shared" si="38"/>
        <v>-7.8527400151989085E-3</v>
      </c>
      <c r="H1253" s="19">
        <v>45307</v>
      </c>
      <c r="I1253" s="16">
        <v>63737.46</v>
      </c>
      <c r="J1253" s="20">
        <f t="shared" si="39"/>
        <v>-8.2764140559625481E-3</v>
      </c>
    </row>
    <row r="1254" spans="1:10" x14ac:dyDescent="0.3">
      <c r="A1254" s="19">
        <v>45308</v>
      </c>
      <c r="B1254" s="25">
        <v>117</v>
      </c>
      <c r="C1254" s="20">
        <f t="shared" si="38"/>
        <v>-4.2553191489361703E-3</v>
      </c>
      <c r="H1254" s="19">
        <v>45308</v>
      </c>
      <c r="I1254" s="16">
        <v>63567.34</v>
      </c>
      <c r="J1254" s="20">
        <f t="shared" si="39"/>
        <v>-2.6690740421724153E-3</v>
      </c>
    </row>
    <row r="1255" spans="1:10" x14ac:dyDescent="0.3">
      <c r="A1255" s="19">
        <v>45309</v>
      </c>
      <c r="B1255" s="25">
        <v>116.5</v>
      </c>
      <c r="C1255" s="20">
        <f t="shared" si="38"/>
        <v>-4.2735042735042739E-3</v>
      </c>
      <c r="H1255" s="19">
        <v>45309</v>
      </c>
      <c r="I1255" s="16">
        <v>63202.400000000001</v>
      </c>
      <c r="J1255" s="20">
        <f t="shared" si="39"/>
        <v>-5.7409984435402685E-3</v>
      </c>
    </row>
    <row r="1256" spans="1:10" x14ac:dyDescent="0.3">
      <c r="A1256" s="19">
        <v>45310</v>
      </c>
      <c r="B1256" s="25">
        <v>117.5</v>
      </c>
      <c r="C1256" s="20">
        <f t="shared" si="38"/>
        <v>8.5836909871244635E-3</v>
      </c>
      <c r="H1256" s="19">
        <v>45310</v>
      </c>
      <c r="I1256" s="16">
        <v>63282.23</v>
      </c>
      <c r="J1256" s="20">
        <f t="shared" si="39"/>
        <v>1.2630849461413133E-3</v>
      </c>
    </row>
    <row r="1257" spans="1:10" x14ac:dyDescent="0.3">
      <c r="A1257" s="19">
        <v>45313</v>
      </c>
      <c r="B1257" s="25">
        <v>119.09</v>
      </c>
      <c r="C1257" s="20">
        <f t="shared" si="38"/>
        <v>1.3531914893617051E-2</v>
      </c>
      <c r="H1257" s="19">
        <v>45313</v>
      </c>
      <c r="I1257" s="16">
        <v>63939.41</v>
      </c>
      <c r="J1257" s="20">
        <f t="shared" si="39"/>
        <v>1.038490584165571E-2</v>
      </c>
    </row>
    <row r="1258" spans="1:10" x14ac:dyDescent="0.3">
      <c r="A1258" s="19">
        <v>45314</v>
      </c>
      <c r="B1258" s="25">
        <v>119.49</v>
      </c>
      <c r="C1258" s="20">
        <f t="shared" si="38"/>
        <v>3.3588042656813458E-3</v>
      </c>
      <c r="H1258" s="19">
        <v>45314</v>
      </c>
      <c r="I1258" s="16">
        <v>64454.22</v>
      </c>
      <c r="J1258" s="20">
        <f t="shared" si="39"/>
        <v>8.0515287832652448E-3</v>
      </c>
    </row>
    <row r="1259" spans="1:10" x14ac:dyDescent="0.3">
      <c r="A1259" s="19">
        <v>45315</v>
      </c>
      <c r="B1259" s="25">
        <v>118.15</v>
      </c>
      <c r="C1259" s="20">
        <f t="shared" si="38"/>
        <v>-1.1214327558791442E-2</v>
      </c>
      <c r="H1259" s="19">
        <v>45315</v>
      </c>
      <c r="I1259" s="16">
        <v>64822.43</v>
      </c>
      <c r="J1259" s="20">
        <f t="shared" si="39"/>
        <v>5.7127368851876432E-3</v>
      </c>
    </row>
    <row r="1260" spans="1:10" x14ac:dyDescent="0.3">
      <c r="A1260" s="19">
        <v>45316</v>
      </c>
      <c r="B1260" s="25">
        <v>118.01</v>
      </c>
      <c r="C1260" s="20">
        <f t="shared" si="38"/>
        <v>-1.1849344054168478E-3</v>
      </c>
      <c r="H1260" s="19">
        <v>45316</v>
      </c>
      <c r="I1260" s="16">
        <v>64298.01</v>
      </c>
      <c r="J1260" s="20">
        <f t="shared" si="39"/>
        <v>-8.0901009110580738E-3</v>
      </c>
    </row>
    <row r="1261" spans="1:10" x14ac:dyDescent="0.3">
      <c r="A1261" s="19">
        <v>45317</v>
      </c>
      <c r="B1261" s="25">
        <v>115.18</v>
      </c>
      <c r="C1261" s="20">
        <f t="shared" si="38"/>
        <v>-2.3981018557749329E-2</v>
      </c>
      <c r="H1261" s="19">
        <v>45317</v>
      </c>
      <c r="I1261" s="16">
        <v>63813.06</v>
      </c>
      <c r="J1261" s="20">
        <f t="shared" si="39"/>
        <v>-7.5422240906056716E-3</v>
      </c>
    </row>
    <row r="1262" spans="1:10" x14ac:dyDescent="0.3">
      <c r="A1262" s="19">
        <v>45320</v>
      </c>
      <c r="B1262" s="25">
        <v>114</v>
      </c>
      <c r="C1262" s="20">
        <f t="shared" si="38"/>
        <v>-1.0244834172599469E-2</v>
      </c>
      <c r="H1262" s="19">
        <v>45320</v>
      </c>
      <c r="I1262" s="16">
        <v>62773.72</v>
      </c>
      <c r="J1262" s="20">
        <f t="shared" si="39"/>
        <v>-1.6287261573101126E-2</v>
      </c>
    </row>
    <row r="1263" spans="1:10" x14ac:dyDescent="0.3">
      <c r="A1263" s="19">
        <v>45321</v>
      </c>
      <c r="B1263" s="25">
        <v>112.99</v>
      </c>
      <c r="C1263" s="20">
        <f t="shared" si="38"/>
        <v>-8.8596491228070621E-3</v>
      </c>
      <c r="H1263" s="19">
        <v>45321</v>
      </c>
      <c r="I1263" s="16">
        <v>61841.74</v>
      </c>
      <c r="J1263" s="20">
        <f t="shared" si="39"/>
        <v>-1.4846658761022976E-2</v>
      </c>
    </row>
    <row r="1264" spans="1:10" x14ac:dyDescent="0.3">
      <c r="A1264" s="19">
        <v>45322</v>
      </c>
      <c r="B1264" s="25">
        <v>113</v>
      </c>
      <c r="C1264" s="20">
        <f t="shared" si="38"/>
        <v>8.8503407381229461E-5</v>
      </c>
      <c r="H1264" s="19">
        <v>45322</v>
      </c>
      <c r="I1264" s="16">
        <v>61979.18</v>
      </c>
      <c r="J1264" s="20">
        <f t="shared" si="39"/>
        <v>2.2224471691773603E-3</v>
      </c>
    </row>
    <row r="1265" spans="1:10" x14ac:dyDescent="0.3">
      <c r="A1265" s="19">
        <v>45323</v>
      </c>
      <c r="B1265" s="25">
        <v>113.99</v>
      </c>
      <c r="C1265" s="20">
        <f t="shared" si="38"/>
        <v>8.7610619469026089E-3</v>
      </c>
      <c r="H1265" s="19">
        <v>45323</v>
      </c>
      <c r="I1265" s="16">
        <v>62393.74</v>
      </c>
      <c r="J1265" s="20">
        <f t="shared" si="39"/>
        <v>6.6886977207507052E-3</v>
      </c>
    </row>
    <row r="1266" spans="1:10" x14ac:dyDescent="0.3">
      <c r="A1266" s="19">
        <v>45324</v>
      </c>
      <c r="B1266" s="25">
        <v>113.5</v>
      </c>
      <c r="C1266" s="20">
        <f t="shared" si="38"/>
        <v>-4.2986226862004994E-3</v>
      </c>
      <c r="H1266" s="19">
        <v>45324</v>
      </c>
      <c r="I1266" s="16">
        <v>63002.92</v>
      </c>
      <c r="J1266" s="20">
        <f t="shared" si="39"/>
        <v>9.7634794772680777E-3</v>
      </c>
    </row>
    <row r="1267" spans="1:10" x14ac:dyDescent="0.3">
      <c r="A1267" s="19">
        <v>45328</v>
      </c>
      <c r="B1267" s="25">
        <v>113.21</v>
      </c>
      <c r="C1267" s="20">
        <f t="shared" si="38"/>
        <v>-2.5550660792952092E-3</v>
      </c>
      <c r="H1267" s="19">
        <v>45328</v>
      </c>
      <c r="I1267" s="16">
        <v>63799.02</v>
      </c>
      <c r="J1267" s="20">
        <f t="shared" si="39"/>
        <v>1.2635922271539137E-2</v>
      </c>
    </row>
    <row r="1268" spans="1:10" x14ac:dyDescent="0.3">
      <c r="A1268" s="19">
        <v>45329</v>
      </c>
      <c r="B1268" s="25">
        <v>113.74</v>
      </c>
      <c r="C1268" s="20">
        <f t="shared" si="38"/>
        <v>4.6815652327533005E-3</v>
      </c>
      <c r="H1268" s="19">
        <v>45329</v>
      </c>
      <c r="I1268" s="16">
        <v>64143.87</v>
      </c>
      <c r="J1268" s="20">
        <f t="shared" si="39"/>
        <v>5.4052554412278722E-3</v>
      </c>
    </row>
    <row r="1269" spans="1:10" x14ac:dyDescent="0.3">
      <c r="A1269" s="19">
        <v>45331</v>
      </c>
      <c r="B1269" s="25">
        <v>113</v>
      </c>
      <c r="C1269" s="20">
        <f t="shared" si="38"/>
        <v>-6.5060664673817032E-3</v>
      </c>
      <c r="H1269" s="19">
        <v>45331</v>
      </c>
      <c r="I1269" s="16">
        <v>62943.75</v>
      </c>
      <c r="J1269" s="20">
        <f t="shared" si="39"/>
        <v>-1.8709815918497005E-2</v>
      </c>
    </row>
    <row r="1270" spans="1:10" x14ac:dyDescent="0.3">
      <c r="A1270" s="19">
        <v>45334</v>
      </c>
      <c r="B1270" s="25">
        <v>112.98</v>
      </c>
      <c r="C1270" s="20">
        <f t="shared" si="38"/>
        <v>-1.7699115044244267E-4</v>
      </c>
      <c r="H1270" s="19">
        <v>45334</v>
      </c>
      <c r="I1270" s="16">
        <v>61065.32</v>
      </c>
      <c r="J1270" s="20">
        <f t="shared" si="39"/>
        <v>-2.9842994737364716E-2</v>
      </c>
    </row>
    <row r="1271" spans="1:10" x14ac:dyDescent="0.3">
      <c r="A1271" s="19">
        <v>45335</v>
      </c>
      <c r="B1271" s="25">
        <v>113.06</v>
      </c>
      <c r="C1271" s="20">
        <f t="shared" si="38"/>
        <v>7.0808992742076732E-4</v>
      </c>
      <c r="H1271" s="19">
        <v>45335</v>
      </c>
      <c r="I1271" s="16">
        <v>61226.93</v>
      </c>
      <c r="J1271" s="20">
        <f t="shared" si="39"/>
        <v>2.6465103269744691E-3</v>
      </c>
    </row>
    <row r="1272" spans="1:10" x14ac:dyDescent="0.3">
      <c r="A1272" s="19">
        <v>45336</v>
      </c>
      <c r="B1272" s="25">
        <v>112.5</v>
      </c>
      <c r="C1272" s="20">
        <f t="shared" si="38"/>
        <v>-4.9531222359809153E-3</v>
      </c>
      <c r="H1272" s="19">
        <v>45336</v>
      </c>
      <c r="I1272" s="16">
        <v>62153.84</v>
      </c>
      <c r="J1272" s="20">
        <f t="shared" si="39"/>
        <v>1.5138926612848238E-2</v>
      </c>
    </row>
    <row r="1273" spans="1:10" x14ac:dyDescent="0.3">
      <c r="A1273" s="19">
        <v>45337</v>
      </c>
      <c r="B1273" s="25">
        <v>111.35</v>
      </c>
      <c r="C1273" s="20">
        <f t="shared" si="38"/>
        <v>-1.0222222222222273E-2</v>
      </c>
      <c r="H1273" s="19">
        <v>45337</v>
      </c>
      <c r="I1273" s="16">
        <v>61020.06</v>
      </c>
      <c r="J1273" s="20">
        <f t="shared" si="39"/>
        <v>-1.8241511707080351E-2</v>
      </c>
    </row>
    <row r="1274" spans="1:10" x14ac:dyDescent="0.3">
      <c r="A1274" s="19">
        <v>45338</v>
      </c>
      <c r="B1274" s="25">
        <v>109</v>
      </c>
      <c r="C1274" s="20">
        <f t="shared" si="38"/>
        <v>-2.1104625056129273E-2</v>
      </c>
      <c r="H1274" s="19">
        <v>45338</v>
      </c>
      <c r="I1274" s="16">
        <v>59872.959999999999</v>
      </c>
      <c r="J1274" s="20">
        <f t="shared" si="39"/>
        <v>-1.8798736022219556E-2</v>
      </c>
    </row>
    <row r="1275" spans="1:10" x14ac:dyDescent="0.3">
      <c r="A1275" s="19">
        <v>45341</v>
      </c>
      <c r="B1275" s="25">
        <v>109</v>
      </c>
      <c r="C1275" s="20">
        <f t="shared" si="38"/>
        <v>0</v>
      </c>
      <c r="H1275" s="19">
        <v>45341</v>
      </c>
      <c r="I1275" s="16">
        <v>60459.75</v>
      </c>
      <c r="J1275" s="20">
        <f t="shared" si="39"/>
        <v>9.8005844374489063E-3</v>
      </c>
    </row>
    <row r="1276" spans="1:10" x14ac:dyDescent="0.3">
      <c r="A1276" s="19">
        <v>45342</v>
      </c>
      <c r="B1276" s="25">
        <v>108.81</v>
      </c>
      <c r="C1276" s="20">
        <f t="shared" si="38"/>
        <v>-1.743119266055025E-3</v>
      </c>
      <c r="H1276" s="19">
        <v>45342</v>
      </c>
      <c r="I1276" s="16">
        <v>60464.24</v>
      </c>
      <c r="J1276" s="20">
        <f t="shared" si="39"/>
        <v>7.4264283262798192E-5</v>
      </c>
    </row>
    <row r="1277" spans="1:10" x14ac:dyDescent="0.3">
      <c r="A1277" s="19">
        <v>45343</v>
      </c>
      <c r="B1277" s="25">
        <v>109.15</v>
      </c>
      <c r="C1277" s="20">
        <f t="shared" si="38"/>
        <v>3.1247128021321883E-3</v>
      </c>
      <c r="H1277" s="19">
        <v>45343</v>
      </c>
      <c r="I1277" s="16">
        <v>61559.16</v>
      </c>
      <c r="J1277" s="20">
        <f t="shared" si="39"/>
        <v>1.8108554742439591E-2</v>
      </c>
    </row>
    <row r="1278" spans="1:10" x14ac:dyDescent="0.3">
      <c r="A1278" s="19">
        <v>45344</v>
      </c>
      <c r="B1278" s="25">
        <v>110.26</v>
      </c>
      <c r="C1278" s="20">
        <f t="shared" si="38"/>
        <v>1.0169491525423723E-2</v>
      </c>
      <c r="H1278" s="19">
        <v>45344</v>
      </c>
      <c r="I1278" s="16">
        <v>61914.34</v>
      </c>
      <c r="J1278" s="20">
        <f t="shared" si="39"/>
        <v>5.769734349851314E-3</v>
      </c>
    </row>
    <row r="1279" spans="1:10" x14ac:dyDescent="0.3">
      <c r="A1279" s="19">
        <v>45345</v>
      </c>
      <c r="B1279" s="25">
        <v>113.69</v>
      </c>
      <c r="C1279" s="20">
        <f t="shared" si="38"/>
        <v>3.1108289497551175E-2</v>
      </c>
      <c r="H1279" s="19">
        <v>45345</v>
      </c>
      <c r="I1279" s="16">
        <v>62815.82</v>
      </c>
      <c r="J1279" s="20">
        <f t="shared" si="39"/>
        <v>1.4560116444752592E-2</v>
      </c>
    </row>
    <row r="1280" spans="1:10" x14ac:dyDescent="0.3">
      <c r="A1280" s="19">
        <v>45348</v>
      </c>
      <c r="B1280" s="25">
        <v>112.8</v>
      </c>
      <c r="C1280" s="20">
        <f t="shared" si="38"/>
        <v>-7.8283050400211156E-3</v>
      </c>
      <c r="H1280" s="19">
        <v>45348</v>
      </c>
      <c r="I1280" s="16">
        <v>63305.93</v>
      </c>
      <c r="J1280" s="20">
        <f t="shared" si="39"/>
        <v>7.8023338706714419E-3</v>
      </c>
    </row>
    <row r="1281" spans="1:10" x14ac:dyDescent="0.3">
      <c r="A1281" s="19">
        <v>45349</v>
      </c>
      <c r="B1281" s="25">
        <v>113</v>
      </c>
      <c r="C1281" s="20">
        <f t="shared" si="38"/>
        <v>1.7730496453900962E-3</v>
      </c>
      <c r="H1281" s="19">
        <v>45349</v>
      </c>
      <c r="I1281" s="16">
        <v>63219.1</v>
      </c>
      <c r="J1281" s="20">
        <f t="shared" si="39"/>
        <v>-1.3715934668363887E-3</v>
      </c>
    </row>
    <row r="1282" spans="1:10" x14ac:dyDescent="0.3">
      <c r="A1282" s="19">
        <v>45350</v>
      </c>
      <c r="B1282" s="25">
        <v>117.99</v>
      </c>
      <c r="C1282" s="20">
        <f t="shared" si="38"/>
        <v>4.4159292035398187E-2</v>
      </c>
      <c r="H1282" s="19">
        <v>45350</v>
      </c>
      <c r="I1282" s="16">
        <v>63703.45</v>
      </c>
      <c r="J1282" s="20">
        <f t="shared" si="39"/>
        <v>7.6614504160925825E-3</v>
      </c>
    </row>
    <row r="1283" spans="1:10" x14ac:dyDescent="0.3">
      <c r="A1283" s="19">
        <v>45351</v>
      </c>
      <c r="B1283" s="25">
        <v>119.4</v>
      </c>
      <c r="C1283" s="20">
        <f t="shared" si="38"/>
        <v>1.1950165268243164E-2</v>
      </c>
      <c r="H1283" s="19">
        <v>45351</v>
      </c>
      <c r="I1283" s="16">
        <v>64578.52</v>
      </c>
      <c r="J1283" s="20">
        <f t="shared" si="39"/>
        <v>1.3736618660370823E-2</v>
      </c>
    </row>
    <row r="1284" spans="1:10" x14ac:dyDescent="0.3">
      <c r="A1284" s="19">
        <v>45352</v>
      </c>
      <c r="B1284" s="25">
        <v>120.35</v>
      </c>
      <c r="C1284" s="20">
        <f t="shared" si="38"/>
        <v>7.9564489112226855E-3</v>
      </c>
      <c r="H1284" s="19">
        <v>45352</v>
      </c>
      <c r="I1284" s="16">
        <v>65325.69</v>
      </c>
      <c r="J1284" s="20">
        <f t="shared" si="39"/>
        <v>1.1569946167858997E-2</v>
      </c>
    </row>
    <row r="1285" spans="1:10" x14ac:dyDescent="0.3">
      <c r="A1285" s="19">
        <v>45355</v>
      </c>
      <c r="B1285" s="25">
        <v>119.55</v>
      </c>
      <c r="C1285" s="20">
        <f t="shared" ref="C1285:C1348" si="40">(B1285-B1284)/B1284</f>
        <v>-6.647278770253404E-3</v>
      </c>
      <c r="H1285" s="19">
        <v>45355</v>
      </c>
      <c r="I1285" s="16">
        <v>65951.73</v>
      </c>
      <c r="J1285" s="20">
        <f t="shared" ref="J1285:J1348" si="41">(I1285-I1284)/I1284</f>
        <v>9.5833660539979531E-3</v>
      </c>
    </row>
    <row r="1286" spans="1:10" x14ac:dyDescent="0.3">
      <c r="A1286" s="19">
        <v>45356</v>
      </c>
      <c r="B1286" s="25">
        <v>118.89</v>
      </c>
      <c r="C1286" s="20">
        <f t="shared" si="40"/>
        <v>-5.5207026348807744E-3</v>
      </c>
      <c r="H1286" s="19">
        <v>45356</v>
      </c>
      <c r="I1286" s="16">
        <v>65726.039999999994</v>
      </c>
      <c r="J1286" s="20">
        <f t="shared" si="41"/>
        <v>-3.4220482161726818E-3</v>
      </c>
    </row>
    <row r="1287" spans="1:10" x14ac:dyDescent="0.3">
      <c r="A1287" s="19">
        <v>45357</v>
      </c>
      <c r="B1287" s="25">
        <v>118.25</v>
      </c>
      <c r="C1287" s="20">
        <f t="shared" si="40"/>
        <v>-5.3831272604928969E-3</v>
      </c>
      <c r="H1287" s="19">
        <v>45357</v>
      </c>
      <c r="I1287" s="16">
        <v>65656.62</v>
      </c>
      <c r="J1287" s="20">
        <f t="shared" si="41"/>
        <v>-1.05620238188697E-3</v>
      </c>
    </row>
    <row r="1288" spans="1:10" x14ac:dyDescent="0.3">
      <c r="A1288" s="19">
        <v>45358</v>
      </c>
      <c r="B1288" s="25">
        <v>117.8</v>
      </c>
      <c r="C1288" s="20">
        <f t="shared" si="40"/>
        <v>-3.8054968287526665E-3</v>
      </c>
      <c r="H1288" s="19">
        <v>45358</v>
      </c>
      <c r="I1288" s="16">
        <v>65603.09</v>
      </c>
      <c r="J1288" s="20">
        <f t="shared" si="41"/>
        <v>-8.1530240210353261E-4</v>
      </c>
    </row>
    <row r="1289" spans="1:10" x14ac:dyDescent="0.3">
      <c r="A1289" s="19">
        <v>45359</v>
      </c>
      <c r="B1289" s="25">
        <v>117.75</v>
      </c>
      <c r="C1289" s="20">
        <f t="shared" si="40"/>
        <v>-4.2444821731746314E-4</v>
      </c>
      <c r="H1289" s="19">
        <v>45359</v>
      </c>
      <c r="I1289" s="16">
        <v>65793.759999999995</v>
      </c>
      <c r="J1289" s="20">
        <f t="shared" si="41"/>
        <v>2.9064179751288888E-3</v>
      </c>
    </row>
    <row r="1290" spans="1:10" x14ac:dyDescent="0.3">
      <c r="A1290" s="19">
        <v>45362</v>
      </c>
      <c r="B1290" s="25">
        <v>118</v>
      </c>
      <c r="C1290" s="20">
        <f t="shared" si="40"/>
        <v>2.1231422505307855E-3</v>
      </c>
      <c r="H1290" s="19">
        <v>45362</v>
      </c>
      <c r="I1290" s="16">
        <v>65755.31</v>
      </c>
      <c r="J1290" s="20">
        <f t="shared" si="41"/>
        <v>-5.8440192504573523E-4</v>
      </c>
    </row>
    <row r="1291" spans="1:10" x14ac:dyDescent="0.3">
      <c r="A1291" s="19">
        <v>45363</v>
      </c>
      <c r="B1291" s="25">
        <v>117.46</v>
      </c>
      <c r="C1291" s="20">
        <f t="shared" si="40"/>
        <v>-4.5762711864407307E-3</v>
      </c>
      <c r="H1291" s="19">
        <v>45363</v>
      </c>
      <c r="I1291" s="16">
        <v>64801.7</v>
      </c>
      <c r="J1291" s="20">
        <f t="shared" si="41"/>
        <v>-1.4502402923809509E-2</v>
      </c>
    </row>
    <row r="1292" spans="1:10" x14ac:dyDescent="0.3">
      <c r="A1292" s="19">
        <v>45364</v>
      </c>
      <c r="B1292" s="25">
        <v>117.11</v>
      </c>
      <c r="C1292" s="20">
        <f t="shared" si="40"/>
        <v>-2.9797377830750411E-3</v>
      </c>
      <c r="H1292" s="19">
        <v>45364</v>
      </c>
      <c r="I1292" s="16">
        <v>64048.44</v>
      </c>
      <c r="J1292" s="20">
        <f t="shared" si="41"/>
        <v>-1.162407776339193E-2</v>
      </c>
    </row>
    <row r="1293" spans="1:10" x14ac:dyDescent="0.3">
      <c r="A1293" s="19">
        <v>45365</v>
      </c>
      <c r="B1293" s="25">
        <v>118.7</v>
      </c>
      <c r="C1293" s="20">
        <f t="shared" si="40"/>
        <v>1.3576978908718328E-2</v>
      </c>
      <c r="H1293" s="19">
        <v>45365</v>
      </c>
      <c r="I1293" s="16">
        <v>65064.27</v>
      </c>
      <c r="J1293" s="20">
        <f t="shared" si="41"/>
        <v>1.5860339455574475E-2</v>
      </c>
    </row>
    <row r="1294" spans="1:10" x14ac:dyDescent="0.3">
      <c r="A1294" s="19">
        <v>45366</v>
      </c>
      <c r="B1294" s="25">
        <v>118</v>
      </c>
      <c r="C1294" s="20">
        <f t="shared" si="40"/>
        <v>-5.897219882055626E-3</v>
      </c>
      <c r="H1294" s="19">
        <v>45366</v>
      </c>
      <c r="I1294" s="16">
        <v>64816.47</v>
      </c>
      <c r="J1294" s="20">
        <f t="shared" si="41"/>
        <v>-3.8085419232398313E-3</v>
      </c>
    </row>
    <row r="1295" spans="1:10" x14ac:dyDescent="0.3">
      <c r="A1295" s="19">
        <v>45369</v>
      </c>
      <c r="B1295" s="25">
        <v>120.56</v>
      </c>
      <c r="C1295" s="20">
        <f t="shared" si="40"/>
        <v>2.1694915254237307E-2</v>
      </c>
      <c r="H1295" s="19">
        <v>45369</v>
      </c>
      <c r="I1295" s="16">
        <v>64890.51</v>
      </c>
      <c r="J1295" s="20">
        <f t="shared" si="41"/>
        <v>1.1423022574355078E-3</v>
      </c>
    </row>
    <row r="1296" spans="1:10" x14ac:dyDescent="0.3">
      <c r="A1296" s="19">
        <v>45370</v>
      </c>
      <c r="B1296" s="25">
        <v>122</v>
      </c>
      <c r="C1296" s="20">
        <f t="shared" si="40"/>
        <v>1.1944260119442583E-2</v>
      </c>
      <c r="H1296" s="19">
        <v>45370</v>
      </c>
      <c r="I1296" s="16">
        <v>65502.6</v>
      </c>
      <c r="J1296" s="20">
        <f t="shared" si="41"/>
        <v>9.4326581806799866E-3</v>
      </c>
    </row>
    <row r="1297" spans="1:10" x14ac:dyDescent="0.3">
      <c r="A1297" s="19">
        <v>45371</v>
      </c>
      <c r="B1297" s="25">
        <v>124.25</v>
      </c>
      <c r="C1297" s="20">
        <f t="shared" si="40"/>
        <v>1.8442622950819672E-2</v>
      </c>
      <c r="H1297" s="19">
        <v>45371</v>
      </c>
      <c r="I1297" s="16">
        <v>65731.789999999994</v>
      </c>
      <c r="J1297" s="20">
        <f t="shared" si="41"/>
        <v>3.4989450800425488E-3</v>
      </c>
    </row>
    <row r="1298" spans="1:10" x14ac:dyDescent="0.3">
      <c r="A1298" s="19">
        <v>45372</v>
      </c>
      <c r="B1298" s="25">
        <v>122</v>
      </c>
      <c r="C1298" s="20">
        <f t="shared" si="40"/>
        <v>-1.8108651911468814E-2</v>
      </c>
      <c r="H1298" s="19">
        <v>45372</v>
      </c>
      <c r="I1298" s="16">
        <v>65417.4</v>
      </c>
      <c r="J1298" s="20">
        <f t="shared" si="41"/>
        <v>-4.7829216274194297E-3</v>
      </c>
    </row>
    <row r="1299" spans="1:10" x14ac:dyDescent="0.3">
      <c r="A1299" s="19">
        <v>45373</v>
      </c>
      <c r="B1299" s="25">
        <v>121.5</v>
      </c>
      <c r="C1299" s="20">
        <f t="shared" si="40"/>
        <v>-4.0983606557377051E-3</v>
      </c>
      <c r="H1299" s="19">
        <v>45373</v>
      </c>
      <c r="I1299" s="16">
        <v>65151.83</v>
      </c>
      <c r="J1299" s="20">
        <f t="shared" si="41"/>
        <v>-4.0596232806562127E-3</v>
      </c>
    </row>
    <row r="1300" spans="1:10" x14ac:dyDescent="0.3">
      <c r="A1300" s="19">
        <v>45376</v>
      </c>
      <c r="B1300" s="25">
        <v>122.5</v>
      </c>
      <c r="C1300" s="20">
        <f t="shared" si="40"/>
        <v>8.23045267489712E-3</v>
      </c>
      <c r="H1300" s="19">
        <v>45376</v>
      </c>
      <c r="I1300" s="16">
        <v>65525.65</v>
      </c>
      <c r="J1300" s="20">
        <f t="shared" si="41"/>
        <v>5.7376745979353105E-3</v>
      </c>
    </row>
    <row r="1301" spans="1:10" x14ac:dyDescent="0.3">
      <c r="A1301" s="19">
        <v>45377</v>
      </c>
      <c r="B1301" s="25">
        <v>127.2</v>
      </c>
      <c r="C1301" s="20">
        <f t="shared" si="40"/>
        <v>3.8367346938775533E-2</v>
      </c>
      <c r="H1301" s="19">
        <v>45377</v>
      </c>
      <c r="I1301" s="16">
        <v>65906.28</v>
      </c>
      <c r="J1301" s="20">
        <f t="shared" si="41"/>
        <v>5.8088702668343982E-3</v>
      </c>
    </row>
    <row r="1302" spans="1:10" x14ac:dyDescent="0.3">
      <c r="A1302" s="19">
        <v>45378</v>
      </c>
      <c r="B1302" s="25">
        <v>128.5</v>
      </c>
      <c r="C1302" s="20">
        <f t="shared" si="40"/>
        <v>1.0220125786163499E-2</v>
      </c>
      <c r="H1302" s="19">
        <v>45378</v>
      </c>
      <c r="I1302" s="16">
        <v>66547.789999999994</v>
      </c>
      <c r="J1302" s="20">
        <f t="shared" si="41"/>
        <v>9.7336702966696765E-3</v>
      </c>
    </row>
    <row r="1303" spans="1:10" x14ac:dyDescent="0.3">
      <c r="A1303" s="19">
        <v>45379</v>
      </c>
      <c r="B1303" s="25">
        <v>128.33000000000001</v>
      </c>
      <c r="C1303" s="20">
        <f t="shared" si="40"/>
        <v>-1.3229571984434824E-3</v>
      </c>
      <c r="H1303" s="19">
        <v>45379</v>
      </c>
      <c r="I1303" s="16">
        <v>67142.12</v>
      </c>
      <c r="J1303" s="20">
        <f t="shared" si="41"/>
        <v>8.9308750899166119E-3</v>
      </c>
    </row>
    <row r="1304" spans="1:10" x14ac:dyDescent="0.3">
      <c r="A1304" s="19">
        <v>45380</v>
      </c>
      <c r="B1304" s="25">
        <v>126.5</v>
      </c>
      <c r="C1304" s="20">
        <f t="shared" si="40"/>
        <v>-1.4260110652224829E-2</v>
      </c>
      <c r="H1304" s="19">
        <v>45380</v>
      </c>
      <c r="I1304" s="16">
        <v>67005.11</v>
      </c>
      <c r="J1304" s="20">
        <f t="shared" si="41"/>
        <v>-2.0405968712336573E-3</v>
      </c>
    </row>
    <row r="1305" spans="1:10" x14ac:dyDescent="0.3">
      <c r="A1305" s="19">
        <v>45383</v>
      </c>
      <c r="B1305" s="25">
        <v>125.7</v>
      </c>
      <c r="C1305" s="20">
        <f t="shared" si="40"/>
        <v>-6.3241106719367363E-3</v>
      </c>
      <c r="H1305" s="19">
        <v>45383</v>
      </c>
      <c r="I1305" s="16">
        <v>66796.320000000007</v>
      </c>
      <c r="J1305" s="20">
        <f t="shared" si="41"/>
        <v>-3.1160310012175729E-3</v>
      </c>
    </row>
    <row r="1306" spans="1:10" x14ac:dyDescent="0.3">
      <c r="A1306" s="19">
        <v>45384</v>
      </c>
      <c r="B1306" s="25">
        <v>127.29</v>
      </c>
      <c r="C1306" s="20">
        <f t="shared" si="40"/>
        <v>1.2649164677804322E-2</v>
      </c>
      <c r="H1306" s="19">
        <v>45384</v>
      </c>
      <c r="I1306" s="16">
        <v>66886.259999999995</v>
      </c>
      <c r="J1306" s="20">
        <f t="shared" si="41"/>
        <v>1.3464813630449666E-3</v>
      </c>
    </row>
    <row r="1307" spans="1:10" x14ac:dyDescent="0.3">
      <c r="A1307" s="19">
        <v>45385</v>
      </c>
      <c r="B1307" s="25">
        <v>127.07</v>
      </c>
      <c r="C1307" s="20">
        <f t="shared" si="40"/>
        <v>-1.7283368685679398E-3</v>
      </c>
      <c r="H1307" s="19">
        <v>45385</v>
      </c>
      <c r="I1307" s="16">
        <v>67756.039999999994</v>
      </c>
      <c r="J1307" s="20">
        <f t="shared" si="41"/>
        <v>1.3003866563925071E-2</v>
      </c>
    </row>
    <row r="1308" spans="1:10" x14ac:dyDescent="0.3">
      <c r="A1308" s="19">
        <v>45386</v>
      </c>
      <c r="B1308" s="25">
        <v>126.2</v>
      </c>
      <c r="C1308" s="20">
        <f t="shared" si="40"/>
        <v>-6.8466199732430183E-3</v>
      </c>
      <c r="H1308" s="19">
        <v>45386</v>
      </c>
      <c r="I1308" s="16">
        <v>68416.78</v>
      </c>
      <c r="J1308" s="20">
        <f t="shared" si="41"/>
        <v>9.7517505450437376E-3</v>
      </c>
    </row>
    <row r="1309" spans="1:10" x14ac:dyDescent="0.3">
      <c r="A1309" s="19">
        <v>45390</v>
      </c>
      <c r="B1309" s="25">
        <v>132.5</v>
      </c>
      <c r="C1309" s="20">
        <f t="shared" si="40"/>
        <v>4.992076069730584E-2</v>
      </c>
      <c r="H1309" s="19">
        <v>45390</v>
      </c>
      <c r="I1309" s="16">
        <v>69619.990000000005</v>
      </c>
      <c r="J1309" s="20">
        <f t="shared" si="41"/>
        <v>1.7586475130808646E-2</v>
      </c>
    </row>
    <row r="1310" spans="1:10" x14ac:dyDescent="0.3">
      <c r="A1310" s="19">
        <v>45391</v>
      </c>
      <c r="B1310" s="25">
        <v>142.61000000000001</v>
      </c>
      <c r="C1310" s="20">
        <f t="shared" si="40"/>
        <v>7.6301886792452936E-2</v>
      </c>
      <c r="H1310" s="19">
        <v>45391</v>
      </c>
      <c r="I1310" s="16">
        <v>70314.720000000001</v>
      </c>
      <c r="J1310" s="20">
        <f t="shared" si="41"/>
        <v>9.9788868111011769E-3</v>
      </c>
    </row>
    <row r="1311" spans="1:10" x14ac:dyDescent="0.3">
      <c r="A1311" s="19">
        <v>45397</v>
      </c>
      <c r="B1311" s="25">
        <v>143.97999999999999</v>
      </c>
      <c r="C1311" s="20">
        <f t="shared" si="40"/>
        <v>9.6066194516511889E-3</v>
      </c>
      <c r="H1311" s="19">
        <v>45397</v>
      </c>
      <c r="I1311" s="16">
        <v>70544.58</v>
      </c>
      <c r="J1311" s="20">
        <f t="shared" si="41"/>
        <v>3.2690167862433439E-3</v>
      </c>
    </row>
    <row r="1312" spans="1:10" x14ac:dyDescent="0.3">
      <c r="A1312" s="19">
        <v>45398</v>
      </c>
      <c r="B1312" s="25">
        <v>140.1</v>
      </c>
      <c r="C1312" s="20">
        <f t="shared" si="40"/>
        <v>-2.6948187248228891E-2</v>
      </c>
      <c r="H1312" s="19">
        <v>45398</v>
      </c>
      <c r="I1312" s="16">
        <v>70483.66</v>
      </c>
      <c r="J1312" s="20">
        <f t="shared" si="41"/>
        <v>-8.6356740659591783E-4</v>
      </c>
    </row>
    <row r="1313" spans="1:10" x14ac:dyDescent="0.3">
      <c r="A1313" s="19">
        <v>45399</v>
      </c>
      <c r="B1313" s="25">
        <v>138.9</v>
      </c>
      <c r="C1313" s="20">
        <f t="shared" si="40"/>
        <v>-8.5653104925052723E-3</v>
      </c>
      <c r="H1313" s="19">
        <v>45399</v>
      </c>
      <c r="I1313" s="16">
        <v>70333.320000000007</v>
      </c>
      <c r="J1313" s="20">
        <f t="shared" si="41"/>
        <v>-2.1329766360032453E-3</v>
      </c>
    </row>
    <row r="1314" spans="1:10" x14ac:dyDescent="0.3">
      <c r="A1314" s="19">
        <v>45400</v>
      </c>
      <c r="B1314" s="25">
        <v>139.99</v>
      </c>
      <c r="C1314" s="20">
        <f t="shared" si="40"/>
        <v>7.8473722102232069E-3</v>
      </c>
      <c r="H1314" s="19">
        <v>45400</v>
      </c>
      <c r="I1314" s="16">
        <v>70290.12</v>
      </c>
      <c r="J1314" s="20">
        <f t="shared" si="41"/>
        <v>-6.1421812591829362E-4</v>
      </c>
    </row>
    <row r="1315" spans="1:10" x14ac:dyDescent="0.3">
      <c r="A1315" s="19">
        <v>45401</v>
      </c>
      <c r="B1315" s="25">
        <v>141.38999999999999</v>
      </c>
      <c r="C1315" s="20">
        <f t="shared" si="40"/>
        <v>1.0000714336738175E-2</v>
      </c>
      <c r="H1315" s="19">
        <v>45401</v>
      </c>
      <c r="I1315" s="16">
        <v>70909.899999999994</v>
      </c>
      <c r="J1315" s="20">
        <f t="shared" si="41"/>
        <v>8.8174554261679864E-3</v>
      </c>
    </row>
    <row r="1316" spans="1:10" x14ac:dyDescent="0.3">
      <c r="A1316" s="19">
        <v>45404</v>
      </c>
      <c r="B1316" s="25">
        <v>142.25</v>
      </c>
      <c r="C1316" s="20">
        <f t="shared" si="40"/>
        <v>6.0824669354269303E-3</v>
      </c>
      <c r="H1316" s="19">
        <v>45404</v>
      </c>
      <c r="I1316" s="16">
        <v>71433.460000000006</v>
      </c>
      <c r="J1316" s="20">
        <f t="shared" si="41"/>
        <v>7.3834542144328545E-3</v>
      </c>
    </row>
    <row r="1317" spans="1:10" x14ac:dyDescent="0.3">
      <c r="A1317" s="19">
        <v>45405</v>
      </c>
      <c r="B1317" s="25">
        <v>141.51</v>
      </c>
      <c r="C1317" s="20">
        <f t="shared" si="40"/>
        <v>-5.2021089630932098E-3</v>
      </c>
      <c r="H1317" s="19">
        <v>45405</v>
      </c>
      <c r="I1317" s="16">
        <v>71359.41</v>
      </c>
      <c r="J1317" s="20">
        <f t="shared" si="41"/>
        <v>-1.036629053107646E-3</v>
      </c>
    </row>
    <row r="1318" spans="1:10" x14ac:dyDescent="0.3">
      <c r="A1318" s="19">
        <v>45406</v>
      </c>
      <c r="B1318" s="25">
        <v>142.9</v>
      </c>
      <c r="C1318" s="20">
        <f t="shared" si="40"/>
        <v>9.8226273761572672E-3</v>
      </c>
      <c r="H1318" s="19">
        <v>45406</v>
      </c>
      <c r="I1318" s="16">
        <v>72051.89</v>
      </c>
      <c r="J1318" s="20">
        <f t="shared" si="41"/>
        <v>9.7041161074621542E-3</v>
      </c>
    </row>
    <row r="1319" spans="1:10" x14ac:dyDescent="0.3">
      <c r="A1319" s="19">
        <v>45407</v>
      </c>
      <c r="B1319" s="25">
        <v>142.80000000000001</v>
      </c>
      <c r="C1319" s="20">
        <f t="shared" si="40"/>
        <v>-6.9979006298106583E-4</v>
      </c>
      <c r="H1319" s="19">
        <v>45407</v>
      </c>
      <c r="I1319" s="16">
        <v>71971.399999999994</v>
      </c>
      <c r="J1319" s="20">
        <f t="shared" si="41"/>
        <v>-1.1171115705640093E-3</v>
      </c>
    </row>
    <row r="1320" spans="1:10" x14ac:dyDescent="0.3">
      <c r="A1320" s="19">
        <v>45408</v>
      </c>
      <c r="B1320" s="25">
        <v>147.19999999999999</v>
      </c>
      <c r="C1320" s="20">
        <f t="shared" si="40"/>
        <v>3.0812324929971827E-2</v>
      </c>
      <c r="H1320" s="19">
        <v>45408</v>
      </c>
      <c r="I1320" s="16">
        <v>72742.75</v>
      </c>
      <c r="J1320" s="20">
        <f t="shared" si="41"/>
        <v>1.0717451654407248E-2</v>
      </c>
    </row>
    <row r="1321" spans="1:10" x14ac:dyDescent="0.3">
      <c r="A1321" s="19">
        <v>45411</v>
      </c>
      <c r="B1321" s="25">
        <v>144.61000000000001</v>
      </c>
      <c r="C1321" s="20">
        <f t="shared" si="40"/>
        <v>-1.7595108695652006E-2</v>
      </c>
      <c r="H1321" s="19">
        <v>45411</v>
      </c>
      <c r="I1321" s="16">
        <v>71695.03</v>
      </c>
      <c r="J1321" s="20">
        <f t="shared" si="41"/>
        <v>-1.4403084843506758E-2</v>
      </c>
    </row>
    <row r="1322" spans="1:10" x14ac:dyDescent="0.3">
      <c r="A1322" s="19">
        <v>45412</v>
      </c>
      <c r="B1322" s="25">
        <v>145.5</v>
      </c>
      <c r="C1322" s="20">
        <f t="shared" si="40"/>
        <v>6.1544844754856942E-3</v>
      </c>
      <c r="H1322" s="19">
        <v>45412</v>
      </c>
      <c r="I1322" s="16">
        <v>71102.55</v>
      </c>
      <c r="J1322" s="20">
        <f t="shared" si="41"/>
        <v>-8.2638922112173736E-3</v>
      </c>
    </row>
    <row r="1323" spans="1:10" x14ac:dyDescent="0.3">
      <c r="A1323" s="19">
        <v>45414</v>
      </c>
      <c r="B1323" s="25">
        <v>143.44999999999999</v>
      </c>
      <c r="C1323" s="20">
        <f t="shared" si="40"/>
        <v>-1.4089347079037879E-2</v>
      </c>
      <c r="H1323" s="19">
        <v>45414</v>
      </c>
      <c r="I1323" s="16">
        <v>70657.64</v>
      </c>
      <c r="J1323" s="20">
        <f t="shared" si="41"/>
        <v>-6.2573001952813713E-3</v>
      </c>
    </row>
    <row r="1324" spans="1:10" x14ac:dyDescent="0.3">
      <c r="A1324" s="19">
        <v>45415</v>
      </c>
      <c r="B1324" s="25">
        <v>145.75</v>
      </c>
      <c r="C1324" s="20">
        <f t="shared" si="40"/>
        <v>1.60334611362845E-2</v>
      </c>
      <c r="H1324" s="19">
        <v>45415</v>
      </c>
      <c r="I1324" s="16">
        <v>71902.09</v>
      </c>
      <c r="J1324" s="20">
        <f t="shared" si="41"/>
        <v>1.7612391243183288E-2</v>
      </c>
    </row>
    <row r="1325" spans="1:10" x14ac:dyDescent="0.3">
      <c r="A1325" s="19">
        <v>45418</v>
      </c>
      <c r="B1325" s="25">
        <v>149.94999999999999</v>
      </c>
      <c r="C1325" s="20">
        <f t="shared" si="40"/>
        <v>2.8816466552315533E-2</v>
      </c>
      <c r="H1325" s="19">
        <v>45418</v>
      </c>
      <c r="I1325" s="16">
        <v>72764.240000000005</v>
      </c>
      <c r="J1325" s="20">
        <f t="shared" si="41"/>
        <v>1.1990611121318015E-2</v>
      </c>
    </row>
    <row r="1326" spans="1:10" x14ac:dyDescent="0.3">
      <c r="A1326" s="19">
        <v>45419</v>
      </c>
      <c r="B1326" s="25">
        <v>149.5</v>
      </c>
      <c r="C1326" s="20">
        <f t="shared" si="40"/>
        <v>-3.001000333444406E-3</v>
      </c>
      <c r="H1326" s="19">
        <v>45419</v>
      </c>
      <c r="I1326" s="16">
        <v>72761.2</v>
      </c>
      <c r="J1326" s="20">
        <f t="shared" si="41"/>
        <v>-4.177876385444483E-5</v>
      </c>
    </row>
    <row r="1327" spans="1:10" x14ac:dyDescent="0.3">
      <c r="A1327" s="19">
        <v>45420</v>
      </c>
      <c r="B1327" s="25">
        <v>151.19999999999999</v>
      </c>
      <c r="C1327" s="20">
        <f t="shared" si="40"/>
        <v>1.1371237458193904E-2</v>
      </c>
      <c r="H1327" s="19">
        <v>45420</v>
      </c>
      <c r="I1327" s="16">
        <v>72601.820000000007</v>
      </c>
      <c r="J1327" s="20">
        <f t="shared" si="41"/>
        <v>-2.1904531536037081E-3</v>
      </c>
    </row>
    <row r="1328" spans="1:10" x14ac:dyDescent="0.3">
      <c r="A1328" s="19">
        <v>45421</v>
      </c>
      <c r="B1328" s="25">
        <v>142.5</v>
      </c>
      <c r="C1328" s="20">
        <f t="shared" si="40"/>
        <v>-5.7539682539682467E-2</v>
      </c>
      <c r="H1328" s="19">
        <v>45421</v>
      </c>
      <c r="I1328" s="16">
        <v>72658.05</v>
      </c>
      <c r="J1328" s="20">
        <f t="shared" si="41"/>
        <v>7.744984905336522E-4</v>
      </c>
    </row>
    <row r="1329" spans="1:10" x14ac:dyDescent="0.3">
      <c r="A1329" s="19">
        <v>45422</v>
      </c>
      <c r="B1329" s="25">
        <v>143.88999999999999</v>
      </c>
      <c r="C1329" s="20">
        <f t="shared" si="40"/>
        <v>9.7543859649121857E-3</v>
      </c>
      <c r="H1329" s="19">
        <v>45422</v>
      </c>
      <c r="I1329" s="16">
        <v>73085.5</v>
      </c>
      <c r="J1329" s="20">
        <f t="shared" si="41"/>
        <v>5.8830370482004001E-3</v>
      </c>
    </row>
    <row r="1330" spans="1:10" x14ac:dyDescent="0.3">
      <c r="A1330" s="19">
        <v>45425</v>
      </c>
      <c r="B1330" s="25">
        <v>141.80000000000001</v>
      </c>
      <c r="C1330" s="20">
        <f t="shared" si="40"/>
        <v>-1.452498436305494E-2</v>
      </c>
      <c r="H1330" s="19">
        <v>45425</v>
      </c>
      <c r="I1330" s="16">
        <v>73799.11</v>
      </c>
      <c r="J1330" s="20">
        <f t="shared" si="41"/>
        <v>9.764043483317492E-3</v>
      </c>
    </row>
    <row r="1331" spans="1:10" x14ac:dyDescent="0.3">
      <c r="A1331" s="19">
        <v>45426</v>
      </c>
      <c r="B1331" s="25">
        <v>142.4</v>
      </c>
      <c r="C1331" s="20">
        <f t="shared" si="40"/>
        <v>4.2313117066290146E-3</v>
      </c>
      <c r="H1331" s="19">
        <v>45426</v>
      </c>
      <c r="I1331" s="16">
        <v>74531.19</v>
      </c>
      <c r="J1331" s="20">
        <f t="shared" si="41"/>
        <v>9.9199028280964607E-3</v>
      </c>
    </row>
    <row r="1332" spans="1:10" x14ac:dyDescent="0.3">
      <c r="A1332" s="19">
        <v>45427</v>
      </c>
      <c r="B1332" s="25">
        <v>142.72</v>
      </c>
      <c r="C1332" s="20">
        <f t="shared" si="40"/>
        <v>2.2471910112359071E-3</v>
      </c>
      <c r="H1332" s="19">
        <v>45427</v>
      </c>
      <c r="I1332" s="16">
        <v>74663.98</v>
      </c>
      <c r="J1332" s="20">
        <f t="shared" si="41"/>
        <v>1.7816701974031756E-3</v>
      </c>
    </row>
    <row r="1333" spans="1:10" x14ac:dyDescent="0.3">
      <c r="A1333" s="19">
        <v>45428</v>
      </c>
      <c r="B1333" s="25">
        <v>143.5</v>
      </c>
      <c r="C1333" s="20">
        <f t="shared" si="40"/>
        <v>5.4652466367713084E-3</v>
      </c>
      <c r="H1333" s="19">
        <v>45428</v>
      </c>
      <c r="I1333" s="16">
        <v>74930.7</v>
      </c>
      <c r="J1333" s="20">
        <f t="shared" si="41"/>
        <v>3.5722713951225368E-3</v>
      </c>
    </row>
    <row r="1334" spans="1:10" x14ac:dyDescent="0.3">
      <c r="A1334" s="19">
        <v>45429</v>
      </c>
      <c r="B1334" s="25">
        <v>144.6</v>
      </c>
      <c r="C1334" s="20">
        <f t="shared" si="40"/>
        <v>7.6655052264807963E-3</v>
      </c>
      <c r="H1334" s="19">
        <v>45429</v>
      </c>
      <c r="I1334" s="16">
        <v>75342.350000000006</v>
      </c>
      <c r="J1334" s="20">
        <f t="shared" si="41"/>
        <v>5.4937428850926088E-3</v>
      </c>
    </row>
    <row r="1335" spans="1:10" x14ac:dyDescent="0.3">
      <c r="A1335" s="19">
        <v>45432</v>
      </c>
      <c r="B1335" s="25">
        <v>143.99</v>
      </c>
      <c r="C1335" s="20">
        <f t="shared" si="40"/>
        <v>-4.2185338865835774E-3</v>
      </c>
      <c r="H1335" s="19">
        <v>45432</v>
      </c>
      <c r="I1335" s="16">
        <v>75084</v>
      </c>
      <c r="J1335" s="20">
        <f t="shared" si="41"/>
        <v>-3.429014359122138E-3</v>
      </c>
    </row>
    <row r="1336" spans="1:10" x14ac:dyDescent="0.3">
      <c r="A1336" s="19">
        <v>45433</v>
      </c>
      <c r="B1336" s="25">
        <v>142.75</v>
      </c>
      <c r="C1336" s="20">
        <f t="shared" si="40"/>
        <v>-8.6117091464685668E-3</v>
      </c>
      <c r="H1336" s="19">
        <v>45433</v>
      </c>
      <c r="I1336" s="16">
        <v>75206.77</v>
      </c>
      <c r="J1336" s="20">
        <f t="shared" si="41"/>
        <v>1.635102019072027E-3</v>
      </c>
    </row>
    <row r="1337" spans="1:10" x14ac:dyDescent="0.3">
      <c r="A1337" s="19">
        <v>45434</v>
      </c>
      <c r="B1337" s="25">
        <v>143.88999999999999</v>
      </c>
      <c r="C1337" s="20">
        <f t="shared" si="40"/>
        <v>7.9859894921189938E-3</v>
      </c>
      <c r="H1337" s="19">
        <v>45434</v>
      </c>
      <c r="I1337" s="16">
        <v>74956.67</v>
      </c>
      <c r="J1337" s="20">
        <f t="shared" si="41"/>
        <v>-3.3254984890323811E-3</v>
      </c>
    </row>
    <row r="1338" spans="1:10" x14ac:dyDescent="0.3">
      <c r="A1338" s="19">
        <v>45435</v>
      </c>
      <c r="B1338" s="25">
        <v>145.25</v>
      </c>
      <c r="C1338" s="20">
        <f t="shared" si="40"/>
        <v>9.4516644659115561E-3</v>
      </c>
      <c r="H1338" s="19">
        <v>45435</v>
      </c>
      <c r="I1338" s="16">
        <v>75114.47</v>
      </c>
      <c r="J1338" s="20">
        <f t="shared" si="41"/>
        <v>2.1052162536036208E-3</v>
      </c>
    </row>
    <row r="1339" spans="1:10" x14ac:dyDescent="0.3">
      <c r="A1339" s="19">
        <v>45436</v>
      </c>
      <c r="B1339" s="25">
        <v>147.5</v>
      </c>
      <c r="C1339" s="20">
        <f t="shared" si="40"/>
        <v>1.549053356282272E-2</v>
      </c>
      <c r="H1339" s="19">
        <v>45436</v>
      </c>
      <c r="I1339" s="16">
        <v>75983.039999999994</v>
      </c>
      <c r="J1339" s="20">
        <f t="shared" si="41"/>
        <v>1.1563284677372981E-2</v>
      </c>
    </row>
    <row r="1340" spans="1:10" x14ac:dyDescent="0.3">
      <c r="A1340" s="19">
        <v>45439</v>
      </c>
      <c r="B1340" s="25">
        <v>144</v>
      </c>
      <c r="C1340" s="20">
        <f t="shared" si="40"/>
        <v>-2.3728813559322035E-2</v>
      </c>
      <c r="H1340" s="19">
        <v>45439</v>
      </c>
      <c r="I1340" s="16">
        <v>75517.490000000005</v>
      </c>
      <c r="J1340" s="20">
        <f t="shared" si="41"/>
        <v>-6.1270251887788167E-3</v>
      </c>
    </row>
    <row r="1341" spans="1:10" x14ac:dyDescent="0.3">
      <c r="A1341" s="19">
        <v>45441</v>
      </c>
      <c r="B1341" s="25">
        <v>141.55000000000001</v>
      </c>
      <c r="C1341" s="20">
        <f t="shared" si="40"/>
        <v>-1.7013888888888811E-2</v>
      </c>
      <c r="H1341" s="19">
        <v>45441</v>
      </c>
      <c r="I1341" s="16">
        <v>74836.3</v>
      </c>
      <c r="J1341" s="20">
        <f t="shared" si="41"/>
        <v>-9.0202945039619606E-3</v>
      </c>
    </row>
    <row r="1342" spans="1:10" x14ac:dyDescent="0.3">
      <c r="A1342" s="19">
        <v>45442</v>
      </c>
      <c r="B1342" s="25">
        <v>140.4</v>
      </c>
      <c r="C1342" s="20">
        <f t="shared" si="40"/>
        <v>-8.124337689862279E-3</v>
      </c>
      <c r="H1342" s="19">
        <v>45442</v>
      </c>
      <c r="I1342" s="16">
        <v>74878.12</v>
      </c>
      <c r="J1342" s="20">
        <f t="shared" si="41"/>
        <v>5.5881971716924045E-4</v>
      </c>
    </row>
    <row r="1343" spans="1:10" x14ac:dyDescent="0.3">
      <c r="A1343" s="19">
        <v>45443</v>
      </c>
      <c r="B1343" s="25">
        <v>142</v>
      </c>
      <c r="C1343" s="20">
        <f t="shared" si="40"/>
        <v>1.1396011396011355E-2</v>
      </c>
      <c r="H1343" s="19">
        <v>45443</v>
      </c>
      <c r="I1343" s="16">
        <v>75878.48</v>
      </c>
      <c r="J1343" s="20">
        <f t="shared" si="41"/>
        <v>1.3359843970441574E-2</v>
      </c>
    </row>
    <row r="1344" spans="1:10" x14ac:dyDescent="0.3">
      <c r="A1344" s="19">
        <v>45446</v>
      </c>
      <c r="B1344" s="25">
        <v>139.69999999999999</v>
      </c>
      <c r="C1344" s="20">
        <f t="shared" si="40"/>
        <v>-1.6197183098591628E-2</v>
      </c>
      <c r="H1344" s="19">
        <v>45446</v>
      </c>
      <c r="I1344" s="16">
        <v>75575.259999999995</v>
      </c>
      <c r="J1344" s="20">
        <f t="shared" si="41"/>
        <v>-3.996126437957128E-3</v>
      </c>
    </row>
    <row r="1345" spans="1:10" x14ac:dyDescent="0.3">
      <c r="A1345" s="19">
        <v>45447</v>
      </c>
      <c r="B1345" s="25">
        <v>138</v>
      </c>
      <c r="C1345" s="20">
        <f t="shared" si="40"/>
        <v>-1.2168933428775869E-2</v>
      </c>
      <c r="H1345" s="19">
        <v>45447</v>
      </c>
      <c r="I1345" s="16">
        <v>74666.66</v>
      </c>
      <c r="J1345" s="20">
        <f t="shared" si="41"/>
        <v>-1.2022452850310953E-2</v>
      </c>
    </row>
    <row r="1346" spans="1:10" x14ac:dyDescent="0.3">
      <c r="A1346" s="19">
        <v>45448</v>
      </c>
      <c r="B1346" s="25">
        <v>138.22999999999999</v>
      </c>
      <c r="C1346" s="20">
        <f t="shared" si="40"/>
        <v>1.6666666666665926E-3</v>
      </c>
      <c r="H1346" s="19">
        <v>45448</v>
      </c>
      <c r="I1346" s="16">
        <v>74219.44</v>
      </c>
      <c r="J1346" s="20">
        <f t="shared" si="41"/>
        <v>-5.9895541062102032E-3</v>
      </c>
    </row>
    <row r="1347" spans="1:10" x14ac:dyDescent="0.3">
      <c r="A1347" s="19">
        <v>45449</v>
      </c>
      <c r="B1347" s="25">
        <v>136</v>
      </c>
      <c r="C1347" s="20">
        <f t="shared" si="40"/>
        <v>-1.6132532735296173E-2</v>
      </c>
      <c r="H1347" s="19">
        <v>45449</v>
      </c>
      <c r="I1347" s="16">
        <v>73862.929999999993</v>
      </c>
      <c r="J1347" s="20">
        <f t="shared" si="41"/>
        <v>-4.8034585008996204E-3</v>
      </c>
    </row>
    <row r="1348" spans="1:10" x14ac:dyDescent="0.3">
      <c r="A1348" s="19">
        <v>45450</v>
      </c>
      <c r="B1348" s="25">
        <v>139.5</v>
      </c>
      <c r="C1348" s="20">
        <f t="shared" si="40"/>
        <v>2.5735294117647058E-2</v>
      </c>
      <c r="H1348" s="19">
        <v>45450</v>
      </c>
      <c r="I1348" s="16">
        <v>73754.02</v>
      </c>
      <c r="J1348" s="20">
        <f t="shared" si="41"/>
        <v>-1.4744879467953539E-3</v>
      </c>
    </row>
    <row r="1349" spans="1:10" x14ac:dyDescent="0.3">
      <c r="A1349" s="19">
        <v>45453</v>
      </c>
      <c r="B1349" s="25">
        <v>137.35</v>
      </c>
      <c r="C1349" s="20">
        <f t="shared" ref="C1349:C1412" si="42">(B1349-B1348)/B1348</f>
        <v>-1.5412186379928356E-2</v>
      </c>
      <c r="H1349" s="19">
        <v>45453</v>
      </c>
      <c r="I1349" s="16">
        <v>73252.56</v>
      </c>
      <c r="J1349" s="20">
        <f t="shared" ref="J1349:J1412" si="43">(I1349-I1348)/I1348</f>
        <v>-6.7990870192567998E-3</v>
      </c>
    </row>
    <row r="1350" spans="1:10" x14ac:dyDescent="0.3">
      <c r="A1350" s="19">
        <v>45454</v>
      </c>
      <c r="B1350" s="25">
        <v>136.56</v>
      </c>
      <c r="C1350" s="20">
        <f t="shared" si="42"/>
        <v>-5.7517291590825775E-3</v>
      </c>
      <c r="H1350" s="19">
        <v>45454</v>
      </c>
      <c r="I1350" s="16">
        <v>72589.490000000005</v>
      </c>
      <c r="J1350" s="20">
        <f t="shared" si="43"/>
        <v>-9.0518338198691279E-3</v>
      </c>
    </row>
    <row r="1351" spans="1:10" x14ac:dyDescent="0.3">
      <c r="A1351" s="19">
        <v>45455</v>
      </c>
      <c r="B1351" s="25">
        <v>136.1</v>
      </c>
      <c r="C1351" s="20">
        <f t="shared" si="42"/>
        <v>-3.3684827182191559E-3</v>
      </c>
      <c r="H1351" s="19">
        <v>45455</v>
      </c>
      <c r="I1351" s="16">
        <v>72797.429999999993</v>
      </c>
      <c r="J1351" s="20">
        <f t="shared" si="43"/>
        <v>2.8646020243424737E-3</v>
      </c>
    </row>
    <row r="1352" spans="1:10" x14ac:dyDescent="0.3">
      <c r="A1352" s="19">
        <v>45456</v>
      </c>
      <c r="B1352" s="25">
        <v>144.75</v>
      </c>
      <c r="C1352" s="20">
        <f t="shared" si="42"/>
        <v>6.3556208670095565E-2</v>
      </c>
      <c r="H1352" s="19">
        <v>45456</v>
      </c>
      <c r="I1352" s="16">
        <v>76208.160000000003</v>
      </c>
      <c r="J1352" s="20">
        <f t="shared" si="43"/>
        <v>4.6852340803789513E-2</v>
      </c>
    </row>
    <row r="1353" spans="1:10" x14ac:dyDescent="0.3">
      <c r="A1353" s="19">
        <v>45457</v>
      </c>
      <c r="B1353" s="25">
        <v>144.5</v>
      </c>
      <c r="C1353" s="20">
        <f t="shared" si="42"/>
        <v>-1.7271157167530224E-3</v>
      </c>
      <c r="H1353" s="19">
        <v>45457</v>
      </c>
      <c r="I1353" s="16">
        <v>76706.77</v>
      </c>
      <c r="J1353" s="20">
        <f t="shared" si="43"/>
        <v>6.5427376805843439E-3</v>
      </c>
    </row>
    <row r="1354" spans="1:10" x14ac:dyDescent="0.3">
      <c r="A1354" s="19">
        <v>45463</v>
      </c>
      <c r="B1354" s="25">
        <v>149.51</v>
      </c>
      <c r="C1354" s="20">
        <f t="shared" si="42"/>
        <v>3.4671280276816548E-2</v>
      </c>
      <c r="H1354" s="19">
        <v>45463</v>
      </c>
      <c r="I1354" s="16">
        <v>78801.53</v>
      </c>
      <c r="J1354" s="20">
        <f t="shared" si="43"/>
        <v>2.7308671711766701E-2</v>
      </c>
    </row>
    <row r="1355" spans="1:10" x14ac:dyDescent="0.3">
      <c r="A1355" s="19">
        <v>45464</v>
      </c>
      <c r="B1355" s="25">
        <v>153</v>
      </c>
      <c r="C1355" s="20">
        <f t="shared" si="42"/>
        <v>2.3342920206006351E-2</v>
      </c>
      <c r="H1355" s="19">
        <v>45464</v>
      </c>
      <c r="I1355" s="16">
        <v>78810.490000000005</v>
      </c>
      <c r="J1355" s="20">
        <f t="shared" si="43"/>
        <v>1.1370337606397239E-4</v>
      </c>
    </row>
    <row r="1356" spans="1:10" x14ac:dyDescent="0.3">
      <c r="A1356" s="19">
        <v>45467</v>
      </c>
      <c r="B1356" s="25">
        <v>151.80000000000001</v>
      </c>
      <c r="C1356" s="20">
        <f t="shared" si="42"/>
        <v>-7.8431372549018861E-3</v>
      </c>
      <c r="H1356" s="19">
        <v>45467</v>
      </c>
      <c r="I1356" s="16">
        <v>78232.100000000006</v>
      </c>
      <c r="J1356" s="20">
        <f t="shared" si="43"/>
        <v>-7.3389976385123271E-3</v>
      </c>
    </row>
    <row r="1357" spans="1:10" x14ac:dyDescent="0.3">
      <c r="A1357" s="19">
        <v>45468</v>
      </c>
      <c r="B1357" s="25">
        <v>151.5</v>
      </c>
      <c r="C1357" s="20">
        <f t="shared" si="42"/>
        <v>-1.976284584980312E-3</v>
      </c>
      <c r="H1357" s="19">
        <v>45468</v>
      </c>
      <c r="I1357" s="16">
        <v>77940.58</v>
      </c>
      <c r="J1357" s="20">
        <f t="shared" si="43"/>
        <v>-3.7263476245684834E-3</v>
      </c>
    </row>
    <row r="1358" spans="1:10" x14ac:dyDescent="0.3">
      <c r="A1358" s="19">
        <v>45469</v>
      </c>
      <c r="B1358" s="25">
        <v>161.9</v>
      </c>
      <c r="C1358" s="20">
        <f t="shared" si="42"/>
        <v>6.8646864686468689E-2</v>
      </c>
      <c r="H1358" s="19">
        <v>45469</v>
      </c>
      <c r="I1358" s="16">
        <v>78275.649999999994</v>
      </c>
      <c r="J1358" s="20">
        <f t="shared" si="43"/>
        <v>4.2990442206100139E-3</v>
      </c>
    </row>
    <row r="1359" spans="1:10" x14ac:dyDescent="0.3">
      <c r="A1359" s="19">
        <v>45470</v>
      </c>
      <c r="B1359" s="25">
        <v>164.1</v>
      </c>
      <c r="C1359" s="20">
        <f t="shared" si="42"/>
        <v>1.358863495985169E-2</v>
      </c>
      <c r="H1359" s="19">
        <v>45470</v>
      </c>
      <c r="I1359" s="16">
        <v>78528.25</v>
      </c>
      <c r="J1359" s="20">
        <f t="shared" si="43"/>
        <v>3.2270572010581304E-3</v>
      </c>
    </row>
    <row r="1360" spans="1:10" x14ac:dyDescent="0.3">
      <c r="A1360" s="19">
        <v>45471</v>
      </c>
      <c r="B1360" s="25">
        <v>163.19999999999999</v>
      </c>
      <c r="C1360" s="20">
        <f t="shared" si="42"/>
        <v>-5.4844606946983891E-3</v>
      </c>
      <c r="H1360" s="19">
        <v>45471</v>
      </c>
      <c r="I1360" s="16">
        <v>78444.960000000006</v>
      </c>
      <c r="J1360" s="20">
        <f t="shared" si="43"/>
        <v>-1.0606374139242069E-3</v>
      </c>
    </row>
    <row r="1361" spans="1:10" x14ac:dyDescent="0.3">
      <c r="A1361" s="19">
        <v>45474</v>
      </c>
      <c r="B1361" s="25">
        <v>163.94</v>
      </c>
      <c r="C1361" s="20">
        <f t="shared" si="42"/>
        <v>4.534313725490252E-3</v>
      </c>
      <c r="H1361" s="19">
        <v>45474</v>
      </c>
      <c r="I1361" s="16">
        <v>78824.33</v>
      </c>
      <c r="J1361" s="20">
        <f t="shared" si="43"/>
        <v>4.8361296888926363E-3</v>
      </c>
    </row>
    <row r="1362" spans="1:10" x14ac:dyDescent="0.3">
      <c r="A1362" s="19">
        <v>45475</v>
      </c>
      <c r="B1362" s="25">
        <v>170.11</v>
      </c>
      <c r="C1362" s="20">
        <f t="shared" si="42"/>
        <v>3.7635720385506992E-2</v>
      </c>
      <c r="H1362" s="19">
        <v>45475</v>
      </c>
      <c r="I1362" s="16">
        <v>79552.89</v>
      </c>
      <c r="J1362" s="20">
        <f t="shared" si="43"/>
        <v>9.2428314963158929E-3</v>
      </c>
    </row>
    <row r="1363" spans="1:10" x14ac:dyDescent="0.3">
      <c r="A1363" s="19">
        <v>45476</v>
      </c>
      <c r="B1363" s="25">
        <v>168.25</v>
      </c>
      <c r="C1363" s="20">
        <f t="shared" si="42"/>
        <v>-1.0934101463758823E-2</v>
      </c>
      <c r="H1363" s="19">
        <v>45476</v>
      </c>
      <c r="I1363" s="16">
        <v>80233.67</v>
      </c>
      <c r="J1363" s="20">
        <f t="shared" si="43"/>
        <v>8.5575772294381614E-3</v>
      </c>
    </row>
    <row r="1364" spans="1:10" x14ac:dyDescent="0.3">
      <c r="A1364" s="19">
        <v>45477</v>
      </c>
      <c r="B1364" s="25">
        <v>167.3</v>
      </c>
      <c r="C1364" s="20">
        <f t="shared" si="42"/>
        <v>-5.6463595839523839E-3</v>
      </c>
      <c r="H1364" s="19">
        <v>45477</v>
      </c>
      <c r="I1364" s="16">
        <v>80282.8</v>
      </c>
      <c r="J1364" s="20">
        <f t="shared" si="43"/>
        <v>6.123364417956284E-4</v>
      </c>
    </row>
    <row r="1365" spans="1:10" x14ac:dyDescent="0.3">
      <c r="A1365" s="19">
        <v>45478</v>
      </c>
      <c r="B1365" s="25">
        <v>166.5</v>
      </c>
      <c r="C1365" s="20">
        <f t="shared" si="42"/>
        <v>-4.7818290496115436E-3</v>
      </c>
      <c r="H1365" s="19">
        <v>45478</v>
      </c>
      <c r="I1365" s="16">
        <v>80212.789999999994</v>
      </c>
      <c r="J1365" s="20">
        <f t="shared" si="43"/>
        <v>-8.7204233036228566E-4</v>
      </c>
    </row>
    <row r="1366" spans="1:10" x14ac:dyDescent="0.3">
      <c r="A1366" s="19">
        <v>45481</v>
      </c>
      <c r="B1366" s="25">
        <v>166.39</v>
      </c>
      <c r="C1366" s="20">
        <f t="shared" si="42"/>
        <v>-6.6066066066074256E-4</v>
      </c>
      <c r="H1366" s="19">
        <v>45481</v>
      </c>
      <c r="I1366" s="16">
        <v>80566.210000000006</v>
      </c>
      <c r="J1366" s="20">
        <f t="shared" si="43"/>
        <v>4.4060305095984425E-3</v>
      </c>
    </row>
    <row r="1367" spans="1:10" x14ac:dyDescent="0.3">
      <c r="A1367" s="19">
        <v>45482</v>
      </c>
      <c r="B1367" s="25">
        <v>169.75</v>
      </c>
      <c r="C1367" s="20">
        <f t="shared" si="42"/>
        <v>2.0193521245267226E-2</v>
      </c>
      <c r="H1367" s="19">
        <v>45482</v>
      </c>
      <c r="I1367" s="16">
        <v>80672.06</v>
      </c>
      <c r="J1367" s="20">
        <f t="shared" si="43"/>
        <v>1.3138262306243681E-3</v>
      </c>
    </row>
    <row r="1368" spans="1:10" x14ac:dyDescent="0.3">
      <c r="A1368" s="19">
        <v>45483</v>
      </c>
      <c r="B1368" s="25">
        <v>167.75</v>
      </c>
      <c r="C1368" s="20">
        <f t="shared" si="42"/>
        <v>-1.1782032400589101E-2</v>
      </c>
      <c r="H1368" s="19">
        <v>45483</v>
      </c>
      <c r="I1368" s="16">
        <v>79841.56</v>
      </c>
      <c r="J1368" s="20">
        <f t="shared" si="43"/>
        <v>-1.0294766242488415E-2</v>
      </c>
    </row>
    <row r="1369" spans="1:10" x14ac:dyDescent="0.3">
      <c r="A1369" s="19">
        <v>45484</v>
      </c>
      <c r="B1369" s="25">
        <v>170.85</v>
      </c>
      <c r="C1369" s="20">
        <f t="shared" si="42"/>
        <v>1.8479880774962709E-2</v>
      </c>
      <c r="H1369" s="19">
        <v>45484</v>
      </c>
      <c r="I1369" s="16">
        <v>79992.350000000006</v>
      </c>
      <c r="J1369" s="20">
        <f t="shared" si="43"/>
        <v>1.888615402805358E-3</v>
      </c>
    </row>
    <row r="1370" spans="1:10" x14ac:dyDescent="0.3">
      <c r="A1370" s="19">
        <v>45485</v>
      </c>
      <c r="B1370" s="25">
        <v>170.06</v>
      </c>
      <c r="C1370" s="20">
        <f t="shared" si="42"/>
        <v>-4.6239391278899153E-3</v>
      </c>
      <c r="H1370" s="19">
        <v>45485</v>
      </c>
      <c r="I1370" s="16">
        <v>79944.100000000006</v>
      </c>
      <c r="J1370" s="20">
        <f t="shared" si="43"/>
        <v>-6.0318267934371221E-4</v>
      </c>
    </row>
    <row r="1371" spans="1:10" x14ac:dyDescent="0.3">
      <c r="A1371" s="19">
        <v>45488</v>
      </c>
      <c r="B1371" s="25">
        <v>175</v>
      </c>
      <c r="C1371" s="20">
        <f t="shared" si="42"/>
        <v>2.9048571092555556E-2</v>
      </c>
      <c r="H1371" s="19">
        <v>45488</v>
      </c>
      <c r="I1371" s="16">
        <v>81155.61</v>
      </c>
      <c r="J1371" s="20">
        <f t="shared" si="43"/>
        <v>1.5154464181846999E-2</v>
      </c>
    </row>
    <row r="1372" spans="1:10" x14ac:dyDescent="0.3">
      <c r="A1372" s="19">
        <v>45491</v>
      </c>
      <c r="B1372" s="25">
        <v>175.6</v>
      </c>
      <c r="C1372" s="20">
        <f t="shared" si="42"/>
        <v>3.4285714285713963E-3</v>
      </c>
      <c r="H1372" s="19">
        <v>45491</v>
      </c>
      <c r="I1372" s="16">
        <v>81839.86</v>
      </c>
      <c r="J1372" s="20">
        <f t="shared" si="43"/>
        <v>8.4313333360441743E-3</v>
      </c>
    </row>
    <row r="1373" spans="1:10" x14ac:dyDescent="0.3">
      <c r="A1373" s="19">
        <v>45492</v>
      </c>
      <c r="B1373" s="25">
        <v>167.5</v>
      </c>
      <c r="C1373" s="20">
        <f t="shared" si="42"/>
        <v>-4.6127562642368988E-2</v>
      </c>
      <c r="H1373" s="19">
        <v>45492</v>
      </c>
      <c r="I1373" s="16">
        <v>80117.89</v>
      </c>
      <c r="J1373" s="20">
        <f t="shared" si="43"/>
        <v>-2.1040725142980464E-2</v>
      </c>
    </row>
    <row r="1374" spans="1:10" x14ac:dyDescent="0.3">
      <c r="A1374" s="19">
        <v>45495</v>
      </c>
      <c r="B1374" s="25">
        <v>163</v>
      </c>
      <c r="C1374" s="20">
        <f t="shared" si="42"/>
        <v>-2.6865671641791045E-2</v>
      </c>
      <c r="H1374" s="19">
        <v>45495</v>
      </c>
      <c r="I1374" s="16">
        <v>78539.19</v>
      </c>
      <c r="J1374" s="20">
        <f t="shared" si="43"/>
        <v>-1.9704712642831673E-2</v>
      </c>
    </row>
    <row r="1375" spans="1:10" x14ac:dyDescent="0.3">
      <c r="A1375" s="19">
        <v>45496</v>
      </c>
      <c r="B1375" s="25">
        <v>164</v>
      </c>
      <c r="C1375" s="20">
        <f t="shared" si="42"/>
        <v>6.1349693251533744E-3</v>
      </c>
      <c r="H1375" s="19">
        <v>45496</v>
      </c>
      <c r="I1375" s="16">
        <v>78987.09</v>
      </c>
      <c r="J1375" s="20">
        <f t="shared" si="43"/>
        <v>5.7028854002695237E-3</v>
      </c>
    </row>
    <row r="1376" spans="1:10" x14ac:dyDescent="0.3">
      <c r="A1376" s="19">
        <v>45497</v>
      </c>
      <c r="B1376" s="25">
        <v>167</v>
      </c>
      <c r="C1376" s="20">
        <f t="shared" si="42"/>
        <v>1.8292682926829267E-2</v>
      </c>
      <c r="H1376" s="19">
        <v>45497</v>
      </c>
      <c r="I1376" s="16">
        <v>79397.009999999995</v>
      </c>
      <c r="J1376" s="20">
        <f t="shared" si="43"/>
        <v>5.1897088498892453E-3</v>
      </c>
    </row>
    <row r="1377" spans="1:10" x14ac:dyDescent="0.3">
      <c r="A1377" s="19">
        <v>45498</v>
      </c>
      <c r="B1377" s="25">
        <v>166.48</v>
      </c>
      <c r="C1377" s="20">
        <f t="shared" si="42"/>
        <v>-3.1137724550898815E-3</v>
      </c>
      <c r="H1377" s="19">
        <v>45498</v>
      </c>
      <c r="I1377" s="16">
        <v>78469.33</v>
      </c>
      <c r="J1377" s="20">
        <f t="shared" si="43"/>
        <v>-1.1684067195981222E-2</v>
      </c>
    </row>
    <row r="1378" spans="1:10" x14ac:dyDescent="0.3">
      <c r="A1378" s="19">
        <v>45499</v>
      </c>
      <c r="B1378" s="25">
        <v>165.48</v>
      </c>
      <c r="C1378" s="20">
        <f t="shared" si="42"/>
        <v>-6.0067275348390202E-3</v>
      </c>
      <c r="H1378" s="19">
        <v>45499</v>
      </c>
      <c r="I1378" s="16">
        <v>78029.509999999995</v>
      </c>
      <c r="J1378" s="20">
        <f t="shared" si="43"/>
        <v>-5.6049924218800765E-3</v>
      </c>
    </row>
    <row r="1379" spans="1:10" x14ac:dyDescent="0.3">
      <c r="A1379" s="19">
        <v>45502</v>
      </c>
      <c r="B1379" s="25">
        <v>170.65</v>
      </c>
      <c r="C1379" s="20">
        <f t="shared" si="42"/>
        <v>3.1242446217065605E-2</v>
      </c>
      <c r="H1379" s="19">
        <v>45502</v>
      </c>
      <c r="I1379" s="16">
        <v>78827.740000000005</v>
      </c>
      <c r="J1379" s="20">
        <f t="shared" si="43"/>
        <v>1.0229847656354762E-2</v>
      </c>
    </row>
    <row r="1380" spans="1:10" x14ac:dyDescent="0.3">
      <c r="A1380" s="19">
        <v>45503</v>
      </c>
      <c r="B1380" s="25">
        <v>178.16</v>
      </c>
      <c r="C1380" s="20">
        <f t="shared" si="42"/>
        <v>4.4008203926164613E-2</v>
      </c>
      <c r="H1380" s="19">
        <v>45503</v>
      </c>
      <c r="I1380" s="16">
        <v>78628.81</v>
      </c>
      <c r="J1380" s="20">
        <f t="shared" si="43"/>
        <v>-2.5236040003177506E-3</v>
      </c>
    </row>
    <row r="1381" spans="1:10" x14ac:dyDescent="0.3">
      <c r="A1381" s="19">
        <v>45504</v>
      </c>
      <c r="B1381" s="25">
        <v>181.25</v>
      </c>
      <c r="C1381" s="20">
        <f t="shared" si="42"/>
        <v>1.7343960484957361E-2</v>
      </c>
      <c r="H1381" s="19">
        <v>45504</v>
      </c>
      <c r="I1381" s="16">
        <v>77886.990000000005</v>
      </c>
      <c r="J1381" s="20">
        <f t="shared" si="43"/>
        <v>-9.4344553860091791E-3</v>
      </c>
    </row>
    <row r="1382" spans="1:10" x14ac:dyDescent="0.3">
      <c r="A1382" s="19">
        <v>45505</v>
      </c>
      <c r="B1382" s="25">
        <v>187.7</v>
      </c>
      <c r="C1382" s="20">
        <f t="shared" si="42"/>
        <v>3.5586206896551661E-2</v>
      </c>
      <c r="H1382" s="19">
        <v>45505</v>
      </c>
      <c r="I1382" s="16">
        <v>77740.31</v>
      </c>
      <c r="J1382" s="20">
        <f t="shared" si="43"/>
        <v>-1.8832413474960011E-3</v>
      </c>
    </row>
    <row r="1383" spans="1:10" x14ac:dyDescent="0.3">
      <c r="A1383" s="19">
        <v>45506</v>
      </c>
      <c r="B1383" s="25">
        <v>186.25</v>
      </c>
      <c r="C1383" s="20">
        <f t="shared" si="42"/>
        <v>-7.7250932338837975E-3</v>
      </c>
      <c r="H1383" s="19">
        <v>45506</v>
      </c>
      <c r="I1383" s="16">
        <v>78225.98</v>
      </c>
      <c r="J1383" s="20">
        <f t="shared" si="43"/>
        <v>6.2473380926831691E-3</v>
      </c>
    </row>
    <row r="1384" spans="1:10" x14ac:dyDescent="0.3">
      <c r="A1384" s="19">
        <v>45509</v>
      </c>
      <c r="B1384" s="25">
        <v>188.99</v>
      </c>
      <c r="C1384" s="20">
        <f t="shared" si="42"/>
        <v>1.4711409395973204E-2</v>
      </c>
      <c r="H1384" s="19">
        <v>45509</v>
      </c>
      <c r="I1384" s="16">
        <v>77084.490000000005</v>
      </c>
      <c r="J1384" s="20">
        <f t="shared" si="43"/>
        <v>-1.4592210925321623E-2</v>
      </c>
    </row>
    <row r="1385" spans="1:10" x14ac:dyDescent="0.3">
      <c r="A1385" s="19">
        <v>45510</v>
      </c>
      <c r="B1385" s="25">
        <v>187.5</v>
      </c>
      <c r="C1385" s="20">
        <f t="shared" si="42"/>
        <v>-7.8840150272501668E-3</v>
      </c>
      <c r="H1385" s="19">
        <v>45510</v>
      </c>
      <c r="I1385" s="16">
        <v>77191.34</v>
      </c>
      <c r="J1385" s="20">
        <f t="shared" si="43"/>
        <v>1.3861413625489546E-3</v>
      </c>
    </row>
    <row r="1386" spans="1:10" x14ac:dyDescent="0.3">
      <c r="A1386" s="19">
        <v>45511</v>
      </c>
      <c r="B1386" s="25">
        <v>184.75</v>
      </c>
      <c r="C1386" s="20">
        <f t="shared" si="42"/>
        <v>-1.4666666666666666E-2</v>
      </c>
      <c r="H1386" s="19">
        <v>45511</v>
      </c>
      <c r="I1386" s="16">
        <v>77114.490000000005</v>
      </c>
      <c r="J1386" s="20">
        <f t="shared" si="43"/>
        <v>-9.9557800136636145E-4</v>
      </c>
    </row>
    <row r="1387" spans="1:10" x14ac:dyDescent="0.3">
      <c r="A1387" s="19">
        <v>45512</v>
      </c>
      <c r="B1387" s="25">
        <v>168.15</v>
      </c>
      <c r="C1387" s="20">
        <f t="shared" si="42"/>
        <v>-8.9851150202976959E-2</v>
      </c>
      <c r="H1387" s="19">
        <v>45512</v>
      </c>
      <c r="I1387" s="16">
        <v>77874.22</v>
      </c>
      <c r="J1387" s="20">
        <f t="shared" si="43"/>
        <v>9.8519746418603803E-3</v>
      </c>
    </row>
    <row r="1388" spans="1:10" x14ac:dyDescent="0.3">
      <c r="A1388" s="19">
        <v>45513</v>
      </c>
      <c r="B1388" s="25">
        <v>165.5</v>
      </c>
      <c r="C1388" s="20">
        <f t="shared" si="42"/>
        <v>-1.5759738328873063E-2</v>
      </c>
      <c r="H1388" s="19">
        <v>45513</v>
      </c>
      <c r="I1388" s="16">
        <v>78569.59</v>
      </c>
      <c r="J1388" s="20">
        <f t="shared" si="43"/>
        <v>8.9293992286535312E-3</v>
      </c>
    </row>
    <row r="1389" spans="1:10" x14ac:dyDescent="0.3">
      <c r="A1389" s="19">
        <v>45516</v>
      </c>
      <c r="B1389" s="25">
        <v>166.3</v>
      </c>
      <c r="C1389" s="20">
        <f t="shared" si="42"/>
        <v>4.8338368580061108E-3</v>
      </c>
      <c r="H1389" s="19">
        <v>45516</v>
      </c>
      <c r="I1389" s="16">
        <v>77980.289999999994</v>
      </c>
      <c r="J1389" s="20">
        <f t="shared" si="43"/>
        <v>-7.5003573265432968E-3</v>
      </c>
    </row>
    <row r="1390" spans="1:10" x14ac:dyDescent="0.3">
      <c r="A1390" s="19">
        <v>45517</v>
      </c>
      <c r="B1390" s="25">
        <v>165</v>
      </c>
      <c r="C1390" s="20">
        <f t="shared" si="42"/>
        <v>-7.8171978352375906E-3</v>
      </c>
      <c r="H1390" s="19">
        <v>45517</v>
      </c>
      <c r="I1390" s="16">
        <v>77877.42</v>
      </c>
      <c r="J1390" s="20">
        <f t="shared" si="43"/>
        <v>-1.3191795003583001E-3</v>
      </c>
    </row>
    <row r="1391" spans="1:10" x14ac:dyDescent="0.3">
      <c r="A1391" s="19">
        <v>45519</v>
      </c>
      <c r="B1391" s="25">
        <v>169.5</v>
      </c>
      <c r="C1391" s="20">
        <f t="shared" si="42"/>
        <v>2.7272727272727271E-2</v>
      </c>
      <c r="H1391" s="19">
        <v>45519</v>
      </c>
      <c r="I1391" s="16">
        <v>78105.98</v>
      </c>
      <c r="J1391" s="20">
        <f t="shared" si="43"/>
        <v>2.9348686692496706E-3</v>
      </c>
    </row>
    <row r="1392" spans="1:10" x14ac:dyDescent="0.3">
      <c r="A1392" s="19">
        <v>45520</v>
      </c>
      <c r="B1392" s="25">
        <v>170</v>
      </c>
      <c r="C1392" s="20">
        <f t="shared" si="42"/>
        <v>2.9498525073746312E-3</v>
      </c>
      <c r="H1392" s="19">
        <v>45520</v>
      </c>
      <c r="I1392" s="16">
        <v>78045.31</v>
      </c>
      <c r="J1392" s="20">
        <f t="shared" si="43"/>
        <v>-7.7676510812614162E-4</v>
      </c>
    </row>
    <row r="1393" spans="1:10" x14ac:dyDescent="0.3">
      <c r="A1393" s="19">
        <v>45523</v>
      </c>
      <c r="B1393" s="25">
        <v>170.55</v>
      </c>
      <c r="C1393" s="20">
        <f t="shared" si="42"/>
        <v>3.2352941176471257E-3</v>
      </c>
      <c r="H1393" s="19">
        <v>45523</v>
      </c>
      <c r="I1393" s="16">
        <v>77830.34</v>
      </c>
      <c r="J1393" s="20">
        <f t="shared" si="43"/>
        <v>-2.7544256022559352E-3</v>
      </c>
    </row>
    <row r="1394" spans="1:10" x14ac:dyDescent="0.3">
      <c r="A1394" s="19">
        <v>45524</v>
      </c>
      <c r="B1394" s="25">
        <v>169.99</v>
      </c>
      <c r="C1394" s="20">
        <f t="shared" si="42"/>
        <v>-3.283494576370579E-3</v>
      </c>
      <c r="H1394" s="19">
        <v>45524</v>
      </c>
      <c r="I1394" s="16">
        <v>77745.52</v>
      </c>
      <c r="J1394" s="20">
        <f t="shared" si="43"/>
        <v>-1.0898063660006168E-3</v>
      </c>
    </row>
    <row r="1395" spans="1:10" x14ac:dyDescent="0.3">
      <c r="A1395" s="19">
        <v>45525</v>
      </c>
      <c r="B1395" s="25">
        <v>172.7</v>
      </c>
      <c r="C1395" s="20">
        <f t="shared" si="42"/>
        <v>1.5942114242014114E-2</v>
      </c>
      <c r="H1395" s="19">
        <v>45525</v>
      </c>
      <c r="I1395" s="16">
        <v>78260.86</v>
      </c>
      <c r="J1395" s="20">
        <f t="shared" si="43"/>
        <v>6.6285491434104043E-3</v>
      </c>
    </row>
    <row r="1396" spans="1:10" x14ac:dyDescent="0.3">
      <c r="A1396" s="19">
        <v>45526</v>
      </c>
      <c r="B1396" s="25">
        <v>179.17</v>
      </c>
      <c r="C1396" s="20">
        <f t="shared" si="42"/>
        <v>3.7463810075275036E-2</v>
      </c>
      <c r="H1396" s="19">
        <v>45526</v>
      </c>
      <c r="I1396" s="16">
        <v>78793.41</v>
      </c>
      <c r="J1396" s="20">
        <f t="shared" si="43"/>
        <v>6.8048063872541515E-3</v>
      </c>
    </row>
    <row r="1397" spans="1:10" x14ac:dyDescent="0.3">
      <c r="A1397" s="19">
        <v>45527</v>
      </c>
      <c r="B1397" s="25">
        <v>180.5</v>
      </c>
      <c r="C1397" s="20">
        <f t="shared" si="42"/>
        <v>7.4231177094380343E-3</v>
      </c>
      <c r="H1397" s="19">
        <v>45527</v>
      </c>
      <c r="I1397" s="16">
        <v>78801.429999999993</v>
      </c>
      <c r="J1397" s="20">
        <f t="shared" si="43"/>
        <v>1.0178516198232216E-4</v>
      </c>
    </row>
    <row r="1398" spans="1:10" x14ac:dyDescent="0.3">
      <c r="A1398" s="19">
        <v>45530</v>
      </c>
      <c r="B1398" s="25">
        <v>179.48</v>
      </c>
      <c r="C1398" s="20">
        <f t="shared" si="42"/>
        <v>-5.6509695290859292E-3</v>
      </c>
      <c r="H1398" s="19">
        <v>45530</v>
      </c>
      <c r="I1398" s="16">
        <v>78571.06</v>
      </c>
      <c r="J1398" s="20">
        <f t="shared" si="43"/>
        <v>-2.9234241053746786E-3</v>
      </c>
    </row>
    <row r="1399" spans="1:10" x14ac:dyDescent="0.3">
      <c r="A1399" s="19">
        <v>45531</v>
      </c>
      <c r="B1399" s="25">
        <v>176.66</v>
      </c>
      <c r="C1399" s="20">
        <f t="shared" si="42"/>
        <v>-1.5712057053710683E-2</v>
      </c>
      <c r="H1399" s="19">
        <v>45531</v>
      </c>
      <c r="I1399" s="16">
        <v>78084.240000000005</v>
      </c>
      <c r="J1399" s="20">
        <f t="shared" si="43"/>
        <v>-6.1959199735881435E-3</v>
      </c>
    </row>
    <row r="1400" spans="1:10" x14ac:dyDescent="0.3">
      <c r="A1400" s="19">
        <v>45532</v>
      </c>
      <c r="B1400" s="25">
        <v>178.5</v>
      </c>
      <c r="C1400" s="20">
        <f t="shared" si="42"/>
        <v>1.0415487376882165E-2</v>
      </c>
      <c r="H1400" s="19">
        <v>45532</v>
      </c>
      <c r="I1400" s="16">
        <v>77992.789999999994</v>
      </c>
      <c r="J1400" s="20">
        <f t="shared" si="43"/>
        <v>-1.1711710327207082E-3</v>
      </c>
    </row>
    <row r="1401" spans="1:10" x14ac:dyDescent="0.3">
      <c r="A1401" s="19">
        <v>45533</v>
      </c>
      <c r="B1401" s="25">
        <v>179.1</v>
      </c>
      <c r="C1401" s="20">
        <f t="shared" si="42"/>
        <v>3.3613445378150942E-3</v>
      </c>
      <c r="H1401" s="19">
        <v>45533</v>
      </c>
      <c r="I1401" s="16">
        <v>78349.66</v>
      </c>
      <c r="J1401" s="20">
        <f t="shared" si="43"/>
        <v>4.5756793672852318E-3</v>
      </c>
    </row>
    <row r="1402" spans="1:10" x14ac:dyDescent="0.3">
      <c r="A1402" s="19">
        <v>45534</v>
      </c>
      <c r="B1402" s="25">
        <v>180.99</v>
      </c>
      <c r="C1402" s="20">
        <f t="shared" si="42"/>
        <v>1.055276381909556E-2</v>
      </c>
      <c r="H1402" s="19">
        <v>45534</v>
      </c>
      <c r="I1402" s="16">
        <v>78488.22</v>
      </c>
      <c r="J1402" s="20">
        <f t="shared" si="43"/>
        <v>1.7684824669309052E-3</v>
      </c>
    </row>
    <row r="1403" spans="1:10" x14ac:dyDescent="0.3">
      <c r="A1403" s="19">
        <v>45537</v>
      </c>
      <c r="B1403" s="25">
        <v>181.48</v>
      </c>
      <c r="C1403" s="20">
        <f t="shared" si="42"/>
        <v>2.7073318967897708E-3</v>
      </c>
      <c r="H1403" s="19">
        <v>45537</v>
      </c>
      <c r="I1403" s="16">
        <v>78283.3</v>
      </c>
      <c r="J1403" s="20">
        <f t="shared" si="43"/>
        <v>-2.6108376518157532E-3</v>
      </c>
    </row>
    <row r="1404" spans="1:10" x14ac:dyDescent="0.3">
      <c r="A1404" s="19">
        <v>45538</v>
      </c>
      <c r="B1404" s="25">
        <v>180.6</v>
      </c>
      <c r="C1404" s="20">
        <f t="shared" si="42"/>
        <v>-4.8490191756667151E-3</v>
      </c>
      <c r="H1404" s="19">
        <v>45538</v>
      </c>
      <c r="I1404" s="16">
        <v>78356.320000000007</v>
      </c>
      <c r="J1404" s="20">
        <f t="shared" si="43"/>
        <v>9.3276599223594391E-4</v>
      </c>
    </row>
    <row r="1405" spans="1:10" x14ac:dyDescent="0.3">
      <c r="A1405" s="19">
        <v>45539</v>
      </c>
      <c r="B1405" s="25">
        <v>181.99</v>
      </c>
      <c r="C1405" s="20">
        <f t="shared" si="42"/>
        <v>7.6965669988926623E-3</v>
      </c>
      <c r="H1405" s="19">
        <v>45539</v>
      </c>
      <c r="I1405" s="16">
        <v>78848.009999999995</v>
      </c>
      <c r="J1405" s="20">
        <f t="shared" si="43"/>
        <v>6.2750522229730512E-3</v>
      </c>
    </row>
    <row r="1406" spans="1:10" x14ac:dyDescent="0.3">
      <c r="A1406" s="19">
        <v>45540</v>
      </c>
      <c r="B1406" s="25">
        <v>183.2</v>
      </c>
      <c r="C1406" s="20">
        <f t="shared" si="42"/>
        <v>6.6487169624703524E-3</v>
      </c>
      <c r="H1406" s="19">
        <v>45540</v>
      </c>
      <c r="I1406" s="16">
        <v>78863.34</v>
      </c>
      <c r="J1406" s="20">
        <f t="shared" si="43"/>
        <v>1.9442469125094909E-4</v>
      </c>
    </row>
    <row r="1407" spans="1:10" x14ac:dyDescent="0.3">
      <c r="A1407" s="19">
        <v>45541</v>
      </c>
      <c r="B1407" s="25">
        <v>181.35</v>
      </c>
      <c r="C1407" s="20">
        <f t="shared" si="42"/>
        <v>-1.009825327510914E-2</v>
      </c>
      <c r="H1407" s="19">
        <v>45541</v>
      </c>
      <c r="I1407" s="16">
        <v>78897.73</v>
      </c>
      <c r="J1407" s="20">
        <f t="shared" si="43"/>
        <v>4.3607080298652606E-4</v>
      </c>
    </row>
    <row r="1408" spans="1:10" x14ac:dyDescent="0.3">
      <c r="A1408" s="19">
        <v>45544</v>
      </c>
      <c r="B1408" s="25">
        <v>184.7</v>
      </c>
      <c r="C1408" s="20">
        <f t="shared" si="42"/>
        <v>1.8472566859663603E-2</v>
      </c>
      <c r="H1408" s="19">
        <v>45544</v>
      </c>
      <c r="I1408" s="16">
        <v>78615</v>
      </c>
      <c r="J1408" s="20">
        <f t="shared" si="43"/>
        <v>-3.5834998041134507E-3</v>
      </c>
    </row>
    <row r="1409" spans="1:10" x14ac:dyDescent="0.3">
      <c r="A1409" s="19">
        <v>45545</v>
      </c>
      <c r="B1409" s="25">
        <v>180.89</v>
      </c>
      <c r="C1409" s="20">
        <f t="shared" si="42"/>
        <v>-2.06280454791554E-2</v>
      </c>
      <c r="H1409" s="19">
        <v>45545</v>
      </c>
      <c r="I1409" s="16">
        <v>79286.740000000005</v>
      </c>
      <c r="J1409" s="20">
        <f t="shared" si="43"/>
        <v>8.5446797684920854E-3</v>
      </c>
    </row>
    <row r="1410" spans="1:10" x14ac:dyDescent="0.3">
      <c r="A1410" s="19">
        <v>45546</v>
      </c>
      <c r="B1410" s="25">
        <v>178.25</v>
      </c>
      <c r="C1410" s="20">
        <f t="shared" si="42"/>
        <v>-1.4594504947758232E-2</v>
      </c>
      <c r="H1410" s="19">
        <v>45546</v>
      </c>
      <c r="I1410" s="16">
        <v>78651.8</v>
      </c>
      <c r="J1410" s="20">
        <f t="shared" si="43"/>
        <v>-8.0081486513381966E-3</v>
      </c>
    </row>
    <row r="1411" spans="1:10" x14ac:dyDescent="0.3">
      <c r="A1411" s="19">
        <v>45547</v>
      </c>
      <c r="B1411" s="25">
        <v>180.99</v>
      </c>
      <c r="C1411" s="20">
        <f t="shared" si="42"/>
        <v>1.5371669004207625E-2</v>
      </c>
      <c r="H1411" s="19">
        <v>45547</v>
      </c>
      <c r="I1411" s="16">
        <v>79017.62</v>
      </c>
      <c r="J1411" s="20">
        <f t="shared" si="43"/>
        <v>4.6511332226343511E-3</v>
      </c>
    </row>
    <row r="1412" spans="1:10" x14ac:dyDescent="0.3">
      <c r="A1412" s="19">
        <v>45548</v>
      </c>
      <c r="B1412" s="25">
        <v>183</v>
      </c>
      <c r="C1412" s="20">
        <f t="shared" si="42"/>
        <v>1.1105585943974754E-2</v>
      </c>
      <c r="H1412" s="19">
        <v>45548</v>
      </c>
      <c r="I1412" s="16">
        <v>79333.06</v>
      </c>
      <c r="J1412" s="20">
        <f t="shared" si="43"/>
        <v>3.9920210201218713E-3</v>
      </c>
    </row>
    <row r="1413" spans="1:10" x14ac:dyDescent="0.3">
      <c r="A1413" s="19">
        <v>45551</v>
      </c>
      <c r="B1413" s="25">
        <v>182.5</v>
      </c>
      <c r="C1413" s="20">
        <f t="shared" ref="C1413:C1476" si="44">(B1413-B1412)/B1412</f>
        <v>-2.7322404371584699E-3</v>
      </c>
      <c r="H1413" s="19">
        <v>45551</v>
      </c>
      <c r="I1413" s="16">
        <v>79491.14</v>
      </c>
      <c r="J1413" s="20">
        <f t="shared" ref="J1413:J1476" si="45">(I1413-I1412)/I1412</f>
        <v>1.9926119073183581E-3</v>
      </c>
    </row>
    <row r="1414" spans="1:10" x14ac:dyDescent="0.3">
      <c r="A1414" s="19">
        <v>45553</v>
      </c>
      <c r="B1414" s="25">
        <v>185.99</v>
      </c>
      <c r="C1414" s="20">
        <f t="shared" si="44"/>
        <v>1.9123287671232926E-2</v>
      </c>
      <c r="H1414" s="19">
        <v>45553</v>
      </c>
      <c r="I1414" s="16">
        <v>80461.34</v>
      </c>
      <c r="J1414" s="20">
        <f t="shared" si="45"/>
        <v>1.2205133804849158E-2</v>
      </c>
    </row>
    <row r="1415" spans="1:10" x14ac:dyDescent="0.3">
      <c r="A1415" s="19">
        <v>45554</v>
      </c>
      <c r="B1415" s="25">
        <v>195.2</v>
      </c>
      <c r="C1415" s="20">
        <f t="shared" si="44"/>
        <v>4.9518791332867247E-2</v>
      </c>
      <c r="H1415" s="19">
        <v>45554</v>
      </c>
      <c r="I1415" s="16">
        <v>81459.289999999994</v>
      </c>
      <c r="J1415" s="20">
        <f t="shared" si="45"/>
        <v>1.2402850859804188E-2</v>
      </c>
    </row>
    <row r="1416" spans="1:10" x14ac:dyDescent="0.3">
      <c r="A1416" s="19">
        <v>45555</v>
      </c>
      <c r="B1416" s="25">
        <v>195.7</v>
      </c>
      <c r="C1416" s="20">
        <f t="shared" si="44"/>
        <v>2.5614754098360658E-3</v>
      </c>
      <c r="H1416" s="19">
        <v>45555</v>
      </c>
      <c r="I1416" s="16">
        <v>82074.45</v>
      </c>
      <c r="J1416" s="20">
        <f t="shared" si="45"/>
        <v>7.5517476275573179E-3</v>
      </c>
    </row>
    <row r="1417" spans="1:10" x14ac:dyDescent="0.3">
      <c r="A1417" s="19">
        <v>45558</v>
      </c>
      <c r="B1417" s="25">
        <v>212.11</v>
      </c>
      <c r="C1417" s="20">
        <f t="shared" si="44"/>
        <v>8.3852835973428852E-2</v>
      </c>
      <c r="H1417" s="19">
        <v>45558</v>
      </c>
      <c r="I1417" s="16">
        <v>81850.5</v>
      </c>
      <c r="J1417" s="20">
        <f t="shared" si="45"/>
        <v>-2.7286201735131589E-3</v>
      </c>
    </row>
    <row r="1418" spans="1:10" x14ac:dyDescent="0.3">
      <c r="A1418" s="19">
        <v>45559</v>
      </c>
      <c r="B1418" s="25">
        <v>218.5</v>
      </c>
      <c r="C1418" s="20">
        <f t="shared" si="44"/>
        <v>3.0125878082127133E-2</v>
      </c>
      <c r="H1418" s="19">
        <v>45559</v>
      </c>
      <c r="I1418" s="16">
        <v>81483.64</v>
      </c>
      <c r="J1418" s="20">
        <f t="shared" si="45"/>
        <v>-4.4820740252044956E-3</v>
      </c>
    </row>
    <row r="1419" spans="1:10" x14ac:dyDescent="0.3">
      <c r="A1419" s="19">
        <v>45560</v>
      </c>
      <c r="B1419" s="25">
        <v>216</v>
      </c>
      <c r="C1419" s="20">
        <f t="shared" si="44"/>
        <v>-1.1441647597254004E-2</v>
      </c>
      <c r="H1419" s="19">
        <v>45560</v>
      </c>
      <c r="I1419" s="16">
        <v>82247.92</v>
      </c>
      <c r="J1419" s="20">
        <f t="shared" si="45"/>
        <v>9.3795515271531665E-3</v>
      </c>
    </row>
    <row r="1420" spans="1:10" x14ac:dyDescent="0.3">
      <c r="A1420" s="19">
        <v>45561</v>
      </c>
      <c r="B1420" s="25">
        <v>210</v>
      </c>
      <c r="C1420" s="20">
        <f t="shared" si="44"/>
        <v>-2.7777777777777776E-2</v>
      </c>
      <c r="H1420" s="19">
        <v>45561</v>
      </c>
      <c r="I1420" s="16">
        <v>81657.97</v>
      </c>
      <c r="J1420" s="20">
        <f t="shared" si="45"/>
        <v>-7.1728257687245717E-3</v>
      </c>
    </row>
    <row r="1421" spans="1:10" x14ac:dyDescent="0.3">
      <c r="A1421" s="19">
        <v>45562</v>
      </c>
      <c r="B1421" s="25">
        <v>215.97</v>
      </c>
      <c r="C1421" s="20">
        <f t="shared" si="44"/>
        <v>2.8428571428571425E-2</v>
      </c>
      <c r="H1421" s="19">
        <v>45562</v>
      </c>
      <c r="I1421" s="16">
        <v>81292.13</v>
      </c>
      <c r="J1421" s="20">
        <f t="shared" si="45"/>
        <v>-4.4801505597064986E-3</v>
      </c>
    </row>
    <row r="1422" spans="1:10" x14ac:dyDescent="0.3">
      <c r="A1422" s="19">
        <v>45565</v>
      </c>
      <c r="B1422" s="25">
        <v>221.5</v>
      </c>
      <c r="C1422" s="20">
        <f t="shared" si="44"/>
        <v>2.5605408158540545E-2</v>
      </c>
      <c r="H1422" s="19">
        <v>45565</v>
      </c>
      <c r="I1422" s="16">
        <v>81114.2</v>
      </c>
      <c r="J1422" s="20">
        <f t="shared" si="45"/>
        <v>-2.1887727631199668E-3</v>
      </c>
    </row>
    <row r="1423" spans="1:10" x14ac:dyDescent="0.3">
      <c r="A1423" s="19">
        <v>45566</v>
      </c>
      <c r="B1423" s="25">
        <v>222.3</v>
      </c>
      <c r="C1423" s="20">
        <f t="shared" si="44"/>
        <v>3.61173814898425E-3</v>
      </c>
      <c r="H1423" s="19">
        <v>45566</v>
      </c>
      <c r="I1423" s="16">
        <v>81804.59</v>
      </c>
      <c r="J1423" s="20">
        <f t="shared" si="45"/>
        <v>8.5113334040155669E-3</v>
      </c>
    </row>
    <row r="1424" spans="1:10" x14ac:dyDescent="0.3">
      <c r="A1424" s="19">
        <v>45567</v>
      </c>
      <c r="B1424" s="25">
        <v>225.48</v>
      </c>
      <c r="C1424" s="20">
        <f t="shared" si="44"/>
        <v>1.4304993252361576E-2</v>
      </c>
      <c r="H1424" s="19">
        <v>45567</v>
      </c>
      <c r="I1424" s="16">
        <v>81967.009999999995</v>
      </c>
      <c r="J1424" s="20">
        <f t="shared" si="45"/>
        <v>1.9854631628860712E-3</v>
      </c>
    </row>
    <row r="1425" spans="1:10" x14ac:dyDescent="0.3">
      <c r="A1425" s="19">
        <v>45568</v>
      </c>
      <c r="B1425" s="25">
        <v>247</v>
      </c>
      <c r="C1425" s="20">
        <f t="shared" si="44"/>
        <v>9.5440837324818215E-2</v>
      </c>
      <c r="H1425" s="19">
        <v>45568</v>
      </c>
      <c r="I1425" s="16">
        <v>82721.77</v>
      </c>
      <c r="J1425" s="20">
        <f t="shared" si="45"/>
        <v>9.2080948176590724E-3</v>
      </c>
    </row>
    <row r="1426" spans="1:10" x14ac:dyDescent="0.3">
      <c r="A1426" s="19">
        <v>45569</v>
      </c>
      <c r="B1426" s="25">
        <v>239.4</v>
      </c>
      <c r="C1426" s="20">
        <f t="shared" si="44"/>
        <v>-3.0769230769230747E-2</v>
      </c>
      <c r="H1426" s="19">
        <v>45569</v>
      </c>
      <c r="I1426" s="16">
        <v>83531.960000000006</v>
      </c>
      <c r="J1426" s="20">
        <f t="shared" si="45"/>
        <v>9.7941569673860012E-3</v>
      </c>
    </row>
    <row r="1427" spans="1:10" x14ac:dyDescent="0.3">
      <c r="A1427" s="19">
        <v>45572</v>
      </c>
      <c r="B1427" s="25">
        <v>245.01</v>
      </c>
      <c r="C1427" s="20">
        <f t="shared" si="44"/>
        <v>2.3433583959899688E-2</v>
      </c>
      <c r="H1427" s="19">
        <v>45572</v>
      </c>
      <c r="I1427" s="16">
        <v>84910.3</v>
      </c>
      <c r="J1427" s="20">
        <f t="shared" si="45"/>
        <v>1.6500750132045224E-2</v>
      </c>
    </row>
    <row r="1428" spans="1:10" x14ac:dyDescent="0.3">
      <c r="A1428" s="19">
        <v>45573</v>
      </c>
      <c r="B1428" s="25">
        <v>247.8</v>
      </c>
      <c r="C1428" s="20">
        <f t="shared" si="44"/>
        <v>1.1387290314681118E-2</v>
      </c>
      <c r="H1428" s="19">
        <v>45573</v>
      </c>
      <c r="I1428" s="16">
        <v>85663.98</v>
      </c>
      <c r="J1428" s="20">
        <f t="shared" si="45"/>
        <v>8.8761905210556664E-3</v>
      </c>
    </row>
    <row r="1429" spans="1:10" x14ac:dyDescent="0.3">
      <c r="A1429" s="19">
        <v>45574</v>
      </c>
      <c r="B1429" s="25">
        <v>244.5</v>
      </c>
      <c r="C1429" s="20">
        <f t="shared" si="44"/>
        <v>-1.3317191283293024E-2</v>
      </c>
      <c r="H1429" s="19">
        <v>45574</v>
      </c>
      <c r="I1429" s="16">
        <v>85669.28</v>
      </c>
      <c r="J1429" s="20">
        <f t="shared" si="45"/>
        <v>6.1869644627799341E-5</v>
      </c>
    </row>
    <row r="1430" spans="1:10" x14ac:dyDescent="0.3">
      <c r="A1430" s="19">
        <v>45575</v>
      </c>
      <c r="B1430" s="25">
        <v>241.99</v>
      </c>
      <c r="C1430" s="20">
        <f t="shared" si="44"/>
        <v>-1.0265848670756609E-2</v>
      </c>
      <c r="H1430" s="19">
        <v>45575</v>
      </c>
      <c r="I1430" s="16">
        <v>85453.22</v>
      </c>
      <c r="J1430" s="20">
        <f t="shared" si="45"/>
        <v>-2.522024230856121E-3</v>
      </c>
    </row>
    <row r="1431" spans="1:10" x14ac:dyDescent="0.3">
      <c r="A1431" s="19">
        <v>45576</v>
      </c>
      <c r="B1431" s="25">
        <v>243.91</v>
      </c>
      <c r="C1431" s="20">
        <f t="shared" si="44"/>
        <v>7.9342121575271193E-3</v>
      </c>
      <c r="H1431" s="19">
        <v>45576</v>
      </c>
      <c r="I1431" s="16">
        <v>85483.4</v>
      </c>
      <c r="J1431" s="20">
        <f t="shared" si="45"/>
        <v>3.5317569074627046E-4</v>
      </c>
    </row>
    <row r="1432" spans="1:10" x14ac:dyDescent="0.3">
      <c r="A1432" s="19">
        <v>45579</v>
      </c>
      <c r="B1432" s="25">
        <v>253</v>
      </c>
      <c r="C1432" s="20">
        <f t="shared" si="44"/>
        <v>3.7267844696814413E-2</v>
      </c>
      <c r="H1432" s="19">
        <v>45579</v>
      </c>
      <c r="I1432" s="16">
        <v>85261.39</v>
      </c>
      <c r="J1432" s="20">
        <f t="shared" si="45"/>
        <v>-2.5971124218268668E-3</v>
      </c>
    </row>
    <row r="1433" spans="1:10" x14ac:dyDescent="0.3">
      <c r="A1433" s="19">
        <v>45580</v>
      </c>
      <c r="B1433" s="25">
        <v>256</v>
      </c>
      <c r="C1433" s="20">
        <f t="shared" si="44"/>
        <v>1.1857707509881422E-2</v>
      </c>
      <c r="H1433" s="19">
        <v>45580</v>
      </c>
      <c r="I1433" s="16">
        <v>85840.34</v>
      </c>
      <c r="J1433" s="20">
        <f t="shared" si="45"/>
        <v>6.7902951148227477E-3</v>
      </c>
    </row>
    <row r="1434" spans="1:10" x14ac:dyDescent="0.3">
      <c r="A1434" s="19">
        <v>45581</v>
      </c>
      <c r="B1434" s="25">
        <v>254.5</v>
      </c>
      <c r="C1434" s="20">
        <f t="shared" si="44"/>
        <v>-5.859375E-3</v>
      </c>
      <c r="H1434" s="19">
        <v>45581</v>
      </c>
      <c r="I1434" s="16">
        <v>86205.66</v>
      </c>
      <c r="J1434" s="20">
        <f t="shared" si="45"/>
        <v>4.2558079336592449E-3</v>
      </c>
    </row>
    <row r="1435" spans="1:10" x14ac:dyDescent="0.3">
      <c r="A1435" s="19">
        <v>45582</v>
      </c>
      <c r="B1435" s="25">
        <v>253</v>
      </c>
      <c r="C1435" s="20">
        <f t="shared" si="44"/>
        <v>-5.893909626719057E-3</v>
      </c>
      <c r="H1435" s="19">
        <v>45582</v>
      </c>
      <c r="I1435" s="16">
        <v>85585.43</v>
      </c>
      <c r="J1435" s="20">
        <f t="shared" si="45"/>
        <v>-7.1947712017982396E-3</v>
      </c>
    </row>
    <row r="1436" spans="1:10" x14ac:dyDescent="0.3">
      <c r="A1436" s="19">
        <v>45583</v>
      </c>
      <c r="B1436" s="25">
        <v>246.5</v>
      </c>
      <c r="C1436" s="20">
        <f t="shared" si="44"/>
        <v>-2.5691699604743084E-2</v>
      </c>
      <c r="H1436" s="19">
        <v>45583</v>
      </c>
      <c r="I1436" s="16">
        <v>85250.09</v>
      </c>
      <c r="J1436" s="20">
        <f t="shared" si="45"/>
        <v>-3.9181902807521856E-3</v>
      </c>
    </row>
    <row r="1437" spans="1:10" x14ac:dyDescent="0.3">
      <c r="A1437" s="19">
        <v>45586</v>
      </c>
      <c r="B1437" s="25">
        <v>247.2</v>
      </c>
      <c r="C1437" s="20">
        <f t="shared" si="44"/>
        <v>2.8397565922920432E-3</v>
      </c>
      <c r="H1437" s="19">
        <v>45586</v>
      </c>
      <c r="I1437" s="16">
        <v>86057.52</v>
      </c>
      <c r="J1437" s="20">
        <f t="shared" si="45"/>
        <v>9.4713096490573519E-3</v>
      </c>
    </row>
    <row r="1438" spans="1:10" x14ac:dyDescent="0.3">
      <c r="A1438" s="19">
        <v>45587</v>
      </c>
      <c r="B1438" s="25">
        <v>243</v>
      </c>
      <c r="C1438" s="20">
        <f t="shared" si="44"/>
        <v>-1.6990291262135877E-2</v>
      </c>
      <c r="H1438" s="19">
        <v>45587</v>
      </c>
      <c r="I1438" s="16">
        <v>86466.58</v>
      </c>
      <c r="J1438" s="20">
        <f t="shared" si="45"/>
        <v>4.7533324223147221E-3</v>
      </c>
    </row>
    <row r="1439" spans="1:10" x14ac:dyDescent="0.3">
      <c r="A1439" s="19">
        <v>45588</v>
      </c>
      <c r="B1439" s="25">
        <v>256.60000000000002</v>
      </c>
      <c r="C1439" s="20">
        <f t="shared" si="44"/>
        <v>5.5967078189300502E-2</v>
      </c>
      <c r="H1439" s="19">
        <v>45588</v>
      </c>
      <c r="I1439" s="16">
        <v>87194.54</v>
      </c>
      <c r="J1439" s="20">
        <f t="shared" si="45"/>
        <v>8.4189752850175395E-3</v>
      </c>
    </row>
    <row r="1440" spans="1:10" x14ac:dyDescent="0.3">
      <c r="A1440" s="19">
        <v>45589</v>
      </c>
      <c r="B1440" s="25">
        <v>272.45</v>
      </c>
      <c r="C1440" s="20">
        <f t="shared" si="44"/>
        <v>6.1769290724863465E-2</v>
      </c>
      <c r="H1440" s="19">
        <v>45589</v>
      </c>
      <c r="I1440" s="16">
        <v>88945.99</v>
      </c>
      <c r="J1440" s="20">
        <f t="shared" si="45"/>
        <v>2.0086693501680401E-2</v>
      </c>
    </row>
    <row r="1441" spans="1:10" x14ac:dyDescent="0.3">
      <c r="A1441" s="19">
        <v>45590</v>
      </c>
      <c r="B1441" s="25">
        <v>285.10000000000002</v>
      </c>
      <c r="C1441" s="20">
        <f t="shared" si="44"/>
        <v>4.6430537713342025E-2</v>
      </c>
      <c r="H1441" s="19">
        <v>45590</v>
      </c>
      <c r="I1441" s="16">
        <v>89993.97</v>
      </c>
      <c r="J1441" s="20">
        <f t="shared" si="45"/>
        <v>1.1782206257977407E-2</v>
      </c>
    </row>
    <row r="1442" spans="1:10" x14ac:dyDescent="0.3">
      <c r="A1442" s="19">
        <v>45593</v>
      </c>
      <c r="B1442" s="25">
        <v>278.5</v>
      </c>
      <c r="C1442" s="20">
        <f t="shared" si="44"/>
        <v>-2.3149772009821195E-2</v>
      </c>
      <c r="H1442" s="19">
        <v>45593</v>
      </c>
      <c r="I1442" s="16">
        <v>90195.520000000004</v>
      </c>
      <c r="J1442" s="20">
        <f t="shared" si="45"/>
        <v>2.239594497275794E-3</v>
      </c>
    </row>
    <row r="1443" spans="1:10" x14ac:dyDescent="0.3">
      <c r="A1443" s="19">
        <v>45594</v>
      </c>
      <c r="B1443" s="25">
        <v>287.95</v>
      </c>
      <c r="C1443" s="20">
        <f t="shared" si="44"/>
        <v>3.3931777378815038E-2</v>
      </c>
      <c r="H1443" s="19">
        <v>45594</v>
      </c>
      <c r="I1443" s="16">
        <v>90864.09</v>
      </c>
      <c r="J1443" s="20">
        <f t="shared" si="45"/>
        <v>7.4124524144879083E-3</v>
      </c>
    </row>
    <row r="1444" spans="1:10" x14ac:dyDescent="0.3">
      <c r="A1444" s="19">
        <v>45595</v>
      </c>
      <c r="B1444" s="25">
        <v>283</v>
      </c>
      <c r="C1444" s="20">
        <f t="shared" si="44"/>
        <v>-1.7190484459107445E-2</v>
      </c>
      <c r="H1444" s="19">
        <v>45595</v>
      </c>
      <c r="I1444" s="16">
        <v>90286.57</v>
      </c>
      <c r="J1444" s="20">
        <f t="shared" si="45"/>
        <v>-6.3558662173361282E-3</v>
      </c>
    </row>
    <row r="1445" spans="1:10" x14ac:dyDescent="0.3">
      <c r="A1445" s="19">
        <v>45596</v>
      </c>
      <c r="B1445" s="25">
        <v>284.01</v>
      </c>
      <c r="C1445" s="20">
        <f t="shared" si="44"/>
        <v>3.5689045936395437E-3</v>
      </c>
      <c r="H1445" s="19">
        <v>45596</v>
      </c>
      <c r="I1445" s="16">
        <v>88966.77</v>
      </c>
      <c r="J1445" s="20">
        <f t="shared" si="45"/>
        <v>-1.4617899428453233E-2</v>
      </c>
    </row>
    <row r="1446" spans="1:10" x14ac:dyDescent="0.3">
      <c r="A1446" s="19">
        <v>45597</v>
      </c>
      <c r="B1446" s="25">
        <v>284</v>
      </c>
      <c r="C1446" s="20">
        <f t="shared" si="44"/>
        <v>-3.5210027815889955E-5</v>
      </c>
      <c r="H1446" s="19">
        <v>45597</v>
      </c>
      <c r="I1446" s="16">
        <v>90859.85</v>
      </c>
      <c r="J1446" s="20">
        <f t="shared" si="45"/>
        <v>2.1278506570486955E-2</v>
      </c>
    </row>
    <row r="1447" spans="1:10" x14ac:dyDescent="0.3">
      <c r="A1447" s="19">
        <v>45600</v>
      </c>
      <c r="B1447" s="25">
        <v>284.98</v>
      </c>
      <c r="C1447" s="20">
        <f t="shared" si="44"/>
        <v>3.4507042253521768E-3</v>
      </c>
      <c r="H1447" s="19">
        <v>45600</v>
      </c>
      <c r="I1447" s="16">
        <v>91938.01</v>
      </c>
      <c r="J1447" s="20">
        <f t="shared" si="45"/>
        <v>1.1866187320361951E-2</v>
      </c>
    </row>
    <row r="1448" spans="1:10" x14ac:dyDescent="0.3">
      <c r="A1448" s="19">
        <v>45601</v>
      </c>
      <c r="B1448" s="25">
        <v>284.5</v>
      </c>
      <c r="C1448" s="20">
        <f t="shared" si="44"/>
        <v>-1.6843287248228583E-3</v>
      </c>
      <c r="H1448" s="19">
        <v>45601</v>
      </c>
      <c r="I1448" s="16">
        <v>92304.320000000007</v>
      </c>
      <c r="J1448" s="20">
        <f t="shared" si="45"/>
        <v>3.9843150836091868E-3</v>
      </c>
    </row>
    <row r="1449" spans="1:10" x14ac:dyDescent="0.3">
      <c r="A1449" s="19">
        <v>45602</v>
      </c>
      <c r="B1449" s="25">
        <v>284.39999999999998</v>
      </c>
      <c r="C1449" s="20">
        <f t="shared" si="44"/>
        <v>-3.5149384885772492E-4</v>
      </c>
      <c r="H1449" s="19">
        <v>45602</v>
      </c>
      <c r="I1449" s="16">
        <v>92021.440000000002</v>
      </c>
      <c r="J1449" s="20">
        <f t="shared" si="45"/>
        <v>-3.0646452950414955E-3</v>
      </c>
    </row>
    <row r="1450" spans="1:10" x14ac:dyDescent="0.3">
      <c r="A1450" s="19">
        <v>45603</v>
      </c>
      <c r="B1450" s="25">
        <v>283.5</v>
      </c>
      <c r="C1450" s="20">
        <f t="shared" si="44"/>
        <v>-3.1645569620252366E-3</v>
      </c>
      <c r="H1450" s="19">
        <v>45603</v>
      </c>
      <c r="I1450" s="16">
        <v>92520.49</v>
      </c>
      <c r="J1450" s="20">
        <f t="shared" si="45"/>
        <v>5.423192682053257E-3</v>
      </c>
    </row>
    <row r="1451" spans="1:10" x14ac:dyDescent="0.3">
      <c r="A1451" s="19">
        <v>45604</v>
      </c>
      <c r="B1451" s="25">
        <v>285.7</v>
      </c>
      <c r="C1451" s="20">
        <f t="shared" si="44"/>
        <v>7.760141093474387E-3</v>
      </c>
      <c r="H1451" s="19">
        <v>45604</v>
      </c>
      <c r="I1451" s="16">
        <v>93291.68</v>
      </c>
      <c r="J1451" s="20">
        <f t="shared" si="45"/>
        <v>8.3353427981195053E-3</v>
      </c>
    </row>
    <row r="1452" spans="1:10" x14ac:dyDescent="0.3">
      <c r="A1452" s="19">
        <v>45607</v>
      </c>
      <c r="B1452" s="25">
        <v>282.35000000000002</v>
      </c>
      <c r="C1452" s="20">
        <f t="shared" si="44"/>
        <v>-1.1725586279313846E-2</v>
      </c>
      <c r="H1452" s="19">
        <v>45607</v>
      </c>
      <c r="I1452" s="16">
        <v>93648.33</v>
      </c>
      <c r="J1452" s="20">
        <f t="shared" si="45"/>
        <v>3.8229561307075695E-3</v>
      </c>
    </row>
    <row r="1453" spans="1:10" x14ac:dyDescent="0.3">
      <c r="A1453" s="19">
        <v>45608</v>
      </c>
      <c r="B1453" s="25">
        <v>282.95</v>
      </c>
      <c r="C1453" s="20">
        <f t="shared" si="44"/>
        <v>2.1250221356471253E-3</v>
      </c>
      <c r="H1453" s="19">
        <v>45608</v>
      </c>
      <c r="I1453" s="16">
        <v>93224.56</v>
      </c>
      <c r="J1453" s="20">
        <f t="shared" si="45"/>
        <v>-4.5251207362694461E-3</v>
      </c>
    </row>
    <row r="1454" spans="1:10" x14ac:dyDescent="0.3">
      <c r="A1454" s="19">
        <v>45609</v>
      </c>
      <c r="B1454" s="25">
        <v>279.7</v>
      </c>
      <c r="C1454" s="20">
        <f t="shared" si="44"/>
        <v>-1.1486128291217529E-2</v>
      </c>
      <c r="H1454" s="19">
        <v>45609</v>
      </c>
      <c r="I1454" s="16">
        <v>93355.43</v>
      </c>
      <c r="J1454" s="20">
        <f t="shared" si="45"/>
        <v>1.4038146170922701E-3</v>
      </c>
    </row>
    <row r="1455" spans="1:10" x14ac:dyDescent="0.3">
      <c r="A1455" s="19">
        <v>45610</v>
      </c>
      <c r="B1455" s="25">
        <v>278.3</v>
      </c>
      <c r="C1455" s="20">
        <f t="shared" si="44"/>
        <v>-5.0053628888093579E-3</v>
      </c>
      <c r="H1455" s="19">
        <v>45610</v>
      </c>
      <c r="I1455" s="16">
        <v>94191.89</v>
      </c>
      <c r="J1455" s="20">
        <f t="shared" si="45"/>
        <v>8.9599501603710302E-3</v>
      </c>
    </row>
    <row r="1456" spans="1:10" x14ac:dyDescent="0.3">
      <c r="A1456" s="19">
        <v>45611</v>
      </c>
      <c r="B1456" s="25">
        <v>279.51</v>
      </c>
      <c r="C1456" s="20">
        <f t="shared" si="44"/>
        <v>4.3478260869564481E-3</v>
      </c>
      <c r="H1456" s="19">
        <v>45611</v>
      </c>
      <c r="I1456" s="16">
        <v>94763.64</v>
      </c>
      <c r="J1456" s="20">
        <f t="shared" si="45"/>
        <v>6.0700555005319462E-3</v>
      </c>
    </row>
    <row r="1457" spans="1:10" x14ac:dyDescent="0.3">
      <c r="A1457" s="19">
        <v>45614</v>
      </c>
      <c r="B1457" s="25">
        <v>284</v>
      </c>
      <c r="C1457" s="20">
        <f t="shared" si="44"/>
        <v>1.6063825981181386E-2</v>
      </c>
      <c r="H1457" s="19">
        <v>45614</v>
      </c>
      <c r="I1457" s="16">
        <v>94995.67</v>
      </c>
      <c r="J1457" s="20">
        <f t="shared" si="45"/>
        <v>2.4485129528582783E-3</v>
      </c>
    </row>
    <row r="1458" spans="1:10" x14ac:dyDescent="0.3">
      <c r="A1458" s="19">
        <v>45615</v>
      </c>
      <c r="B1458" s="25">
        <v>286.10000000000002</v>
      </c>
      <c r="C1458" s="20">
        <f t="shared" si="44"/>
        <v>7.3943661971831789E-3</v>
      </c>
      <c r="H1458" s="19">
        <v>45615</v>
      </c>
      <c r="I1458" s="16">
        <v>95856.67</v>
      </c>
      <c r="J1458" s="20">
        <f t="shared" si="45"/>
        <v>9.0635710027625466E-3</v>
      </c>
    </row>
    <row r="1459" spans="1:10" x14ac:dyDescent="0.3">
      <c r="A1459" s="19">
        <v>45616</v>
      </c>
      <c r="B1459" s="25">
        <v>297.75</v>
      </c>
      <c r="C1459" s="20">
        <f t="shared" si="44"/>
        <v>4.0720027962250875E-2</v>
      </c>
      <c r="H1459" s="19">
        <v>45616</v>
      </c>
      <c r="I1459" s="16">
        <v>95546.46</v>
      </c>
      <c r="J1459" s="20">
        <f t="shared" si="45"/>
        <v>-3.2361858595754667E-3</v>
      </c>
    </row>
    <row r="1460" spans="1:10" x14ac:dyDescent="0.3">
      <c r="A1460" s="19">
        <v>45617</v>
      </c>
      <c r="B1460" s="25">
        <v>325.8</v>
      </c>
      <c r="C1460" s="20">
        <f t="shared" si="44"/>
        <v>9.4206549118387953E-2</v>
      </c>
      <c r="H1460" s="19">
        <v>45617</v>
      </c>
      <c r="I1460" s="16">
        <v>97328.4</v>
      </c>
      <c r="J1460" s="20">
        <f t="shared" si="45"/>
        <v>1.8649984520619473E-2</v>
      </c>
    </row>
    <row r="1461" spans="1:10" x14ac:dyDescent="0.3">
      <c r="A1461" s="19">
        <v>45618</v>
      </c>
      <c r="B1461" s="25">
        <v>321.89999999999998</v>
      </c>
      <c r="C1461" s="20">
        <f t="shared" si="44"/>
        <v>-1.1970534069981689E-2</v>
      </c>
      <c r="H1461" s="19">
        <v>45618</v>
      </c>
      <c r="I1461" s="16">
        <v>97798.23</v>
      </c>
      <c r="J1461" s="20">
        <f t="shared" si="45"/>
        <v>4.8272652175521411E-3</v>
      </c>
    </row>
    <row r="1462" spans="1:10" x14ac:dyDescent="0.3">
      <c r="A1462" s="19">
        <v>45621</v>
      </c>
      <c r="B1462" s="25">
        <v>311</v>
      </c>
      <c r="C1462" s="20">
        <f t="shared" si="44"/>
        <v>-3.3861447654551034E-2</v>
      </c>
      <c r="H1462" s="19">
        <v>45621</v>
      </c>
      <c r="I1462" s="16">
        <v>98079.78</v>
      </c>
      <c r="J1462" s="20">
        <f t="shared" si="45"/>
        <v>2.8788864583745833E-3</v>
      </c>
    </row>
    <row r="1463" spans="1:10" x14ac:dyDescent="0.3">
      <c r="A1463" s="19">
        <v>45622</v>
      </c>
      <c r="B1463" s="25">
        <v>300.85000000000002</v>
      </c>
      <c r="C1463" s="20">
        <f t="shared" si="44"/>
        <v>-3.263665594855298E-2</v>
      </c>
      <c r="H1463" s="19">
        <v>45622</v>
      </c>
      <c r="I1463" s="16">
        <v>94574.16</v>
      </c>
      <c r="J1463" s="20">
        <f t="shared" si="45"/>
        <v>-3.5742535311559583E-2</v>
      </c>
    </row>
    <row r="1464" spans="1:10" x14ac:dyDescent="0.3">
      <c r="A1464" s="19">
        <v>45623</v>
      </c>
      <c r="B1464" s="25">
        <v>329.86</v>
      </c>
      <c r="C1464" s="20">
        <f t="shared" si="44"/>
        <v>9.6426790759514672E-2</v>
      </c>
      <c r="H1464" s="19">
        <v>45623</v>
      </c>
      <c r="I1464" s="16">
        <v>99269.25</v>
      </c>
      <c r="J1464" s="20">
        <f t="shared" si="45"/>
        <v>4.9644532925272572E-2</v>
      </c>
    </row>
    <row r="1465" spans="1:10" x14ac:dyDescent="0.3">
      <c r="A1465" s="19">
        <v>45624</v>
      </c>
      <c r="B1465" s="25">
        <v>326</v>
      </c>
      <c r="C1465" s="20">
        <f t="shared" si="44"/>
        <v>-1.1701934153883507E-2</v>
      </c>
      <c r="H1465" s="19">
        <v>45624</v>
      </c>
      <c r="I1465" s="16">
        <v>100082.77</v>
      </c>
      <c r="J1465" s="20">
        <f t="shared" si="45"/>
        <v>8.1950855879338678E-3</v>
      </c>
    </row>
    <row r="1466" spans="1:10" x14ac:dyDescent="0.3">
      <c r="A1466" s="19">
        <v>45625</v>
      </c>
      <c r="B1466" s="25">
        <v>323.5</v>
      </c>
      <c r="C1466" s="20">
        <f t="shared" si="44"/>
        <v>-7.6687116564417178E-3</v>
      </c>
      <c r="H1466" s="19">
        <v>45625</v>
      </c>
      <c r="I1466" s="16">
        <v>101357.32</v>
      </c>
      <c r="J1466" s="20">
        <f t="shared" si="45"/>
        <v>1.2734959274208766E-2</v>
      </c>
    </row>
    <row r="1467" spans="1:10" x14ac:dyDescent="0.3">
      <c r="A1467" s="19">
        <v>45628</v>
      </c>
      <c r="B1467" s="25">
        <v>333.8</v>
      </c>
      <c r="C1467" s="20">
        <f t="shared" si="44"/>
        <v>3.1839258114374068E-2</v>
      </c>
      <c r="H1467" s="19">
        <v>45628</v>
      </c>
      <c r="I1467" s="16">
        <v>103274.95</v>
      </c>
      <c r="J1467" s="20">
        <f t="shared" si="45"/>
        <v>1.8919501817924841E-2</v>
      </c>
    </row>
    <row r="1468" spans="1:10" x14ac:dyDescent="0.3">
      <c r="A1468" s="19">
        <v>45629</v>
      </c>
      <c r="B1468" s="25">
        <v>336.03</v>
      </c>
      <c r="C1468" s="20">
        <f t="shared" si="44"/>
        <v>6.6806470940681886E-3</v>
      </c>
      <c r="H1468" s="19">
        <v>45629</v>
      </c>
      <c r="I1468" s="16">
        <v>104559.07</v>
      </c>
      <c r="J1468" s="20">
        <f t="shared" si="45"/>
        <v>1.2433992947951172E-2</v>
      </c>
    </row>
    <row r="1469" spans="1:10" x14ac:dyDescent="0.3">
      <c r="A1469" s="19">
        <v>45630</v>
      </c>
      <c r="B1469" s="25">
        <v>336</v>
      </c>
      <c r="C1469" s="20">
        <f t="shared" si="44"/>
        <v>-8.9277743058574285E-5</v>
      </c>
      <c r="H1469" s="19">
        <v>45630</v>
      </c>
      <c r="I1469" s="16">
        <v>105104.34</v>
      </c>
      <c r="J1469" s="20">
        <f t="shared" si="45"/>
        <v>5.2149469194780473E-3</v>
      </c>
    </row>
    <row r="1470" spans="1:10" x14ac:dyDescent="0.3">
      <c r="A1470" s="19">
        <v>45631</v>
      </c>
      <c r="B1470" s="25">
        <v>349</v>
      </c>
      <c r="C1470" s="20">
        <f t="shared" si="44"/>
        <v>3.8690476190476192E-2</v>
      </c>
      <c r="H1470" s="19">
        <v>45631</v>
      </c>
      <c r="I1470" s="16">
        <v>108238.97</v>
      </c>
      <c r="J1470" s="20">
        <f t="shared" si="45"/>
        <v>2.9823982530122018E-2</v>
      </c>
    </row>
    <row r="1471" spans="1:10" x14ac:dyDescent="0.3">
      <c r="A1471" s="19">
        <v>45632</v>
      </c>
      <c r="B1471" s="25">
        <v>348.01</v>
      </c>
      <c r="C1471" s="20">
        <f t="shared" si="44"/>
        <v>-2.8366762177650692E-3</v>
      </c>
      <c r="H1471" s="19">
        <v>45632</v>
      </c>
      <c r="I1471" s="16">
        <v>109053.95</v>
      </c>
      <c r="J1471" s="20">
        <f t="shared" si="45"/>
        <v>7.5294508068581576E-3</v>
      </c>
    </row>
    <row r="1472" spans="1:10" x14ac:dyDescent="0.3">
      <c r="A1472" s="19">
        <v>45635</v>
      </c>
      <c r="B1472" s="25">
        <v>348</v>
      </c>
      <c r="C1472" s="20">
        <f t="shared" si="44"/>
        <v>-2.8734806471052282E-5</v>
      </c>
      <c r="H1472" s="19">
        <v>45635</v>
      </c>
      <c r="I1472" s="16">
        <v>109970.39</v>
      </c>
      <c r="J1472" s="20">
        <f t="shared" si="45"/>
        <v>8.403547051711582E-3</v>
      </c>
    </row>
    <row r="1473" spans="1:10" x14ac:dyDescent="0.3">
      <c r="A1473" s="19">
        <v>45636</v>
      </c>
      <c r="B1473" s="25">
        <v>348.15</v>
      </c>
      <c r="C1473" s="20">
        <f t="shared" si="44"/>
        <v>4.3103448275855536E-4</v>
      </c>
      <c r="H1473" s="19">
        <v>45636</v>
      </c>
      <c r="I1473" s="16">
        <v>108896.65</v>
      </c>
      <c r="J1473" s="20">
        <f t="shared" si="45"/>
        <v>-9.7639009918943209E-3</v>
      </c>
    </row>
    <row r="1474" spans="1:10" x14ac:dyDescent="0.3">
      <c r="A1474" s="19">
        <v>45637</v>
      </c>
      <c r="B1474" s="25">
        <v>350.48</v>
      </c>
      <c r="C1474" s="20">
        <f t="shared" si="44"/>
        <v>6.6925175929916448E-3</v>
      </c>
      <c r="H1474" s="19">
        <v>45637</v>
      </c>
      <c r="I1474" s="16">
        <v>110810.22</v>
      </c>
      <c r="J1474" s="20">
        <f t="shared" si="45"/>
        <v>1.7572349562635831E-2</v>
      </c>
    </row>
    <row r="1475" spans="1:10" x14ac:dyDescent="0.3">
      <c r="A1475" s="19">
        <v>45638</v>
      </c>
      <c r="B1475" s="25">
        <v>385.46</v>
      </c>
      <c r="C1475" s="20">
        <f t="shared" si="44"/>
        <v>9.9805980369778474E-2</v>
      </c>
      <c r="H1475" s="19">
        <v>45638</v>
      </c>
      <c r="I1475" s="16">
        <v>114180.51</v>
      </c>
      <c r="J1475" s="20">
        <f t="shared" si="45"/>
        <v>3.0414974358863232E-2</v>
      </c>
    </row>
    <row r="1476" spans="1:10" x14ac:dyDescent="0.3">
      <c r="A1476" s="19">
        <v>45639</v>
      </c>
      <c r="B1476" s="25">
        <v>401</v>
      </c>
      <c r="C1476" s="20">
        <f t="shared" si="44"/>
        <v>4.0315467233954294E-2</v>
      </c>
      <c r="H1476" s="19">
        <v>45639</v>
      </c>
      <c r="I1476" s="16">
        <v>114301.8</v>
      </c>
      <c r="J1476" s="20">
        <f t="shared" si="45"/>
        <v>1.0622653550943866E-3</v>
      </c>
    </row>
    <row r="1477" spans="1:10" x14ac:dyDescent="0.3">
      <c r="A1477" s="19">
        <v>45642</v>
      </c>
      <c r="B1477" s="25">
        <v>416.91</v>
      </c>
      <c r="C1477" s="20">
        <f t="shared" ref="C1477:C1540" si="46">(B1477-B1476)/B1476</f>
        <v>3.967581047381552E-2</v>
      </c>
      <c r="H1477" s="19">
        <v>45642</v>
      </c>
      <c r="I1477" s="16">
        <v>116169.41</v>
      </c>
      <c r="J1477" s="20">
        <f t="shared" ref="J1477:J1540" si="47">(I1477-I1476)/I1476</f>
        <v>1.6339287745249859E-2</v>
      </c>
    </row>
    <row r="1478" spans="1:10" x14ac:dyDescent="0.3">
      <c r="A1478" s="19">
        <v>45643</v>
      </c>
      <c r="B1478" s="25">
        <v>399</v>
      </c>
      <c r="C1478" s="20">
        <f t="shared" si="46"/>
        <v>-4.2958911995394748E-2</v>
      </c>
      <c r="H1478" s="19">
        <v>45643</v>
      </c>
      <c r="I1478" s="16">
        <v>114860.69</v>
      </c>
      <c r="J1478" s="20">
        <f t="shared" si="47"/>
        <v>-1.1265616309835792E-2</v>
      </c>
    </row>
    <row r="1479" spans="1:10" x14ac:dyDescent="0.3">
      <c r="A1479" s="19">
        <v>45644</v>
      </c>
      <c r="B1479" s="25">
        <v>375.99</v>
      </c>
      <c r="C1479" s="20">
        <f t="shared" si="46"/>
        <v>-5.7669172932330807E-2</v>
      </c>
      <c r="H1479" s="19">
        <v>45644</v>
      </c>
      <c r="I1479" s="16">
        <v>111070.29</v>
      </c>
      <c r="J1479" s="20">
        <f t="shared" si="47"/>
        <v>-3.2999975883829434E-2</v>
      </c>
    </row>
    <row r="1480" spans="1:10" x14ac:dyDescent="0.3">
      <c r="A1480" s="19">
        <v>45645</v>
      </c>
      <c r="B1480" s="25">
        <v>370</v>
      </c>
      <c r="C1480" s="20">
        <f t="shared" si="46"/>
        <v>-1.593127476794598E-2</v>
      </c>
      <c r="H1480" s="19">
        <v>45645</v>
      </c>
      <c r="I1480" s="16">
        <v>106274.98</v>
      </c>
      <c r="J1480" s="20">
        <f t="shared" si="47"/>
        <v>-4.3173651567849497E-2</v>
      </c>
    </row>
    <row r="1481" spans="1:10" x14ac:dyDescent="0.3">
      <c r="A1481" s="19">
        <v>45646</v>
      </c>
      <c r="B1481" s="25">
        <v>385.9</v>
      </c>
      <c r="C1481" s="20">
        <f t="shared" si="46"/>
        <v>4.2972972972972909E-2</v>
      </c>
      <c r="H1481" s="19">
        <v>45646</v>
      </c>
      <c r="I1481" s="16">
        <v>109513.15</v>
      </c>
      <c r="J1481" s="20">
        <f t="shared" si="47"/>
        <v>3.0469730504771662E-2</v>
      </c>
    </row>
    <row r="1482" spans="1:10" x14ac:dyDescent="0.3">
      <c r="A1482" s="19">
        <v>45649</v>
      </c>
      <c r="B1482" s="25">
        <v>401.5</v>
      </c>
      <c r="C1482" s="20">
        <f t="shared" si="46"/>
        <v>4.0424980564913254E-2</v>
      </c>
      <c r="H1482" s="19">
        <v>45649</v>
      </c>
      <c r="I1482" s="16">
        <v>113924.42</v>
      </c>
      <c r="J1482" s="20">
        <f t="shared" si="47"/>
        <v>4.02807334096408E-2</v>
      </c>
    </row>
    <row r="1483" spans="1:10" x14ac:dyDescent="0.3">
      <c r="A1483" s="19">
        <v>45650</v>
      </c>
      <c r="B1483" s="25">
        <v>383.99</v>
      </c>
      <c r="C1483" s="20">
        <f t="shared" si="46"/>
        <v>-4.3611457036114548E-2</v>
      </c>
      <c r="H1483" s="19">
        <v>45650</v>
      </c>
      <c r="I1483" s="16">
        <v>112414.81</v>
      </c>
      <c r="J1483" s="20">
        <f t="shared" si="47"/>
        <v>-1.3250978148495298E-2</v>
      </c>
    </row>
    <row r="1484" spans="1:10" x14ac:dyDescent="0.3">
      <c r="A1484" s="19">
        <v>45652</v>
      </c>
      <c r="B1484" s="25">
        <v>373</v>
      </c>
      <c r="C1484" s="20">
        <f t="shared" si="46"/>
        <v>-2.8620536993150886E-2</v>
      </c>
      <c r="H1484" s="19">
        <v>45652</v>
      </c>
      <c r="I1484" s="16">
        <v>110423.32</v>
      </c>
      <c r="J1484" s="20">
        <f t="shared" si="47"/>
        <v>-1.7715548333889376E-2</v>
      </c>
    </row>
    <row r="1485" spans="1:10" x14ac:dyDescent="0.3">
      <c r="A1485" s="19">
        <v>45653</v>
      </c>
      <c r="B1485" s="25">
        <v>374.06</v>
      </c>
      <c r="C1485" s="20">
        <f t="shared" si="46"/>
        <v>2.8418230563002742E-3</v>
      </c>
      <c r="H1485" s="19">
        <v>45653</v>
      </c>
      <c r="I1485" s="16">
        <v>111351.18</v>
      </c>
      <c r="J1485" s="20">
        <f t="shared" si="47"/>
        <v>8.4027540559366079E-3</v>
      </c>
    </row>
    <row r="1486" spans="1:10" x14ac:dyDescent="0.3">
      <c r="A1486" s="19">
        <v>45656</v>
      </c>
      <c r="B1486" s="25">
        <v>373.5</v>
      </c>
      <c r="C1486" s="20">
        <f t="shared" si="46"/>
        <v>-1.4970860289793143E-3</v>
      </c>
      <c r="H1486" s="19">
        <v>45656</v>
      </c>
      <c r="I1486" s="16">
        <v>115259</v>
      </c>
      <c r="J1486" s="20">
        <f t="shared" si="47"/>
        <v>3.5094554004726372E-2</v>
      </c>
    </row>
    <row r="1487" spans="1:10" x14ac:dyDescent="0.3">
      <c r="A1487" s="19">
        <v>45657</v>
      </c>
      <c r="B1487" s="25">
        <v>367.5</v>
      </c>
      <c r="C1487" s="20">
        <f t="shared" si="46"/>
        <v>-1.6064257028112448E-2</v>
      </c>
      <c r="H1487" s="19">
        <v>45657</v>
      </c>
      <c r="I1487" s="16">
        <v>115126.9</v>
      </c>
      <c r="J1487" s="20">
        <f t="shared" si="47"/>
        <v>-1.1461144032136824E-3</v>
      </c>
    </row>
    <row r="1488" spans="1:10" x14ac:dyDescent="0.3">
      <c r="A1488" s="19">
        <v>45658</v>
      </c>
      <c r="B1488" s="25">
        <v>377.99</v>
      </c>
      <c r="C1488" s="20">
        <f t="shared" si="46"/>
        <v>2.8544217687074856E-2</v>
      </c>
      <c r="H1488" s="19">
        <v>45658</v>
      </c>
      <c r="I1488" s="16">
        <v>117008.08</v>
      </c>
      <c r="J1488" s="20">
        <f t="shared" si="47"/>
        <v>1.6340056059878341E-2</v>
      </c>
    </row>
    <row r="1489" spans="1:10" x14ac:dyDescent="0.3">
      <c r="A1489" s="19">
        <v>45659</v>
      </c>
      <c r="B1489" s="25">
        <v>379</v>
      </c>
      <c r="C1489" s="20">
        <f t="shared" si="46"/>
        <v>2.6720283605386145E-3</v>
      </c>
      <c r="H1489" s="19">
        <v>45659</v>
      </c>
      <c r="I1489" s="16">
        <v>117119.66</v>
      </c>
      <c r="J1489" s="20">
        <f t="shared" si="47"/>
        <v>9.5360935757600452E-4</v>
      </c>
    </row>
    <row r="1490" spans="1:10" x14ac:dyDescent="0.3">
      <c r="A1490" s="19">
        <v>45660</v>
      </c>
      <c r="B1490" s="25">
        <v>388.6</v>
      </c>
      <c r="C1490" s="20">
        <f t="shared" si="46"/>
        <v>2.5329815303430141E-2</v>
      </c>
      <c r="H1490" s="19">
        <v>45660</v>
      </c>
      <c r="I1490" s="16">
        <v>117586.98</v>
      </c>
      <c r="J1490" s="20">
        <f t="shared" si="47"/>
        <v>3.9901072117182754E-3</v>
      </c>
    </row>
    <row r="1491" spans="1:10" x14ac:dyDescent="0.3">
      <c r="A1491" s="19">
        <v>45663</v>
      </c>
      <c r="B1491" s="25">
        <v>383.58</v>
      </c>
      <c r="C1491" s="20">
        <f t="shared" si="46"/>
        <v>-1.291816778178085E-2</v>
      </c>
      <c r="H1491" s="19">
        <v>45663</v>
      </c>
      <c r="I1491" s="16">
        <v>116255.13</v>
      </c>
      <c r="J1491" s="20">
        <f t="shared" si="47"/>
        <v>-1.1326509108406315E-2</v>
      </c>
    </row>
    <row r="1492" spans="1:10" x14ac:dyDescent="0.3">
      <c r="A1492" s="19">
        <v>45664</v>
      </c>
      <c r="B1492" s="25">
        <v>381.13</v>
      </c>
      <c r="C1492" s="20">
        <f t="shared" si="46"/>
        <v>-6.3871943271286008E-3</v>
      </c>
      <c r="H1492" s="19">
        <v>45664</v>
      </c>
      <c r="I1492" s="16">
        <v>116052.68</v>
      </c>
      <c r="J1492" s="20">
        <f t="shared" si="47"/>
        <v>-1.7414285287884641E-3</v>
      </c>
    </row>
    <row r="1493" spans="1:10" x14ac:dyDescent="0.3">
      <c r="A1493" s="19">
        <v>45665</v>
      </c>
      <c r="B1493" s="25">
        <v>382.72</v>
      </c>
      <c r="C1493" s="20">
        <f t="shared" si="46"/>
        <v>4.1718048959673388E-3</v>
      </c>
      <c r="H1493" s="19">
        <v>45665</v>
      </c>
      <c r="I1493" s="16">
        <v>114148.46</v>
      </c>
      <c r="J1493" s="20">
        <f t="shared" si="47"/>
        <v>-1.6408238051891493E-2</v>
      </c>
    </row>
    <row r="1494" spans="1:10" x14ac:dyDescent="0.3">
      <c r="A1494" s="19">
        <v>45666</v>
      </c>
      <c r="B1494" s="25">
        <v>381.79</v>
      </c>
      <c r="C1494" s="20">
        <f t="shared" si="46"/>
        <v>-2.4299749163879773E-3</v>
      </c>
      <c r="H1494" s="19">
        <v>45666</v>
      </c>
      <c r="I1494" s="16">
        <v>112638.26</v>
      </c>
      <c r="J1494" s="20">
        <f t="shared" si="47"/>
        <v>-1.3230139066265209E-2</v>
      </c>
    </row>
    <row r="1495" spans="1:10" x14ac:dyDescent="0.3">
      <c r="A1495" s="19">
        <v>45667</v>
      </c>
      <c r="B1495" s="25">
        <v>383.73</v>
      </c>
      <c r="C1495" s="20">
        <f t="shared" si="46"/>
        <v>5.0813274313103998E-3</v>
      </c>
      <c r="H1495" s="19">
        <v>45667</v>
      </c>
      <c r="I1495" s="16">
        <v>113247.29</v>
      </c>
      <c r="J1495" s="20">
        <f t="shared" si="47"/>
        <v>5.4069549724933509E-3</v>
      </c>
    </row>
    <row r="1496" spans="1:10" x14ac:dyDescent="0.3">
      <c r="A1496" s="19">
        <v>45670</v>
      </c>
      <c r="B1496" s="25">
        <v>386.03</v>
      </c>
      <c r="C1496" s="20">
        <f t="shared" si="46"/>
        <v>5.9937977223567468E-3</v>
      </c>
      <c r="H1496" s="19">
        <v>45670</v>
      </c>
      <c r="I1496" s="16">
        <v>114230.06</v>
      </c>
      <c r="J1496" s="20">
        <f t="shared" si="47"/>
        <v>8.6780884558032619E-3</v>
      </c>
    </row>
    <row r="1497" spans="1:10" x14ac:dyDescent="0.3">
      <c r="A1497" s="19">
        <v>45671</v>
      </c>
      <c r="B1497" s="25">
        <v>384.56</v>
      </c>
      <c r="C1497" s="20">
        <f t="shared" si="46"/>
        <v>-3.8079941973420991E-3</v>
      </c>
      <c r="H1497" s="19">
        <v>45671</v>
      </c>
      <c r="I1497" s="16">
        <v>114804.17</v>
      </c>
      <c r="J1497" s="20">
        <f t="shared" si="47"/>
        <v>5.0259099925186118E-3</v>
      </c>
    </row>
    <row r="1498" spans="1:10" x14ac:dyDescent="0.3">
      <c r="A1498" s="19">
        <v>45672</v>
      </c>
      <c r="B1498" s="25">
        <v>388.54</v>
      </c>
      <c r="C1498" s="20">
        <f t="shared" si="46"/>
        <v>1.0349490326607079E-2</v>
      </c>
      <c r="H1498" s="19">
        <v>45672</v>
      </c>
      <c r="I1498" s="16">
        <v>114495.71</v>
      </c>
      <c r="J1498" s="20">
        <f t="shared" si="47"/>
        <v>-2.6868362011588241E-3</v>
      </c>
    </row>
    <row r="1499" spans="1:10" x14ac:dyDescent="0.3">
      <c r="A1499" s="19">
        <v>45673</v>
      </c>
      <c r="B1499" s="25">
        <v>385.13</v>
      </c>
      <c r="C1499" s="20">
        <f t="shared" si="46"/>
        <v>-8.7764451536521976E-3</v>
      </c>
      <c r="H1499" s="19">
        <v>45673</v>
      </c>
      <c r="I1499" s="16">
        <v>113836.74</v>
      </c>
      <c r="J1499" s="20">
        <f t="shared" si="47"/>
        <v>-5.7554121460096728E-3</v>
      </c>
    </row>
    <row r="1500" spans="1:10" x14ac:dyDescent="0.3">
      <c r="A1500" s="19">
        <v>45674</v>
      </c>
      <c r="B1500" s="25">
        <v>387.02</v>
      </c>
      <c r="C1500" s="20">
        <f t="shared" si="46"/>
        <v>4.9074338535039759E-3</v>
      </c>
      <c r="H1500" s="19">
        <v>45674</v>
      </c>
      <c r="I1500" s="16">
        <v>115272.08</v>
      </c>
      <c r="J1500" s="20">
        <f t="shared" si="47"/>
        <v>1.2608758824260045E-2</v>
      </c>
    </row>
    <row r="1501" spans="1:10" x14ac:dyDescent="0.3">
      <c r="A1501" s="19">
        <v>45677</v>
      </c>
      <c r="B1501" s="25">
        <v>390.89</v>
      </c>
      <c r="C1501" s="20">
        <f t="shared" si="46"/>
        <v>9.9994832308407961E-3</v>
      </c>
      <c r="H1501" s="19">
        <v>45677</v>
      </c>
      <c r="I1501" s="16">
        <v>115844.82</v>
      </c>
      <c r="J1501" s="20">
        <f t="shared" si="47"/>
        <v>4.9685925681223521E-3</v>
      </c>
    </row>
    <row r="1502" spans="1:10" x14ac:dyDescent="0.3">
      <c r="A1502" s="19">
        <v>45678</v>
      </c>
      <c r="B1502" s="25">
        <v>395.21</v>
      </c>
      <c r="C1502" s="20">
        <f t="shared" si="46"/>
        <v>1.1051702525007019E-2</v>
      </c>
      <c r="H1502" s="19">
        <v>45678</v>
      </c>
      <c r="I1502" s="16">
        <v>115042.25</v>
      </c>
      <c r="J1502" s="20">
        <f t="shared" si="47"/>
        <v>-6.9279748546374961E-3</v>
      </c>
    </row>
    <row r="1503" spans="1:10" x14ac:dyDescent="0.3">
      <c r="A1503" s="19">
        <v>45679</v>
      </c>
      <c r="B1503" s="25">
        <v>394.58</v>
      </c>
      <c r="C1503" s="20">
        <f t="shared" si="46"/>
        <v>-1.5940892183902114E-3</v>
      </c>
      <c r="H1503" s="19">
        <v>45679</v>
      </c>
      <c r="I1503" s="16">
        <v>113443.43</v>
      </c>
      <c r="J1503" s="20">
        <f t="shared" si="47"/>
        <v>-1.3897676723117003E-2</v>
      </c>
    </row>
    <row r="1504" spans="1:10" x14ac:dyDescent="0.3">
      <c r="A1504" s="19">
        <v>45680</v>
      </c>
      <c r="B1504" s="25">
        <v>393.75</v>
      </c>
      <c r="C1504" s="20">
        <f t="shared" si="46"/>
        <v>-2.1035024583100615E-3</v>
      </c>
      <c r="H1504" s="19">
        <v>45680</v>
      </c>
      <c r="I1504" s="16">
        <v>114037.79</v>
      </c>
      <c r="J1504" s="20">
        <f t="shared" si="47"/>
        <v>5.2392633050675624E-3</v>
      </c>
    </row>
    <row r="1505" spans="1:10" x14ac:dyDescent="0.3">
      <c r="A1505" s="19">
        <v>45681</v>
      </c>
      <c r="B1505" s="25">
        <v>408.06</v>
      </c>
      <c r="C1505" s="20">
        <f t="shared" si="46"/>
        <v>3.6342857142857149E-2</v>
      </c>
      <c r="H1505" s="19">
        <v>45681</v>
      </c>
      <c r="I1505" s="16">
        <v>114880.49</v>
      </c>
      <c r="J1505" s="20">
        <f t="shared" si="47"/>
        <v>7.3896556571292002E-3</v>
      </c>
    </row>
    <row r="1506" spans="1:10" x14ac:dyDescent="0.3">
      <c r="A1506" s="19">
        <v>45684</v>
      </c>
      <c r="B1506" s="25">
        <v>409.66</v>
      </c>
      <c r="C1506" s="20">
        <f t="shared" si="46"/>
        <v>3.9209920109788332E-3</v>
      </c>
      <c r="H1506" s="19">
        <v>45684</v>
      </c>
      <c r="I1506" s="16">
        <v>113520.32000000001</v>
      </c>
      <c r="J1506" s="20">
        <f t="shared" si="47"/>
        <v>-1.1839869415598751E-2</v>
      </c>
    </row>
    <row r="1507" spans="1:10" x14ac:dyDescent="0.3">
      <c r="A1507" s="19">
        <v>45685</v>
      </c>
      <c r="B1507" s="25">
        <v>398.67</v>
      </c>
      <c r="C1507" s="20">
        <f t="shared" si="46"/>
        <v>-2.682712493287118E-2</v>
      </c>
      <c r="H1507" s="19">
        <v>45685</v>
      </c>
      <c r="I1507" s="16">
        <v>112030.36</v>
      </c>
      <c r="J1507" s="20">
        <f t="shared" si="47"/>
        <v>-1.3125051092174567E-2</v>
      </c>
    </row>
    <row r="1508" spans="1:10" x14ac:dyDescent="0.3">
      <c r="A1508" s="19">
        <v>45686</v>
      </c>
      <c r="B1508" s="25">
        <v>389.19</v>
      </c>
      <c r="C1508" s="20">
        <f t="shared" si="46"/>
        <v>-2.3779065392429875E-2</v>
      </c>
      <c r="H1508" s="19">
        <v>45686</v>
      </c>
      <c r="I1508" s="16">
        <v>111487.36</v>
      </c>
      <c r="J1508" s="20">
        <f t="shared" si="47"/>
        <v>-4.8469004294907202E-3</v>
      </c>
    </row>
    <row r="1509" spans="1:10" x14ac:dyDescent="0.3">
      <c r="A1509" s="19">
        <v>45687</v>
      </c>
      <c r="B1509" s="25">
        <v>392.42</v>
      </c>
      <c r="C1509" s="20">
        <f t="shared" si="46"/>
        <v>8.2992882653717161E-3</v>
      </c>
      <c r="H1509" s="19">
        <v>45687</v>
      </c>
      <c r="I1509" s="16">
        <v>113206.39999999999</v>
      </c>
      <c r="J1509" s="20">
        <f t="shared" si="47"/>
        <v>1.5419147067434313E-2</v>
      </c>
    </row>
    <row r="1510" spans="1:10" x14ac:dyDescent="0.3">
      <c r="A1510" s="19">
        <v>45688</v>
      </c>
      <c r="B1510" s="25">
        <v>391.51</v>
      </c>
      <c r="C1510" s="20">
        <f t="shared" si="46"/>
        <v>-2.318943988583724E-3</v>
      </c>
      <c r="H1510" s="19">
        <v>45688</v>
      </c>
      <c r="I1510" s="16">
        <v>114255.73</v>
      </c>
      <c r="J1510" s="20">
        <f t="shared" si="47"/>
        <v>9.2691755943127042E-3</v>
      </c>
    </row>
    <row r="1511" spans="1:10" x14ac:dyDescent="0.3">
      <c r="A1511" s="19">
        <v>45691</v>
      </c>
      <c r="B1511" s="25">
        <v>384.33</v>
      </c>
      <c r="C1511" s="20">
        <f t="shared" si="46"/>
        <v>-1.8339250593854581E-2</v>
      </c>
      <c r="H1511" s="19">
        <v>45691</v>
      </c>
      <c r="I1511" s="16">
        <v>112745.01</v>
      </c>
      <c r="J1511" s="20">
        <f t="shared" si="47"/>
        <v>-1.3222269027557753E-2</v>
      </c>
    </row>
    <row r="1512" spans="1:10" x14ac:dyDescent="0.3">
      <c r="A1512" s="19">
        <v>45692</v>
      </c>
      <c r="B1512" s="25">
        <v>380.97</v>
      </c>
      <c r="C1512" s="20">
        <f t="shared" si="46"/>
        <v>-8.7424869252984601E-3</v>
      </c>
      <c r="H1512" s="19">
        <v>45692</v>
      </c>
      <c r="I1512" s="16">
        <v>111935.38</v>
      </c>
      <c r="J1512" s="20">
        <f t="shared" si="47"/>
        <v>-7.1810716944367657E-3</v>
      </c>
    </row>
    <row r="1513" spans="1:10" x14ac:dyDescent="0.3">
      <c r="A1513" s="19">
        <v>45694</v>
      </c>
      <c r="B1513" s="25">
        <v>376.42</v>
      </c>
      <c r="C1513" s="20">
        <f t="shared" si="46"/>
        <v>-1.1943197627109775E-2</v>
      </c>
      <c r="H1513" s="19">
        <v>45694</v>
      </c>
      <c r="I1513" s="16">
        <v>110301.16</v>
      </c>
      <c r="J1513" s="20">
        <f t="shared" si="47"/>
        <v>-1.4599673490186937E-2</v>
      </c>
    </row>
    <row r="1514" spans="1:10" x14ac:dyDescent="0.3">
      <c r="A1514" s="19">
        <v>45695</v>
      </c>
      <c r="B1514" s="25">
        <v>382.81</v>
      </c>
      <c r="C1514" s="20">
        <f t="shared" si="46"/>
        <v>1.6975718612188474E-2</v>
      </c>
      <c r="H1514" s="19">
        <v>45695</v>
      </c>
      <c r="I1514" s="16">
        <v>110322.94</v>
      </c>
      <c r="J1514" s="20">
        <f t="shared" si="47"/>
        <v>1.9745939208616514E-4</v>
      </c>
    </row>
    <row r="1515" spans="1:10" x14ac:dyDescent="0.3">
      <c r="A1515" s="19">
        <v>45698</v>
      </c>
      <c r="B1515" s="25">
        <v>383.44</v>
      </c>
      <c r="C1515" s="20">
        <f t="shared" si="46"/>
        <v>1.645725033306328E-3</v>
      </c>
      <c r="H1515" s="19">
        <v>45698</v>
      </c>
      <c r="I1515" s="16">
        <v>111377.97</v>
      </c>
      <c r="J1515" s="20">
        <f t="shared" si="47"/>
        <v>9.563106276899427E-3</v>
      </c>
    </row>
    <row r="1516" spans="1:10" x14ac:dyDescent="0.3">
      <c r="A1516" s="19">
        <v>45699</v>
      </c>
      <c r="B1516" s="25">
        <v>389.08</v>
      </c>
      <c r="C1516" s="20">
        <f t="shared" si="46"/>
        <v>1.4708950552889595E-2</v>
      </c>
      <c r="H1516" s="19">
        <v>45699</v>
      </c>
      <c r="I1516" s="16">
        <v>113010.38</v>
      </c>
      <c r="J1516" s="20">
        <f t="shared" si="47"/>
        <v>1.4656489070504729E-2</v>
      </c>
    </row>
    <row r="1517" spans="1:10" x14ac:dyDescent="0.3">
      <c r="A1517" s="19">
        <v>45700</v>
      </c>
      <c r="B1517" s="25">
        <v>388.88</v>
      </c>
      <c r="C1517" s="20">
        <f t="shared" si="46"/>
        <v>-5.1403310373185113E-4</v>
      </c>
      <c r="H1517" s="19">
        <v>45700</v>
      </c>
      <c r="I1517" s="16">
        <v>112924.94</v>
      </c>
      <c r="J1517" s="20">
        <f t="shared" si="47"/>
        <v>-7.5603674635907185E-4</v>
      </c>
    </row>
    <row r="1518" spans="1:10" x14ac:dyDescent="0.3">
      <c r="A1518" s="19">
        <v>45701</v>
      </c>
      <c r="B1518" s="25">
        <v>388.04</v>
      </c>
      <c r="C1518" s="20">
        <f t="shared" si="46"/>
        <v>-2.1600493725570228E-3</v>
      </c>
      <c r="H1518" s="19">
        <v>45701</v>
      </c>
      <c r="I1518" s="16">
        <v>112564.08</v>
      </c>
      <c r="J1518" s="20">
        <f t="shared" si="47"/>
        <v>-3.1955739803802472E-3</v>
      </c>
    </row>
    <row r="1519" spans="1:10" x14ac:dyDescent="0.3">
      <c r="A1519" s="19">
        <v>45702</v>
      </c>
      <c r="B1519" s="25">
        <v>390.64</v>
      </c>
      <c r="C1519" s="20">
        <f t="shared" si="46"/>
        <v>6.7003401711162912E-3</v>
      </c>
      <c r="H1519" s="19">
        <v>45702</v>
      </c>
      <c r="I1519" s="16">
        <v>112085.3</v>
      </c>
      <c r="J1519" s="20">
        <f t="shared" si="47"/>
        <v>-4.2533994858750578E-3</v>
      </c>
    </row>
    <row r="1520" spans="1:10" x14ac:dyDescent="0.3">
      <c r="A1520" s="19">
        <v>45705</v>
      </c>
      <c r="B1520" s="25">
        <v>390.52</v>
      </c>
      <c r="C1520" s="20">
        <f t="shared" si="46"/>
        <v>-3.0718820397297909E-4</v>
      </c>
      <c r="H1520" s="19">
        <v>45705</v>
      </c>
      <c r="I1520" s="16">
        <v>111743.53</v>
      </c>
      <c r="J1520" s="20">
        <f t="shared" si="47"/>
        <v>-3.0491955680183223E-3</v>
      </c>
    </row>
    <row r="1521" spans="1:10" x14ac:dyDescent="0.3">
      <c r="A1521" s="19">
        <v>45706</v>
      </c>
      <c r="B1521" s="25">
        <v>392.13</v>
      </c>
      <c r="C1521" s="20">
        <f t="shared" si="46"/>
        <v>4.1227081839598839E-3</v>
      </c>
      <c r="H1521" s="19">
        <v>45706</v>
      </c>
      <c r="I1521" s="16">
        <v>113088.48</v>
      </c>
      <c r="J1521" s="20">
        <f t="shared" si="47"/>
        <v>1.2036043608072854E-2</v>
      </c>
    </row>
    <row r="1522" spans="1:10" x14ac:dyDescent="0.3">
      <c r="A1522" s="19">
        <v>45707</v>
      </c>
      <c r="B1522" s="25">
        <v>396.76</v>
      </c>
      <c r="C1522" s="20">
        <f t="shared" si="46"/>
        <v>1.1807308800652833E-2</v>
      </c>
      <c r="H1522" s="19">
        <v>45707</v>
      </c>
      <c r="I1522" s="16">
        <v>113342.44</v>
      </c>
      <c r="J1522" s="20">
        <f t="shared" si="47"/>
        <v>2.2456752447287858E-3</v>
      </c>
    </row>
    <row r="1523" spans="1:10" x14ac:dyDescent="0.3">
      <c r="A1523" s="19">
        <v>45708</v>
      </c>
      <c r="B1523" s="25">
        <v>397.5</v>
      </c>
      <c r="C1523" s="20">
        <f t="shared" si="46"/>
        <v>1.8651073696945486E-3</v>
      </c>
      <c r="H1523" s="19">
        <v>45708</v>
      </c>
      <c r="I1523" s="16">
        <v>113739.16</v>
      </c>
      <c r="J1523" s="20">
        <f t="shared" si="47"/>
        <v>3.5001893377273434E-3</v>
      </c>
    </row>
    <row r="1524" spans="1:10" x14ac:dyDescent="0.3">
      <c r="A1524" s="19">
        <v>45709</v>
      </c>
      <c r="B1524" s="25">
        <v>396.64</v>
      </c>
      <c r="C1524" s="20">
        <f t="shared" si="46"/>
        <v>-2.1635220125786505E-3</v>
      </c>
      <c r="H1524" s="19">
        <v>45709</v>
      </c>
      <c r="I1524" s="16">
        <v>112800.93</v>
      </c>
      <c r="J1524" s="20">
        <f t="shared" si="47"/>
        <v>-8.2489619230528034E-3</v>
      </c>
    </row>
    <row r="1525" spans="1:10" x14ac:dyDescent="0.3">
      <c r="A1525" s="19">
        <v>45712</v>
      </c>
      <c r="B1525" s="25">
        <v>405.09</v>
      </c>
      <c r="C1525" s="20">
        <f t="shared" si="46"/>
        <v>2.1303953206938255E-2</v>
      </c>
      <c r="H1525" s="19">
        <v>45712</v>
      </c>
      <c r="I1525" s="16">
        <v>114330.1</v>
      </c>
      <c r="J1525" s="20">
        <f t="shared" si="47"/>
        <v>1.3556359863345213E-2</v>
      </c>
    </row>
    <row r="1526" spans="1:10" x14ac:dyDescent="0.3">
      <c r="A1526" s="19">
        <v>45713</v>
      </c>
      <c r="B1526" s="25">
        <v>402.91</v>
      </c>
      <c r="C1526" s="20">
        <f t="shared" si="46"/>
        <v>-5.38152015601459E-3</v>
      </c>
      <c r="H1526" s="19">
        <v>45713</v>
      </c>
      <c r="I1526" s="16">
        <v>114528.09</v>
      </c>
      <c r="J1526" s="20">
        <f t="shared" si="47"/>
        <v>1.7317399355024677E-3</v>
      </c>
    </row>
    <row r="1527" spans="1:10" x14ac:dyDescent="0.3">
      <c r="A1527" s="19">
        <v>45714</v>
      </c>
      <c r="B1527" s="25">
        <v>401.96</v>
      </c>
      <c r="C1527" s="20">
        <f t="shared" si="46"/>
        <v>-2.3578466655085387E-3</v>
      </c>
      <c r="H1527" s="19">
        <v>45714</v>
      </c>
      <c r="I1527" s="16">
        <v>113862.33</v>
      </c>
      <c r="J1527" s="20">
        <f t="shared" si="47"/>
        <v>-5.8130717101804001E-3</v>
      </c>
    </row>
    <row r="1528" spans="1:10" x14ac:dyDescent="0.3">
      <c r="A1528" s="19">
        <v>45715</v>
      </c>
      <c r="B1528" s="25">
        <v>401.64</v>
      </c>
      <c r="C1528" s="20">
        <f t="shared" si="46"/>
        <v>-7.9609911433971834E-4</v>
      </c>
      <c r="H1528" s="19">
        <v>45715</v>
      </c>
      <c r="I1528" s="16">
        <v>113784.31</v>
      </c>
      <c r="J1528" s="20">
        <f t="shared" si="47"/>
        <v>-6.8521345031323413E-4</v>
      </c>
    </row>
    <row r="1529" spans="1:10" x14ac:dyDescent="0.3">
      <c r="A1529" s="19">
        <v>45716</v>
      </c>
      <c r="B1529" s="25">
        <v>397.45</v>
      </c>
      <c r="C1529" s="20">
        <f t="shared" si="46"/>
        <v>-1.0432227865750418E-2</v>
      </c>
      <c r="H1529" s="19">
        <v>45716</v>
      </c>
      <c r="I1529" s="16">
        <v>113251.67</v>
      </c>
      <c r="J1529" s="20">
        <f t="shared" si="47"/>
        <v>-4.6811374960220743E-3</v>
      </c>
    </row>
    <row r="1530" spans="1:10" x14ac:dyDescent="0.3">
      <c r="A1530" s="19">
        <v>45719</v>
      </c>
      <c r="B1530" s="25">
        <v>396.23</v>
      </c>
      <c r="C1530" s="20">
        <f t="shared" si="46"/>
        <v>-3.0695684991822129E-3</v>
      </c>
      <c r="H1530" s="19">
        <v>45719</v>
      </c>
      <c r="I1530" s="16">
        <v>111986.89</v>
      </c>
      <c r="J1530" s="20">
        <f t="shared" si="47"/>
        <v>-1.1167870637139381E-2</v>
      </c>
    </row>
    <row r="1531" spans="1:10" x14ac:dyDescent="0.3">
      <c r="A1531" s="19">
        <v>45720</v>
      </c>
      <c r="B1531" s="25">
        <v>398.96</v>
      </c>
      <c r="C1531" s="20">
        <f t="shared" si="46"/>
        <v>6.8899376624686707E-3</v>
      </c>
      <c r="H1531" s="19">
        <v>45720</v>
      </c>
      <c r="I1531" s="16">
        <v>112743.8</v>
      </c>
      <c r="J1531" s="20">
        <f t="shared" si="47"/>
        <v>6.7589161552749927E-3</v>
      </c>
    </row>
    <row r="1532" spans="1:10" x14ac:dyDescent="0.3">
      <c r="A1532" s="19">
        <v>45721</v>
      </c>
      <c r="B1532" s="25">
        <v>396.97</v>
      </c>
      <c r="C1532" s="20">
        <f t="shared" si="46"/>
        <v>-4.9879687186684188E-3</v>
      </c>
      <c r="H1532" s="19">
        <v>45721</v>
      </c>
      <c r="I1532" s="16">
        <v>112253.75999999999</v>
      </c>
      <c r="J1532" s="20">
        <f t="shared" si="47"/>
        <v>-4.3464917804793531E-3</v>
      </c>
    </row>
    <row r="1533" spans="1:10" x14ac:dyDescent="0.3">
      <c r="A1533" s="19">
        <v>45722</v>
      </c>
      <c r="B1533" s="25">
        <v>398.11</v>
      </c>
      <c r="C1533" s="20">
        <f t="shared" si="46"/>
        <v>2.8717535330125355E-3</v>
      </c>
      <c r="H1533" s="19">
        <v>45722</v>
      </c>
      <c r="I1533" s="16">
        <v>113713.18</v>
      </c>
      <c r="J1533" s="20">
        <f t="shared" si="47"/>
        <v>1.3001078983902173E-2</v>
      </c>
    </row>
    <row r="1534" spans="1:10" x14ac:dyDescent="0.3">
      <c r="A1534" s="19">
        <v>45723</v>
      </c>
      <c r="B1534" s="25">
        <v>396.02</v>
      </c>
      <c r="C1534" s="20">
        <f t="shared" si="46"/>
        <v>-5.2498053301852044E-3</v>
      </c>
      <c r="H1534" s="19">
        <v>45723</v>
      </c>
      <c r="I1534" s="16">
        <v>114398.7</v>
      </c>
      <c r="J1534" s="20">
        <f t="shared" si="47"/>
        <v>6.0285008298950407E-3</v>
      </c>
    </row>
    <row r="1535" spans="1:10" x14ac:dyDescent="0.3">
      <c r="A1535" s="19">
        <v>45726</v>
      </c>
      <c r="B1535" s="25">
        <v>394.24</v>
      </c>
      <c r="C1535" s="20">
        <f t="shared" si="46"/>
        <v>-4.4947224887631251E-3</v>
      </c>
      <c r="H1535" s="19">
        <v>45726</v>
      </c>
      <c r="I1535" s="16">
        <v>114356.34</v>
      </c>
      <c r="J1535" s="20">
        <f t="shared" si="47"/>
        <v>-3.7028392805163506E-4</v>
      </c>
    </row>
    <row r="1536" spans="1:10" x14ac:dyDescent="0.3">
      <c r="A1536" s="19">
        <v>45727</v>
      </c>
      <c r="B1536" s="25">
        <v>392.81</v>
      </c>
      <c r="C1536" s="20">
        <f t="shared" si="46"/>
        <v>-3.6272321428571599E-3</v>
      </c>
      <c r="H1536" s="19">
        <v>45727</v>
      </c>
      <c r="I1536" s="16">
        <v>114177.66</v>
      </c>
      <c r="J1536" s="20">
        <f t="shared" si="47"/>
        <v>-1.5624844236882102E-3</v>
      </c>
    </row>
    <row r="1537" spans="1:10" x14ac:dyDescent="0.3">
      <c r="A1537" s="19">
        <v>45728</v>
      </c>
      <c r="B1537" s="25">
        <v>388.3</v>
      </c>
      <c r="C1537" s="20">
        <f t="shared" si="46"/>
        <v>-1.1481377765331816E-2</v>
      </c>
      <c r="H1537" s="19">
        <v>45728</v>
      </c>
      <c r="I1537" s="16">
        <v>114084.54</v>
      </c>
      <c r="J1537" s="20">
        <f t="shared" si="47"/>
        <v>-8.1557110208783305E-4</v>
      </c>
    </row>
    <row r="1538" spans="1:10" x14ac:dyDescent="0.3">
      <c r="A1538" s="19">
        <v>45729</v>
      </c>
      <c r="B1538" s="25">
        <v>393.42</v>
      </c>
      <c r="C1538" s="20">
        <f t="shared" si="46"/>
        <v>1.3185681174349741E-2</v>
      </c>
      <c r="H1538" s="19">
        <v>45729</v>
      </c>
      <c r="I1538" s="16">
        <v>115094.24</v>
      </c>
      <c r="J1538" s="20">
        <f t="shared" si="47"/>
        <v>8.8504542333256702E-3</v>
      </c>
    </row>
    <row r="1539" spans="1:10" x14ac:dyDescent="0.3">
      <c r="A1539" s="19">
        <v>45730</v>
      </c>
      <c r="B1539" s="25">
        <v>397.49</v>
      </c>
      <c r="C1539" s="20">
        <f t="shared" si="46"/>
        <v>1.0345178181078728E-2</v>
      </c>
      <c r="H1539" s="19">
        <v>45730</v>
      </c>
      <c r="I1539" s="16">
        <v>115536.17</v>
      </c>
      <c r="J1539" s="20">
        <f t="shared" si="47"/>
        <v>3.8397229956945978E-3</v>
      </c>
    </row>
    <row r="1540" spans="1:10" x14ac:dyDescent="0.3">
      <c r="A1540" s="19">
        <v>45733</v>
      </c>
      <c r="B1540" s="25">
        <v>394.57</v>
      </c>
      <c r="C1540" s="20">
        <f t="shared" si="46"/>
        <v>-7.3460967571511628E-3</v>
      </c>
      <c r="H1540" s="19">
        <v>45733</v>
      </c>
      <c r="I1540" s="16">
        <v>116199.59</v>
      </c>
      <c r="J1540" s="20">
        <f t="shared" si="47"/>
        <v>5.7420979075210668E-3</v>
      </c>
    </row>
    <row r="1541" spans="1:10" x14ac:dyDescent="0.3">
      <c r="A1541" s="19">
        <v>45734</v>
      </c>
      <c r="B1541" s="25">
        <v>400.21</v>
      </c>
      <c r="C1541" s="20">
        <f t="shared" ref="C1541:C1604" si="48">(B1541-B1540)/B1540</f>
        <v>1.429404161492254E-2</v>
      </c>
      <c r="H1541" s="19">
        <v>45734</v>
      </c>
      <c r="I1541" s="16">
        <v>117001.09</v>
      </c>
      <c r="J1541" s="20">
        <f t="shared" ref="J1541:J1604" si="49">(I1541-I1540)/I1540</f>
        <v>6.8976146989847388E-3</v>
      </c>
    </row>
    <row r="1542" spans="1:10" x14ac:dyDescent="0.3">
      <c r="A1542" s="19">
        <v>45735</v>
      </c>
      <c r="B1542" s="25">
        <v>399.37</v>
      </c>
      <c r="C1542" s="20">
        <f t="shared" si="48"/>
        <v>-2.0988980785087204E-3</v>
      </c>
      <c r="H1542" s="19">
        <v>45735</v>
      </c>
      <c r="I1542" s="16">
        <v>117974.03</v>
      </c>
      <c r="J1542" s="20">
        <f t="shared" si="49"/>
        <v>8.3156490251501281E-3</v>
      </c>
    </row>
    <row r="1543" spans="1:10" x14ac:dyDescent="0.3">
      <c r="A1543" s="19">
        <v>45736</v>
      </c>
      <c r="B1543" s="25">
        <v>382.38</v>
      </c>
      <c r="C1543" s="20">
        <f t="shared" si="48"/>
        <v>-4.2542003655757839E-2</v>
      </c>
      <c r="H1543" s="19">
        <v>45736</v>
      </c>
      <c r="I1543" s="16">
        <v>118769.77</v>
      </c>
      <c r="J1543" s="20">
        <f t="shared" si="49"/>
        <v>6.7450438032845474E-3</v>
      </c>
    </row>
    <row r="1544" spans="1:10" x14ac:dyDescent="0.3">
      <c r="A1544" s="19">
        <v>45737</v>
      </c>
      <c r="B1544" s="25">
        <v>378.2</v>
      </c>
      <c r="C1544" s="20">
        <f t="shared" si="48"/>
        <v>-1.093153407605002E-2</v>
      </c>
      <c r="H1544" s="19">
        <v>45737</v>
      </c>
      <c r="I1544" s="16">
        <v>118442.18</v>
      </c>
      <c r="J1544" s="20">
        <f t="shared" si="49"/>
        <v>-2.7581934359223819E-3</v>
      </c>
    </row>
    <row r="1545" spans="1:10" x14ac:dyDescent="0.3">
      <c r="A1545" s="19">
        <v>45740</v>
      </c>
      <c r="B1545" s="25">
        <v>372.79</v>
      </c>
      <c r="C1545" s="20">
        <f t="shared" si="48"/>
        <v>-1.4304600740348937E-2</v>
      </c>
      <c r="H1545" s="19">
        <v>45740</v>
      </c>
      <c r="I1545" s="16">
        <v>116439.62</v>
      </c>
      <c r="J1545" s="20">
        <f t="shared" si="49"/>
        <v>-1.6907490220122577E-2</v>
      </c>
    </row>
    <row r="1546" spans="1:10" x14ac:dyDescent="0.3">
      <c r="A1546" s="19">
        <v>45741</v>
      </c>
      <c r="B1546" s="25">
        <v>373.73</v>
      </c>
      <c r="C1546" s="20">
        <f t="shared" si="48"/>
        <v>2.5215268649910073E-3</v>
      </c>
      <c r="H1546" s="19">
        <v>45741</v>
      </c>
      <c r="I1546" s="16">
        <v>116633.17</v>
      </c>
      <c r="J1546" s="20">
        <f t="shared" si="49"/>
        <v>1.6622348990833439E-3</v>
      </c>
    </row>
    <row r="1547" spans="1:10" x14ac:dyDescent="0.3">
      <c r="A1547" s="19">
        <v>45742</v>
      </c>
      <c r="B1547" s="25">
        <v>374.09</v>
      </c>
      <c r="C1547" s="20">
        <f t="shared" si="48"/>
        <v>9.6326224814694244E-4</v>
      </c>
      <c r="H1547" s="19">
        <v>45742</v>
      </c>
      <c r="I1547" s="16">
        <v>117772.31</v>
      </c>
      <c r="J1547" s="20">
        <f t="shared" si="49"/>
        <v>9.7668613482768188E-3</v>
      </c>
    </row>
    <row r="1548" spans="1:10" x14ac:dyDescent="0.3">
      <c r="A1548" s="19">
        <v>45743</v>
      </c>
      <c r="B1548" s="25">
        <v>369.76</v>
      </c>
      <c r="C1548" s="20">
        <f t="shared" si="48"/>
        <v>-1.1574754738164571E-2</v>
      </c>
      <c r="H1548" s="19">
        <v>45743</v>
      </c>
      <c r="I1548" s="16">
        <v>117806.75</v>
      </c>
      <c r="J1548" s="20">
        <f t="shared" si="49"/>
        <v>2.9242867020271853E-4</v>
      </c>
    </row>
    <row r="1549" spans="1:10" x14ac:dyDescent="0.3">
      <c r="A1549" s="19">
        <v>45750</v>
      </c>
      <c r="B1549" s="25">
        <v>367.86</v>
      </c>
      <c r="C1549" s="20">
        <f t="shared" si="48"/>
        <v>-5.1384681955862653E-3</v>
      </c>
      <c r="H1549" s="19">
        <v>45750</v>
      </c>
      <c r="I1549" s="16">
        <v>118938.11</v>
      </c>
      <c r="J1549" s="20">
        <f t="shared" si="49"/>
        <v>9.6035244160457747E-3</v>
      </c>
    </row>
    <row r="1550" spans="1:10" x14ac:dyDescent="0.3">
      <c r="A1550" s="19">
        <v>45751</v>
      </c>
      <c r="B1550" s="25">
        <v>370.38</v>
      </c>
      <c r="C1550" s="20">
        <f t="shared" si="48"/>
        <v>6.8504322296525358E-3</v>
      </c>
      <c r="H1550" s="19">
        <v>45751</v>
      </c>
      <c r="I1550" s="16">
        <v>118791.66</v>
      </c>
      <c r="J1550" s="20">
        <f t="shared" si="49"/>
        <v>-1.2313126549597694E-3</v>
      </c>
    </row>
    <row r="1551" spans="1:10" x14ac:dyDescent="0.3">
      <c r="A1551" s="19">
        <v>45754</v>
      </c>
      <c r="B1551" s="25">
        <v>364.88</v>
      </c>
      <c r="C1551" s="20">
        <f t="shared" si="48"/>
        <v>-1.4849613910038339E-2</v>
      </c>
      <c r="H1551" s="19">
        <v>45754</v>
      </c>
      <c r="I1551" s="16">
        <v>114909.49</v>
      </c>
      <c r="J1551" s="20">
        <f t="shared" si="49"/>
        <v>-3.2680492889820702E-2</v>
      </c>
    </row>
    <row r="1552" spans="1:10" x14ac:dyDescent="0.3">
      <c r="A1552" s="19">
        <v>45755</v>
      </c>
      <c r="B1552" s="25">
        <v>362.79</v>
      </c>
      <c r="C1552" s="20">
        <f t="shared" si="48"/>
        <v>-5.7279105459328407E-3</v>
      </c>
      <c r="H1552" s="19">
        <v>45755</v>
      </c>
      <c r="I1552" s="16">
        <v>115532.43</v>
      </c>
      <c r="J1552" s="20">
        <f t="shared" si="49"/>
        <v>5.4211362351359125E-3</v>
      </c>
    </row>
    <row r="1553" spans="1:10" x14ac:dyDescent="0.3">
      <c r="A1553" s="19">
        <v>45756</v>
      </c>
      <c r="B1553" s="25">
        <v>361.1</v>
      </c>
      <c r="C1553" s="20">
        <f t="shared" si="48"/>
        <v>-4.6583422916838873E-3</v>
      </c>
      <c r="H1553" s="19">
        <v>45756</v>
      </c>
      <c r="I1553" s="16">
        <v>114153.16</v>
      </c>
      <c r="J1553" s="20">
        <f t="shared" si="49"/>
        <v>-1.1938379552823303E-2</v>
      </c>
    </row>
    <row r="1554" spans="1:10" x14ac:dyDescent="0.3">
      <c r="A1554" s="19">
        <v>45757</v>
      </c>
      <c r="B1554" s="25">
        <v>362.52</v>
      </c>
      <c r="C1554" s="20">
        <f t="shared" si="48"/>
        <v>3.9324286901134282E-3</v>
      </c>
      <c r="H1554" s="19">
        <v>45757</v>
      </c>
      <c r="I1554" s="16">
        <v>116189.21</v>
      </c>
      <c r="J1554" s="20">
        <f t="shared" si="49"/>
        <v>1.7836124729267266E-2</v>
      </c>
    </row>
    <row r="1555" spans="1:10" x14ac:dyDescent="0.3">
      <c r="A1555" s="19">
        <v>45758</v>
      </c>
      <c r="B1555" s="25">
        <v>355.82</v>
      </c>
      <c r="C1555" s="20">
        <f t="shared" si="48"/>
        <v>-1.8481738938541291E-2</v>
      </c>
      <c r="H1555" s="19">
        <v>45758</v>
      </c>
      <c r="I1555" s="16">
        <v>114853.33</v>
      </c>
      <c r="J1555" s="20">
        <f t="shared" si="49"/>
        <v>-1.1497453162819547E-2</v>
      </c>
    </row>
    <row r="1556" spans="1:10" x14ac:dyDescent="0.3">
      <c r="A1556" s="19">
        <v>45761</v>
      </c>
      <c r="B1556" s="25">
        <v>351.81</v>
      </c>
      <c r="C1556" s="20">
        <f t="shared" si="48"/>
        <v>-1.1269743128548117E-2</v>
      </c>
      <c r="H1556" s="19">
        <v>45761</v>
      </c>
      <c r="I1556" s="16">
        <v>116390.04</v>
      </c>
      <c r="J1556" s="20">
        <f t="shared" si="49"/>
        <v>1.3379760081836476E-2</v>
      </c>
    </row>
    <row r="1557" spans="1:10" x14ac:dyDescent="0.3">
      <c r="A1557" s="19">
        <v>45762</v>
      </c>
      <c r="B1557" s="25">
        <v>352.74</v>
      </c>
      <c r="C1557" s="20">
        <f t="shared" si="48"/>
        <v>2.6434723288138676E-3</v>
      </c>
      <c r="H1557" s="19">
        <v>45762</v>
      </c>
      <c r="I1557" s="16">
        <v>116775.5</v>
      </c>
      <c r="J1557" s="20">
        <f t="shared" si="49"/>
        <v>3.3117954079232761E-3</v>
      </c>
    </row>
    <row r="1558" spans="1:10" x14ac:dyDescent="0.3">
      <c r="A1558" s="19">
        <v>45763</v>
      </c>
      <c r="B1558" s="25">
        <v>353.4</v>
      </c>
      <c r="C1558" s="20">
        <f t="shared" si="48"/>
        <v>1.8710665079094181E-3</v>
      </c>
      <c r="H1558" s="19">
        <v>45763</v>
      </c>
      <c r="I1558" s="16">
        <v>116020.11</v>
      </c>
      <c r="J1558" s="20">
        <f t="shared" si="49"/>
        <v>-6.4687370210360856E-3</v>
      </c>
    </row>
    <row r="1559" spans="1:10" x14ac:dyDescent="0.3">
      <c r="A1559" s="19">
        <v>45764</v>
      </c>
      <c r="B1559" s="25">
        <v>352.06</v>
      </c>
      <c r="C1559" s="20">
        <f t="shared" si="48"/>
        <v>-3.791737408036149E-3</v>
      </c>
      <c r="H1559" s="19">
        <v>45764</v>
      </c>
      <c r="I1559" s="16">
        <v>116901.13</v>
      </c>
      <c r="J1559" s="20">
        <f t="shared" si="49"/>
        <v>7.5936835433098974E-3</v>
      </c>
    </row>
    <row r="1560" spans="1:10" x14ac:dyDescent="0.3">
      <c r="A1560" s="19">
        <v>45765</v>
      </c>
      <c r="B1560" s="25">
        <v>344.62</v>
      </c>
      <c r="C1560" s="20">
        <f t="shared" si="48"/>
        <v>-2.1132761461114577E-2</v>
      </c>
      <c r="H1560" s="19">
        <v>45765</v>
      </c>
      <c r="I1560" s="16">
        <v>117315.59</v>
      </c>
      <c r="J1560" s="20">
        <f t="shared" si="49"/>
        <v>3.5453891677522009E-3</v>
      </c>
    </row>
    <row r="1561" spans="1:10" x14ac:dyDescent="0.3">
      <c r="A1561" s="19">
        <v>45768</v>
      </c>
      <c r="B1561" s="25">
        <v>343.38</v>
      </c>
      <c r="C1561" s="20">
        <f t="shared" si="48"/>
        <v>-3.5981660959898123E-3</v>
      </c>
      <c r="H1561" s="19">
        <v>45768</v>
      </c>
      <c r="I1561" s="16">
        <v>118383.38</v>
      </c>
      <c r="J1561" s="20">
        <f t="shared" si="49"/>
        <v>9.1018593521969941E-3</v>
      </c>
    </row>
    <row r="1562" spans="1:10" x14ac:dyDescent="0.3">
      <c r="A1562" s="19">
        <v>45769</v>
      </c>
      <c r="B1562" s="25">
        <v>360.19</v>
      </c>
      <c r="C1562" s="20">
        <f t="shared" si="48"/>
        <v>4.8954511037334739E-2</v>
      </c>
      <c r="H1562" s="19">
        <v>45769</v>
      </c>
      <c r="I1562" s="16">
        <v>118430.35</v>
      </c>
      <c r="J1562" s="20">
        <f t="shared" si="49"/>
        <v>3.9676177517486969E-4</v>
      </c>
    </row>
    <row r="1563" spans="1:10" x14ac:dyDescent="0.3">
      <c r="A1563" s="19">
        <v>45770</v>
      </c>
      <c r="B1563" s="25">
        <v>358.58</v>
      </c>
      <c r="C1563" s="20">
        <f t="shared" si="48"/>
        <v>-4.469863127793702E-3</v>
      </c>
      <c r="H1563" s="19">
        <v>45770</v>
      </c>
      <c r="I1563" s="16">
        <v>117226.15</v>
      </c>
      <c r="J1563" s="20">
        <f t="shared" si="49"/>
        <v>-1.0168001698888939E-2</v>
      </c>
    </row>
    <row r="1564" spans="1:10" x14ac:dyDescent="0.3">
      <c r="A1564" s="19">
        <v>45771</v>
      </c>
      <c r="B1564" s="25">
        <v>354.44</v>
      </c>
      <c r="C1564" s="20">
        <f t="shared" si="48"/>
        <v>-1.1545540744045922E-2</v>
      </c>
      <c r="H1564" s="19">
        <v>45771</v>
      </c>
      <c r="I1564" s="16">
        <v>115019.82</v>
      </c>
      <c r="J1564" s="20">
        <f t="shared" si="49"/>
        <v>-1.8821141869796009E-2</v>
      </c>
    </row>
    <row r="1565" spans="1:10" x14ac:dyDescent="0.3">
      <c r="A1565" s="19">
        <v>45772</v>
      </c>
      <c r="B1565" s="25">
        <v>358.89</v>
      </c>
      <c r="C1565" s="20">
        <f t="shared" si="48"/>
        <v>1.2555016363841522E-2</v>
      </c>
      <c r="H1565" s="19">
        <v>45772</v>
      </c>
      <c r="I1565" s="16">
        <v>115469.35</v>
      </c>
      <c r="J1565" s="20">
        <f t="shared" si="49"/>
        <v>3.9082829376710796E-3</v>
      </c>
    </row>
    <row r="1566" spans="1:10" x14ac:dyDescent="0.3">
      <c r="A1566" s="19">
        <v>45775</v>
      </c>
      <c r="B1566" s="25">
        <v>358.34</v>
      </c>
      <c r="C1566" s="20">
        <f t="shared" si="48"/>
        <v>-1.5325029953467955E-3</v>
      </c>
      <c r="H1566" s="19">
        <v>45775</v>
      </c>
      <c r="I1566" s="16">
        <v>114063.9</v>
      </c>
      <c r="J1566" s="20">
        <f t="shared" si="49"/>
        <v>-1.2171628228616612E-2</v>
      </c>
    </row>
    <row r="1567" spans="1:10" x14ac:dyDescent="0.3">
      <c r="A1567" s="19">
        <v>45776</v>
      </c>
      <c r="B1567" s="25">
        <v>356.64</v>
      </c>
      <c r="C1567" s="20">
        <f t="shared" si="48"/>
        <v>-4.7440977842272388E-3</v>
      </c>
      <c r="H1567" s="19">
        <v>45776</v>
      </c>
      <c r="I1567" s="16">
        <v>114872.18</v>
      </c>
      <c r="J1567" s="20">
        <f t="shared" si="49"/>
        <v>7.0862034350920745E-3</v>
      </c>
    </row>
    <row r="1568" spans="1:10" x14ac:dyDescent="0.3">
      <c r="A1568" s="19">
        <v>45777</v>
      </c>
      <c r="B1568" s="25">
        <v>350.68</v>
      </c>
      <c r="C1568" s="20">
        <f t="shared" si="48"/>
        <v>-1.6711529834006224E-2</v>
      </c>
      <c r="H1568" s="19">
        <v>45777</v>
      </c>
      <c r="I1568" s="16">
        <v>111326.58</v>
      </c>
      <c r="J1568" s="20">
        <f t="shared" si="49"/>
        <v>-3.0865610803242276E-2</v>
      </c>
    </row>
    <row r="1569" spans="1:10" x14ac:dyDescent="0.3">
      <c r="A1569" s="19">
        <v>45779</v>
      </c>
      <c r="B1569" s="25">
        <v>351.86</v>
      </c>
      <c r="C1569" s="20">
        <f t="shared" si="48"/>
        <v>3.3648910687806739E-3</v>
      </c>
      <c r="H1569" s="19">
        <v>45779</v>
      </c>
      <c r="I1569" s="16">
        <v>114113.94</v>
      </c>
      <c r="J1569" s="20">
        <f t="shared" si="49"/>
        <v>2.5037686417744984E-2</v>
      </c>
    </row>
    <row r="1570" spans="1:10" x14ac:dyDescent="0.3">
      <c r="A1570" s="19">
        <v>45782</v>
      </c>
      <c r="B1570" s="25">
        <v>356.41</v>
      </c>
      <c r="C1570" s="20">
        <f t="shared" si="48"/>
        <v>1.2931279486159299E-2</v>
      </c>
      <c r="H1570" s="19">
        <v>45782</v>
      </c>
      <c r="I1570" s="16">
        <v>114102.24</v>
      </c>
      <c r="J1570" s="20">
        <f t="shared" si="49"/>
        <v>-1.0252910380622287E-4</v>
      </c>
    </row>
    <row r="1571" spans="1:10" x14ac:dyDescent="0.3">
      <c r="A1571" s="19">
        <v>45783</v>
      </c>
      <c r="B1571" s="25">
        <v>356.63</v>
      </c>
      <c r="C1571" s="20">
        <f t="shared" si="48"/>
        <v>6.1726663112698975E-4</v>
      </c>
      <c r="H1571" s="19">
        <v>45783</v>
      </c>
      <c r="I1571" s="16">
        <v>113568.51</v>
      </c>
      <c r="J1571" s="20">
        <f t="shared" si="49"/>
        <v>-4.6776469944850374E-3</v>
      </c>
    </row>
    <row r="1572" spans="1:10" x14ac:dyDescent="0.3">
      <c r="A1572" s="19">
        <v>45784</v>
      </c>
      <c r="B1572" s="25">
        <v>356.09</v>
      </c>
      <c r="C1572" s="20">
        <f t="shared" si="48"/>
        <v>-1.5141743543729369E-3</v>
      </c>
      <c r="H1572" s="19">
        <v>45784</v>
      </c>
      <c r="I1572" s="16">
        <v>110009.03</v>
      </c>
      <c r="J1572" s="20">
        <f t="shared" si="49"/>
        <v>-3.1342138767163505E-2</v>
      </c>
    </row>
    <row r="1573" spans="1:10" x14ac:dyDescent="0.3">
      <c r="A1573" s="19">
        <v>45785</v>
      </c>
      <c r="B1573" s="25">
        <v>331.3</v>
      </c>
      <c r="C1573" s="20">
        <f t="shared" si="48"/>
        <v>-6.9617231598753021E-2</v>
      </c>
      <c r="H1573" s="19">
        <v>45785</v>
      </c>
      <c r="I1573" s="16">
        <v>103526.82</v>
      </c>
      <c r="J1573" s="20">
        <f t="shared" si="49"/>
        <v>-5.8924344665160597E-2</v>
      </c>
    </row>
    <row r="1574" spans="1:10" x14ac:dyDescent="0.3">
      <c r="A1574" s="19">
        <v>45786</v>
      </c>
      <c r="B1574" s="25">
        <v>337.66</v>
      </c>
      <c r="C1574" s="20">
        <f t="shared" si="48"/>
        <v>1.9197102324177522E-2</v>
      </c>
      <c r="H1574" s="19">
        <v>45786</v>
      </c>
      <c r="I1574" s="16">
        <v>107174.64</v>
      </c>
      <c r="J1574" s="20">
        <f t="shared" si="49"/>
        <v>3.5235507088887619E-2</v>
      </c>
    </row>
    <row r="1575" spans="1:10" x14ac:dyDescent="0.3">
      <c r="A1575" s="19">
        <v>45789</v>
      </c>
      <c r="B1575" s="25">
        <v>371.43</v>
      </c>
      <c r="C1575" s="20">
        <f t="shared" si="48"/>
        <v>0.1000118462358585</v>
      </c>
      <c r="H1575" s="19">
        <v>45789</v>
      </c>
      <c r="I1575" s="16">
        <v>117297.73</v>
      </c>
      <c r="J1575" s="20">
        <f t="shared" si="49"/>
        <v>9.4454154452956379E-2</v>
      </c>
    </row>
    <row r="1576" spans="1:10" x14ac:dyDescent="0.3">
      <c r="A1576" s="19">
        <v>45790</v>
      </c>
      <c r="B1576" s="25">
        <v>368.79</v>
      </c>
      <c r="C1576" s="20">
        <f t="shared" si="48"/>
        <v>-7.1076649705193069E-3</v>
      </c>
      <c r="H1576" s="19">
        <v>45790</v>
      </c>
      <c r="I1576" s="16">
        <v>118575.89</v>
      </c>
      <c r="J1576" s="20">
        <f t="shared" si="49"/>
        <v>1.0896715563037781E-2</v>
      </c>
    </row>
    <row r="1577" spans="1:10" x14ac:dyDescent="0.3">
      <c r="A1577" s="19">
        <v>45791</v>
      </c>
      <c r="B1577" s="25">
        <v>372.36</v>
      </c>
      <c r="C1577" s="20">
        <f t="shared" si="48"/>
        <v>9.6803058651264758E-3</v>
      </c>
      <c r="H1577" s="19">
        <v>45791</v>
      </c>
      <c r="I1577" s="16">
        <v>118536.53</v>
      </c>
      <c r="J1577" s="20">
        <f t="shared" si="49"/>
        <v>-3.3193931751219059E-4</v>
      </c>
    </row>
    <row r="1578" spans="1:10" x14ac:dyDescent="0.3">
      <c r="A1578" s="19">
        <v>45792</v>
      </c>
      <c r="B1578" s="25">
        <v>373.56</v>
      </c>
      <c r="C1578" s="20">
        <f t="shared" si="48"/>
        <v>3.22268772155975E-3</v>
      </c>
      <c r="H1578" s="19">
        <v>45792</v>
      </c>
      <c r="I1578" s="16">
        <v>119961.91</v>
      </c>
      <c r="J1578" s="20">
        <f t="shared" si="49"/>
        <v>1.2024816316117948E-2</v>
      </c>
    </row>
    <row r="1579" spans="1:10" x14ac:dyDescent="0.3">
      <c r="A1579" s="19">
        <v>45793</v>
      </c>
      <c r="B1579" s="25">
        <v>368.36</v>
      </c>
      <c r="C1579" s="20">
        <f t="shared" si="48"/>
        <v>-1.3920119927187034E-2</v>
      </c>
      <c r="H1579" s="19">
        <v>45793</v>
      </c>
      <c r="I1579" s="16">
        <v>119649.14</v>
      </c>
      <c r="J1579" s="20">
        <f t="shared" si="49"/>
        <v>-2.6072442494455453E-3</v>
      </c>
    </row>
    <row r="1580" spans="1:10" x14ac:dyDescent="0.3">
      <c r="A1580" s="19">
        <v>45796</v>
      </c>
      <c r="B1580" s="25">
        <v>366.14</v>
      </c>
      <c r="C1580" s="20">
        <f t="shared" si="48"/>
        <v>-6.0267129981540534E-3</v>
      </c>
      <c r="H1580" s="19">
        <v>45796</v>
      </c>
      <c r="I1580" s="16">
        <v>119689.63</v>
      </c>
      <c r="J1580" s="20">
        <f t="shared" si="49"/>
        <v>3.3840610973054412E-4</v>
      </c>
    </row>
    <row r="1581" spans="1:10" x14ac:dyDescent="0.3">
      <c r="A1581" s="19">
        <v>45797</v>
      </c>
      <c r="B1581" s="25">
        <v>362.4</v>
      </c>
      <c r="C1581" s="20">
        <f t="shared" si="48"/>
        <v>-1.0214671983394355E-2</v>
      </c>
      <c r="H1581" s="19">
        <v>45797</v>
      </c>
      <c r="I1581" s="16">
        <v>118971.13</v>
      </c>
      <c r="J1581" s="20">
        <f t="shared" si="49"/>
        <v>-6.0030263273434794E-3</v>
      </c>
    </row>
    <row r="1582" spans="1:10" x14ac:dyDescent="0.3">
      <c r="A1582" s="19">
        <v>45798</v>
      </c>
      <c r="B1582" s="25">
        <v>362.51</v>
      </c>
      <c r="C1582" s="20">
        <f t="shared" si="48"/>
        <v>3.0353200883005975E-4</v>
      </c>
      <c r="H1582" s="19">
        <v>45798</v>
      </c>
      <c r="I1582" s="16">
        <v>119931.46</v>
      </c>
      <c r="J1582" s="20">
        <f t="shared" si="49"/>
        <v>8.0719582977820063E-3</v>
      </c>
    </row>
    <row r="1583" spans="1:10" x14ac:dyDescent="0.3">
      <c r="A1583" s="19">
        <v>45799</v>
      </c>
      <c r="B1583" s="25">
        <v>361.95</v>
      </c>
      <c r="C1583" s="20">
        <f t="shared" si="48"/>
        <v>-1.5447849714490698E-3</v>
      </c>
      <c r="H1583" s="19">
        <v>45799</v>
      </c>
      <c r="I1583" s="16">
        <v>119153.04</v>
      </c>
      <c r="J1583" s="20">
        <f t="shared" si="49"/>
        <v>-6.4905405137235285E-3</v>
      </c>
    </row>
    <row r="1584" spans="1:10" x14ac:dyDescent="0.3">
      <c r="A1584" s="19">
        <v>45800</v>
      </c>
      <c r="B1584" s="25">
        <v>360.04</v>
      </c>
      <c r="C1584" s="20">
        <f t="shared" si="48"/>
        <v>-5.2769719574525991E-3</v>
      </c>
      <c r="H1584" s="19">
        <v>45800</v>
      </c>
      <c r="I1584" s="16">
        <v>119102.67</v>
      </c>
      <c r="J1584" s="20">
        <f t="shared" si="49"/>
        <v>-4.2273365413081652E-4</v>
      </c>
    </row>
    <row r="1585" spans="1:10" x14ac:dyDescent="0.3">
      <c r="A1585" s="19">
        <v>45803</v>
      </c>
      <c r="B1585" s="25">
        <v>357.44</v>
      </c>
      <c r="C1585" s="20">
        <f t="shared" si="48"/>
        <v>-7.2214198422398141E-3</v>
      </c>
      <c r="H1585" s="19">
        <v>45803</v>
      </c>
      <c r="I1585" s="16">
        <v>118221.12</v>
      </c>
      <c r="J1585" s="20">
        <f t="shared" si="49"/>
        <v>-7.4015972941664778E-3</v>
      </c>
    </row>
    <row r="1586" spans="1:10" x14ac:dyDescent="0.3">
      <c r="A1586" s="19">
        <v>45804</v>
      </c>
      <c r="B1586" s="25">
        <v>357.01</v>
      </c>
      <c r="C1586" s="20">
        <f t="shared" si="48"/>
        <v>-1.2029991047448714E-3</v>
      </c>
      <c r="H1586" s="19">
        <v>45804</v>
      </c>
      <c r="I1586" s="16">
        <v>118332.91</v>
      </c>
      <c r="J1586" s="20">
        <f t="shared" si="49"/>
        <v>9.4560092139211798E-4</v>
      </c>
    </row>
    <row r="1587" spans="1:10" x14ac:dyDescent="0.3">
      <c r="A1587" s="19">
        <v>45806</v>
      </c>
      <c r="B1587" s="25">
        <v>359.36</v>
      </c>
      <c r="C1587" s="20">
        <f t="shared" si="48"/>
        <v>6.5824486709056404E-3</v>
      </c>
      <c r="H1587" s="19">
        <v>45806</v>
      </c>
      <c r="I1587" s="16">
        <v>118971.41</v>
      </c>
      <c r="J1587" s="20">
        <f t="shared" si="49"/>
        <v>5.395793951150191E-3</v>
      </c>
    </row>
    <row r="1588" spans="1:10" x14ac:dyDescent="0.3">
      <c r="A1588" s="19">
        <v>45807</v>
      </c>
      <c r="B1588" s="25">
        <v>367.39</v>
      </c>
      <c r="C1588" s="20">
        <f t="shared" si="48"/>
        <v>2.2345280498664216E-2</v>
      </c>
      <c r="H1588" s="19">
        <v>45807</v>
      </c>
      <c r="I1588" s="16">
        <v>119691.09</v>
      </c>
      <c r="J1588" s="20">
        <f t="shared" si="49"/>
        <v>6.0491844217026008E-3</v>
      </c>
    </row>
    <row r="1589" spans="1:10" x14ac:dyDescent="0.3">
      <c r="A1589" s="19">
        <v>45810</v>
      </c>
      <c r="B1589" s="25">
        <v>365.39</v>
      </c>
      <c r="C1589" s="20">
        <f t="shared" si="48"/>
        <v>-5.4438063093715126E-3</v>
      </c>
      <c r="H1589" s="19">
        <v>45810</v>
      </c>
      <c r="I1589" s="16">
        <v>118877.81</v>
      </c>
      <c r="J1589" s="20">
        <f t="shared" si="49"/>
        <v>-6.7948249113613957E-3</v>
      </c>
    </row>
    <row r="1590" spans="1:10" x14ac:dyDescent="0.3">
      <c r="A1590" s="19">
        <v>45811</v>
      </c>
      <c r="B1590" s="25">
        <v>371.94</v>
      </c>
      <c r="C1590" s="20">
        <f t="shared" si="48"/>
        <v>1.7926051616081479E-2</v>
      </c>
      <c r="H1590" s="19">
        <v>45811</v>
      </c>
      <c r="I1590" s="16">
        <v>120450.87</v>
      </c>
      <c r="J1590" s="20">
        <f t="shared" si="49"/>
        <v>1.3232578897609214E-2</v>
      </c>
    </row>
    <row r="1591" spans="1:10" x14ac:dyDescent="0.3">
      <c r="A1591" s="19">
        <v>45812</v>
      </c>
      <c r="B1591" s="25">
        <v>374.79</v>
      </c>
      <c r="C1591" s="20">
        <f t="shared" si="48"/>
        <v>7.6625262139055298E-3</v>
      </c>
      <c r="H1591" s="19">
        <v>45812</v>
      </c>
      <c r="I1591" s="16">
        <v>121798.87</v>
      </c>
      <c r="J1591" s="20">
        <f t="shared" si="49"/>
        <v>1.1191284878224624E-2</v>
      </c>
    </row>
    <row r="1592" spans="1:10" x14ac:dyDescent="0.3">
      <c r="A1592" s="19">
        <v>45813</v>
      </c>
      <c r="B1592" s="25">
        <v>372.93</v>
      </c>
      <c r="C1592" s="20">
        <f t="shared" si="48"/>
        <v>-4.9627791563275798E-3</v>
      </c>
      <c r="H1592" s="19">
        <v>45813</v>
      </c>
      <c r="I1592" s="16">
        <v>121641</v>
      </c>
      <c r="J1592" s="20">
        <f t="shared" si="49"/>
        <v>-1.2961532401737008E-3</v>
      </c>
    </row>
    <row r="1593" spans="1:10" x14ac:dyDescent="0.3">
      <c r="A1593" s="19">
        <v>45818</v>
      </c>
      <c r="B1593" s="25">
        <v>379.03</v>
      </c>
      <c r="C1593" s="20">
        <f t="shared" si="48"/>
        <v>1.6356957069691272E-2</v>
      </c>
      <c r="H1593" s="19">
        <v>45818</v>
      </c>
      <c r="I1593" s="16">
        <v>122024.44</v>
      </c>
      <c r="J1593" s="20">
        <f t="shared" si="49"/>
        <v>3.152226634111873E-3</v>
      </c>
    </row>
    <row r="1594" spans="1:10" x14ac:dyDescent="0.3">
      <c r="A1594" s="19">
        <v>45819</v>
      </c>
      <c r="B1594" s="25">
        <v>386.17</v>
      </c>
      <c r="C1594" s="20">
        <f t="shared" si="48"/>
        <v>1.883755903226669E-2</v>
      </c>
      <c r="H1594" s="19">
        <v>45819</v>
      </c>
      <c r="I1594" s="16">
        <v>124352.68</v>
      </c>
      <c r="J1594" s="20">
        <f t="shared" si="49"/>
        <v>1.9080112148025352E-2</v>
      </c>
    </row>
    <row r="1595" spans="1:10" x14ac:dyDescent="0.3">
      <c r="A1595" s="19">
        <v>45820</v>
      </c>
      <c r="B1595" s="25">
        <v>383.31</v>
      </c>
      <c r="C1595" s="20">
        <f t="shared" si="48"/>
        <v>-7.4060646865370524E-3</v>
      </c>
      <c r="H1595" s="19">
        <v>45820</v>
      </c>
      <c r="I1595" s="16">
        <v>124093.12</v>
      </c>
      <c r="J1595" s="20">
        <f t="shared" si="49"/>
        <v>-2.0872891521115404E-3</v>
      </c>
    </row>
    <row r="1596" spans="1:10" x14ac:dyDescent="0.3">
      <c r="A1596" s="19">
        <v>45821</v>
      </c>
      <c r="B1596" s="25">
        <v>378.59</v>
      </c>
      <c r="C1596" s="20">
        <f t="shared" si="48"/>
        <v>-1.2313793013487848E-2</v>
      </c>
      <c r="H1596" s="19">
        <v>45821</v>
      </c>
      <c r="I1596" s="16">
        <v>122143.57</v>
      </c>
      <c r="J1596" s="20">
        <f t="shared" si="49"/>
        <v>-1.5710379431188356E-2</v>
      </c>
    </row>
    <row r="1597" spans="1:10" x14ac:dyDescent="0.3">
      <c r="A1597" s="19">
        <v>45824</v>
      </c>
      <c r="B1597" s="25">
        <v>377.62</v>
      </c>
      <c r="C1597" s="20">
        <f t="shared" si="48"/>
        <v>-2.5621384611320174E-3</v>
      </c>
      <c r="H1597" s="19">
        <v>45824</v>
      </c>
      <c r="I1597" s="16">
        <v>122225.36</v>
      </c>
      <c r="J1597" s="20">
        <f t="shared" si="49"/>
        <v>6.696218229088407E-4</v>
      </c>
    </row>
    <row r="1598" spans="1:10" x14ac:dyDescent="0.3">
      <c r="A1598" s="19">
        <v>45825</v>
      </c>
      <c r="B1598" s="25">
        <v>376.6</v>
      </c>
      <c r="C1598" s="20">
        <f t="shared" si="48"/>
        <v>-2.7011281182140294E-3</v>
      </c>
      <c r="H1598" s="19">
        <v>45825</v>
      </c>
      <c r="I1598" s="16">
        <v>121971.04</v>
      </c>
      <c r="J1598" s="20">
        <f t="shared" si="49"/>
        <v>-2.080746581560545E-3</v>
      </c>
    </row>
    <row r="1599" spans="1:10" x14ac:dyDescent="0.3">
      <c r="A1599" s="19">
        <v>45826</v>
      </c>
      <c r="B1599" s="25">
        <v>374.55</v>
      </c>
      <c r="C1599" s="20">
        <f t="shared" si="48"/>
        <v>-5.4434413170472949E-3</v>
      </c>
      <c r="H1599" s="19">
        <v>45826</v>
      </c>
      <c r="I1599" s="16">
        <v>120465.93</v>
      </c>
      <c r="J1599" s="20">
        <f t="shared" si="49"/>
        <v>-1.2339896421314441E-2</v>
      </c>
    </row>
    <row r="1600" spans="1:10" x14ac:dyDescent="0.3">
      <c r="A1600" s="19">
        <v>45827</v>
      </c>
      <c r="B1600" s="25">
        <v>375.45</v>
      </c>
      <c r="C1600" s="20">
        <f t="shared" si="48"/>
        <v>2.4028834601521219E-3</v>
      </c>
      <c r="H1600" s="19">
        <v>45827</v>
      </c>
      <c r="I1600" s="16">
        <v>120002.59</v>
      </c>
      <c r="J1600" s="20">
        <f t="shared" si="49"/>
        <v>-3.8462327066249896E-3</v>
      </c>
    </row>
    <row r="1601" spans="1:10" x14ac:dyDescent="0.3">
      <c r="A1601" s="19">
        <v>45828</v>
      </c>
      <c r="B1601" s="25">
        <v>374.05</v>
      </c>
      <c r="C1601" s="20">
        <f t="shared" si="48"/>
        <v>-3.7288587028898052E-3</v>
      </c>
      <c r="H1601" s="19">
        <v>45828</v>
      </c>
      <c r="I1601" s="16">
        <v>120023.24</v>
      </c>
      <c r="J1601" s="20">
        <f t="shared" si="49"/>
        <v>1.7207961928162327E-4</v>
      </c>
    </row>
    <row r="1602" spans="1:10" x14ac:dyDescent="0.3">
      <c r="A1602" s="19">
        <v>45831</v>
      </c>
      <c r="B1602" s="25">
        <v>371.81</v>
      </c>
      <c r="C1602" s="20">
        <f t="shared" si="48"/>
        <v>-5.9885042106670476E-3</v>
      </c>
      <c r="H1602" s="19">
        <v>45831</v>
      </c>
      <c r="I1602" s="16">
        <v>116167.47</v>
      </c>
      <c r="J1602" s="20">
        <f t="shared" si="49"/>
        <v>-3.2125195087218145E-2</v>
      </c>
    </row>
    <row r="1603" spans="1:10" x14ac:dyDescent="0.3">
      <c r="A1603" s="19">
        <v>45832</v>
      </c>
      <c r="B1603" s="25">
        <v>377.82</v>
      </c>
      <c r="C1603" s="20">
        <f t="shared" si="48"/>
        <v>1.6164169871708645E-2</v>
      </c>
      <c r="H1603" s="19">
        <v>45832</v>
      </c>
      <c r="I1603" s="16">
        <v>122246.64</v>
      </c>
      <c r="J1603" s="20">
        <f t="shared" si="49"/>
        <v>5.2331087179569274E-2</v>
      </c>
    </row>
    <row r="1604" spans="1:10" x14ac:dyDescent="0.3">
      <c r="A1604" s="19">
        <v>45833</v>
      </c>
      <c r="B1604" s="25">
        <v>378.13</v>
      </c>
      <c r="C1604" s="20">
        <f t="shared" si="48"/>
        <v>8.2049653274046447E-4</v>
      </c>
      <c r="H1604" s="19">
        <v>45833</v>
      </c>
      <c r="I1604" s="16">
        <v>122761.64</v>
      </c>
      <c r="J1604" s="20">
        <f t="shared" si="49"/>
        <v>4.2127947238468069E-3</v>
      </c>
    </row>
    <row r="1605" spans="1:10" x14ac:dyDescent="0.3">
      <c r="A1605" s="19">
        <v>45834</v>
      </c>
      <c r="B1605" s="25">
        <v>378.1</v>
      </c>
      <c r="C1605" s="20">
        <f t="shared" ref="C1605:C1668" si="50">(B1605-B1604)/B1604</f>
        <v>-7.9337793880339345E-5</v>
      </c>
      <c r="H1605" s="19">
        <v>45834</v>
      </c>
      <c r="I1605" s="16">
        <v>122046.46</v>
      </c>
      <c r="J1605" s="20">
        <f t="shared" ref="J1605:J1668" si="51">(I1605-I1604)/I1604</f>
        <v>-5.825761206839474E-3</v>
      </c>
    </row>
    <row r="1606" spans="1:10" x14ac:dyDescent="0.3">
      <c r="A1606" s="19">
        <v>45835</v>
      </c>
      <c r="B1606" s="25">
        <v>386.54</v>
      </c>
      <c r="C1606" s="20">
        <f t="shared" si="50"/>
        <v>2.2322137000793434E-2</v>
      </c>
      <c r="H1606" s="19">
        <v>45835</v>
      </c>
      <c r="I1606" s="16">
        <v>124379.07</v>
      </c>
      <c r="J1606" s="20">
        <f t="shared" si="51"/>
        <v>1.9112475691634156E-2</v>
      </c>
    </row>
    <row r="1607" spans="1:10" x14ac:dyDescent="0.3">
      <c r="A1607" s="19">
        <v>45838</v>
      </c>
      <c r="B1607" s="25">
        <v>392.41</v>
      </c>
      <c r="C1607" s="20">
        <f t="shared" si="50"/>
        <v>1.5186009209913604E-2</v>
      </c>
      <c r="H1607" s="19">
        <v>45838</v>
      </c>
      <c r="I1607" s="16">
        <v>125627.31</v>
      </c>
      <c r="J1607" s="20">
        <f t="shared" si="51"/>
        <v>1.0035772095739184E-2</v>
      </c>
    </row>
    <row r="1608" spans="1:10" x14ac:dyDescent="0.3">
      <c r="A1608" s="19">
        <v>45839</v>
      </c>
      <c r="B1608" s="25">
        <v>412.2</v>
      </c>
      <c r="C1608" s="20">
        <f t="shared" si="50"/>
        <v>5.0431946178741527E-2</v>
      </c>
      <c r="H1608" s="19">
        <v>45839</v>
      </c>
      <c r="I1608" s="16">
        <v>128199.43</v>
      </c>
      <c r="J1608" s="20">
        <f t="shared" si="51"/>
        <v>2.0474210583670025E-2</v>
      </c>
    </row>
    <row r="1609" spans="1:10" x14ac:dyDescent="0.3">
      <c r="A1609" s="19">
        <v>45840</v>
      </c>
      <c r="B1609" s="25">
        <v>413.8</v>
      </c>
      <c r="C1609" s="20">
        <f t="shared" si="50"/>
        <v>3.8816108685104872E-3</v>
      </c>
      <c r="H1609" s="19">
        <v>45840</v>
      </c>
      <c r="I1609" s="16">
        <v>130344.03</v>
      </c>
      <c r="J1609" s="20">
        <f t="shared" si="51"/>
        <v>1.6728623520401033E-2</v>
      </c>
    </row>
    <row r="1610" spans="1:10" x14ac:dyDescent="0.3">
      <c r="A1610" s="19">
        <v>45841</v>
      </c>
      <c r="B1610" s="25">
        <v>413.74</v>
      </c>
      <c r="C1610" s="20">
        <f t="shared" si="50"/>
        <v>-1.4499758337361594E-4</v>
      </c>
      <c r="H1610" s="19">
        <v>45841</v>
      </c>
      <c r="I1610" s="16">
        <v>130686.66</v>
      </c>
      <c r="J1610" s="20">
        <f t="shared" si="51"/>
        <v>2.6286589420321336E-3</v>
      </c>
    </row>
    <row r="1611" spans="1:10" x14ac:dyDescent="0.3">
      <c r="A1611" s="19">
        <v>45842</v>
      </c>
      <c r="B1611" s="25">
        <v>404.86</v>
      </c>
      <c r="C1611" s="20">
        <f t="shared" si="50"/>
        <v>-2.1462754386812964E-2</v>
      </c>
      <c r="H1611" s="19">
        <v>45842</v>
      </c>
      <c r="I1611" s="16">
        <v>131949.06</v>
      </c>
      <c r="J1611" s="20">
        <f t="shared" si="51"/>
        <v>9.6597464500201794E-3</v>
      </c>
    </row>
    <row r="1612" spans="1:10" x14ac:dyDescent="0.3">
      <c r="A1612" s="19">
        <v>45845</v>
      </c>
      <c r="B1612" s="25">
        <v>408.36</v>
      </c>
      <c r="C1612" s="20">
        <f t="shared" si="50"/>
        <v>8.6449636911524966E-3</v>
      </c>
      <c r="H1612" s="19">
        <v>45845</v>
      </c>
      <c r="I1612" s="16">
        <v>133370.16</v>
      </c>
      <c r="J1612" s="20">
        <f t="shared" si="51"/>
        <v>1.0770065357040103E-2</v>
      </c>
    </row>
    <row r="1613" spans="1:10" x14ac:dyDescent="0.3">
      <c r="A1613" s="19">
        <v>45846</v>
      </c>
      <c r="B1613" s="25">
        <v>406.22</v>
      </c>
      <c r="C1613" s="20">
        <f t="shared" si="50"/>
        <v>-5.2404740914878695E-3</v>
      </c>
      <c r="H1613" s="19">
        <v>45846</v>
      </c>
      <c r="I1613" s="16">
        <v>133403.19</v>
      </c>
      <c r="J1613" s="20">
        <f t="shared" si="51"/>
        <v>2.4765659724783139E-4</v>
      </c>
    </row>
    <row r="1614" spans="1:10" x14ac:dyDescent="0.3">
      <c r="A1614" s="19">
        <v>45847</v>
      </c>
      <c r="B1614" s="25">
        <v>402.01</v>
      </c>
      <c r="C1614" s="20">
        <f t="shared" si="50"/>
        <v>-1.0363842252966462E-2</v>
      </c>
      <c r="H1614" s="19">
        <v>45847</v>
      </c>
      <c r="I1614" s="16">
        <v>132576.98000000001</v>
      </c>
      <c r="J1614" s="20">
        <f t="shared" si="51"/>
        <v>-6.193330159496125E-3</v>
      </c>
    </row>
    <row r="1615" spans="1:10" x14ac:dyDescent="0.3">
      <c r="A1615" s="19">
        <v>45848</v>
      </c>
      <c r="B1615" s="25">
        <v>404.75</v>
      </c>
      <c r="C1615" s="20">
        <f t="shared" si="50"/>
        <v>6.8157508519688789E-3</v>
      </c>
      <c r="H1615" s="19">
        <v>45848</v>
      </c>
      <c r="I1615" s="16">
        <v>133782.34</v>
      </c>
      <c r="J1615" s="20">
        <f t="shared" si="51"/>
        <v>9.0917744543584107E-3</v>
      </c>
    </row>
    <row r="1616" spans="1:10" x14ac:dyDescent="0.3">
      <c r="A1616" s="19">
        <v>45849</v>
      </c>
      <c r="B1616" s="25">
        <v>405.75</v>
      </c>
      <c r="C1616" s="20">
        <f t="shared" si="50"/>
        <v>2.4706609017912293E-3</v>
      </c>
      <c r="H1616" s="19">
        <v>45849</v>
      </c>
      <c r="I1616" s="16">
        <v>134299.76999999999</v>
      </c>
      <c r="J1616" s="20">
        <f t="shared" si="51"/>
        <v>3.8677003257679078E-3</v>
      </c>
    </row>
    <row r="1617" spans="1:10" x14ac:dyDescent="0.3">
      <c r="A1617" s="19">
        <v>45852</v>
      </c>
      <c r="B1617" s="25">
        <v>412.53</v>
      </c>
      <c r="C1617" s="20">
        <f t="shared" si="50"/>
        <v>1.6709796672828028E-2</v>
      </c>
      <c r="H1617" s="19">
        <v>45852</v>
      </c>
      <c r="I1617" s="16">
        <v>136502.54999999999</v>
      </c>
      <c r="J1617" s="20">
        <f t="shared" si="51"/>
        <v>1.640196405399651E-2</v>
      </c>
    </row>
    <row r="1618" spans="1:10" x14ac:dyDescent="0.3">
      <c r="A1618" s="19">
        <v>45853</v>
      </c>
      <c r="B1618" s="25">
        <v>415.54</v>
      </c>
      <c r="C1618" s="20">
        <f t="shared" si="50"/>
        <v>7.2964390468573141E-3</v>
      </c>
      <c r="H1618" s="19">
        <v>45853</v>
      </c>
      <c r="I1618" s="16">
        <v>135939.88</v>
      </c>
      <c r="J1618" s="20">
        <f t="shared" si="51"/>
        <v>-4.1220475368407682E-3</v>
      </c>
    </row>
    <row r="1619" spans="1:10" x14ac:dyDescent="0.3">
      <c r="A1619" s="19">
        <v>45854</v>
      </c>
      <c r="B1619" s="25">
        <v>438.14</v>
      </c>
      <c r="C1619" s="20">
        <f t="shared" si="50"/>
        <v>5.4387062617317142E-2</v>
      </c>
      <c r="H1619" s="19">
        <v>45854</v>
      </c>
      <c r="I1619" s="16">
        <v>136379.97</v>
      </c>
      <c r="J1619" s="20">
        <f t="shared" si="51"/>
        <v>3.23738699784049E-3</v>
      </c>
    </row>
    <row r="1620" spans="1:10" x14ac:dyDescent="0.3">
      <c r="A1620" s="19">
        <v>45855</v>
      </c>
      <c r="B1620" s="25">
        <v>450.94</v>
      </c>
      <c r="C1620" s="20">
        <f t="shared" si="50"/>
        <v>2.9214406354133408E-2</v>
      </c>
      <c r="H1620" s="19">
        <v>45855</v>
      </c>
      <c r="I1620" s="16">
        <v>138665.5</v>
      </c>
      <c r="J1620" s="20">
        <f t="shared" si="51"/>
        <v>1.675854599469408E-2</v>
      </c>
    </row>
    <row r="1621" spans="1:10" x14ac:dyDescent="0.3">
      <c r="A1621" s="19">
        <v>45856</v>
      </c>
      <c r="B1621" s="25">
        <v>469.56</v>
      </c>
      <c r="C1621" s="20">
        <f t="shared" si="50"/>
        <v>4.1291524371313268E-2</v>
      </c>
      <c r="H1621" s="19">
        <v>45856</v>
      </c>
      <c r="I1621" s="16">
        <v>138597.35999999999</v>
      </c>
      <c r="J1621" s="20">
        <f t="shared" si="51"/>
        <v>-4.9139836513057659E-4</v>
      </c>
    </row>
    <row r="1622" spans="1:10" x14ac:dyDescent="0.3">
      <c r="A1622" s="19">
        <v>45859</v>
      </c>
      <c r="B1622" s="25">
        <v>462.63</v>
      </c>
      <c r="C1622" s="20">
        <f t="shared" si="50"/>
        <v>-1.4758497316636867E-2</v>
      </c>
      <c r="H1622" s="19">
        <v>45859</v>
      </c>
      <c r="I1622" s="16">
        <v>138217.57999999999</v>
      </c>
      <c r="J1622" s="20">
        <f t="shared" si="51"/>
        <v>-2.7401676337846471E-3</v>
      </c>
    </row>
    <row r="1623" spans="1:10" x14ac:dyDescent="0.3">
      <c r="A1623" s="19">
        <v>45860</v>
      </c>
      <c r="B1623" s="25">
        <v>469.4</v>
      </c>
      <c r="C1623" s="20">
        <f t="shared" si="50"/>
        <v>1.4633724574714095E-2</v>
      </c>
      <c r="H1623" s="19">
        <v>45860</v>
      </c>
      <c r="I1623" s="16">
        <v>139419.63</v>
      </c>
      <c r="J1623" s="20">
        <f t="shared" si="51"/>
        <v>8.6967952991219896E-3</v>
      </c>
    </row>
    <row r="1624" spans="1:10" x14ac:dyDescent="0.3">
      <c r="A1624" s="19">
        <v>45861</v>
      </c>
      <c r="B1624" s="25">
        <v>468.64</v>
      </c>
      <c r="C1624" s="20">
        <f t="shared" si="50"/>
        <v>-1.6190881976991711E-3</v>
      </c>
      <c r="H1624" s="19">
        <v>45861</v>
      </c>
      <c r="I1624" s="16">
        <v>139254.35999999999</v>
      </c>
      <c r="J1624" s="20">
        <f t="shared" si="51"/>
        <v>-1.185414134293848E-3</v>
      </c>
    </row>
    <row r="1625" spans="1:10" x14ac:dyDescent="0.3">
      <c r="A1625" s="19">
        <v>45862</v>
      </c>
      <c r="B1625" s="25">
        <v>463.22</v>
      </c>
      <c r="C1625" s="20">
        <f t="shared" si="50"/>
        <v>-1.1565380675998547E-2</v>
      </c>
      <c r="H1625" s="19">
        <v>45862</v>
      </c>
      <c r="I1625" s="16">
        <v>138692.67000000001</v>
      </c>
      <c r="J1625" s="20">
        <f t="shared" si="51"/>
        <v>-4.0335541379097452E-3</v>
      </c>
    </row>
    <row r="1626" spans="1:10" x14ac:dyDescent="0.3">
      <c r="A1626" s="19">
        <v>45863</v>
      </c>
      <c r="B1626" s="25">
        <v>462.93</v>
      </c>
      <c r="C1626" s="20">
        <f t="shared" si="50"/>
        <v>-6.2605241569884816E-4</v>
      </c>
      <c r="H1626" s="19">
        <v>45863</v>
      </c>
      <c r="I1626" s="16">
        <v>139207.29999999999</v>
      </c>
      <c r="J1626" s="20">
        <f t="shared" si="51"/>
        <v>3.7105782158492985E-3</v>
      </c>
    </row>
    <row r="1627" spans="1:10" x14ac:dyDescent="0.3">
      <c r="A1627" s="19">
        <v>45866</v>
      </c>
      <c r="B1627" s="25">
        <v>463.95</v>
      </c>
      <c r="C1627" s="20">
        <f t="shared" si="50"/>
        <v>2.2033568790097461E-3</v>
      </c>
      <c r="H1627" s="19">
        <v>45866</v>
      </c>
      <c r="I1627" s="16">
        <v>139380.06</v>
      </c>
      <c r="J1627" s="20">
        <f t="shared" si="51"/>
        <v>1.2410268714356885E-3</v>
      </c>
    </row>
    <row r="1628" spans="1:10" x14ac:dyDescent="0.3">
      <c r="A1628" s="19">
        <v>45867</v>
      </c>
      <c r="B1628" s="25">
        <v>467.43</v>
      </c>
      <c r="C1628" s="20">
        <f t="shared" si="50"/>
        <v>7.5008082767540002E-3</v>
      </c>
      <c r="H1628" s="19">
        <v>45867</v>
      </c>
      <c r="I1628" s="16">
        <v>137964.81</v>
      </c>
      <c r="J1628" s="20">
        <f t="shared" si="51"/>
        <v>-1.0153891453339883E-2</v>
      </c>
    </row>
    <row r="1629" spans="1:10" x14ac:dyDescent="0.3">
      <c r="A1629" s="19">
        <v>45868</v>
      </c>
      <c r="B1629" s="25">
        <v>464.14</v>
      </c>
      <c r="C1629" s="20">
        <f t="shared" si="50"/>
        <v>-7.038487046188778E-3</v>
      </c>
      <c r="H1629" s="19">
        <v>45868</v>
      </c>
      <c r="I1629" s="16">
        <v>138412.25</v>
      </c>
      <c r="J1629" s="20">
        <f t="shared" si="51"/>
        <v>3.2431458427696334E-3</v>
      </c>
    </row>
    <row r="1630" spans="1:10" x14ac:dyDescent="0.3">
      <c r="A1630" s="19">
        <v>45869</v>
      </c>
      <c r="B1630" s="25">
        <v>457.6</v>
      </c>
      <c r="C1630" s="20">
        <f t="shared" si="50"/>
        <v>-1.4090576119274278E-2</v>
      </c>
      <c r="H1630" s="19">
        <v>45869</v>
      </c>
      <c r="I1630" s="16">
        <v>139390.42000000001</v>
      </c>
      <c r="J1630" s="20">
        <f t="shared" si="51"/>
        <v>7.0670767941422297E-3</v>
      </c>
    </row>
    <row r="1631" spans="1:10" x14ac:dyDescent="0.3">
      <c r="A1631" s="19">
        <v>45870</v>
      </c>
      <c r="B1631" s="25">
        <v>458.47</v>
      </c>
      <c r="C1631" s="20">
        <f t="shared" si="50"/>
        <v>1.901223776223786E-3</v>
      </c>
      <c r="H1631" s="19">
        <v>45870</v>
      </c>
      <c r="I1631" s="16">
        <v>141034.98000000001</v>
      </c>
      <c r="J1631" s="20">
        <f t="shared" si="51"/>
        <v>1.1798228314399207E-2</v>
      </c>
    </row>
    <row r="1632" spans="1:10" x14ac:dyDescent="0.3">
      <c r="A1632" s="19">
        <v>45873</v>
      </c>
      <c r="B1632" s="25">
        <v>460.84</v>
      </c>
      <c r="C1632" s="20">
        <f t="shared" si="50"/>
        <v>5.1693676794554661E-3</v>
      </c>
      <c r="H1632" s="19">
        <v>45873</v>
      </c>
      <c r="I1632" s="16">
        <v>142052.66</v>
      </c>
      <c r="J1632" s="20">
        <f t="shared" si="51"/>
        <v>7.2157985203386635E-3</v>
      </c>
    </row>
    <row r="1633" spans="1:10" x14ac:dyDescent="0.3">
      <c r="A1633" s="19">
        <v>45874</v>
      </c>
      <c r="B1633" s="25">
        <v>470.42</v>
      </c>
      <c r="C1633" s="20">
        <f t="shared" si="50"/>
        <v>2.0788126030726588E-2</v>
      </c>
      <c r="H1633" s="19">
        <v>45874</v>
      </c>
      <c r="I1633" s="16">
        <v>143037.17000000001</v>
      </c>
      <c r="J1633" s="20">
        <f t="shared" si="51"/>
        <v>6.9305988356712879E-3</v>
      </c>
    </row>
    <row r="1634" spans="1:10" x14ac:dyDescent="0.3">
      <c r="A1634" s="19">
        <v>45875</v>
      </c>
      <c r="B1634" s="25">
        <v>465.53</v>
      </c>
      <c r="C1634" s="20">
        <f t="shared" si="50"/>
        <v>-1.0394966200416741E-2</v>
      </c>
      <c r="H1634" s="19">
        <v>45875</v>
      </c>
      <c r="I1634" s="16">
        <v>145088.5</v>
      </c>
      <c r="J1634" s="20">
        <f t="shared" si="51"/>
        <v>1.4341237316146475E-2</v>
      </c>
    </row>
    <row r="1635" spans="1:10" x14ac:dyDescent="0.3">
      <c r="A1635" s="19">
        <v>45876</v>
      </c>
      <c r="B1635" s="25">
        <v>449.38</v>
      </c>
      <c r="C1635" s="20">
        <f t="shared" si="50"/>
        <v>-3.4691641784632521E-2</v>
      </c>
      <c r="H1635" s="19">
        <v>45876</v>
      </c>
      <c r="I1635" s="16">
        <v>145647.14000000001</v>
      </c>
      <c r="J1635" s="20">
        <f t="shared" si="51"/>
        <v>3.8503396203008093E-3</v>
      </c>
    </row>
    <row r="1636" spans="1:10" x14ac:dyDescent="0.3">
      <c r="A1636" s="19">
        <v>45877</v>
      </c>
      <c r="B1636" s="25">
        <v>453.23</v>
      </c>
      <c r="C1636" s="20">
        <f t="shared" si="50"/>
        <v>8.5673594730518113E-3</v>
      </c>
      <c r="H1636" s="19">
        <v>45877</v>
      </c>
      <c r="I1636" s="16">
        <v>145382.79999999999</v>
      </c>
      <c r="J1636" s="20">
        <f t="shared" si="51"/>
        <v>-1.8149343680900674E-3</v>
      </c>
    </row>
    <row r="1637" spans="1:10" x14ac:dyDescent="0.3">
      <c r="A1637" s="19">
        <v>45880</v>
      </c>
      <c r="B1637" s="25">
        <v>452.25</v>
      </c>
      <c r="C1637" s="20">
        <f t="shared" si="50"/>
        <v>-2.1622575734175104E-3</v>
      </c>
      <c r="H1637" s="19">
        <v>45880</v>
      </c>
      <c r="I1637" s="16">
        <v>146929.84</v>
      </c>
      <c r="J1637" s="20">
        <f t="shared" si="51"/>
        <v>1.0641148746619327E-2</v>
      </c>
    </row>
    <row r="1638" spans="1:10" x14ac:dyDescent="0.3">
      <c r="A1638" s="19">
        <v>45881</v>
      </c>
      <c r="B1638" s="25">
        <v>447.25</v>
      </c>
      <c r="C1638" s="20">
        <f t="shared" si="50"/>
        <v>-1.1055831951354339E-2</v>
      </c>
      <c r="H1638" s="19">
        <v>45881</v>
      </c>
      <c r="I1638" s="16">
        <v>147005.31</v>
      </c>
      <c r="J1638" s="20">
        <f t="shared" si="51"/>
        <v>5.1364651319297128E-4</v>
      </c>
    </row>
    <row r="1639" spans="1:10" x14ac:dyDescent="0.3">
      <c r="A1639" s="19">
        <v>45882</v>
      </c>
      <c r="B1639" s="25">
        <v>442.48</v>
      </c>
      <c r="C1639" s="20">
        <f t="shared" si="50"/>
        <v>-1.0665176076020083E-2</v>
      </c>
      <c r="H1639" s="19">
        <v>45882</v>
      </c>
      <c r="I1639" s="16">
        <v>146529.31</v>
      </c>
      <c r="J1639" s="20">
        <f t="shared" si="51"/>
        <v>-3.2379782743902244E-3</v>
      </c>
    </row>
    <row r="1640" spans="1:10" x14ac:dyDescent="0.3">
      <c r="A1640" s="19">
        <v>45884</v>
      </c>
      <c r="B1640" s="25">
        <v>442.33</v>
      </c>
      <c r="C1640" s="20">
        <f t="shared" si="50"/>
        <v>-3.3899837280788761E-4</v>
      </c>
      <c r="H1640" s="19">
        <v>45884</v>
      </c>
      <c r="I1640" s="16">
        <v>146491.63</v>
      </c>
      <c r="J1640" s="20">
        <f t="shared" si="51"/>
        <v>-2.5714991765123996E-4</v>
      </c>
    </row>
    <row r="1641" spans="1:10" x14ac:dyDescent="0.3">
      <c r="A1641" s="19">
        <v>45887</v>
      </c>
      <c r="B1641" s="25">
        <v>444.32</v>
      </c>
      <c r="C1641" s="20">
        <f t="shared" si="50"/>
        <v>4.498903533560937E-3</v>
      </c>
      <c r="H1641" s="19">
        <v>45887</v>
      </c>
      <c r="I1641" s="16">
        <v>148196.42000000001</v>
      </c>
      <c r="J1641" s="20">
        <f t="shared" si="51"/>
        <v>1.1637456692918279E-2</v>
      </c>
    </row>
    <row r="1642" spans="1:10" x14ac:dyDescent="0.3">
      <c r="A1642" s="19">
        <v>45888</v>
      </c>
      <c r="B1642" s="25">
        <v>441.54</v>
      </c>
      <c r="C1642" s="20">
        <f t="shared" si="50"/>
        <v>-6.2567518905292871E-3</v>
      </c>
      <c r="H1642" s="19">
        <v>45888</v>
      </c>
      <c r="I1642" s="16">
        <v>149770.75</v>
      </c>
      <c r="J1642" s="20">
        <f t="shared" si="51"/>
        <v>1.0623266068100613E-2</v>
      </c>
    </row>
    <row r="1643" spans="1:10" x14ac:dyDescent="0.3">
      <c r="A1643" s="19">
        <v>45889</v>
      </c>
      <c r="B1643" s="25">
        <v>436.66</v>
      </c>
      <c r="C1643" s="20">
        <f t="shared" si="50"/>
        <v>-1.1052226298863059E-2</v>
      </c>
      <c r="H1643" s="19">
        <v>45889</v>
      </c>
      <c r="I1643" s="16">
        <v>150591</v>
      </c>
      <c r="J1643" s="20">
        <f t="shared" si="51"/>
        <v>5.4767035619438372E-3</v>
      </c>
    </row>
    <row r="1644" spans="1:10" x14ac:dyDescent="0.3">
      <c r="A1644" s="19">
        <v>45890</v>
      </c>
      <c r="B1644" s="25">
        <v>433.94</v>
      </c>
      <c r="C1644" s="20">
        <f t="shared" si="50"/>
        <v>-6.2291027343929538E-3</v>
      </c>
      <c r="H1644" s="19">
        <v>45890</v>
      </c>
      <c r="I1644" s="16">
        <v>149235.26999999999</v>
      </c>
      <c r="J1644" s="20">
        <f t="shared" si="51"/>
        <v>-9.0027292467678051E-3</v>
      </c>
    </row>
    <row r="1645" spans="1:10" x14ac:dyDescent="0.3">
      <c r="A1645" s="19">
        <v>45891</v>
      </c>
      <c r="B1645" s="25">
        <v>437.12</v>
      </c>
      <c r="C1645" s="20">
        <f t="shared" si="50"/>
        <v>7.3282020555837371E-3</v>
      </c>
      <c r="H1645" s="19">
        <v>45891</v>
      </c>
      <c r="I1645" s="16">
        <v>149493.06</v>
      </c>
      <c r="J1645" s="20">
        <f t="shared" si="51"/>
        <v>1.7274066646578129E-3</v>
      </c>
    </row>
    <row r="1646" spans="1:10" x14ac:dyDescent="0.3">
      <c r="A1646" s="19">
        <v>45894</v>
      </c>
      <c r="B1646" s="25">
        <v>436.65</v>
      </c>
      <c r="C1646" s="20">
        <f t="shared" si="50"/>
        <v>-1.0752196193265632E-3</v>
      </c>
      <c r="H1646" s="19">
        <v>45894</v>
      </c>
      <c r="I1646" s="16">
        <v>148815.31</v>
      </c>
      <c r="J1646" s="20">
        <f t="shared" si="51"/>
        <v>-4.5336552746997084E-3</v>
      </c>
    </row>
    <row r="1647" spans="1:10" x14ac:dyDescent="0.3">
      <c r="A1647" s="19">
        <v>45895</v>
      </c>
      <c r="B1647" s="25">
        <v>441.83</v>
      </c>
      <c r="C1647" s="20">
        <f t="shared" si="50"/>
        <v>1.1863048207946885E-2</v>
      </c>
      <c r="H1647" s="19">
        <v>45895</v>
      </c>
      <c r="I1647" s="16">
        <v>148435.06</v>
      </c>
      <c r="J1647" s="20">
        <f t="shared" si="51"/>
        <v>-2.55518064639989E-3</v>
      </c>
    </row>
    <row r="1648" spans="1:10" x14ac:dyDescent="0.3">
      <c r="A1648" s="19">
        <v>45896</v>
      </c>
      <c r="B1648" s="25">
        <v>440.46</v>
      </c>
      <c r="C1648" s="20">
        <f t="shared" si="50"/>
        <v>-3.1007401036597889E-3</v>
      </c>
      <c r="H1648" s="19">
        <v>45896</v>
      </c>
      <c r="I1648" s="16">
        <v>147494.03</v>
      </c>
      <c r="J1648" s="20">
        <f t="shared" si="51"/>
        <v>-6.3396747372217784E-3</v>
      </c>
    </row>
    <row r="1649" spans="1:10" x14ac:dyDescent="0.3">
      <c r="A1649" s="19">
        <v>45897</v>
      </c>
      <c r="B1649" s="25">
        <v>436.44</v>
      </c>
      <c r="C1649" s="20">
        <f t="shared" si="50"/>
        <v>-9.1268219588611504E-3</v>
      </c>
      <c r="H1649" s="19">
        <v>45897</v>
      </c>
      <c r="I1649" s="16">
        <v>147343.51999999999</v>
      </c>
      <c r="J1649" s="20">
        <f t="shared" si="51"/>
        <v>-1.0204480818648003E-3</v>
      </c>
    </row>
    <row r="1650" spans="1:10" x14ac:dyDescent="0.3">
      <c r="A1650" s="19">
        <v>45898</v>
      </c>
      <c r="B1650" s="25">
        <v>436.31</v>
      </c>
      <c r="C1650" s="20">
        <f t="shared" si="50"/>
        <v>-2.9786454037209116E-4</v>
      </c>
      <c r="H1650" s="19">
        <v>45898</v>
      </c>
      <c r="I1650" s="16">
        <v>148617.78</v>
      </c>
      <c r="J1650" s="20">
        <f t="shared" si="51"/>
        <v>8.6482255887466875E-3</v>
      </c>
    </row>
    <row r="1651" spans="1:10" x14ac:dyDescent="0.3">
      <c r="A1651" s="19">
        <v>45901</v>
      </c>
      <c r="B1651" s="25">
        <v>433.55</v>
      </c>
      <c r="C1651" s="20">
        <f t="shared" si="50"/>
        <v>-6.3257775434896997E-3</v>
      </c>
      <c r="H1651" s="19">
        <v>45901</v>
      </c>
      <c r="I1651" s="16">
        <v>149971.13</v>
      </c>
      <c r="J1651" s="20">
        <f t="shared" si="51"/>
        <v>9.1062455649654154E-3</v>
      </c>
    </row>
    <row r="1652" spans="1:10" x14ac:dyDescent="0.3">
      <c r="A1652" s="19">
        <v>45902</v>
      </c>
      <c r="B1652" s="25">
        <v>439.26</v>
      </c>
      <c r="C1652" s="20">
        <f t="shared" si="50"/>
        <v>1.3170337907969044E-2</v>
      </c>
      <c r="H1652" s="19">
        <v>45902</v>
      </c>
      <c r="I1652" s="16">
        <v>150975.48000000001</v>
      </c>
      <c r="J1652" s="20">
        <f t="shared" si="51"/>
        <v>6.6969556073892744E-3</v>
      </c>
    </row>
    <row r="1653" spans="1:10" x14ac:dyDescent="0.3">
      <c r="A1653" s="19">
        <v>45903</v>
      </c>
      <c r="B1653" s="25">
        <v>445.65</v>
      </c>
      <c r="C1653" s="20">
        <f t="shared" si="50"/>
        <v>1.4547193006419858E-2</v>
      </c>
      <c r="H1653" s="19">
        <v>45903</v>
      </c>
      <c r="I1653" s="16">
        <v>152201.88</v>
      </c>
      <c r="J1653" s="20">
        <f t="shared" si="51"/>
        <v>8.1231733788824124E-3</v>
      </c>
    </row>
    <row r="1654" spans="1:10" x14ac:dyDescent="0.3">
      <c r="A1654" s="19">
        <v>45904</v>
      </c>
      <c r="B1654" s="25">
        <v>450.69</v>
      </c>
      <c r="C1654" s="20">
        <f t="shared" si="50"/>
        <v>1.1309323460114486E-2</v>
      </c>
      <c r="H1654" s="19">
        <v>45904</v>
      </c>
      <c r="I1654" s="16">
        <v>152665.72</v>
      </c>
      <c r="J1654" s="20">
        <f t="shared" si="51"/>
        <v>3.0475313445536712E-3</v>
      </c>
    </row>
    <row r="1655" spans="1:10" x14ac:dyDescent="0.3">
      <c r="A1655" s="19">
        <v>45905</v>
      </c>
      <c r="B1655" s="25">
        <v>447.08</v>
      </c>
      <c r="C1655" s="20">
        <f t="shared" si="50"/>
        <v>-8.0099403137411825E-3</v>
      </c>
      <c r="H1655" s="19">
        <v>45905</v>
      </c>
      <c r="I1655" s="16">
        <v>154277.19</v>
      </c>
      <c r="J1655" s="20">
        <f t="shared" si="51"/>
        <v>1.0555545802947781E-2</v>
      </c>
    </row>
    <row r="1656" spans="1:10" x14ac:dyDescent="0.3">
      <c r="A1656" s="19">
        <v>45908</v>
      </c>
      <c r="B1656" s="25">
        <v>450.03</v>
      </c>
      <c r="C1656" s="20">
        <f t="shared" si="50"/>
        <v>6.5983716560794239E-3</v>
      </c>
      <c r="H1656" s="19">
        <v>45908</v>
      </c>
      <c r="I1656" s="16">
        <v>156087.31</v>
      </c>
      <c r="J1656" s="20">
        <f t="shared" si="51"/>
        <v>1.1732907502398736E-2</v>
      </c>
    </row>
    <row r="1657" spans="1:10" x14ac:dyDescent="0.3">
      <c r="A1657" s="19">
        <v>45909</v>
      </c>
      <c r="B1657" s="25">
        <v>457.09</v>
      </c>
      <c r="C1657" s="20">
        <f t="shared" si="50"/>
        <v>1.5687843032686714E-2</v>
      </c>
      <c r="H1657" s="19">
        <v>45909</v>
      </c>
      <c r="I1657" s="16">
        <v>156563.53</v>
      </c>
      <c r="J1657" s="20">
        <f t="shared" si="51"/>
        <v>3.0509847341209299E-3</v>
      </c>
    </row>
    <row r="1658" spans="1:10" x14ac:dyDescent="0.3">
      <c r="A1658" s="19">
        <v>45910</v>
      </c>
      <c r="B1658" s="25">
        <v>455.87</v>
      </c>
      <c r="C1658" s="20">
        <f t="shared" si="50"/>
        <v>-2.6690586099017053E-3</v>
      </c>
      <c r="H1658" s="19">
        <v>45910</v>
      </c>
      <c r="I1658" s="16">
        <v>157020.79999999999</v>
      </c>
      <c r="J1658" s="20">
        <f t="shared" si="51"/>
        <v>2.9206674121360801E-3</v>
      </c>
    </row>
    <row r="1659" spans="1:10" x14ac:dyDescent="0.3">
      <c r="A1659" s="19">
        <v>45911</v>
      </c>
      <c r="B1659" s="25">
        <v>452.95</v>
      </c>
      <c r="C1659" s="20">
        <f t="shared" si="50"/>
        <v>-6.4053348542347944E-3</v>
      </c>
      <c r="H1659" s="19">
        <v>45911</v>
      </c>
      <c r="I1659" s="16">
        <v>156141.25</v>
      </c>
      <c r="J1659" s="20">
        <f t="shared" si="51"/>
        <v>-5.6014871915057649E-3</v>
      </c>
    </row>
    <row r="1660" spans="1:10" x14ac:dyDescent="0.3">
      <c r="A1660" s="19">
        <v>45912</v>
      </c>
      <c r="B1660" s="25">
        <v>446.99</v>
      </c>
      <c r="C1660" s="20">
        <f t="shared" si="50"/>
        <v>-1.3158185230157809E-2</v>
      </c>
      <c r="H1660" s="19">
        <v>45912</v>
      </c>
      <c r="I1660" s="16">
        <v>154439.69</v>
      </c>
      <c r="J1660" s="20">
        <f t="shared" si="51"/>
        <v>-1.0897568707820628E-2</v>
      </c>
    </row>
    <row r="1661" spans="1:10" x14ac:dyDescent="0.3">
      <c r="A1661" s="19">
        <v>45915</v>
      </c>
      <c r="B1661" s="25">
        <v>456.21</v>
      </c>
      <c r="C1661" s="20">
        <f t="shared" si="50"/>
        <v>2.0626859661289895E-2</v>
      </c>
      <c r="H1661" s="19">
        <v>45915</v>
      </c>
      <c r="I1661" s="16">
        <v>155384.51999999999</v>
      </c>
      <c r="J1661" s="20">
        <f t="shared" si="51"/>
        <v>6.1177926477318572E-3</v>
      </c>
    </row>
    <row r="1662" spans="1:10" x14ac:dyDescent="0.3">
      <c r="A1662" s="19">
        <v>45916</v>
      </c>
      <c r="B1662" s="25">
        <v>452.59</v>
      </c>
      <c r="C1662" s="20">
        <f t="shared" si="50"/>
        <v>-7.9349422415115941E-3</v>
      </c>
      <c r="H1662" s="19">
        <v>45916</v>
      </c>
      <c r="I1662" s="16">
        <v>156180.94</v>
      </c>
      <c r="J1662" s="20">
        <f t="shared" si="51"/>
        <v>5.1254783938581069E-3</v>
      </c>
    </row>
    <row r="1663" spans="1:10" x14ac:dyDescent="0.3">
      <c r="A1663" s="19">
        <v>45917</v>
      </c>
      <c r="B1663" s="25">
        <v>452.46</v>
      </c>
      <c r="C1663" s="20">
        <f t="shared" si="50"/>
        <v>-2.8723568792946258E-4</v>
      </c>
      <c r="H1663" s="19">
        <v>45917</v>
      </c>
      <c r="I1663" s="16">
        <v>156177.81</v>
      </c>
      <c r="J1663" s="20">
        <f t="shared" si="51"/>
        <v>-2.0040857738496492E-5</v>
      </c>
    </row>
    <row r="1664" spans="1:10" x14ac:dyDescent="0.3">
      <c r="A1664" s="19">
        <v>45918</v>
      </c>
      <c r="B1664" s="25">
        <v>453.15</v>
      </c>
      <c r="C1664" s="20">
        <f t="shared" si="50"/>
        <v>1.5249966847898106E-3</v>
      </c>
      <c r="H1664" s="19">
        <v>45918</v>
      </c>
      <c r="I1664" s="16">
        <v>157953.47</v>
      </c>
      <c r="J1664" s="20">
        <f t="shared" si="51"/>
        <v>1.1369476880230319E-2</v>
      </c>
    </row>
    <row r="1665" spans="1:10" x14ac:dyDescent="0.3">
      <c r="A1665" s="19">
        <v>45919</v>
      </c>
      <c r="B1665" s="25">
        <v>451.65</v>
      </c>
      <c r="C1665" s="20">
        <f t="shared" si="50"/>
        <v>-3.3101621979476996E-3</v>
      </c>
      <c r="H1665" s="19">
        <v>45919</v>
      </c>
      <c r="I1665" s="16">
        <v>158037.38</v>
      </c>
      <c r="J1665" s="20">
        <f t="shared" si="51"/>
        <v>5.3123239394489718E-4</v>
      </c>
    </row>
    <row r="1666" spans="1:10" x14ac:dyDescent="0.3">
      <c r="A1666" s="19">
        <v>45922</v>
      </c>
      <c r="B1666" s="25">
        <v>448.73</v>
      </c>
      <c r="C1666" s="20">
        <f t="shared" si="50"/>
        <v>-6.465183217092791E-3</v>
      </c>
      <c r="H1666" s="19">
        <v>45922</v>
      </c>
      <c r="I1666" s="16">
        <v>157554.66</v>
      </c>
      <c r="J1666" s="20">
        <f t="shared" si="51"/>
        <v>-3.0544672405984023E-3</v>
      </c>
    </row>
    <row r="1667" spans="1:10" x14ac:dyDescent="0.3">
      <c r="A1667" s="19">
        <v>45923</v>
      </c>
      <c r="B1667" s="25">
        <v>447.46</v>
      </c>
      <c r="C1667" s="20">
        <f t="shared" si="50"/>
        <v>-2.8302097029394928E-3</v>
      </c>
      <c r="H1667" s="19">
        <v>45923</v>
      </c>
      <c r="I1667" s="16">
        <v>157945.03</v>
      </c>
      <c r="J1667" s="20">
        <f t="shared" si="51"/>
        <v>2.4776798096609477E-3</v>
      </c>
    </row>
    <row r="1668" spans="1:10" x14ac:dyDescent="0.3">
      <c r="A1668" s="19">
        <v>45924</v>
      </c>
      <c r="B1668" s="25">
        <v>443.91</v>
      </c>
      <c r="C1668" s="20">
        <f t="shared" si="50"/>
        <v>-7.9336700487193379E-3</v>
      </c>
      <c r="H1668" s="19">
        <v>45924</v>
      </c>
      <c r="I1668" s="16">
        <v>158236.69</v>
      </c>
      <c r="J1668" s="20">
        <f t="shared" si="51"/>
        <v>1.8465918174190318E-3</v>
      </c>
    </row>
    <row r="1669" spans="1:10" x14ac:dyDescent="0.3">
      <c r="A1669" s="19">
        <v>45925</v>
      </c>
      <c r="B1669" s="25">
        <v>442.18</v>
      </c>
      <c r="C1669" s="20">
        <f t="shared" ref="C1669:C1732" si="52">(B1669-B1668)/B1668</f>
        <v>-3.8971863666058841E-3</v>
      </c>
      <c r="H1669" s="19">
        <v>45925</v>
      </c>
      <c r="I1669" s="16">
        <v>159280.09</v>
      </c>
      <c r="J1669" s="20">
        <f t="shared" ref="J1669:J1732" si="53">(I1669-I1668)/I1668</f>
        <v>6.5939195265016862E-3</v>
      </c>
    </row>
    <row r="1670" spans="1:10" x14ac:dyDescent="0.3">
      <c r="A1670" s="19">
        <v>45926</v>
      </c>
      <c r="B1670" s="25">
        <v>453.54</v>
      </c>
      <c r="C1670" s="20">
        <f t="shared" si="52"/>
        <v>2.5690895110588478E-2</v>
      </c>
      <c r="H1670" s="19">
        <v>45926</v>
      </c>
      <c r="I1670" s="16">
        <v>162257.01999999999</v>
      </c>
      <c r="J1670" s="20">
        <f t="shared" si="53"/>
        <v>1.8689906566476656E-2</v>
      </c>
    </row>
    <row r="1671" spans="1:10" x14ac:dyDescent="0.3">
      <c r="A1671" s="19">
        <v>45929</v>
      </c>
      <c r="B1671" s="25">
        <v>467.62</v>
      </c>
      <c r="C1671" s="20">
        <f t="shared" si="52"/>
        <v>3.1044670811835744E-2</v>
      </c>
      <c r="H1671" s="19">
        <v>45929</v>
      </c>
      <c r="I1671" s="16">
        <v>163847.69</v>
      </c>
      <c r="J1671" s="20">
        <f t="shared" si="53"/>
        <v>9.8033971041746795E-3</v>
      </c>
    </row>
    <row r="1672" spans="1:10" x14ac:dyDescent="0.3">
      <c r="A1672" s="19">
        <v>45930</v>
      </c>
      <c r="B1672" s="25">
        <v>462.84</v>
      </c>
      <c r="C1672" s="20">
        <f t="shared" si="52"/>
        <v>-1.0221975107993733E-2</v>
      </c>
      <c r="H1672" s="19">
        <v>45930</v>
      </c>
      <c r="I1672" s="16">
        <v>165493.59</v>
      </c>
      <c r="J1672" s="20">
        <f t="shared" si="53"/>
        <v>1.0045304880404442E-2</v>
      </c>
    </row>
    <row r="1673" spans="1:10" x14ac:dyDescent="0.3">
      <c r="A1673" s="19">
        <v>45931</v>
      </c>
      <c r="B1673" s="25">
        <v>464.6</v>
      </c>
      <c r="C1673" s="20">
        <f t="shared" si="52"/>
        <v>3.8026099732089876E-3</v>
      </c>
      <c r="H1673" s="19">
        <v>45931</v>
      </c>
      <c r="I1673" s="16">
        <v>165640.34</v>
      </c>
      <c r="J1673" s="20">
        <f t="shared" si="53"/>
        <v>8.8674129312198743E-4</v>
      </c>
    </row>
    <row r="1674" spans="1:10" x14ac:dyDescent="0.3">
      <c r="A1674" s="19">
        <v>45932</v>
      </c>
      <c r="B1674" s="25">
        <v>463.47</v>
      </c>
      <c r="C1674" s="20">
        <f t="shared" si="52"/>
        <v>-2.4321997417132918E-3</v>
      </c>
      <c r="H1674" s="19">
        <v>45932</v>
      </c>
      <c r="I1674" s="16">
        <v>168489.63</v>
      </c>
      <c r="J1674" s="20">
        <f t="shared" si="53"/>
        <v>1.7201667178418062E-2</v>
      </c>
    </row>
    <row r="1675" spans="1:10" x14ac:dyDescent="0.3">
      <c r="A1675" s="19">
        <v>45933</v>
      </c>
      <c r="B1675" s="25">
        <v>481.69</v>
      </c>
      <c r="C1675" s="20">
        <f t="shared" si="52"/>
        <v>3.9312145338425288E-2</v>
      </c>
      <c r="H1675" s="19">
        <v>45933</v>
      </c>
      <c r="I1675" s="16">
        <v>168990.06</v>
      </c>
      <c r="J1675" s="20">
        <f t="shared" si="53"/>
        <v>2.970093767788516E-3</v>
      </c>
    </row>
    <row r="1676" spans="1:10" x14ac:dyDescent="0.3">
      <c r="A1676" s="19">
        <v>45936</v>
      </c>
      <c r="B1676" s="25">
        <v>486.62</v>
      </c>
      <c r="C1676" s="20">
        <f t="shared" si="52"/>
        <v>1.0234798314268528E-2</v>
      </c>
      <c r="H1676" s="19">
        <v>45936</v>
      </c>
      <c r="I1676" s="16">
        <v>167752.41</v>
      </c>
      <c r="J1676" s="20">
        <f t="shared" si="53"/>
        <v>-7.3238035420544511E-3</v>
      </c>
    </row>
    <row r="1677" spans="1:10" x14ac:dyDescent="0.3">
      <c r="A1677" s="19">
        <v>45937</v>
      </c>
      <c r="B1677" s="25">
        <v>482.52</v>
      </c>
      <c r="C1677" s="20">
        <f t="shared" si="52"/>
        <v>-8.425465455591679E-3</v>
      </c>
      <c r="H1677" s="19">
        <v>45937</v>
      </c>
      <c r="I1677" s="16">
        <v>166173.75</v>
      </c>
      <c r="J1677" s="20">
        <f t="shared" si="53"/>
        <v>-9.4106546666006367E-3</v>
      </c>
    </row>
    <row r="1678" spans="1:10" x14ac:dyDescent="0.3">
      <c r="A1678" s="19">
        <v>45938</v>
      </c>
      <c r="B1678" s="25">
        <v>475.38</v>
      </c>
      <c r="C1678" s="20">
        <f t="shared" si="52"/>
        <v>-1.4797314100969881E-2</v>
      </c>
      <c r="H1678" s="19">
        <v>45938</v>
      </c>
      <c r="I1678" s="16">
        <v>165266.75</v>
      </c>
      <c r="J1678" s="20">
        <f t="shared" si="53"/>
        <v>-5.4581424563145504E-3</v>
      </c>
    </row>
    <row r="1679" spans="1:10" x14ac:dyDescent="0.3">
      <c r="A1679" s="19">
        <v>45939</v>
      </c>
      <c r="B1679" s="25">
        <v>475.16</v>
      </c>
      <c r="C1679" s="20">
        <f t="shared" si="52"/>
        <v>-4.6278766460509582E-4</v>
      </c>
      <c r="H1679" s="19">
        <v>45939</v>
      </c>
      <c r="I1679" s="16">
        <v>164530.81</v>
      </c>
      <c r="J1679" s="20">
        <f t="shared" si="53"/>
        <v>-4.4530433375134584E-3</v>
      </c>
    </row>
    <row r="1680" spans="1:10" x14ac:dyDescent="0.3">
      <c r="A1680" s="19">
        <v>45940</v>
      </c>
      <c r="B1680" s="25">
        <v>481.04</v>
      </c>
      <c r="C1680" s="20">
        <f t="shared" si="52"/>
        <v>1.2374779021803171E-2</v>
      </c>
      <c r="H1680" s="19">
        <v>45940</v>
      </c>
      <c r="I1680" s="16">
        <v>163098.19</v>
      </c>
      <c r="J1680" s="20">
        <f t="shared" si="53"/>
        <v>-8.7073053369152893E-3</v>
      </c>
    </row>
    <row r="1681" spans="1:10" x14ac:dyDescent="0.3">
      <c r="A1681" s="19">
        <v>45943</v>
      </c>
      <c r="B1681" s="25">
        <v>474.04</v>
      </c>
      <c r="C1681" s="20">
        <f t="shared" si="52"/>
        <v>-1.4551804423748545E-2</v>
      </c>
      <c r="H1681" s="19">
        <v>45943</v>
      </c>
      <c r="I1681" s="16">
        <v>158443.42000000001</v>
      </c>
      <c r="J1681" s="20">
        <f t="shared" si="53"/>
        <v>-2.8539679073078552E-2</v>
      </c>
    </row>
    <row r="1682" spans="1:10" x14ac:dyDescent="0.3">
      <c r="A1682" s="19">
        <v>45944</v>
      </c>
      <c r="B1682" s="25">
        <v>477.24</v>
      </c>
      <c r="C1682" s="20">
        <f t="shared" si="52"/>
        <v>6.7504851911230875E-3</v>
      </c>
      <c r="H1682" s="19">
        <v>45944</v>
      </c>
      <c r="I1682" s="16">
        <v>165476.01999999999</v>
      </c>
      <c r="J1682" s="20">
        <f t="shared" si="53"/>
        <v>4.4385560473259013E-2</v>
      </c>
    </row>
    <row r="1683" spans="1:10" x14ac:dyDescent="0.3">
      <c r="A1683" s="19">
        <v>45945</v>
      </c>
      <c r="B1683" s="25">
        <v>482.44</v>
      </c>
      <c r="C1683" s="20">
        <f t="shared" si="52"/>
        <v>1.0895985248512255E-2</v>
      </c>
      <c r="H1683" s="19">
        <v>45945</v>
      </c>
      <c r="I1683" s="16">
        <v>165686.38</v>
      </c>
      <c r="J1683" s="20">
        <f t="shared" si="53"/>
        <v>1.2712415974230897E-3</v>
      </c>
    </row>
    <row r="1684" spans="1:10" x14ac:dyDescent="0.3">
      <c r="A1684" s="19">
        <v>45946</v>
      </c>
      <c r="B1684" s="25">
        <v>478.16</v>
      </c>
      <c r="C1684" s="20">
        <f t="shared" si="52"/>
        <v>-8.8715695215984842E-3</v>
      </c>
      <c r="H1684" s="19">
        <v>45946</v>
      </c>
      <c r="I1684" s="16">
        <v>164444.72</v>
      </c>
      <c r="J1684" s="20">
        <f t="shared" si="53"/>
        <v>-7.494037832198419E-3</v>
      </c>
    </row>
    <row r="1685" spans="1:10" x14ac:dyDescent="0.3">
      <c r="A1685" s="19">
        <v>45947</v>
      </c>
      <c r="B1685" s="25">
        <v>477.23</v>
      </c>
      <c r="C1685" s="20">
        <f t="shared" si="52"/>
        <v>-1.9449556633762898E-3</v>
      </c>
      <c r="H1685" s="19">
        <v>45947</v>
      </c>
      <c r="I1685" s="16">
        <v>163806.22</v>
      </c>
      <c r="J1685" s="20">
        <f t="shared" si="53"/>
        <v>-3.8827637640174765E-3</v>
      </c>
    </row>
    <row r="1686" spans="1:10" x14ac:dyDescent="0.3">
      <c r="A1686" s="19">
        <v>45950</v>
      </c>
      <c r="B1686" s="25">
        <v>480.62</v>
      </c>
      <c r="C1686" s="20">
        <f t="shared" si="52"/>
        <v>7.1034930746180797E-3</v>
      </c>
      <c r="H1686" s="19">
        <v>45950</v>
      </c>
      <c r="I1686" s="16">
        <v>166242.91</v>
      </c>
      <c r="J1686" s="20">
        <f t="shared" si="53"/>
        <v>1.4875442458778441E-2</v>
      </c>
    </row>
    <row r="1687" spans="1:10" x14ac:dyDescent="0.3">
      <c r="A1687" s="19">
        <v>45951</v>
      </c>
      <c r="B1687" s="25">
        <v>486.98</v>
      </c>
      <c r="C1687" s="20">
        <f t="shared" si="52"/>
        <v>1.3232907494486317E-2</v>
      </c>
      <c r="H1687" s="19">
        <v>45951</v>
      </c>
      <c r="I1687" s="16">
        <v>167346.82999999999</v>
      </c>
      <c r="J1687" s="20">
        <f t="shared" si="53"/>
        <v>6.6404034914931635E-3</v>
      </c>
    </row>
    <row r="1688" spans="1:10" x14ac:dyDescent="0.3">
      <c r="A1688" s="19">
        <v>45952</v>
      </c>
      <c r="B1688" s="25">
        <v>476.73</v>
      </c>
      <c r="C1688" s="20">
        <f t="shared" si="52"/>
        <v>-2.1048092324120086E-2</v>
      </c>
      <c r="H1688" s="19">
        <v>45952</v>
      </c>
      <c r="I1688" s="16">
        <v>166553.28</v>
      </c>
      <c r="J1688" s="20">
        <f t="shared" si="53"/>
        <v>-4.7419482042174834E-3</v>
      </c>
    </row>
    <row r="1689" spans="1:10" x14ac:dyDescent="0.3">
      <c r="A1689" s="19">
        <v>45953</v>
      </c>
      <c r="B1689" s="25">
        <v>478</v>
      </c>
      <c r="C1689" s="20">
        <f t="shared" si="52"/>
        <v>2.6639817087239772E-3</v>
      </c>
      <c r="H1689" s="19">
        <v>45953</v>
      </c>
      <c r="I1689" s="16">
        <v>164590.41</v>
      </c>
      <c r="J1689" s="20">
        <f t="shared" si="53"/>
        <v>-1.1785237732934443E-2</v>
      </c>
    </row>
    <row r="1690" spans="1:10" x14ac:dyDescent="0.3">
      <c r="A1690" s="19">
        <v>45954</v>
      </c>
      <c r="B1690" s="25">
        <v>477.28</v>
      </c>
      <c r="C1690" s="20">
        <f t="shared" si="52"/>
        <v>-1.5062761506276722E-3</v>
      </c>
      <c r="H1690" s="19">
        <v>45954</v>
      </c>
      <c r="I1690" s="16">
        <v>163304.13</v>
      </c>
      <c r="J1690" s="20">
        <f t="shared" si="53"/>
        <v>-7.8150361251302473E-3</v>
      </c>
    </row>
    <row r="1691" spans="1:10" x14ac:dyDescent="0.3">
      <c r="A1691" s="19">
        <v>45957</v>
      </c>
      <c r="B1691" s="25">
        <v>476.43</v>
      </c>
      <c r="C1691" s="20">
        <f t="shared" si="52"/>
        <v>-1.7809252430438442E-3</v>
      </c>
      <c r="H1691" s="19">
        <v>45957</v>
      </c>
      <c r="I1691" s="16">
        <v>162163.81</v>
      </c>
      <c r="J1691" s="20">
        <f t="shared" si="53"/>
        <v>-6.9827995164605267E-3</v>
      </c>
    </row>
    <row r="1692" spans="1:10" x14ac:dyDescent="0.3">
      <c r="A1692" s="19">
        <v>45958</v>
      </c>
      <c r="B1692" s="25">
        <v>475.63</v>
      </c>
      <c r="C1692" s="20">
        <f t="shared" si="52"/>
        <v>-1.6791553848414485E-3</v>
      </c>
      <c r="H1692" s="19">
        <v>45958</v>
      </c>
      <c r="I1692" s="16">
        <v>160101.03</v>
      </c>
      <c r="J1692" s="20">
        <f t="shared" si="53"/>
        <v>-1.2720347406736427E-2</v>
      </c>
    </row>
    <row r="1693" spans="1:10" x14ac:dyDescent="0.3">
      <c r="A1693" s="19">
        <v>45959</v>
      </c>
      <c r="B1693" s="25">
        <v>473.92</v>
      </c>
      <c r="C1693" s="20">
        <f t="shared" si="52"/>
        <v>-3.595231587578537E-3</v>
      </c>
      <c r="H1693" s="19">
        <v>45959</v>
      </c>
      <c r="I1693" s="16">
        <v>158465.06</v>
      </c>
      <c r="J1693" s="20">
        <f t="shared" si="53"/>
        <v>-1.0218360244153339E-2</v>
      </c>
    </row>
    <row r="1694" spans="1:10" x14ac:dyDescent="0.3">
      <c r="A1694" s="19">
        <v>45960</v>
      </c>
      <c r="B1694" s="25">
        <v>476.71</v>
      </c>
      <c r="C1694" s="20">
        <f t="shared" si="52"/>
        <v>5.8870695476028944E-3</v>
      </c>
      <c r="H1694" s="19">
        <v>45960</v>
      </c>
      <c r="I1694" s="16">
        <v>156732.88</v>
      </c>
      <c r="J1694" s="20">
        <f t="shared" si="53"/>
        <v>-1.0930990087026081E-2</v>
      </c>
    </row>
    <row r="1695" spans="1:10" x14ac:dyDescent="0.3">
      <c r="A1695" s="19">
        <v>45961</v>
      </c>
      <c r="B1695" s="25">
        <v>488.86</v>
      </c>
      <c r="C1695" s="20">
        <f t="shared" si="52"/>
        <v>2.5487193471922204E-2</v>
      </c>
      <c r="H1695" s="19">
        <v>45961</v>
      </c>
      <c r="I1695" s="16">
        <v>161631.73000000001</v>
      </c>
      <c r="J1695" s="20">
        <f t="shared" si="53"/>
        <v>3.1256045317357824E-2</v>
      </c>
    </row>
    <row r="1696" spans="1:10" x14ac:dyDescent="0.3">
      <c r="A1696" s="19">
        <v>45964</v>
      </c>
      <c r="B1696" s="25">
        <v>495.19</v>
      </c>
      <c r="C1696" s="20">
        <f t="shared" si="52"/>
        <v>1.2948492410915157E-2</v>
      </c>
      <c r="H1696" s="19">
        <v>45964</v>
      </c>
      <c r="I1696" s="16">
        <v>162803.16</v>
      </c>
      <c r="J1696" s="20">
        <f t="shared" si="53"/>
        <v>7.2475249754487747E-3</v>
      </c>
    </row>
    <row r="1697" spans="1:10" x14ac:dyDescent="0.3">
      <c r="A1697" s="19">
        <v>45965</v>
      </c>
      <c r="B1697" s="25">
        <v>503.94</v>
      </c>
      <c r="C1697" s="20">
        <f t="shared" si="52"/>
        <v>1.7669985258183727E-2</v>
      </c>
      <c r="H1697" s="19">
        <v>45965</v>
      </c>
      <c r="I1697" s="16">
        <v>161281.76999999999</v>
      </c>
      <c r="J1697" s="20">
        <f t="shared" si="53"/>
        <v>-9.3449660313719585E-3</v>
      </c>
    </row>
    <row r="1698" spans="1:10" x14ac:dyDescent="0.3">
      <c r="A1698" s="19">
        <v>45966</v>
      </c>
      <c r="B1698" s="25">
        <v>494.31</v>
      </c>
      <c r="C1698" s="20">
        <f t="shared" si="52"/>
        <v>-1.9109417787831876E-2</v>
      </c>
      <c r="H1698" s="19">
        <v>45966</v>
      </c>
      <c r="I1698" s="16">
        <v>159578.19</v>
      </c>
      <c r="J1698" s="20">
        <f t="shared" si="53"/>
        <v>-1.0562756100704918E-2</v>
      </c>
    </row>
    <row r="1699" spans="1:10" x14ac:dyDescent="0.3">
      <c r="A1699" s="19">
        <v>45967</v>
      </c>
      <c r="B1699" s="25">
        <v>493.25</v>
      </c>
      <c r="C1699" s="20">
        <f t="shared" si="52"/>
        <v>-2.1444033096639807E-3</v>
      </c>
      <c r="H1699" s="19">
        <v>45967</v>
      </c>
      <c r="I1699" s="16">
        <v>159096.79999999999</v>
      </c>
      <c r="J1699" s="20">
        <f t="shared" si="53"/>
        <v>-3.0166403065482444E-3</v>
      </c>
    </row>
    <row r="1700" spans="1:10" x14ac:dyDescent="0.3">
      <c r="A1700" s="19">
        <v>45968</v>
      </c>
      <c r="B1700" s="25">
        <v>489.44</v>
      </c>
      <c r="C1700" s="20">
        <f t="shared" si="52"/>
        <v>-7.724277749619873E-3</v>
      </c>
      <c r="H1700" s="19">
        <v>45968</v>
      </c>
      <c r="I1700" s="16">
        <v>159592.91</v>
      </c>
      <c r="J1700" s="20">
        <f t="shared" si="53"/>
        <v>3.1182902484526097E-3</v>
      </c>
    </row>
    <row r="1701" spans="1:10" x14ac:dyDescent="0.3">
      <c r="A1701" s="19">
        <v>45971</v>
      </c>
      <c r="B1701" s="25">
        <v>500.61</v>
      </c>
      <c r="C1701" s="20">
        <f t="shared" si="52"/>
        <v>2.2822000653808468E-2</v>
      </c>
      <c r="H1701" s="19">
        <v>45971</v>
      </c>
      <c r="I1701" s="16">
        <v>161538.41</v>
      </c>
      <c r="J1701" s="20">
        <f t="shared" si="53"/>
        <v>1.2190391164620031E-2</v>
      </c>
    </row>
    <row r="1702" spans="1:10" x14ac:dyDescent="0.3">
      <c r="A1702" s="19">
        <v>45972</v>
      </c>
      <c r="B1702" s="25">
        <v>494.86</v>
      </c>
      <c r="C1702" s="20">
        <f t="shared" si="52"/>
        <v>-1.1485987095743192E-2</v>
      </c>
      <c r="H1702" s="19">
        <v>45972</v>
      </c>
      <c r="I1702" s="16">
        <v>157870.5</v>
      </c>
      <c r="J1702" s="20">
        <f t="shared" si="53"/>
        <v>-2.2706116768142038E-2</v>
      </c>
    </row>
    <row r="1703" spans="1:10" x14ac:dyDescent="0.3">
      <c r="A1703" s="19">
        <v>45973</v>
      </c>
      <c r="B1703" s="25">
        <v>512.67999999999995</v>
      </c>
      <c r="C1703" s="20">
        <f t="shared" si="52"/>
        <v>3.6010184698702534E-2</v>
      </c>
      <c r="H1703" s="19">
        <v>45973</v>
      </c>
      <c r="I1703" s="16">
        <v>158183.95000000001</v>
      </c>
      <c r="J1703" s="20">
        <f t="shared" si="53"/>
        <v>1.985488105757641E-3</v>
      </c>
    </row>
    <row r="1704" spans="1:10" x14ac:dyDescent="0.3">
      <c r="A1704" s="19">
        <v>45974</v>
      </c>
      <c r="B1704" s="25">
        <v>532.33000000000004</v>
      </c>
      <c r="C1704" s="20">
        <f t="shared" si="52"/>
        <v>3.832800187251325E-2</v>
      </c>
      <c r="H1704" s="19">
        <v>45974</v>
      </c>
      <c r="I1704" s="16">
        <v>160657.5</v>
      </c>
      <c r="J1704" s="20">
        <f t="shared" si="53"/>
        <v>1.5637174315093209E-2</v>
      </c>
    </row>
    <row r="1705" spans="1:10" x14ac:dyDescent="0.3">
      <c r="A1705" s="19">
        <v>45975</v>
      </c>
      <c r="B1705" s="25">
        <v>531.77</v>
      </c>
      <c r="C1705" s="20">
        <f t="shared" si="52"/>
        <v>-1.0519790355607594E-3</v>
      </c>
      <c r="H1705" s="19">
        <v>45975</v>
      </c>
      <c r="I1705" s="16">
        <v>161935.19</v>
      </c>
      <c r="J1705" s="20">
        <f t="shared" si="53"/>
        <v>7.952881129110077E-3</v>
      </c>
    </row>
    <row r="1706" spans="1:10" x14ac:dyDescent="0.3">
      <c r="A1706" s="19">
        <v>45978</v>
      </c>
      <c r="B1706" s="25">
        <v>536.5</v>
      </c>
      <c r="C1706" s="20">
        <f t="shared" si="52"/>
        <v>8.8948229497715515E-3</v>
      </c>
      <c r="H1706" s="19">
        <v>45978</v>
      </c>
      <c r="I1706" s="16">
        <v>161687.19</v>
      </c>
      <c r="J1706" s="20">
        <f t="shared" si="53"/>
        <v>-1.5314768828196021E-3</v>
      </c>
    </row>
    <row r="1707" spans="1:10" x14ac:dyDescent="0.3">
      <c r="A1707" s="19">
        <v>45979</v>
      </c>
      <c r="B1707" s="25">
        <v>536.44000000000005</v>
      </c>
      <c r="C1707" s="20">
        <f t="shared" si="52"/>
        <v>-1.1183597390483771E-4</v>
      </c>
      <c r="H1707" s="19">
        <v>45979</v>
      </c>
      <c r="I1707" s="16">
        <v>160935.13</v>
      </c>
      <c r="J1707" s="20">
        <f t="shared" si="53"/>
        <v>-4.6513270469973386E-3</v>
      </c>
    </row>
    <row r="1708" spans="1:10" x14ac:dyDescent="0.3">
      <c r="A1708" s="19">
        <v>45980</v>
      </c>
      <c r="B1708" s="25">
        <v>566.66</v>
      </c>
      <c r="C1708" s="20">
        <f t="shared" si="52"/>
        <v>5.6334352397285646E-2</v>
      </c>
      <c r="H1708" s="19">
        <v>45980</v>
      </c>
      <c r="I1708" s="16">
        <v>162226.28</v>
      </c>
      <c r="J1708" s="20">
        <f t="shared" si="53"/>
        <v>8.0227977570838278E-3</v>
      </c>
    </row>
    <row r="1709" spans="1:10" x14ac:dyDescent="0.3">
      <c r="A1709" s="19">
        <v>45981</v>
      </c>
      <c r="B1709" s="25">
        <v>565.75</v>
      </c>
      <c r="C1709" s="20">
        <f t="shared" si="52"/>
        <v>-1.6059012458969546E-3</v>
      </c>
      <c r="H1709" s="19">
        <v>45981</v>
      </c>
      <c r="I1709" s="16">
        <v>162936.94</v>
      </c>
      <c r="J1709" s="20">
        <f t="shared" si="53"/>
        <v>4.3806712451275069E-3</v>
      </c>
    </row>
    <row r="1710" spans="1:10" x14ac:dyDescent="0.3">
      <c r="A1710" s="19">
        <v>45982</v>
      </c>
      <c r="B1710" s="25">
        <v>557.37</v>
      </c>
      <c r="C1710" s="20">
        <f t="shared" si="52"/>
        <v>-1.4812196199734857E-2</v>
      </c>
      <c r="H1710" s="19">
        <v>45982</v>
      </c>
      <c r="I1710" s="16">
        <v>162102.92000000001</v>
      </c>
      <c r="J1710" s="20">
        <f t="shared" si="53"/>
        <v>-5.118667381380732E-3</v>
      </c>
    </row>
    <row r="1711" spans="1:10" x14ac:dyDescent="0.3">
      <c r="A1711" s="19">
        <v>45985</v>
      </c>
      <c r="B1711" s="25">
        <v>565.55999999999995</v>
      </c>
      <c r="C1711" s="20">
        <f t="shared" si="52"/>
        <v>1.4694009365412456E-2</v>
      </c>
      <c r="H1711" s="19">
        <v>45985</v>
      </c>
      <c r="I1711" s="16">
        <v>161984.09</v>
      </c>
      <c r="J1711" s="20">
        <f t="shared" si="53"/>
        <v>-7.3305280373738046E-4</v>
      </c>
    </row>
    <row r="1712" spans="1:10" x14ac:dyDescent="0.3">
      <c r="A1712" s="19">
        <v>45986</v>
      </c>
      <c r="B1712" s="25">
        <v>571.13</v>
      </c>
      <c r="C1712" s="20">
        <f t="shared" si="52"/>
        <v>9.8486455902115615E-3</v>
      </c>
      <c r="H1712" s="19">
        <v>45986</v>
      </c>
      <c r="I1712" s="16">
        <v>161692.48000000001</v>
      </c>
      <c r="J1712" s="20">
        <f t="shared" si="53"/>
        <v>-1.8002385295987158E-3</v>
      </c>
    </row>
    <row r="1713" spans="1:10" x14ac:dyDescent="0.3">
      <c r="A1713" s="19">
        <v>45987</v>
      </c>
      <c r="B1713" s="25">
        <v>589.42999999999995</v>
      </c>
      <c r="C1713" s="20">
        <f t="shared" si="52"/>
        <v>3.2041741810095697E-2</v>
      </c>
      <c r="H1713" s="19">
        <v>45987</v>
      </c>
      <c r="I1713" s="16">
        <v>163188.53</v>
      </c>
      <c r="J1713" s="20">
        <f t="shared" si="53"/>
        <v>9.2524401876944943E-3</v>
      </c>
    </row>
    <row r="1714" spans="1:10" x14ac:dyDescent="0.3">
      <c r="A1714" s="19">
        <v>45988</v>
      </c>
      <c r="B1714" s="25">
        <v>593.11</v>
      </c>
      <c r="C1714" s="20">
        <f t="shared" si="52"/>
        <v>6.2433198174508663E-3</v>
      </c>
      <c r="H1714" s="19">
        <v>45988</v>
      </c>
      <c r="I1714" s="16">
        <v>165373.31</v>
      </c>
      <c r="J1714" s="20">
        <f t="shared" si="53"/>
        <v>1.3388073291670676E-2</v>
      </c>
    </row>
    <row r="1715" spans="1:10" x14ac:dyDescent="0.3">
      <c r="A1715" s="19">
        <v>45989</v>
      </c>
      <c r="B1715" s="25">
        <v>586.17999999999995</v>
      </c>
      <c r="C1715" s="20">
        <f t="shared" si="52"/>
        <v>-1.1684173256225765E-2</v>
      </c>
      <c r="H1715" s="19">
        <v>45989</v>
      </c>
      <c r="I1715" s="16">
        <v>166677.70000000001</v>
      </c>
      <c r="J1715" s="20">
        <f t="shared" si="53"/>
        <v>7.8875484804652816E-3</v>
      </c>
    </row>
    <row r="1716" spans="1:10" x14ac:dyDescent="0.3">
      <c r="A1716" s="19">
        <v>45992</v>
      </c>
      <c r="B1716" s="25">
        <v>585.66999999999996</v>
      </c>
      <c r="C1716" s="20">
        <f t="shared" si="52"/>
        <v>-8.7003991947864304E-4</v>
      </c>
      <c r="H1716" s="19">
        <v>45992</v>
      </c>
      <c r="I1716" s="16">
        <v>168062.19</v>
      </c>
      <c r="J1716" s="20">
        <f t="shared" si="53"/>
        <v>8.3063901169741997E-3</v>
      </c>
    </row>
    <row r="1717" spans="1:10" x14ac:dyDescent="0.3">
      <c r="A1717" s="19">
        <v>45993</v>
      </c>
      <c r="B1717" s="25">
        <v>580.08000000000004</v>
      </c>
      <c r="C1717" s="20">
        <f t="shared" si="52"/>
        <v>-9.5446241057249286E-3</v>
      </c>
      <c r="H1717" s="19">
        <v>45993</v>
      </c>
      <c r="I1717" s="16">
        <v>167642.28</v>
      </c>
      <c r="J1717" s="20">
        <f t="shared" si="53"/>
        <v>-2.4985393799759688E-3</v>
      </c>
    </row>
    <row r="1718" spans="1:10" x14ac:dyDescent="0.3">
      <c r="A1718" s="19">
        <v>45994</v>
      </c>
      <c r="B1718" s="25">
        <v>566.28</v>
      </c>
      <c r="C1718" s="20">
        <f t="shared" si="52"/>
        <v>-2.378982209350446E-2</v>
      </c>
      <c r="H1718" s="19">
        <v>45994</v>
      </c>
      <c r="I1718" s="16">
        <v>166145.34</v>
      </c>
      <c r="J1718" s="20">
        <f t="shared" si="53"/>
        <v>-8.9293703235246054E-3</v>
      </c>
    </row>
    <row r="1719" spans="1:10" x14ac:dyDescent="0.3">
      <c r="A1719" s="19">
        <v>45995</v>
      </c>
      <c r="B1719" s="25">
        <v>561.41999999999996</v>
      </c>
      <c r="C1719" s="20">
        <f t="shared" si="52"/>
        <v>-8.5823267641449708E-3</v>
      </c>
      <c r="H1719" s="19">
        <v>45995</v>
      </c>
      <c r="I1719" s="16">
        <v>166283.54999999999</v>
      </c>
      <c r="J1719" s="20">
        <f t="shared" si="53"/>
        <v>8.3186203115893508E-4</v>
      </c>
    </row>
    <row r="1720" spans="1:10" x14ac:dyDescent="0.3">
      <c r="A1720" s="19">
        <v>45996</v>
      </c>
      <c r="B1720" s="25">
        <v>567.45000000000005</v>
      </c>
      <c r="C1720" s="20">
        <f t="shared" si="52"/>
        <v>1.0740621994229075E-2</v>
      </c>
      <c r="H1720" s="19">
        <v>45996</v>
      </c>
      <c r="I1720" s="16">
        <v>167085.57999999999</v>
      </c>
      <c r="J1720" s="20">
        <f t="shared" si="53"/>
        <v>4.8232672444147298E-3</v>
      </c>
    </row>
    <row r="1721" spans="1:10" x14ac:dyDescent="0.3">
      <c r="A1721" s="19">
        <v>45999</v>
      </c>
      <c r="B1721" s="25">
        <v>579.96</v>
      </c>
      <c r="C1721" s="20">
        <f t="shared" si="52"/>
        <v>2.2045995241871511E-2</v>
      </c>
      <c r="H1721" s="19">
        <v>45999</v>
      </c>
      <c r="I1721" s="16">
        <v>168303.25</v>
      </c>
      <c r="J1721" s="20">
        <f t="shared" si="53"/>
        <v>7.2877025055065369E-3</v>
      </c>
    </row>
    <row r="1722" spans="1:10" x14ac:dyDescent="0.3">
      <c r="A1722" s="19">
        <v>46000</v>
      </c>
      <c r="B1722" s="25">
        <v>586.64</v>
      </c>
      <c r="C1722" s="20">
        <f t="shared" si="52"/>
        <v>1.1518035726601747E-2</v>
      </c>
      <c r="H1722" s="19">
        <v>46000</v>
      </c>
      <c r="I1722" s="16">
        <v>169456.39</v>
      </c>
      <c r="J1722" s="20">
        <f t="shared" si="53"/>
        <v>6.8515610958196829E-3</v>
      </c>
    </row>
    <row r="1723" spans="1:10" x14ac:dyDescent="0.3">
      <c r="A1723" s="19">
        <v>46001</v>
      </c>
      <c r="B1723" s="25">
        <v>580.16</v>
      </c>
      <c r="C1723" s="20">
        <f t="shared" si="52"/>
        <v>-1.1045956634392503E-2</v>
      </c>
      <c r="H1723" s="19">
        <v>46001</v>
      </c>
      <c r="I1723" s="16">
        <v>169451.86</v>
      </c>
      <c r="J1723" s="20">
        <f t="shared" si="53"/>
        <v>-2.6732541629312057E-5</v>
      </c>
    </row>
    <row r="1724" spans="1:10" x14ac:dyDescent="0.3">
      <c r="A1724" s="19">
        <v>46002</v>
      </c>
      <c r="B1724" s="25">
        <v>572.16</v>
      </c>
      <c r="C1724" s="20">
        <f t="shared" si="52"/>
        <v>-1.3789299503585218E-2</v>
      </c>
      <c r="H1724" s="19">
        <v>46002</v>
      </c>
      <c r="I1724" s="16">
        <v>168574.69</v>
      </c>
      <c r="J1724" s="20">
        <f t="shared" si="53"/>
        <v>-5.1765144389679984E-3</v>
      </c>
    </row>
    <row r="1725" spans="1:10" x14ac:dyDescent="0.3">
      <c r="A1725" s="19">
        <v>46003</v>
      </c>
      <c r="B1725" s="25">
        <v>584.94000000000005</v>
      </c>
      <c r="C1725" s="20">
        <f t="shared" si="52"/>
        <v>2.2336409395973308E-2</v>
      </c>
      <c r="H1725" s="19">
        <v>46003</v>
      </c>
      <c r="I1725" s="16">
        <v>169864.53</v>
      </c>
      <c r="J1725" s="20">
        <f t="shared" si="53"/>
        <v>7.6514451843274723E-3</v>
      </c>
    </row>
    <row r="1726" spans="1:10" x14ac:dyDescent="0.3">
      <c r="A1726" s="19">
        <v>46006</v>
      </c>
      <c r="B1726" s="25">
        <v>583.79</v>
      </c>
      <c r="C1726" s="20">
        <f t="shared" si="52"/>
        <v>-1.9660136082334783E-3</v>
      </c>
      <c r="H1726" s="19">
        <v>46006</v>
      </c>
      <c r="I1726" s="16">
        <v>170741.34</v>
      </c>
      <c r="J1726" s="20">
        <f t="shared" si="53"/>
        <v>5.1618192450183552E-3</v>
      </c>
    </row>
    <row r="1727" spans="1:10" x14ac:dyDescent="0.3">
      <c r="A1727" s="19">
        <v>46007</v>
      </c>
      <c r="B1727" s="25">
        <v>577.6</v>
      </c>
      <c r="C1727" s="20">
        <f t="shared" si="52"/>
        <v>-1.0603127837064597E-2</v>
      </c>
      <c r="H1727" s="19">
        <v>46007</v>
      </c>
      <c r="I1727" s="16">
        <v>170447.3</v>
      </c>
      <c r="J1727" s="20">
        <f t="shared" si="53"/>
        <v>-1.7221371227378686E-3</v>
      </c>
    </row>
    <row r="1728" spans="1:10" x14ac:dyDescent="0.3">
      <c r="A1728" s="19">
        <v>46008</v>
      </c>
      <c r="B1728" s="25">
        <v>575.22</v>
      </c>
      <c r="C1728" s="20">
        <f t="shared" si="52"/>
        <v>-4.1204986149584403E-3</v>
      </c>
      <c r="H1728" s="19">
        <v>46008</v>
      </c>
      <c r="I1728" s="16">
        <v>170313.86</v>
      </c>
      <c r="J1728" s="20">
        <f t="shared" si="53"/>
        <v>-7.8288127767352331E-4</v>
      </c>
    </row>
    <row r="1729" spans="1:10" x14ac:dyDescent="0.3">
      <c r="A1729" s="19">
        <v>46009</v>
      </c>
      <c r="B1729" s="25">
        <v>588.99</v>
      </c>
      <c r="C1729" s="20">
        <f t="shared" si="52"/>
        <v>2.393866694482108E-2</v>
      </c>
      <c r="H1729" s="19">
        <v>46009</v>
      </c>
      <c r="I1729" s="16">
        <v>171960.66</v>
      </c>
      <c r="J1729" s="20">
        <f t="shared" si="53"/>
        <v>9.6692071919456096E-3</v>
      </c>
    </row>
    <row r="1730" spans="1:10" x14ac:dyDescent="0.3">
      <c r="A1730" s="19">
        <v>46010</v>
      </c>
      <c r="B1730" s="25">
        <v>585</v>
      </c>
      <c r="C1730" s="20">
        <f t="shared" si="52"/>
        <v>-6.7743085621148223E-3</v>
      </c>
      <c r="H1730" s="19">
        <v>46010</v>
      </c>
      <c r="I1730" s="16">
        <v>171404.48</v>
      </c>
      <c r="J1730" s="20">
        <f t="shared" si="53"/>
        <v>-3.2343444134256814E-3</v>
      </c>
    </row>
    <row r="1731" spans="1:10" x14ac:dyDescent="0.3">
      <c r="A1731" s="19">
        <v>46013</v>
      </c>
      <c r="B1731" s="25">
        <v>583.02</v>
      </c>
      <c r="C1731" s="20">
        <f t="shared" si="52"/>
        <v>-3.3846153846154156E-3</v>
      </c>
      <c r="H1731" s="19">
        <v>46013</v>
      </c>
      <c r="I1731" s="16">
        <v>171204.19</v>
      </c>
      <c r="J1731" s="20">
        <f t="shared" si="53"/>
        <v>-1.1685225497023656E-3</v>
      </c>
    </row>
    <row r="1732" spans="1:10" x14ac:dyDescent="0.3">
      <c r="A1732" s="19">
        <v>46014</v>
      </c>
      <c r="B1732" s="25">
        <v>580.17999999999995</v>
      </c>
      <c r="C1732" s="20">
        <f t="shared" si="52"/>
        <v>-4.8711879523859079E-3</v>
      </c>
      <c r="H1732" s="19">
        <v>46014</v>
      </c>
      <c r="I1732" s="16">
        <v>171073.73</v>
      </c>
      <c r="J1732" s="20">
        <f t="shared" si="53"/>
        <v>-7.6201406052031704E-4</v>
      </c>
    </row>
    <row r="1733" spans="1:10" x14ac:dyDescent="0.3">
      <c r="A1733" s="19">
        <v>46015</v>
      </c>
      <c r="B1733" s="25">
        <v>583.01</v>
      </c>
      <c r="C1733" s="20">
        <f t="shared" ref="C1733:C1737" si="54">(B1733-B1732)/B1732</f>
        <v>4.8777965458996191E-3</v>
      </c>
      <c r="H1733" s="19">
        <v>46015</v>
      </c>
      <c r="I1733" s="16">
        <v>170830.22</v>
      </c>
      <c r="J1733" s="20">
        <f t="shared" ref="J1733:J1737" si="55">(I1733-I1732)/I1732</f>
        <v>-1.4234213517178196E-3</v>
      </c>
    </row>
    <row r="1734" spans="1:10" x14ac:dyDescent="0.3">
      <c r="A1734" s="19">
        <v>46017</v>
      </c>
      <c r="B1734" s="25">
        <v>585.25</v>
      </c>
      <c r="C1734" s="20">
        <f t="shared" si="54"/>
        <v>3.8421296375705546E-3</v>
      </c>
      <c r="H1734" s="19">
        <v>46017</v>
      </c>
      <c r="I1734" s="16">
        <v>172400.73</v>
      </c>
      <c r="J1734" s="20">
        <f t="shared" si="55"/>
        <v>9.1933968123439121E-3</v>
      </c>
    </row>
    <row r="1735" spans="1:10" x14ac:dyDescent="0.3">
      <c r="A1735" s="19">
        <v>46020</v>
      </c>
      <c r="B1735" s="25">
        <v>601.47</v>
      </c>
      <c r="C1735" s="20">
        <f t="shared" si="54"/>
        <v>2.7714651858180311E-2</v>
      </c>
      <c r="H1735" s="19">
        <v>46020</v>
      </c>
      <c r="I1735" s="16">
        <v>173896.34</v>
      </c>
      <c r="J1735" s="20">
        <f t="shared" si="55"/>
        <v>8.6751952848458692E-3</v>
      </c>
    </row>
    <row r="1736" spans="1:10" x14ac:dyDescent="0.3">
      <c r="A1736" s="19">
        <v>46021</v>
      </c>
      <c r="B1736" s="25">
        <v>596.4</v>
      </c>
      <c r="C1736" s="20">
        <f t="shared" si="54"/>
        <v>-8.4293480971620368E-3</v>
      </c>
      <c r="H1736" s="19">
        <v>46021</v>
      </c>
      <c r="I1736" s="16">
        <v>174472.8</v>
      </c>
      <c r="J1736" s="20">
        <f t="shared" si="55"/>
        <v>3.3149633856583288E-3</v>
      </c>
    </row>
    <row r="1737" spans="1:10" x14ac:dyDescent="0.3">
      <c r="A1737" s="19">
        <v>46022</v>
      </c>
      <c r="B1737" s="25">
        <v>590.71</v>
      </c>
      <c r="C1737" s="20">
        <f t="shared" si="54"/>
        <v>-9.5405767940978225E-3</v>
      </c>
      <c r="H1737" s="19">
        <v>46022</v>
      </c>
      <c r="I1737" s="16">
        <v>174054.31</v>
      </c>
      <c r="J1737" s="20">
        <f t="shared" si="55"/>
        <v>-2.3985973744904119E-3</v>
      </c>
    </row>
  </sheetData>
  <mergeCells count="2">
    <mergeCell ref="A1:F1"/>
    <mergeCell ref="H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75CB-5B74-4223-94E7-3573D2C69D5C}">
  <dimension ref="A1:N21"/>
  <sheetViews>
    <sheetView zoomScale="90" zoomScaleNormal="100" workbookViewId="0">
      <selection activeCell="B18" sqref="B18"/>
    </sheetView>
  </sheetViews>
  <sheetFormatPr defaultRowHeight="14.4" x14ac:dyDescent="0.3"/>
  <cols>
    <col min="1" max="1" width="18" bestFit="1" customWidth="1"/>
    <col min="2" max="3" width="15.109375" bestFit="1" customWidth="1"/>
    <col min="4" max="4" width="12.33203125" bestFit="1" customWidth="1"/>
    <col min="5" max="5" width="12.77734375" customWidth="1"/>
    <col min="6" max="6" width="13.88671875" bestFit="1" customWidth="1"/>
    <col min="7" max="7" width="20.109375" bestFit="1" customWidth="1"/>
    <col min="8" max="8" width="22.33203125" bestFit="1" customWidth="1"/>
    <col min="9" max="9" width="10.33203125" customWidth="1"/>
    <col min="10" max="10" width="13.44140625" bestFit="1" customWidth="1"/>
    <col min="11" max="11" width="11.33203125" customWidth="1"/>
    <col min="12" max="12" width="16.6640625" bestFit="1" customWidth="1"/>
    <col min="13" max="13" width="18.6640625" bestFit="1" customWidth="1"/>
    <col min="14" max="14" width="17.21875" bestFit="1" customWidth="1"/>
    <col min="15" max="15" width="6.21875" customWidth="1"/>
    <col min="16" max="17" width="14.77734375" bestFit="1" customWidth="1"/>
  </cols>
  <sheetData>
    <row r="1" spans="1:14" x14ac:dyDescent="0.3">
      <c r="A1" s="74" t="s">
        <v>1085</v>
      </c>
      <c r="B1" s="74"/>
      <c r="C1" s="74"/>
      <c r="D1" s="74"/>
    </row>
    <row r="2" spans="1:14" x14ac:dyDescent="0.3">
      <c r="A2" s="55" t="s">
        <v>1086</v>
      </c>
      <c r="B2" s="55" t="s">
        <v>1088</v>
      </c>
      <c r="C2" s="55" t="s">
        <v>1087</v>
      </c>
      <c r="D2" s="55" t="s">
        <v>1108</v>
      </c>
      <c r="F2" s="55" t="s">
        <v>1086</v>
      </c>
      <c r="G2" s="55" t="s">
        <v>1105</v>
      </c>
      <c r="H2" s="52" t="s">
        <v>1106</v>
      </c>
      <c r="I2" s="49"/>
      <c r="K2" s="53" t="s">
        <v>1063</v>
      </c>
      <c r="L2" s="53" t="s">
        <v>1107</v>
      </c>
    </row>
    <row r="3" spans="1:14" x14ac:dyDescent="0.3">
      <c r="A3" s="59" t="s">
        <v>1061</v>
      </c>
      <c r="B3" s="56">
        <v>0.3</v>
      </c>
      <c r="C3" s="57">
        <v>0.81299999999999994</v>
      </c>
      <c r="D3" s="57">
        <f>B3*C3</f>
        <v>0.24389999999999998</v>
      </c>
      <c r="F3" s="59" t="s">
        <v>1061</v>
      </c>
      <c r="G3" s="56">
        <v>7.8299999999999995E-4</v>
      </c>
      <c r="H3" s="56">
        <f>252*G3</f>
        <v>0.19731599999999999</v>
      </c>
      <c r="J3" s="53" t="s">
        <v>1102</v>
      </c>
      <c r="K3" s="57">
        <v>0</v>
      </c>
      <c r="L3" s="56">
        <v>0.11750099999999999</v>
      </c>
    </row>
    <row r="4" spans="1:14" x14ac:dyDescent="0.3">
      <c r="A4" s="59" t="s">
        <v>1089</v>
      </c>
      <c r="B4" s="56">
        <v>0.3</v>
      </c>
      <c r="C4" s="57">
        <v>1.756</v>
      </c>
      <c r="D4" s="57">
        <f t="shared" ref="D4:D6" si="0">B4*C4</f>
        <v>0.52679999999999993</v>
      </c>
      <c r="F4" s="59" t="s">
        <v>1089</v>
      </c>
      <c r="G4" s="56">
        <v>4.3100000000000001E-4</v>
      </c>
      <c r="H4" s="56">
        <f>252*G4</f>
        <v>0.108612</v>
      </c>
      <c r="J4" s="53" t="s">
        <v>1103</v>
      </c>
      <c r="K4" s="57">
        <v>1</v>
      </c>
      <c r="L4" s="56">
        <f>B17+(1)*(B19-B17)</f>
        <v>0.238644</v>
      </c>
    </row>
    <row r="5" spans="1:14" x14ac:dyDescent="0.3">
      <c r="A5" s="59" t="s">
        <v>1091</v>
      </c>
      <c r="B5" s="56">
        <v>0.2</v>
      </c>
      <c r="C5" s="57">
        <v>1.1950000000000001</v>
      </c>
      <c r="D5" s="57">
        <f t="shared" si="0"/>
        <v>0.23900000000000002</v>
      </c>
      <c r="F5" s="59" t="s">
        <v>1091</v>
      </c>
      <c r="G5" s="56">
        <v>6.87E-4</v>
      </c>
      <c r="H5" s="56">
        <f>252*G5</f>
        <v>0.173124</v>
      </c>
      <c r="K5" s="57">
        <v>2</v>
      </c>
      <c r="L5" s="56">
        <f>B17+(2)*(B19-B17)</f>
        <v>0.35978699999999997</v>
      </c>
    </row>
    <row r="6" spans="1:14" x14ac:dyDescent="0.3">
      <c r="A6" s="59" t="s">
        <v>1090</v>
      </c>
      <c r="B6" s="56">
        <v>0.1</v>
      </c>
      <c r="C6" s="57">
        <v>0.70699999999999996</v>
      </c>
      <c r="D6" s="57">
        <f t="shared" si="0"/>
        <v>7.0699999999999999E-2</v>
      </c>
      <c r="F6" s="59" t="s">
        <v>1090</v>
      </c>
      <c r="G6" s="56">
        <v>1.1839999999999999E-3</v>
      </c>
      <c r="H6" s="56">
        <f>252*G6</f>
        <v>0.29836799999999997</v>
      </c>
    </row>
    <row r="7" spans="1:14" x14ac:dyDescent="0.3">
      <c r="A7" s="59" t="s">
        <v>1092</v>
      </c>
      <c r="B7" s="58"/>
      <c r="C7" s="58"/>
      <c r="D7" s="57">
        <f>SUM(D3:D6)</f>
        <v>1.0804</v>
      </c>
    </row>
    <row r="9" spans="1:14" x14ac:dyDescent="0.3">
      <c r="A9" s="74" t="s">
        <v>1097</v>
      </c>
      <c r="B9" s="74"/>
      <c r="C9" s="74"/>
      <c r="D9" s="74"/>
    </row>
    <row r="10" spans="1:14" x14ac:dyDescent="0.3">
      <c r="A10" s="52" t="s">
        <v>1086</v>
      </c>
      <c r="B10" s="55" t="s">
        <v>1088</v>
      </c>
      <c r="C10" s="55" t="s">
        <v>1087</v>
      </c>
      <c r="D10" s="55" t="s">
        <v>1108</v>
      </c>
    </row>
    <row r="11" spans="1:14" x14ac:dyDescent="0.3">
      <c r="A11" s="53" t="s">
        <v>1093</v>
      </c>
      <c r="B11" s="60">
        <v>0.15</v>
      </c>
      <c r="C11" s="57">
        <v>0.76900000000000002</v>
      </c>
      <c r="D11" s="57">
        <f>B11*C11</f>
        <v>0.11534999999999999</v>
      </c>
    </row>
    <row r="12" spans="1:14" x14ac:dyDescent="0.3">
      <c r="A12" s="53" t="s">
        <v>1094</v>
      </c>
      <c r="B12" s="60">
        <v>0.4</v>
      </c>
      <c r="C12" s="57">
        <v>0.98499999999999999</v>
      </c>
      <c r="D12" s="57">
        <f t="shared" ref="D12:D14" si="1">B12*C12</f>
        <v>0.39400000000000002</v>
      </c>
    </row>
    <row r="13" spans="1:14" x14ac:dyDescent="0.3">
      <c r="A13" s="53" t="s">
        <v>1095</v>
      </c>
      <c r="B13" s="60">
        <v>0.2</v>
      </c>
      <c r="C13" s="57">
        <v>1.423</v>
      </c>
      <c r="D13" s="57">
        <f t="shared" si="1"/>
        <v>0.28460000000000002</v>
      </c>
    </row>
    <row r="14" spans="1:14" x14ac:dyDescent="0.3">
      <c r="A14" s="53" t="s">
        <v>1096</v>
      </c>
      <c r="B14" s="60">
        <v>0.25</v>
      </c>
      <c r="C14" s="57">
        <v>1.0804</v>
      </c>
      <c r="D14" s="57">
        <f t="shared" si="1"/>
        <v>0.27010000000000001</v>
      </c>
    </row>
    <row r="15" spans="1:14" x14ac:dyDescent="0.3">
      <c r="A15" s="54" t="s">
        <v>1092</v>
      </c>
      <c r="B15" s="58"/>
      <c r="C15" s="58"/>
      <c r="D15" s="57">
        <f>SUM(D11:D14)</f>
        <v>1.0640499999999999</v>
      </c>
      <c r="M15" s="50" t="s">
        <v>1109</v>
      </c>
      <c r="N15" s="50" t="s">
        <v>1110</v>
      </c>
    </row>
    <row r="16" spans="1:14" x14ac:dyDescent="0.3">
      <c r="M16" s="51" t="s">
        <v>1111</v>
      </c>
      <c r="N16" s="51" t="s">
        <v>1061</v>
      </c>
    </row>
    <row r="17" spans="1:14" ht="15.6" x14ac:dyDescent="0.35">
      <c r="A17" s="53" t="s">
        <v>1098</v>
      </c>
      <c r="B17" s="56">
        <v>0.11750099999999999</v>
      </c>
      <c r="C17" s="51" t="s">
        <v>1100</v>
      </c>
      <c r="M17" s="51"/>
      <c r="N17" s="51" t="s">
        <v>1091</v>
      </c>
    </row>
    <row r="18" spans="1:14" ht="15.6" x14ac:dyDescent="0.35">
      <c r="A18" s="53" t="s">
        <v>1099</v>
      </c>
      <c r="B18" s="62">
        <v>9.4700000000000003E-4</v>
      </c>
      <c r="M18" s="51"/>
      <c r="N18" s="51" t="s">
        <v>1089</v>
      </c>
    </row>
    <row r="19" spans="1:14" x14ac:dyDescent="0.3">
      <c r="A19" s="53" t="s">
        <v>1104</v>
      </c>
      <c r="B19" s="61">
        <f>252*B18</f>
        <v>0.238644</v>
      </c>
    </row>
    <row r="20" spans="1:14" x14ac:dyDescent="0.3">
      <c r="A20" s="53" t="s">
        <v>1063</v>
      </c>
      <c r="B20" s="57">
        <v>1.0640499999999999</v>
      </c>
    </row>
    <row r="21" spans="1:14" ht="15.6" x14ac:dyDescent="0.35">
      <c r="A21" s="53" t="s">
        <v>1101</v>
      </c>
      <c r="B21" s="56">
        <f>B17+(B19-B17)*(B20)</f>
        <v>0.24640320915</v>
      </c>
    </row>
  </sheetData>
  <mergeCells count="2">
    <mergeCell ref="A1:D1"/>
    <mergeCell ref="A9:D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5C3E8F-CC37-4688-953D-3E2BBC68A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 3</vt:lpstr>
      <vt:lpstr>Bank Al-Habib </vt:lpstr>
      <vt:lpstr>Cnergyico</vt:lpstr>
      <vt:lpstr>Lucky Cement</vt:lpstr>
      <vt:lpstr>Fauji Fertillizers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Huang</dc:creator>
  <cp:lastModifiedBy>(FA24-BBD-075) JEREMIAH HUANG</cp:lastModifiedBy>
  <dcterms:created xsi:type="dcterms:W3CDTF">2026-04-04T16:06:26Z</dcterms:created>
  <dcterms:modified xsi:type="dcterms:W3CDTF">2026-06-19T07:34:03Z</dcterms:modified>
</cp:coreProperties>
</file>